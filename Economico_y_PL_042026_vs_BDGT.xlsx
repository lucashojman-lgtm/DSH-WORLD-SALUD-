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L-BDGT2026" sheetId="1" r:id="rId4"/>
    <sheet state="visible" name="Trazabilidad" sheetId="2" r:id="rId5"/>
    <sheet state="hidden" name="Premisas" sheetId="3" r:id="rId6"/>
    <sheet state="visible" name="P&amp;L2026" sheetId="4" r:id="rId7"/>
    <sheet state="hidden" name="Cuentas" sheetId="5" r:id="rId8"/>
    <sheet state="hidden" name="RRHH-IngresVacyBonos" sheetId="6" r:id="rId9"/>
    <sheet state="hidden" name="Flk" sheetId="7" r:id="rId10"/>
    <sheet state="hidden" name="Astra" sheetId="8" r:id="rId11"/>
    <sheet state="hidden" name="Bayer" sheetId="9" r:id="rId12"/>
    <sheet state="hidden" name="Colgate" sheetId="10" r:id="rId13"/>
    <sheet state="hidden" name="HealthC" sheetId="11" r:id="rId14"/>
    <sheet state="hidden" name="SidusFarma" sheetId="12" r:id="rId15"/>
    <sheet state="hidden" name="SidusDermo" sheetId="13" r:id="rId16"/>
    <sheet state="hidden" name="IQVIA" sheetId="14" r:id="rId17"/>
    <sheet state="hidden" name="Panalab Man" sheetId="15" r:id="rId18"/>
    <sheet state="hidden" name="Panalab Dig" sheetId="16" r:id="rId19"/>
    <sheet state="hidden" name="Osseg" sheetId="17" r:id="rId20"/>
    <sheet state="hidden" name="PciaART" sheetId="18" r:id="rId21"/>
    <sheet state="hidden" name="Ceoderma" sheetId="19" r:id="rId22"/>
    <sheet state="hidden" name="MaxVis" sheetId="20" r:id="rId23"/>
    <sheet state="hidden" name="Unyc" sheetId="21" r:id="rId24"/>
    <sheet state="hidden" name="Avanter" sheetId="22" r:id="rId25"/>
    <sheet state="hidden" name="Prosp Nuev Neg Labos" sheetId="23" r:id="rId26"/>
    <sheet state="hidden" name="nuevos proyectos" sheetId="24" r:id="rId27"/>
    <sheet state="hidden" name="polit increm labos" sheetId="25" r:id="rId28"/>
    <sheet state="hidden" name="Detalles" sheetId="26" r:id="rId29"/>
    <sheet state="hidden" name="Reporte_Registros_IQVIA_Serie_T" sheetId="27" r:id="rId30"/>
    <sheet state="hidden" name="Info para Gráficos" sheetId="28" r:id="rId31"/>
  </sheets>
  <externalReferences>
    <externalReference r:id="rId32"/>
    <externalReference r:id="rId33"/>
  </externalReferences>
  <definedNames>
    <definedName localSheetId="23" name="ajdic">'[2]Budget 2026'!#REF!</definedName>
    <definedName localSheetId="5" name="ajdic">'[2]Budget 2026'!#REF!</definedName>
    <definedName name="ajdic">'REAL-BDGT2026'!#REF!</definedName>
    <definedName localSheetId="23" name="dic">'[2]Budget 2026'!#REF!</definedName>
    <definedName localSheetId="5" name="dic">'[2]Budget 2026'!#REF!</definedName>
    <definedName name="dic">'REAL-BDGT2026'!#REF!</definedName>
    <definedName localSheetId="23" name="dolarbnaabr">'[2]Budget 2026'!#REF!</definedName>
    <definedName localSheetId="5" name="dolarbnaabr">'[2]Budget 2026'!#REF!</definedName>
    <definedName name="dolarbnaabr">'REAL-BDGT2026'!#REF!</definedName>
    <definedName localSheetId="23" name="dolarbnaago">'[2]Budget 2026'!#REF!</definedName>
    <definedName localSheetId="5" name="dolarbnaago">'[2]Budget 2026'!#REF!</definedName>
    <definedName name="dolarbnaago">'REAL-BDGT2026'!#REF!</definedName>
    <definedName localSheetId="23" name="dolarbnadic">'[2]Budget 2026'!#REF!</definedName>
    <definedName localSheetId="5" name="dolarbnadic">'[2]Budget 2026'!#REF!</definedName>
    <definedName name="dolarbnadic">'REAL-BDGT2026'!#REF!</definedName>
    <definedName localSheetId="23" name="dolarbnaene">'[2]Budget 2026'!$I$219</definedName>
    <definedName localSheetId="5" name="dolarbnaene">'[2]Budget 2026'!$I$219</definedName>
    <definedName localSheetId="23" name="dolarbnafeb">'[2]Budget 2026'!#REF!</definedName>
    <definedName localSheetId="5" name="dolarbnafeb">'[2]Budget 2026'!#REF!</definedName>
    <definedName name="dolarbnafeb">'REAL-BDGT2026'!#REF!</definedName>
    <definedName localSheetId="23" name="dolarbnajul">'[2]Budget 2026'!#REF!</definedName>
    <definedName localSheetId="5" name="dolarbnajul">'[2]Budget 2026'!#REF!</definedName>
    <definedName name="dolarbnajul">'REAL-BDGT2026'!#REF!</definedName>
    <definedName localSheetId="23" name="dolarbnajun">'[2]Budget 2026'!#REF!</definedName>
    <definedName localSheetId="5" name="dolarbnajun">'[2]Budget 2026'!#REF!</definedName>
    <definedName name="dolarbnajun">'REAL-BDGT2026'!#REF!</definedName>
    <definedName localSheetId="23" name="dolarbnamar">'[2]Budget 2026'!#REF!</definedName>
    <definedName localSheetId="5" name="dolarbnamar">'[2]Budget 2026'!#REF!</definedName>
    <definedName name="dolarbnamar">'REAL-BDGT2026'!#REF!</definedName>
    <definedName localSheetId="23" name="dolarbnamay">'[2]Budget 2026'!#REF!</definedName>
    <definedName localSheetId="5" name="dolarbnamay">'[2]Budget 2026'!#REF!</definedName>
    <definedName name="dolarbnamay">'REAL-BDGT2026'!#REF!</definedName>
    <definedName localSheetId="23" name="dolarbnanov">'[2]Budget 2026'!#REF!</definedName>
    <definedName localSheetId="5" name="dolarbnanov">'[2]Budget 2026'!#REF!</definedName>
    <definedName name="dolarbnanov">'REAL-BDGT2026'!#REF!</definedName>
    <definedName localSheetId="23" name="dolarbnaoct">'[2]Budget 2026'!#REF!</definedName>
    <definedName localSheetId="5" name="dolarbnaoct">'[2]Budget 2026'!#REF!</definedName>
    <definedName name="dolarbnaoct">'REAL-BDGT2026'!#REF!</definedName>
    <definedName localSheetId="23" name="dolarbnasep">'[2]Budget 2026'!#REF!</definedName>
    <definedName localSheetId="5" name="dolarbnasep">'[2]Budget 2026'!#REF!</definedName>
    <definedName name="dolarbnasep">'REAL-BDGT2026'!#REF!</definedName>
    <definedName localSheetId="23" name="dolarmepabr">'[2]Budget 2026'!#REF!</definedName>
    <definedName localSheetId="5" name="dolarmepabr">'[2]Budget 2026'!#REF!</definedName>
    <definedName name="dolarmepabr">'REAL-BDGT2026'!#REF!</definedName>
    <definedName localSheetId="23" name="dolarmepago">'[2]Budget 2026'!#REF!</definedName>
    <definedName localSheetId="5" name="dolarmepago">'[2]Budget 2026'!#REF!</definedName>
    <definedName name="dolarmepago">'REAL-BDGT2026'!#REF!</definedName>
    <definedName localSheetId="23" name="dolarmepdic">'[2]Budget 2026'!#REF!</definedName>
    <definedName localSheetId="5" name="dolarmepdic">'[2]Budget 2026'!#REF!</definedName>
    <definedName name="dolarmepdic">'REAL-BDGT2026'!#REF!</definedName>
    <definedName localSheetId="23" name="dolarmepfeb">'[2]Budget 2026'!#REF!</definedName>
    <definedName localSheetId="5" name="dolarmepfeb">'[2]Budget 2026'!#REF!</definedName>
    <definedName name="dolarmepfeb">'REAL-BDGT2026'!#REF!</definedName>
    <definedName localSheetId="23" name="dolarmepjul">'[2]Budget 2026'!#REF!</definedName>
    <definedName localSheetId="5" name="dolarmepjul">'[2]Budget 2026'!#REF!</definedName>
    <definedName name="dolarmepjul">'REAL-BDGT2026'!#REF!</definedName>
    <definedName localSheetId="23" name="dolarmepjun">'[2]Budget 2026'!#REF!</definedName>
    <definedName localSheetId="5" name="dolarmepjun">'[2]Budget 2026'!#REF!</definedName>
    <definedName name="dolarmepjun">'REAL-BDGT2026'!#REF!</definedName>
    <definedName localSheetId="23" name="dolarmepmar">'[2]Budget 2026'!#REF!</definedName>
    <definedName localSheetId="5" name="dolarmepmar">'[2]Budget 2026'!#REF!</definedName>
    <definedName name="dolarmepmar">'REAL-BDGT2026'!#REF!</definedName>
    <definedName localSheetId="23" name="dolarmepmay">'[2]Budget 2026'!#REF!</definedName>
    <definedName localSheetId="5" name="dolarmepmay">'[2]Budget 2026'!#REF!</definedName>
    <definedName name="dolarmepmay">'REAL-BDGT2026'!#REF!</definedName>
    <definedName localSheetId="23" name="dolarmepnov">'[2]Budget 2026'!#REF!</definedName>
    <definedName localSheetId="5" name="dolarmepnov">'[2]Budget 2026'!#REF!</definedName>
    <definedName name="dolarmepnov">'REAL-BDGT2026'!#REF!</definedName>
    <definedName localSheetId="23" name="dolarmepoct">'[2]Budget 2026'!#REF!</definedName>
    <definedName localSheetId="5" name="dolarmepoct">'[2]Budget 2026'!#REF!</definedName>
    <definedName name="dolarmepoct">'REAL-BDGT2026'!#REF!</definedName>
    <definedName localSheetId="23" name="dolarmepsep">'[2]Budget 2026'!#REF!</definedName>
    <definedName localSheetId="5" name="dolarmepsep">'[2]Budget 2026'!#REF!</definedName>
    <definedName name="dolarmepsep">'REAL-BDGT2026'!#REF!</definedName>
    <definedName localSheetId="23" name="ipcabr">'[2]Budget 2026'!#REF!</definedName>
    <definedName localSheetId="5" name="ipcabr">'[2]Budget 2026'!#REF!</definedName>
    <definedName name="ipcabr">'REAL-BDGT2026'!#REF!</definedName>
    <definedName localSheetId="23" name="ipcago">'[2]Budget 2026'!#REF!</definedName>
    <definedName localSheetId="5" name="ipcago">'[2]Budget 2026'!#REF!</definedName>
    <definedName name="ipcago">'REAL-BDGT2026'!#REF!</definedName>
    <definedName localSheetId="23" name="ipcdic">'[2]Budget 2026'!#REF!</definedName>
    <definedName localSheetId="5" name="ipcdic">'[2]Budget 2026'!#REF!</definedName>
    <definedName name="ipcdic">'REAL-BDGT2026'!#REF!</definedName>
    <definedName localSheetId="23" name="ipcene">'[2]Budget 2026'!$I$213</definedName>
    <definedName localSheetId="5" name="ipcene">'[2]Budget 2026'!$I$213</definedName>
    <definedName localSheetId="23" name="ipcfeb">'[2]Budget 2026'!#REF!</definedName>
    <definedName localSheetId="5" name="ipcfeb">'[2]Budget 2026'!#REF!</definedName>
    <definedName name="ipcfeb">'REAL-BDGT2026'!#REF!</definedName>
    <definedName localSheetId="23" name="ipcjul">'[2]Budget 2026'!#REF!</definedName>
    <definedName localSheetId="5" name="ipcjul">'[2]Budget 2026'!#REF!</definedName>
    <definedName name="ipcjul">'REAL-BDGT2026'!#REF!</definedName>
    <definedName localSheetId="23" name="ipcjun">'[2]Budget 2026'!#REF!</definedName>
    <definedName localSheetId="5" name="ipcjun">'[2]Budget 2026'!#REF!</definedName>
    <definedName name="ipcjun">'REAL-BDGT2026'!#REF!</definedName>
    <definedName localSheetId="23" name="ipcmar">'[2]Budget 2026'!#REF!</definedName>
    <definedName localSheetId="5" name="ipcmar">'[2]Budget 2026'!#REF!</definedName>
    <definedName name="ipcmar">'REAL-BDGT2026'!#REF!</definedName>
    <definedName localSheetId="23" name="ipcmay">'[2]Budget 2026'!#REF!</definedName>
    <definedName localSheetId="5" name="ipcmay">'[2]Budget 2026'!#REF!</definedName>
    <definedName name="ipcmay">'REAL-BDGT2026'!#REF!</definedName>
    <definedName localSheetId="23" name="ipcnov">'[2]Budget 2026'!#REF!</definedName>
    <definedName localSheetId="5" name="ipcnov">'[2]Budget 2026'!#REF!</definedName>
    <definedName name="ipcnov">'REAL-BDGT2026'!#REF!</definedName>
    <definedName localSheetId="23" name="ipcoct">'[2]Budget 2026'!#REF!</definedName>
    <definedName localSheetId="5" name="ipcoct">'[2]Budget 2026'!#REF!</definedName>
    <definedName name="ipcoct">'REAL-BDGT2026'!#REF!</definedName>
    <definedName localSheetId="23" name="ipcsep">'[2]Budget 2026'!#REF!</definedName>
    <definedName localSheetId="5" name="ipcsep">'[2]Budget 2026'!#REF!</definedName>
    <definedName name="ipcsep">'REAL-BDGT2026'!#REF!</definedName>
    <definedName localSheetId="23" name="ipctrimabr">'[2]Budget 2026'!#REF!</definedName>
    <definedName localSheetId="5" name="ipctrimabr">'[2]Budget 2026'!#REF!</definedName>
    <definedName name="ipctrimabr">'REAL-BDGT2026'!#REF!</definedName>
    <definedName localSheetId="23" name="ipctrimago">'[2]Budget 2026'!#REF!</definedName>
    <definedName localSheetId="5" name="ipctrimago">'[2]Budget 2026'!#REF!</definedName>
    <definedName name="ipctrimago">'REAL-BDGT2026'!#REF!</definedName>
    <definedName localSheetId="23" name="ipctrimdic">'[2]Budget 2026'!#REF!</definedName>
    <definedName localSheetId="5" name="ipctrimdic">'[2]Budget 2026'!#REF!</definedName>
    <definedName name="ipctrimdic">'REAL-BDGT2026'!#REF!</definedName>
    <definedName localSheetId="23" name="ipctrimfeb">'[2]Budget 2026'!#REF!</definedName>
    <definedName localSheetId="5" name="ipctrimfeb">'[2]Budget 2026'!#REF!</definedName>
    <definedName name="ipctrimfeb">'REAL-BDGT2026'!#REF!</definedName>
    <definedName localSheetId="23" name="ipctrimjul">'[2]Budget 2026'!#REF!</definedName>
    <definedName localSheetId="5" name="ipctrimjul">'[2]Budget 2026'!#REF!</definedName>
    <definedName name="ipctrimjul">'REAL-BDGT2026'!#REF!</definedName>
    <definedName localSheetId="23" name="ipctrimjun">'[2]Budget 2026'!#REF!</definedName>
    <definedName localSheetId="5" name="ipctrimjun">'[2]Budget 2026'!#REF!</definedName>
    <definedName name="ipctrimjun">'REAL-BDGT2026'!#REF!</definedName>
    <definedName localSheetId="23" name="ipctrimmar">'[2]Budget 2026'!#REF!</definedName>
    <definedName localSheetId="5" name="ipctrimmar">'[2]Budget 2026'!#REF!</definedName>
    <definedName name="ipctrimmar">'REAL-BDGT2026'!#REF!</definedName>
    <definedName localSheetId="23" name="ipctrimmay">'[2]Budget 2026'!#REF!</definedName>
    <definedName localSheetId="5" name="ipctrimmay">'[2]Budget 2026'!#REF!</definedName>
    <definedName name="ipctrimmay">'REAL-BDGT2026'!#REF!</definedName>
    <definedName localSheetId="23" name="ipctrimnov">'[2]Budget 2026'!#REF!</definedName>
    <definedName localSheetId="5" name="ipctrimnov">'[2]Budget 2026'!#REF!</definedName>
    <definedName name="ipctrimnov">'REAL-BDGT2026'!#REF!</definedName>
    <definedName localSheetId="23" name="ipctrimoct">'[2]Budget 2026'!#REF!</definedName>
    <definedName localSheetId="5" name="ipctrimoct">'[2]Budget 2026'!#REF!</definedName>
    <definedName name="ipctrimoct">'REAL-BDGT2026'!#REF!</definedName>
    <definedName localSheetId="23" name="ipctrimsep">'[2]Budget 2026'!#REF!</definedName>
    <definedName localSheetId="5" name="ipctrimsep">'[2]Budget 2026'!#REF!</definedName>
    <definedName name="ipctrimsep">'REAL-BDGT2026'!#REF!</definedName>
    <definedName localSheetId="23" name="multdic">'[2]Budget 2026'!#REF!</definedName>
    <definedName localSheetId="5" name="multdic">'[2]Budget 2026'!#REF!</definedName>
    <definedName name="multdic">'REAL-BDGT2026'!#REF!</definedName>
    <definedName localSheetId="23" name="sueldosdic">'[2]Budget 2026'!#REF!</definedName>
    <definedName localSheetId="5" name="sueldosdic">'[2]Budget 2026'!#REF!</definedName>
    <definedName name="sueldosdic">'REAL-BDGT2026'!#REF!</definedName>
    <definedName name="USD">[1]AR200013!$H$2</definedName>
    <definedName localSheetId="23" name="usddic">'[2]Budget 2026'!$T$219</definedName>
    <definedName localSheetId="5" name="usddic">'[2]Budget 2026'!$T$219</definedName>
    <definedName localSheetId="23" name="usdnov">'[2]Budget 2026'!$S$219</definedName>
    <definedName localSheetId="5" name="usdnov">'[2]Budget 2026'!$S$219</definedName>
    <definedName localSheetId="23" name="usdoct">'[2]Budget 2026'!$R$219</definedName>
    <definedName localSheetId="5" name="usdoct">'[2]Budget 2026'!$R$219</definedName>
    <definedName localSheetId="23" name="usdsep">'[2]Budget 2026'!$Q$219</definedName>
    <definedName localSheetId="5" name="usdsep">'[2]Budget 2026'!$Q$219</definedName>
    <definedName name="dolarmepene">'REAL-BDGT2026'!$I$200</definedName>
    <definedName name="usdnov">'REAL-BDGT2026'!$S$201</definedName>
    <definedName name="ipcene">'REAL-BDGT2026'!$I$194</definedName>
    <definedName name="usdoct">'REAL-BDGT2026'!$R$201</definedName>
    <definedName name="usdsep">'REAL-BDGT2026'!$Q$201</definedName>
    <definedName name="usddic">'REAL-BDGT2026'!$T$201</definedName>
    <definedName name="ipctrimene">'REAL-BDGT2026'!$I$196</definedName>
    <definedName name="tmp_XLS">#REF!</definedName>
    <definedName name="dolarbnaene">'REAL-BDGT2026'!$I$201</definedName>
    <definedName hidden="1" localSheetId="0" name="_xlnm._FilterDatabase">'REAL-BDGT2026'!$G$43:$G$172</definedName>
    <definedName hidden="1" localSheetId="1" name="_xlnm._FilterDatabase">Trazabilidad!$A$6:$K$1378</definedName>
  </definedNames>
  <calcPr/>
  <extLst>
    <ext uri="GoogleSheetsCustomDataVersion2">
      <go:sheetsCustomData xmlns:go="http://customooxmlschemas.google.com/" r:id="rId34" roundtripDataChecksum="PHiO9elprbZH9Qm9U5Xfq5nW9OVKoGSPz1O30algYZ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6">
      <text>
        <t xml:space="preserve">======
ID#AAAB8DFxHmc
silvina.rodriguez    (2026-03-12 14:32:38)
ERDOZAIN JORGE</t>
      </text>
    </comment>
    <comment authorId="0" ref="F67">
      <text>
        <t xml:space="preserve">======
ID#AAAB8DFxHoM
silvina.rodriguez    (2025-11-13 19:04:38)
definido por IA:
costo=50% del valor de la trx de presentac digitales</t>
      </text>
    </comment>
    <comment authorId="0" ref="F65">
      <text>
        <t xml:space="preserve">======
ID#AAAB8DFxHp4
silvina.rodriguez    (2025-11-10 19:29:26)
conector para la descentralizar la BD</t>
      </text>
    </comment>
    <comment authorId="0" ref="I96">
      <text>
        <t xml:space="preserve">======
ID#AAAB8DFxHlk
silvina.rodriguez    (2026-03-12 14:32:38)
Contrato con Santiago Latorre</t>
      </text>
    </comment>
    <comment authorId="0" ref="J96">
      <text>
        <t xml:space="preserve">======
ID#AAAB8DFxHqA
silvina.rodriguez    (2026-03-12 14:32:38)
certificaciones de WS por MS Seguridad</t>
      </text>
    </comment>
    <comment authorId="0" ref="I94">
      <text>
        <t xml:space="preserve">======
ID#AAAB8DFxHlM
silvina.rodriguez    (2026-03-12 14:32:38)
en agosto 2025 se descargó el costo total a resultado (hasta agosto 2026 no se recibe costo)</t>
      </text>
    </comment>
    <comment authorId="0" ref="J61">
      <text>
        <t xml:space="preserve">======
ID#AAAB8DFxHp8
silvina.rodriguez    (2026-03-12 14:32:38)
se habia provisionado 1 mes de más</t>
      </text>
    </comment>
    <comment authorId="0" ref="M224">
      <text>
        <t xml:space="preserve">======
ID#AAAB8DFxHos
silvina.rodriguez    (2025-11-18 16:07:01)
el 66% del Imp DyC es costo</t>
      </text>
    </comment>
    <comment authorId="0" ref="K61">
      <text>
        <t xml:space="preserve">======
ID#AAAB8DFxHqU
silvina.rodriguez    (2026-05-20 19:20:50)
se contrataron 40 licencias por 1 año hasta feb27</t>
      </text>
    </comment>
    <comment authorId="0" ref="I26">
      <text>
        <t xml:space="preserve">======
ID#AAAB8DFxHnQ
silvina.rodriguez    (2026-03-12 14:32:38)
se va a facturar en febrero con la documentación cerrada por Luis</t>
      </text>
    </comment>
    <comment authorId="0" ref="J26">
      <text>
        <t xml:space="preserve">======
ID#AAAB8DFxHqk
silvina.rodriguez    (2026-03-12 14:32:38)
se negocio un 25% de aumento</t>
      </text>
    </comment>
    <comment authorId="0" ref="J53">
      <text>
        <t xml:space="preserve">======
ID#AAAB8DFxHkw
silvina.rodriguez    (2026-03-12 14:32:38)
38 hs</t>
      </text>
    </comment>
    <comment authorId="0" ref="I84">
      <text>
        <t xml:space="preserve">======
ID#AAAB8DFxHqo
silvina.rodriguez    (2026-03-12 14:32:38)
estimación de la provisión
a revisar en febrero</t>
      </text>
    </comment>
    <comment authorId="0" ref="K53">
      <text>
        <t xml:space="preserve">======
ID#AAAB8DFxHnE
silvina.rodriguez    (2026-05-20 19:20:50)
24 hs</t>
      </text>
    </comment>
    <comment authorId="0" ref="J200">
      <text>
        <t xml:space="preserve">======
ID#AAAB8DFxHlA
silvina.rodriguez    (2026-03-12 14:32:38)
cotización rava bursatil 28/02/26</t>
      </text>
    </comment>
    <comment authorId="0" ref="I134">
      <text>
        <t xml:space="preserve">======
ID#AAAB8DFxHmA
silvina.rodriguez    (2026-03-12 14:32:38)
considera el costo hasta diciembre 2026</t>
      </text>
    </comment>
    <comment authorId="0" ref="J35">
      <text>
        <t xml:space="preserve">======
ID#AAAB8DFxHog
None    (2026-05-20 19:20:50)
start up enero y febrero</t>
      </text>
    </comment>
    <comment authorId="0" ref="K64">
      <text>
        <t xml:space="preserve">======
ID#AAAB8DFxHlc
silvina.rodriguez    (2026-05-20 19:20:50)
a partir de abril se suman 2 licencias</t>
      </text>
    </comment>
    <comment authorId="0" ref="AA16">
      <text>
        <t xml:space="preserve">======
ID#AAAB8DFxHoU
silvina.rodriguez    (2025-11-12 14:55:23)
precio= 50% valor trx PAMI
cantidad=5% acumulativo mensual sobre PAMI</t>
      </text>
    </comment>
    <comment authorId="0" ref="D23">
      <text>
        <t xml:space="preserve">======
ID#AAAB8DFxHkU
silvina.rodriguez    (2026-03-12 14:32:38)
son los que se cierran despues del 28/02/2026</t>
      </text>
    </comment>
    <comment authorId="0" ref="L124">
      <text>
        <t xml:space="preserve">======
ID#AAAB8DFxHl4
Lucas Hojman    (2026-05-26 13:04:02)
DOS MESES</t>
      </text>
    </comment>
    <comment authorId="0" ref="J25">
      <text>
        <t xml:space="preserve">======
ID#AAAB8DFxHnM
silvina.rodriguez    (2026-03-12 14:32:38)
en febrero no hay facturación
efecto reversión previ + alta de enero vs facturación real</t>
      </text>
    </comment>
    <comment authorId="0" ref="I23">
      <text>
        <t xml:space="preserve">======
ID#AAAB8DFxHoA
silvina.rodriguez    (2026-03-12 14:32:38)
son los que se cierran despues del 28/02/2026</t>
      </text>
    </comment>
    <comment authorId="0" ref="I118">
      <text>
        <t xml:space="preserve">======
ID#AAAB8DFxHnk
silvina.rodriguez    (2026-03-12 14:32:38)
patente galo y Dani</t>
      </text>
    </comment>
    <comment authorId="0" ref="J23">
      <text>
        <t xml:space="preserve">======
ID#AAAB8DFxHqw
silvina.rodriguez    (2026-03-12 14:32:38)
son los que se cierran despues del 28/02/2026</t>
      </text>
    </comment>
    <comment authorId="0" ref="I182">
      <text>
        <t xml:space="preserve">======
ID#AAAB8DFxHkY
silvina.rodriguez    (2026-03-12 14:32:38)
2.686.117,68 imp de sellos contrato alquiler +
12.622.308 tasa de seg e higiene</t>
      </text>
    </comment>
    <comment authorId="0" ref="J182">
      <text>
        <t xml:space="preserve">======
ID#AAAB8DFxHlw
silvina.rodriguez    (2026-03-12 14:32:38)
Tasa de Seguridad e Higiene Feb 13Millones - 900mil pesos de recupero de imp sellos dueño del piso</t>
      </text>
    </comment>
    <comment authorId="0" ref="K182">
      <text>
        <t xml:space="preserve">======
ID#AAAB8DFxHl0
silvina.rodriguez    (2026-05-20 19:20:50)
TISH</t>
      </text>
    </comment>
    <comment authorId="0" ref="K118">
      <text>
        <t xml:space="preserve">======
ID#AAAB8DFxHmU
silvina.rodriguez    (2026-05-20 19:20:50)
patentes y service 1,676</t>
      </text>
    </comment>
    <comment authorId="0" ref="J85">
      <text>
        <t xml:space="preserve">======
ID#AAAB8DFxHng
silvina.rodriguez    (2026-03-12 14:32:38)
en enero se generó una provisión que duplicó el costo del mes, por lo que se compensa en febrero
costo promedio del mes 3,6 millones $</t>
      </text>
    </comment>
    <comment authorId="0" ref="J149">
      <text>
        <t xml:space="preserve">======
ID#AAAB8DFxHqg
silvina.rodriguez    (2026-03-12 14:32:38)
Emilia Ene-Feb</t>
      </text>
    </comment>
    <comment authorId="0" ref="I178">
      <text>
        <t xml:space="preserve">======
ID#AAAB8DFxHpI
silvina.rodriguez    (2026-03-12 14:32:38)
+192.200.000 intereses prestamos accionistas
-4.456.889,85 resul por tenencia (depreciac del USD)
+50,344,699 intereses FCI</t>
      </text>
    </comment>
    <comment authorId="0" ref="J178">
      <text>
        <t xml:space="preserve">======
ID#AAAB8DFxHmI
silvina.rodriguez    (2026-03-12 14:32:38)
+173.600.000 intereses prestamos accionistas
-13,370,670 resul por tenencia (depreciac del USD)
+58,071,566 resultado FCI</t>
      </text>
    </comment>
    <comment authorId="0" ref="I176">
      <text>
        <t xml:space="preserve">======
ID#AAAB8DFxHok
silvina.rodriguez    (2026-03-12 14:32:38)
LP&amp;A,BGH,Atentus</t>
      </text>
    </comment>
    <comment authorId="0" ref="F77">
      <text>
        <t xml:space="preserve">======
ID#AAAB8DFxHlo
silvina.rodriguez    (2025-11-13 19:04:38)
validar con el negro (validado OK con Norberto por Lucas)</t>
      </text>
    </comment>
    <comment authorId="0" ref="F71">
      <text>
        <t xml:space="preserve">======
ID#AAAB8DFxHkQ
silvina.rodriguez    (2025-11-10 19:29:26)
Amortización año de Alta completo</t>
      </text>
    </comment>
  </commentList>
  <extLst>
    <ext uri="GoogleSheetsCustomDataVersion2">
      <go:sheetsCustomData xmlns:go="http://customooxmlschemas.google.com/" r:id="rId1" roundtripDataSignature="AMtx7mgRPOrQ+1RzG3WGKUIsbHhz64ok/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2">
      <text>
        <t xml:space="preserve">======
ID#AAAB8DFxHn4
silvina.rodriguez    (2025-11-25 12:02:44)
ipc trimestral + performance</t>
      </text>
    </comment>
    <comment authorId="0" ref="H12">
      <text>
        <t xml:space="preserve">======
ID#AAAB8DFxHmo
silvina.rodriguez    (2025-11-25 12:02:44)
ipc trimestral</t>
      </text>
    </comment>
    <comment authorId="0" ref="G11">
      <text>
        <t xml:space="preserve">======
ID#AAAB8DFxHqQ
silvina.rodriguez    (2025-11-25 12:02:44)
ipc trimestral + performance</t>
      </text>
    </comment>
    <comment authorId="0" ref="I12">
      <text>
        <t xml:space="preserve">======
ID#AAAB8DFxHqs
silvina.rodriguez    (2025-11-25 12:02:44)
ipc trimestral</t>
      </text>
    </comment>
    <comment authorId="0" ref="J12">
      <text>
        <t xml:space="preserve">======
ID#AAAB8DFxHqI
silvina.rodriguez    (2025-11-25 12:02:44)
ipc trimestral</t>
      </text>
    </comment>
  </commentList>
  <extLst>
    <ext uri="GoogleSheetsCustomDataVersion2">
      <go:sheetsCustomData xmlns:go="http://customooxmlschemas.google.com/" r:id="rId1" roundtripDataSignature="AMtx7mjeNCip8ZcOz0TAIxQltwETDFhsZ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9">
      <text>
        <t xml:space="preserve">======
ID#AAAB8DFxHlU
silvina.rodriguez    (2025-11-10 19:29:26)
precio= 50% valor trx PAMI</t>
      </text>
    </comment>
  </commentList>
  <extLst>
    <ext uri="GoogleSheetsCustomDataVersion2">
      <go:sheetsCustomData xmlns:go="http://customooxmlschemas.google.com/" r:id="rId1" roundtripDataSignature="AMtx7mh3lFC4SXF46JSmdx9bP89Z6Lfds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6">
      <text>
        <t xml:space="preserve">======
ID#AAAB8DFxHlg
silvina.rodriguez    (2025-11-10 19:29:26)
se considera 1% de incremento sobre base Junio25</t>
      </text>
    </comment>
    <comment authorId="0" ref="M11">
      <text>
        <t xml:space="preserve">======
ID#AAAB8DFxHpU
silvina.rodriguez    (2025-11-10 19:29:26)
se considera 1% de incremento sobre base Junio25</t>
      </text>
    </comment>
    <comment authorId="0" ref="M26">
      <text>
        <t xml:space="preserve">======
ID#AAAB8DFxHno
silvina.rodriguez    (2025-11-10 19:29:26)
se considera 1% de incremento sobre base Junio25</t>
      </text>
    </comment>
    <comment authorId="0" ref="G11">
      <text>
        <t xml:space="preserve">======
ID#AAAB8DFxHmM
silvina.rodriguez    (2025-11-10 19:29:26)
se considera 1% de incremento sobre base Junio25</t>
      </text>
    </comment>
    <comment authorId="0" ref="G26">
      <text>
        <t xml:space="preserve">======
ID#AAAB8DFxHoc
silvina.rodriguez    (2025-11-10 19:29:26)
se considera 1% de incremento sobre base Junio25</t>
      </text>
    </comment>
    <comment authorId="0" ref="J11">
      <text>
        <t xml:space="preserve">======
ID#AAAB8DFxHp0
silvina.rodriguez    (2025-11-10 19:29:26)
se considera 1% de incremento sobre base Junio25</t>
      </text>
    </comment>
  </commentList>
  <extLst>
    <ext uri="GoogleSheetsCustomDataVersion2">
      <go:sheetsCustomData xmlns:go="http://customooxmlschemas.google.com/" r:id="rId1" roundtripDataSignature="AMtx7miq1N72cRXSAD5JAc0aUflQMr9gt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7">
      <text>
        <t xml:space="preserve">======
ID#AAAB8DFxHpk
Raffioni, Lisandro Martin    (2025-11-10 19:29:26)
Valor Dólar BNA 15-10-
2025</t>
      </text>
    </comment>
    <comment authorId="0" ref="D13">
      <text>
        <t xml:space="preserve">======
ID#AAAB8DFxHpo
Raffioni, Lisandro Martin    (2025-11-10 19:29:26)
Se ajusta trimestralmente por IPC CABA, según acuerdo. Valor vigente para Julio, Agosto y Septiembre 2025.</t>
      </text>
    </comment>
    <comment authorId="0" ref="G61">
      <text>
        <t xml:space="preserve">======
ID#AAAB8DFxHmE
silvina.rodriguez    (2025-11-10 19:29:26)
surge del seguimiento de Licha</t>
      </text>
    </comment>
  </commentList>
  <extLst>
    <ext uri="GoogleSheetsCustomDataVersion2">
      <go:sheetsCustomData xmlns:go="http://customooxmlschemas.google.com/" r:id="rId1" roundtripDataSignature="AMtx7mgUIGOYDplC/2kImWkcZKl98tpEqQ=="/>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
ID#AAAB8DFxHls
Raffioni, Lisandro Martin    (2025-11-10 19:29:26)
2200 cupones por caja</t>
      </text>
    </comment>
    <comment authorId="0" ref="B6">
      <text>
        <t xml:space="preserve">======
ID#AAAB8DFxHpw
Raffioni, Lisandro    (2025-11-10 19:29:26)
Ajuste Trimestralmente. Este valor se mantiene Julio, Agosto y Septiembre 2025</t>
      </text>
    </comment>
  </commentList>
  <extLst>
    <ext uri="GoogleSheetsCustomDataVersion2">
      <go:sheetsCustomData xmlns:go="http://customooxmlschemas.google.com/" r:id="rId1" roundtripDataSignature="AMtx7mjIEGey7ClcvIgPTDoWHIvfKOSUoQ=="/>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2">
      <text>
        <t xml:space="preserve">======
ID#AAAB8DFxHnw
silvina.rodriguez    (2025-11-10 19:29:26)
valor hasta 25.000 trxs</t>
      </text>
    </comment>
    <comment authorId="0" ref="C20">
      <text>
        <t xml:space="preserve">======
ID#AAAB8DFxHn8
Raffioni, Lisandro Martin    (2025-11-10 19:29:26)
Valor Dólar BNA 15-10
-25</t>
      </text>
    </comment>
  </commentList>
  <extLst>
    <ext uri="GoogleSheetsCustomDataVersion2">
      <go:sheetsCustomData xmlns:go="http://customooxmlschemas.google.com/" r:id="rId1" roundtripDataSignature="AMtx7mibzBCi1098I0+jfRvXaQ7sIZ7xnQ=="/>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X5">
      <text>
        <t xml:space="preserve">======
ID#AAAB8DFxHm4
silvina.rodriguez    (2025-11-10 19:29:26)
cerrado por Dani Bañares (sin formalizar al 05/11/2025)</t>
      </text>
    </comment>
  </commentList>
  <extLst>
    <ext uri="GoogleSheetsCustomDataVersion2">
      <go:sheetsCustomData xmlns:go="http://customooxmlschemas.google.com/" r:id="rId1" roundtripDataSignature="AMtx7mim5bD4zgBbWr6+3oX/GFrnD9aJ1w=="/>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X85">
      <text>
        <t xml:space="preserve">======
ID#AAAB8DFxHlI
silvina.rodriguez    (2025-11-18 15:22:20)
126$ + ipc trimestral acum (4,6%)</t>
      </text>
    </comment>
    <comment authorId="0" ref="AC25">
      <text>
        <t xml:space="preserve">======
ID#AAAB8DFxHko
silvina.rodriguez    (2025-11-12 16:56:54)
1 a 50,000</t>
      </text>
    </comment>
    <comment authorId="0" ref="Z85">
      <text>
        <t xml:space="preserve">======
ID#AAAB8DFxHo4
silvina.rodriguez    (2025-11-18 15:22:20)
137 (precio sin descuento por ipc trimestral acum 1,046)</t>
      </text>
    </comment>
    <comment authorId="0" ref="AD25">
      <text>
        <t xml:space="preserve">======
ID#AAAB8DFxHpQ
silvina.rodriguez    (2025-11-12 16:56:54)
1 a 50,000</t>
      </text>
    </comment>
    <comment authorId="0" ref="L5">
      <text>
        <t xml:space="preserve">======
ID#AAAB8DFxHmQ
silvina.rodriguez    (2025-11-12 16:56:54)
definido por Licha sobre base sept25</t>
      </text>
    </comment>
    <comment authorId="0" ref="AD85">
      <text>
        <t xml:space="preserve">======
ID#AAAB8DFxHpc
silvina.rodriguez    (2025-11-18 15:22:20)
143 * ipc trimestral (1,046)</t>
      </text>
    </comment>
    <comment authorId="0" ref="N5">
      <text>
        <t xml:space="preserve">======
ID#AAAB8DFxHo8
silvina.rodriguez    (2025-11-12 16:56:54)
definido por Licha sobre base sept25</t>
      </text>
    </comment>
    <comment authorId="0" ref="AI25">
      <text>
        <t xml:space="preserve">======
ID#AAAB8DFxHoQ
silvina.rodriguez    (2025-11-12 16:56:54)
1 a 50,000</t>
      </text>
    </comment>
    <comment authorId="0" ref="AJ25">
      <text>
        <t xml:space="preserve">======
ID#AAAB8DFxHn0
silvina.rodriguez    (2025-11-12 16:56:54)
1 a 50,000</t>
      </text>
    </comment>
    <comment authorId="0" ref="P5">
      <text>
        <t xml:space="preserve">======
ID#AAAB8DFxHow
silvina.rodriguez    (2025-11-12 16:56:54)
definido por Licha sobre base sept25</t>
      </text>
    </comment>
    <comment authorId="0" ref="R5">
      <text>
        <t xml:space="preserve">======
ID#AAAB8DFxHqM
silvina.rodriguez    (2025-11-12 16:56:54)
definido por Licha sobre base sept25</t>
      </text>
    </comment>
    <comment authorId="0" ref="T5">
      <text>
        <t xml:space="preserve">======
ID#AAAB8DFxHoo
silvina.rodriguez    (2025-11-12 16:56:54)
definido por Licha sobre base sept25</t>
      </text>
    </comment>
    <comment authorId="0" ref="V5">
      <text>
        <t xml:space="preserve">======
ID#AAAB8DFxHkc
silvina.rodriguez    (2025-11-12 16:56:54)
definido por Licha sobre base sept25</t>
      </text>
    </comment>
    <comment authorId="0" ref="X5">
      <text>
        <t xml:space="preserve">======
ID#AAAB8DFxHnc
silvina.rodriguez    (2025-11-12 16:56:54)
definido por Licha sobre base sept25</t>
      </text>
    </comment>
    <comment authorId="0" ref="K24">
      <text>
        <t xml:space="preserve">======
ID#AAAB8DFxHlQ
silvina.rodriguez    (2025-11-12 16:56:54)
1 a 50,000</t>
      </text>
    </comment>
    <comment authorId="0" ref="L24">
      <text>
        <t xml:space="preserve">======
ID#AAAB8DFxHnA
silvina.rodriguez    (2025-11-12 16:56:54)
100,001 a 200,000</t>
      </text>
    </comment>
    <comment authorId="0" ref="Z5">
      <text>
        <t xml:space="preserve">======
ID#AAAB8DFxHoI
silvina.rodriguez    (2025-11-12 16:56:54)
definido por Licha sobre base sept25</t>
      </text>
    </comment>
    <comment authorId="0" ref="AB5">
      <text>
        <t xml:space="preserve">======
ID#AAAB8DFxHl8
silvina.rodriguez    (2025-11-12 16:56:54)
definido por Licha sobre base sept25</t>
      </text>
    </comment>
    <comment authorId="0" ref="AD5">
      <text>
        <t xml:space="preserve">======
ID#AAAB8DFxHmw
silvina.rodriguez    (2025-11-12 16:56:54)
definido por Licha sobre base sept25</t>
      </text>
    </comment>
    <comment authorId="0" ref="Q24">
      <text>
        <t xml:space="preserve">======
ID#AAAB8DFxHps
silvina.rodriguez    (2025-11-12 16:56:54)
1 a 50,000</t>
      </text>
    </comment>
    <comment authorId="0" ref="R24">
      <text>
        <t xml:space="preserve">======
ID#AAAB8DFxHnY
silvina.rodriguez    (2025-11-12 16:56:54)
1 a 50,000</t>
      </text>
    </comment>
    <comment authorId="0" ref="AF5">
      <text>
        <t xml:space="preserve">======
ID#AAAB8DFxHpM
silvina.rodriguez    (2025-11-12 16:56:54)
definido por Licha sobre base sept25</t>
      </text>
    </comment>
    <comment authorId="0" ref="AH5">
      <text>
        <t xml:space="preserve">======
ID#AAAB8DFxHpA
silvina.rodriguez    (2025-11-12 16:56:54)
definido por Licha sobre base sept25</t>
      </text>
    </comment>
    <comment authorId="0" ref="AJ5">
      <text>
        <t xml:space="preserve">======
ID#AAAB8DFxHkk
silvina.rodriguez    (2025-11-12 16:56:54)
definido por Licha sobre base sept25</t>
      </text>
    </comment>
    <comment authorId="0" ref="W24">
      <text>
        <t xml:space="preserve">======
ID#AAAB8DFxHlE
silvina.rodriguez    (2025-11-12 16:56:54)
1 a 50,000</t>
      </text>
    </comment>
    <comment authorId="0" ref="X24">
      <text>
        <t xml:space="preserve">======
ID#AAAB8DFxHpE
silvina.rodriguez    (2025-11-12 16:56:54)
1 a 50,000</t>
      </text>
    </comment>
    <comment authorId="0" ref="AL5">
      <text>
        <t xml:space="preserve">======
ID#AAAB8DFxHns
silvina.rodriguez    (2025-11-12 16:56:54)
definido por Licha sobre base sept25</t>
      </text>
    </comment>
    <comment authorId="0" ref="AN5">
      <text>
        <t xml:space="preserve">======
ID#AAAB8DFxHnU
silvina.rodriguez    (2025-11-12 16:56:54)
definido por Licha sobre base sept25</t>
      </text>
    </comment>
    <comment authorId="0" ref="AC24">
      <text>
        <t xml:space="preserve">======
ID#AAAB8DFxHmk
silvina.rodriguez    (2025-11-12 16:56:54)
1 a 50,000</t>
      </text>
    </comment>
    <comment authorId="0" ref="AD24">
      <text>
        <t xml:space="preserve">======
ID#AAAB8DFxHo0
silvina.rodriguez    (2025-11-12 16:56:54)
1 a 50,000</t>
      </text>
    </comment>
    <comment authorId="0" ref="AI24">
      <text>
        <t xml:space="preserve">======
ID#AAAB8DFxHm8
silvina.rodriguez    (2025-11-12 16:56:54)
1 a 50,000</t>
      </text>
    </comment>
    <comment authorId="0" ref="AJ24">
      <text>
        <t xml:space="preserve">======
ID#AAAB8DFxHkg
silvina.rodriguez    (2025-11-12 16:56:54)
1 a 50,000</t>
      </text>
    </comment>
    <comment authorId="0" ref="K25">
      <text>
        <t xml:space="preserve">======
ID#AAAB8DFxHqc
silvina.rodriguez    (2025-11-12 16:56:54)
50,001 a 100,000</t>
      </text>
    </comment>
    <comment authorId="0" ref="L25">
      <text>
        <t xml:space="preserve">======
ID#AAAB8DFxHms
silvina.rodriguez    (2025-11-12 16:56:54)
200,001 a 300,000</t>
      </text>
    </comment>
  </commentList>
  <extLst>
    <ext uri="GoogleSheetsCustomDataVersion2">
      <go:sheetsCustomData xmlns:go="http://customooxmlschemas.google.com/" r:id="rId1" roundtripDataSignature="AMtx7miHE9maesLVy3GEYfu8PbD4oDPkDQ=="/>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ID#AAAB8DFxHqE
lisandro.raffioni    (2025-11-25 12:02:44)
Piloto</t>
      </text>
    </comment>
    <comment authorId="0" ref="E4">
      <text>
        <t xml:space="preserve">======
ID#AAAB8DFxHm0
lisandro.raffioni    (2025-11-25 12:02:44)
Piloto</t>
      </text>
    </comment>
    <comment authorId="0" ref="D3">
      <text>
        <t xml:space="preserve">======
ID#AAAB8DFxHoE
lisandro.raffioni    (2025-11-25 12:02:44)
Piloto</t>
      </text>
    </comment>
    <comment authorId="0" ref="G6">
      <text>
        <t xml:space="preserve">======
ID#AAAB8DFxHpg
lisandro.raffioni    (2025-11-25 12:02:44)
Piloto</t>
      </text>
    </comment>
    <comment authorId="0" ref="E3">
      <text>
        <t xml:space="preserve">======
ID#AAAB8DFxHlY
lisandro.raffioni    (2025-11-25 12:02:44)
Piloto</t>
      </text>
    </comment>
    <comment authorId="0" ref="H6">
      <text>
        <t xml:space="preserve">======
ID#AAAB8DFxHqY
lisandro.raffioni    (2025-11-25 12:02:44)
Piloto</t>
      </text>
    </comment>
    <comment authorId="0" ref="F4">
      <text>
        <t xml:space="preserve">======
ID#AAAB8DFxHk4
lisandro.raffioni    (2025-11-25 12:02:44)
Piloto</t>
      </text>
    </comment>
    <comment authorId="0" ref="F3">
      <text>
        <t xml:space="preserve">======
ID#AAAB8DFxHkM
lisandro.raffioni    (2025-11-25 12:02:44)
Piloto</t>
      </text>
    </comment>
    <comment authorId="0" ref="D18">
      <text>
        <t xml:space="preserve">======
ID#AAAB8DFxHks
lisandro.raffioni    (2025-11-25 12:02:44)
Piloto</t>
      </text>
    </comment>
    <comment authorId="0" ref="G20">
      <text>
        <t xml:space="preserve">======
ID#AAAB8DFxHnI
lisandro.raffioni    (2025-11-25 12:02:44)
Piloto</t>
      </text>
    </comment>
    <comment authorId="0" ref="D17">
      <text>
        <t xml:space="preserve">======
ID#AAAB8DFxHoY
lisandro.raffioni    (2025-11-25 12:02:44)
Piloto</t>
      </text>
    </comment>
    <comment authorId="0" ref="E18">
      <text>
        <t xml:space="preserve">======
ID#AAAB8DFxHk8
lisandro.raffioni    (2025-11-25 12:02:44)
Piloto</t>
      </text>
    </comment>
    <comment authorId="0" ref="E17">
      <text>
        <t xml:space="preserve">======
ID#AAAB8DFxHmY
lisandro.raffioni    (2025-11-25 12:02:44)
Piloto</t>
      </text>
    </comment>
    <comment authorId="0" ref="F18">
      <text>
        <t xml:space="preserve">======
ID#AAAB8DFxHpY
lisandro.raffioni    (2025-11-25 12:02:44)
Piloto</t>
      </text>
    </comment>
    <comment authorId="0" ref="H20">
      <text>
        <t xml:space="preserve">======
ID#AAAB8DFxHk0
lisandro.raffioni    (2025-11-25 12:02:44)
Piloto</t>
      </text>
    </comment>
    <comment authorId="0" ref="F17">
      <text>
        <t xml:space="preserve">======
ID#AAAB8DFxHmg
lisandro.raffioni    (2025-11-25 12:02:44)
Piloto</t>
      </text>
    </comment>
  </commentList>
  <extLst>
    <ext uri="GoogleSheetsCustomDataVersion2">
      <go:sheetsCustomData xmlns:go="http://customooxmlschemas.google.com/" r:id="rId1" roundtripDataSignature="AMtx7mhiVPkAw4x+K+1nEsyEfaPXSx9fGw=="/>
    </ext>
  </extLst>
</comments>
</file>

<file path=xl/sharedStrings.xml><?xml version="1.0" encoding="utf-8"?>
<sst xmlns="http://schemas.openxmlformats.org/spreadsheetml/2006/main" count="7820" uniqueCount="2005">
  <si>
    <t>REAL</t>
  </si>
  <si>
    <t>BDGT 2026</t>
  </si>
  <si>
    <t>GAP</t>
  </si>
  <si>
    <t>Acum Abr</t>
  </si>
  <si>
    <t>Ene-26</t>
  </si>
  <si>
    <t>Abr-26</t>
  </si>
  <si>
    <t>FY 2026</t>
  </si>
  <si>
    <t xml:space="preserve">Ingresos por Venta de Servicios           </t>
  </si>
  <si>
    <t>Clientes</t>
  </si>
  <si>
    <t>Farmacias</t>
  </si>
  <si>
    <t>Farmalink On Line Prepagas</t>
  </si>
  <si>
    <t>Farmalink On Line Apross</t>
  </si>
  <si>
    <t>Farmalink  On Line IOMA</t>
  </si>
  <si>
    <t>Farmalink Receta Electronica Prepagas</t>
  </si>
  <si>
    <t>Farmalink Receta Electronica Apross</t>
  </si>
  <si>
    <t>Farmalink Receta Electronica IOMA</t>
  </si>
  <si>
    <t>Farmalink On Line PAMI</t>
  </si>
  <si>
    <t>Farmalink On Line PAMI Imposiciones</t>
  </si>
  <si>
    <t>Farmalink Presentaciones Digitales</t>
  </si>
  <si>
    <t>Provincia A.R.T. S.A.</t>
  </si>
  <si>
    <t>Laboratorios</t>
  </si>
  <si>
    <t>Astrazeneca S.A.</t>
  </si>
  <si>
    <t>Avanter S.R.L</t>
  </si>
  <si>
    <t>viejos labos</t>
  </si>
  <si>
    <t>nuevos labos</t>
  </si>
  <si>
    <t>Bayer Argentina S.A.</t>
  </si>
  <si>
    <t>Ceoderma S.A.</t>
  </si>
  <si>
    <t>Iqvia Solutions Argentina</t>
  </si>
  <si>
    <t>Max Vision</t>
  </si>
  <si>
    <t>Panalab Argentina  S.A.</t>
  </si>
  <si>
    <t>Manual</t>
  </si>
  <si>
    <t>Digital</t>
  </si>
  <si>
    <t>Sidus Dermocosmética S.A</t>
  </si>
  <si>
    <t>Sidus S.A.</t>
  </si>
  <si>
    <t>Unyc S.A.</t>
  </si>
  <si>
    <t>HEALTHCARE MARKETING GROUP S</t>
  </si>
  <si>
    <t>Colgate palmolive</t>
  </si>
  <si>
    <t>Nuevos labos - LAZAR</t>
  </si>
  <si>
    <t>Medicina</t>
  </si>
  <si>
    <t>Obra Social de la Act. de Seguro</t>
  </si>
  <si>
    <t>Subtotal Ingresos</t>
  </si>
  <si>
    <t>IIBB</t>
  </si>
  <si>
    <t>Total Ingresos Netos</t>
  </si>
  <si>
    <t>incremento de la facturación vs la esperada en Bdgt</t>
  </si>
  <si>
    <t>Categoría P&amp;L</t>
  </si>
  <si>
    <t>Egresos</t>
  </si>
  <si>
    <t>Proveedores</t>
  </si>
  <si>
    <t>Rubro</t>
  </si>
  <si>
    <t>Descripción</t>
  </si>
  <si>
    <t>Desarrollo</t>
  </si>
  <si>
    <t>Acriter</t>
  </si>
  <si>
    <t>Manten. Licencias Abi</t>
  </si>
  <si>
    <t>Cost of sales</t>
  </si>
  <si>
    <t>Desarrollo .Net (80 Horas)</t>
  </si>
  <si>
    <t>Professional Fees</t>
  </si>
  <si>
    <t>Reserv (Fijo)</t>
  </si>
  <si>
    <t>Programador .NET (170 Hs)</t>
  </si>
  <si>
    <t>Programador JAVA  (170 Hs)</t>
  </si>
  <si>
    <t>Q&amp;A (40 Hs)</t>
  </si>
  <si>
    <t>Analista Líder (20 Hs)</t>
  </si>
  <si>
    <t>Reserv (Variable)</t>
  </si>
  <si>
    <t>Variable pool hs (60)</t>
  </si>
  <si>
    <t>2 Lic ABI PAMI (amort mensual)</t>
  </si>
  <si>
    <t>Depreciation</t>
  </si>
  <si>
    <t>Cloud</t>
  </si>
  <si>
    <t>Servicios Plataforma</t>
  </si>
  <si>
    <t>Alfabeta</t>
  </si>
  <si>
    <t>Manual Farmaceutico</t>
  </si>
  <si>
    <t>Atentus</t>
  </si>
  <si>
    <t>Servicio de Monitoreo Web</t>
  </si>
  <si>
    <t>BGH Partner (Aeros)</t>
  </si>
  <si>
    <t>Susc Lic Google Mens</t>
  </si>
  <si>
    <t>LP&amp;A (IBM)</t>
  </si>
  <si>
    <t>Asessment s/BD Informix (40Hs)</t>
  </si>
  <si>
    <t>LP&amp;A (Licenc. Informix)</t>
  </si>
  <si>
    <t>Soporte y Mant de las Licencias Informix Anual (12 M)</t>
  </si>
  <si>
    <t>Intertron</t>
  </si>
  <si>
    <t>Suscripción 2 Lic Visio + 28 Lic microsoft 365 + 1 Power BI</t>
  </si>
  <si>
    <t>Nexsys</t>
  </si>
  <si>
    <t>Producto CDC (data replication)</t>
  </si>
  <si>
    <t>Claude (Anthropic)</t>
  </si>
  <si>
    <t>Suscripción Mensual</t>
  </si>
  <si>
    <t>SIGEDAD (Lanmed)</t>
  </si>
  <si>
    <t>Servicio de captura transaccional</t>
  </si>
  <si>
    <t>a definir</t>
  </si>
  <si>
    <t>Desarrollo de Agentes</t>
  </si>
  <si>
    <t>ADOBE</t>
  </si>
  <si>
    <t>Licencia</t>
  </si>
  <si>
    <t>Servidores</t>
  </si>
  <si>
    <t>Servidores Lenovo</t>
  </si>
  <si>
    <t>Amortización (5 años)</t>
  </si>
  <si>
    <t>Servicios Plataforma Clouhesive</t>
  </si>
  <si>
    <t>Clouheside (DRS)</t>
  </si>
  <si>
    <t>Servicios Plataforma Clou</t>
  </si>
  <si>
    <t>Implementación 3er sitio</t>
  </si>
  <si>
    <t>Soporte Operativo</t>
  </si>
  <si>
    <t>Bapro</t>
  </si>
  <si>
    <t>Call Center (Operadores)</t>
  </si>
  <si>
    <t>IT FACTORY S.R.L</t>
  </si>
  <si>
    <t>Susc Anual Asist Remota Team Viewer</t>
  </si>
  <si>
    <t>Logisis</t>
  </si>
  <si>
    <t>CRM Contact Center (15 Licencias)</t>
  </si>
  <si>
    <t>Call Center Presentac Digitales</t>
  </si>
  <si>
    <t>Proyectos</t>
  </si>
  <si>
    <t>Avanter</t>
  </si>
  <si>
    <t>Astra-Sidus-Panalab-Biu</t>
  </si>
  <si>
    <t>Servicio CRM</t>
  </si>
  <si>
    <t>Indicom</t>
  </si>
  <si>
    <t>Astrazenaca</t>
  </si>
  <si>
    <t>Call Center</t>
  </si>
  <si>
    <t>Swhouse y Farmacias</t>
  </si>
  <si>
    <t>Iqvia</t>
  </si>
  <si>
    <t>Serv de capt y envio de Trx</t>
  </si>
  <si>
    <t>Serdata</t>
  </si>
  <si>
    <t>Panalab</t>
  </si>
  <si>
    <t>Proc de Bonos Manuales</t>
  </si>
  <si>
    <t>Ageri</t>
  </si>
  <si>
    <t>Desarrollo Token</t>
  </si>
  <si>
    <t>BZ</t>
  </si>
  <si>
    <t>Bizland TSA Original</t>
  </si>
  <si>
    <t>Manten y Soporte Plataforma</t>
  </si>
  <si>
    <t>Bizland TSA Deveng 2025</t>
  </si>
  <si>
    <t>Deveng One Shots 2025</t>
  </si>
  <si>
    <t>Bizland TSA Deveng 2026</t>
  </si>
  <si>
    <t>Deveng One Shots 2026</t>
  </si>
  <si>
    <t>Admin, Legales y Otros</t>
  </si>
  <si>
    <t>La Meridional Seguros</t>
  </si>
  <si>
    <t>Legales</t>
  </si>
  <si>
    <t>Seguro Directores y Apoderados</t>
  </si>
  <si>
    <t xml:space="preserve">Estudio Contable </t>
  </si>
  <si>
    <t>Administrativos</t>
  </si>
  <si>
    <t>Servicios Profesionales</t>
  </si>
  <si>
    <t>Estudio Legal</t>
  </si>
  <si>
    <t>Colppy</t>
  </si>
  <si>
    <t>Sistema de Gestión Contable</t>
  </si>
  <si>
    <t>Escribania Barcia/Arronda</t>
  </si>
  <si>
    <t>Copiado libros contables</t>
  </si>
  <si>
    <t>DocuSign</t>
  </si>
  <si>
    <t>Suscripción firma digital</t>
  </si>
  <si>
    <t>LSD</t>
  </si>
  <si>
    <t>Libros Sueldos Digital</t>
  </si>
  <si>
    <t>Other taxes</t>
  </si>
  <si>
    <t>Fragulia Cristina</t>
  </si>
  <si>
    <t>Tramite Habilitación Municipalidad Vte Lopez</t>
  </si>
  <si>
    <t>Envio Veloz</t>
  </si>
  <si>
    <t>Servicio de Moto</t>
  </si>
  <si>
    <t>NIC ARGENTINA</t>
  </si>
  <si>
    <t>Renovación de dominio</t>
  </si>
  <si>
    <t>Personal</t>
  </si>
  <si>
    <t>Sueldos Brutos y Cs Sociales</t>
  </si>
  <si>
    <t>5411-5412</t>
  </si>
  <si>
    <t>Sueldos (nomina actual Oct25)</t>
  </si>
  <si>
    <t>Salaries&amp;Social Security</t>
  </si>
  <si>
    <t>SAC (incl Cs Soc)</t>
  </si>
  <si>
    <t>Bonos  (incl sac y cs soc)</t>
  </si>
  <si>
    <t>Vacaciones (incl cs soc)</t>
  </si>
  <si>
    <t>Swiss Medical</t>
  </si>
  <si>
    <t>Osde</t>
  </si>
  <si>
    <t>Sueldos Brut y Cs Soc Nuevos</t>
  </si>
  <si>
    <t>Nuevos Recursos + 3</t>
  </si>
  <si>
    <t>BarrereJuliana - Natalia (RRHH)</t>
  </si>
  <si>
    <t xml:space="preserve">Honorarios administrativos    </t>
  </si>
  <si>
    <t>Edenred (Ticket Car)</t>
  </si>
  <si>
    <t>Ticket Car</t>
  </si>
  <si>
    <t>Visma Argentina (Tu recibo)</t>
  </si>
  <si>
    <t>ARAKIM- MENDEL</t>
  </si>
  <si>
    <t>Gs Administrativos Mantenimiento TC</t>
  </si>
  <si>
    <t>Rendiciones de Gs Personal</t>
  </si>
  <si>
    <t>Rendiciones de Gs Personal y patentes</t>
  </si>
  <si>
    <t>Gastos de Representación (TC)</t>
  </si>
  <si>
    <t>Almuerzos,  Varios</t>
  </si>
  <si>
    <t>Megah SRL</t>
  </si>
  <si>
    <t>Preocupacional</t>
  </si>
  <si>
    <t>JARIF S.A.</t>
  </si>
  <si>
    <t>Recruiting</t>
  </si>
  <si>
    <t>Zurich (Marsh)</t>
  </si>
  <si>
    <t>Seguro Automoviles (GM-DB)</t>
  </si>
  <si>
    <t>Santiago Latorre</t>
  </si>
  <si>
    <t>Honorarios</t>
  </si>
  <si>
    <t>Ezequiel Padilla</t>
  </si>
  <si>
    <t>Personal Extraordinario</t>
  </si>
  <si>
    <t>Indemnización</t>
  </si>
  <si>
    <t>Oficina</t>
  </si>
  <si>
    <t>Grupo Doble MF</t>
  </si>
  <si>
    <t>Alquiler  Oficina</t>
  </si>
  <si>
    <t>Office&amp;office related</t>
  </si>
  <si>
    <t>Madison</t>
  </si>
  <si>
    <t>Expensas Oficina</t>
  </si>
  <si>
    <t>ABL/ARBA</t>
  </si>
  <si>
    <t>Municipalidad</t>
  </si>
  <si>
    <t>Edenor</t>
  </si>
  <si>
    <t>Servicio de Luz</t>
  </si>
  <si>
    <t>Metrotel (CPS Comunic)</t>
  </si>
  <si>
    <t>Internet Oficina (1)</t>
  </si>
  <si>
    <t>Federación Patronal</t>
  </si>
  <si>
    <t>Seguro Incendio Edif</t>
  </si>
  <si>
    <t>Claro (AMX ARG S.A.)</t>
  </si>
  <si>
    <t>Internet Oficina (2)</t>
  </si>
  <si>
    <t>Argontech</t>
  </si>
  <si>
    <t>Alquiler impresora</t>
  </si>
  <si>
    <t>Insumos Varios</t>
  </si>
  <si>
    <t xml:space="preserve">Insumos Oficina </t>
  </si>
  <si>
    <t>ZHUO</t>
  </si>
  <si>
    <t>Servicio Dispenser Mensual</t>
  </si>
  <si>
    <t>Oportutek/Damarfu/La Solida</t>
  </si>
  <si>
    <t>Notebooks</t>
  </si>
  <si>
    <t>Proveedor celulares</t>
  </si>
  <si>
    <t>Celulares</t>
  </si>
  <si>
    <t>Seccuracy</t>
  </si>
  <si>
    <t>cursos seguridad de la información para el personal</t>
  </si>
  <si>
    <t xml:space="preserve">Proveedor notebooks y monitores </t>
  </si>
  <si>
    <t>Notebooks y Monitores</t>
  </si>
  <si>
    <t>Fiesta Fin de AÑO + Regalos</t>
  </si>
  <si>
    <t>Encuentros del personal</t>
  </si>
  <si>
    <t>arreglos y mejoras oficina</t>
  </si>
  <si>
    <t>AA Mantenimiento</t>
  </si>
  <si>
    <t>Arreglo AA (Sotille)</t>
  </si>
  <si>
    <t>Garantor</t>
  </si>
  <si>
    <t xml:space="preserve">Devengamiento Mensual </t>
  </si>
  <si>
    <t>ORG.ACUARIO</t>
  </si>
  <si>
    <t>Matafuegos y Cartelería (requisito para habilitación)</t>
  </si>
  <si>
    <t>Heuer</t>
  </si>
  <si>
    <t>5418</t>
  </si>
  <si>
    <t>Electricista</t>
  </si>
  <si>
    <t>Valenzuela Emilia</t>
  </si>
  <si>
    <t>Limpieza Oficina</t>
  </si>
  <si>
    <t>Gastos de Organización</t>
  </si>
  <si>
    <t>Impuesto al débito y al crédito</t>
  </si>
  <si>
    <t xml:space="preserve">Otros Gastos </t>
  </si>
  <si>
    <t>Comercialización</t>
  </si>
  <si>
    <t>Cloud Hesive</t>
  </si>
  <si>
    <t>Uso de la plataforma (Amazon)</t>
  </si>
  <si>
    <t>Verificación de integridad</t>
  </si>
  <si>
    <t>Netactis</t>
  </si>
  <si>
    <t>Soporte Técnico Notebooks</t>
  </si>
  <si>
    <t>Antivirus Notebooks</t>
  </si>
  <si>
    <t>Agencia Digital</t>
  </si>
  <si>
    <t>Abono Mensual</t>
  </si>
  <si>
    <t>Management</t>
  </si>
  <si>
    <t>15.000USD</t>
  </si>
  <si>
    <t>Riesgo Técnico</t>
  </si>
  <si>
    <t>no se generó provisión</t>
  </si>
  <si>
    <t>Total Egresos Operativos</t>
  </si>
  <si>
    <t>reducción del gasto vs el esperado en Bdgt</t>
  </si>
  <si>
    <t>% crecim.</t>
  </si>
  <si>
    <t>Resultado</t>
  </si>
  <si>
    <t>crecimiento del resultado vs el esperado en Bdgt</t>
  </si>
  <si>
    <t>%</t>
  </si>
  <si>
    <t>Gastos Bancarios</t>
  </si>
  <si>
    <t>other income</t>
  </si>
  <si>
    <t>Exchange rate differences</t>
  </si>
  <si>
    <t>Financing activities</t>
  </si>
  <si>
    <t>5122-5123-5125</t>
  </si>
  <si>
    <t>Interest</t>
  </si>
  <si>
    <t>5126-5711</t>
  </si>
  <si>
    <t>Other Taxes</t>
  </si>
  <si>
    <t>Income Tax</t>
  </si>
  <si>
    <t>Total de Otros Egresos</t>
  </si>
  <si>
    <t>Total de Egresos</t>
  </si>
  <si>
    <t>Ventas sin Pami, Imposic ni Present Digitales neto IIBB</t>
  </si>
  <si>
    <t>sept</t>
  </si>
  <si>
    <t>oct</t>
  </si>
  <si>
    <t>nov</t>
  </si>
  <si>
    <t>dic</t>
  </si>
  <si>
    <t>Costos sin Frontier ni Osana, sin Riesgo Técnico ni depreciaciones</t>
  </si>
  <si>
    <t>IPC</t>
  </si>
  <si>
    <t>Acumulada</t>
  </si>
  <si>
    <t>Trimestral</t>
  </si>
  <si>
    <t>Convenio Comercio</t>
  </si>
  <si>
    <t>Dólar Mep</t>
  </si>
  <si>
    <t>Dólar Oficinal (BNA)</t>
  </si>
  <si>
    <t>Ventas sin Pami (netas IIBB)</t>
  </si>
  <si>
    <t>VARIABLES (definidas por IA en Dic25</t>
  </si>
  <si>
    <t>Costos sin Frontier</t>
  </si>
  <si>
    <t>IPC mensual</t>
  </si>
  <si>
    <t>Margen Operativo</t>
  </si>
  <si>
    <t>actualizac Dolar</t>
  </si>
  <si>
    <t>Depreciaciones</t>
  </si>
  <si>
    <t>dolar BNA Enero 2026</t>
  </si>
  <si>
    <t>Otros egresos</t>
  </si>
  <si>
    <t>Dolar Mep Enero 2026</t>
  </si>
  <si>
    <t>2,5% arriba del BNA</t>
  </si>
  <si>
    <t>Margen Neto</t>
  </si>
  <si>
    <t>se suman al costo que nos factura Frontier (por definición de IA)</t>
  </si>
  <si>
    <t>continua</t>
  </si>
  <si>
    <t>a revisar con Ignacio</t>
  </si>
  <si>
    <t>nuevo a definir por IA</t>
  </si>
  <si>
    <t>CALCULO IMPUESTO AL DEBITO Y CRÉDITO BANCARIO</t>
  </si>
  <si>
    <t>Ingresos</t>
  </si>
  <si>
    <t>Subtotal</t>
  </si>
  <si>
    <t xml:space="preserve"> (para cálculo Imp Deb y Cred Banc) TOTAL</t>
  </si>
  <si>
    <t>COSTO (66%)</t>
  </si>
  <si>
    <t>El 33% se puede tomar como pago a cuenta de Anticipo de Gcias</t>
  </si>
  <si>
    <t>SE CAE EL 30/04/2026 EL CERT MIPYME</t>
  </si>
  <si>
    <t>inflación interanual estimada</t>
  </si>
  <si>
    <t>inflación interanual pres. Estado Nacional</t>
  </si>
  <si>
    <t>TRAZABILIDAD — GOLD ECONÓMICO 2026 (Ene-Abr)</t>
  </si>
  <si>
    <t>Ingresá la fila y el mes para filtrar los movimientos del Mayor</t>
  </si>
  <si>
    <t>Fila Gold →</t>
  </si>
  <si>
    <t>Mes →</t>
  </si>
  <si>
    <t>Abr</t>
  </si>
  <si>
    <t>Concepto:</t>
  </si>
  <si>
    <t>Valor Gold:</t>
  </si>
  <si>
    <t>Mes</t>
  </si>
  <si>
    <t>Concepto Gold</t>
  </si>
  <si>
    <t>Cód</t>
  </si>
  <si>
    <t>Detalle</t>
  </si>
  <si>
    <t>Débito</t>
  </si>
  <si>
    <t>Crédito</t>
  </si>
  <si>
    <t>Neto Mayor</t>
  </si>
  <si>
    <t>Valor Gold</t>
  </si>
  <si>
    <t>Diferencia</t>
  </si>
  <si>
    <t>Ene</t>
  </si>
  <si>
    <t>5111</t>
  </si>
  <si>
    <t>Farmalink S.A.</t>
  </si>
  <si>
    <t>Servicio Basico Online PREPAGAS - Noviembre 2025</t>
  </si>
  <si>
    <t>Disolución Previsión  dic25  FLK Prepagas On Line</t>
  </si>
  <si>
    <t>Disolución Previsión  nov25  FLK Prepagas On Line</t>
  </si>
  <si>
    <t>Constitución Previsión  dic25  FLK Prepagas On Line</t>
  </si>
  <si>
    <t>Constitución Previsión  ene26  FLK Prepagas On Line</t>
  </si>
  <si>
    <t>TOTAL</t>
  </si>
  <si>
    <t>Neto Mayor vs Valor Gold</t>
  </si>
  <si>
    <t>Servicio Basico Online APROSS - Noviembre 2025</t>
  </si>
  <si>
    <t>Disolución Previsión  nov25  FLK Apross On Line</t>
  </si>
  <si>
    <t>Disolución Previsión  dic25  FLK Apross On Line</t>
  </si>
  <si>
    <t>Constitución Previsión  dic25  FLK Apross On Line</t>
  </si>
  <si>
    <t>Constitución Previsión  ene26  FLK Apross On Line</t>
  </si>
  <si>
    <t>Servicio Basico Online IOMA - Noviembre 2025</t>
  </si>
  <si>
    <t>Disolución Previsión  nov25  FLK IOMA On Line</t>
  </si>
  <si>
    <t>Disolución Previsión  dic25  FLK IOMA On Line</t>
  </si>
  <si>
    <t>Constitución Previsión  dic25  FLK IOMA On Line</t>
  </si>
  <si>
    <t>Constitución Previsión  ene26  FLK IOMA On Line</t>
  </si>
  <si>
    <t>Servicio Basico Online - RECETA ELECTRONICA - PREPAGAS - Noviembre 2025</t>
  </si>
  <si>
    <t>Disolución Previsión  dic25  FLK Prepagas Receta Electronica On Line</t>
  </si>
  <si>
    <t>Disolución Previsión  nov25  FLK Prepagas Receta Electronica On Line</t>
  </si>
  <si>
    <t>Constitución Previsión  dic25  FLK Prepagas Receta Electronica On Line</t>
  </si>
  <si>
    <t>Constitución Previsión  ene26  FLK Prepagas Receta Electronica On Line</t>
  </si>
  <si>
    <t>Servicio Basico Online - RECETA ELECTRONICA - APROSS - Noviembre 2025</t>
  </si>
  <si>
    <t>Disolución Previsión  nov25  FLK Apross  Receta Electronica On Line</t>
  </si>
  <si>
    <t>Disolución Previsión  dic25  FLK Apross  Receta Electronica On Line</t>
  </si>
  <si>
    <t>Constitución Previsión  dic25  FLK Apross  Receta Electronica On Line</t>
  </si>
  <si>
    <t>Constitución Previsión  ene26  FLK Apross  Receta Electronica On Line</t>
  </si>
  <si>
    <t>Servicio Basico Online - RECETA ELECTRONICA - IOMA - Noviembre 2025</t>
  </si>
  <si>
    <t>Disolución Previsión  nov25  FLK IOMA  Receta Electronica On Line</t>
  </si>
  <si>
    <t>Disolución Previsión  dic25  FLK IOMA  Receta Electronica On Line</t>
  </si>
  <si>
    <t>Constitución Previsión  dic25  FLK IOMA  Receta Electronica On Line</t>
  </si>
  <si>
    <t>Constitución Previsión  ene26  FLK IOMA  Receta Electronica On Line</t>
  </si>
  <si>
    <t>Servicio Básico On Line - PAMI - Noviembre 2025</t>
  </si>
  <si>
    <t>Disolución Previsión  dic25  FLK PAMI On Line</t>
  </si>
  <si>
    <t>Disolución Previsión  nov25  FLK PAMI On Line</t>
  </si>
  <si>
    <t>Constitución Previsión  dic25  FLK PAMI On Line</t>
  </si>
  <si>
    <t>Constitución Previsión  ene26  FLK PAMI On Line</t>
  </si>
  <si>
    <t>Servicio Básico On Line - PAMI Imposiciones  - Noviembre 2025</t>
  </si>
  <si>
    <t>Disolución Previsión  nov25  FLK PAMI Imposiciones On Line</t>
  </si>
  <si>
    <t>Disolución Previsión  dic25  FLK PAMI Imposiciones On Line</t>
  </si>
  <si>
    <t>Constitución Previsión  dic25  FLK PAMI Imposiciones On Line</t>
  </si>
  <si>
    <t>Constitución Previsión  ene26  FLK PAMI Imposiciones On Line</t>
  </si>
  <si>
    <t>Servicio de Validación en Linea - Diciembre 2025  OC 22420</t>
  </si>
  <si>
    <t>Disolución Previsión  dic25  Pcia ART</t>
  </si>
  <si>
    <t>Constitución Previsión  ene26  Pcia ART</t>
  </si>
  <si>
    <t>Programa Elegir Salud - Diciembre 2025 OC 4550042040  PRID  KQCV952</t>
  </si>
  <si>
    <t>Disolución Previsión  dic25  Astrazeneca</t>
  </si>
  <si>
    <t>Constitución Previsión  ene26  Astrazeneca</t>
  </si>
  <si>
    <t>Servicio Transaccional Bonos Diciembre 2025</t>
  </si>
  <si>
    <t>Servicio Transaccional Dinámicas Diciembre 2025</t>
  </si>
  <si>
    <t>Serv Progr de Pacientes Diciembre 2025</t>
  </si>
  <si>
    <t>Disolución Previsión  dic25  Avanter</t>
  </si>
  <si>
    <t>Constitución Previsión  ene26  Avanter</t>
  </si>
  <si>
    <t>Programa Mas Simple Bayer - Diciembre 2025 - Pedido 750536559</t>
  </si>
  <si>
    <t>Disolución Previsión  dic25 Bayer Argentina S.A.</t>
  </si>
  <si>
    <t>Constitución Previsión  ene26 Bayer Argentina S.A.</t>
  </si>
  <si>
    <t>Servicio trx de acciones comerciales en farmacias Diciembre 2025</t>
  </si>
  <si>
    <t>Disolución Previsión  dic25  Ceoderma S.A. (Dermacare S.A)</t>
  </si>
  <si>
    <t>Constitución Previsión  ene26  Ceoderma S.A. (Dermacare S.A)</t>
  </si>
  <si>
    <t>Max Vision SRL</t>
  </si>
  <si>
    <t>Servicio de Validación en linea de Bonos - Diciembre 2025</t>
  </si>
  <si>
    <t>Disolución Previsión  dic25  Max Vision SRL</t>
  </si>
  <si>
    <t>Constitución Previsión  ene26  Max Vision SRL</t>
  </si>
  <si>
    <t>Serv de Proc de Bonos de Descuento Manual - Diciembre 2025 OC  18719</t>
  </si>
  <si>
    <t>Serv de Generac y Autoriz de Dispensa de Bonos Digitales - Diciembre 2025 OC 18719</t>
  </si>
  <si>
    <t>Disolución Previsión  dic25  Panalab</t>
  </si>
  <si>
    <t>Constitución Previsión  ene26  Panalab</t>
  </si>
  <si>
    <t>Servicio de Validación de TRX - Diciembre 2025 OC 34193</t>
  </si>
  <si>
    <t>Disolución Previsión dic25  Sidus Dermocosmetica</t>
  </si>
  <si>
    <t>Constitución Previsión ene26  Sidus Dermocosmetica</t>
  </si>
  <si>
    <t>Servicio de Validación en linea de Bonos Programa Convida Diciembre 2025</t>
  </si>
  <si>
    <t>Disolución Previsión  dic25  Sidus S.A.</t>
  </si>
  <si>
    <t>Constitución Previsión  ene26  Sidus S.A.</t>
  </si>
  <si>
    <t>Unyc S. A.</t>
  </si>
  <si>
    <t>Biu Cosmeceuticals Bonos - Diciembre 2025</t>
  </si>
  <si>
    <t>Disolución Previsión  dic25  Unyc S. A.</t>
  </si>
  <si>
    <t>Constitución Previsión  ene26  Unyc S. A.</t>
  </si>
  <si>
    <t>Validación On Line Bonos Digitales - Diciembre 2025</t>
  </si>
  <si>
    <t>Disolución Previsión dic25  Healthcare Marketing Group S.A.</t>
  </si>
  <si>
    <t>Constitución Previsión ene26  Healthcare Marketing Group S.A.</t>
  </si>
  <si>
    <t>COLGATE PALMOLIVE ARGENTINA</t>
  </si>
  <si>
    <t>Servicio de Validación de TRX - Diciembre 2025 OC 8500864937</t>
  </si>
  <si>
    <t>Disolución Previsión dic25  Colgate Palmolive Argentina S.A.</t>
  </si>
  <si>
    <t>Constitución Previsión ene26  Colgate Palmolive Argentina S.A.</t>
  </si>
  <si>
    <t>Obra Social de la Actividad</t>
  </si>
  <si>
    <t>Servicio Diciembre 2025 Abono básico hasta 70.000 trs  Ref. N°: 8000263771/6</t>
  </si>
  <si>
    <t>Disolución Previsión  dic25  Obra Social de la Act. de Seguro</t>
  </si>
  <si>
    <t>Constitución Previsión  ene26  Obra Social de la Act. de Seguro</t>
  </si>
  <si>
    <t>5612</t>
  </si>
  <si>
    <t>Prov. IIBB 2026-01</t>
  </si>
  <si>
    <t>5215</t>
  </si>
  <si>
    <t>ACRITER S.A.</t>
  </si>
  <si>
    <t>Licencias ABI 01 2026</t>
  </si>
  <si>
    <t>AJUSTE DIF CAMBIO T DTO - FC 1030</t>
  </si>
  <si>
    <t>5214</t>
  </si>
  <si>
    <t>Mant Aplicaciones 01 2026</t>
  </si>
  <si>
    <t>PAGO EN TERMINO FC 1031</t>
  </si>
  <si>
    <t>REVERSION PROV.FACT.NO REC AL 31-12-25 - RESERV</t>
  </si>
  <si>
    <t>RESERV S R L</t>
  </si>
  <si>
    <t>DIFERENCIA DE PAGO 06-01-2026</t>
  </si>
  <si>
    <t>Horas adicionales periodo diciembre 2025</t>
  </si>
  <si>
    <t>Abono mensual periodo diciembre 2025</t>
  </si>
  <si>
    <t>PROV.FACT.NO RECIB.AL 31-01-26 - RESERV</t>
  </si>
  <si>
    <t>5514</t>
  </si>
  <si>
    <t>LIC.ABI CUOTA 1 - DEV.AMORTIZ.ENE26</t>
  </si>
  <si>
    <t>LIC.ABI CUOTA 2 - DEV.AMORTIZ.ENE26</t>
  </si>
  <si>
    <t>LIC.ABI CUOTA 3 - DEV.AMORTIZ.ENE26</t>
  </si>
  <si>
    <t>5213</t>
  </si>
  <si>
    <t>ALFA BETA SISTEMAS S A</t>
  </si>
  <si>
    <t>MANUAL FARMACEUTICO - ENE26</t>
  </si>
  <si>
    <t>5218</t>
  </si>
  <si>
    <t>TRX IQVIA - NOV25</t>
  </si>
  <si>
    <t>TRX IQVIA - DIC 25</t>
  </si>
  <si>
    <t>ATENTUS ARGENTINA S.A</t>
  </si>
  <si>
    <t>SERV.MONITOREO - ENERO 2026</t>
  </si>
  <si>
    <t>REVERSION PROV.FACT.NO REC AL 31-12-25 - BGH PARTNER</t>
  </si>
  <si>
    <t>PROV.FACT.NO RECIB.AL 31-01-26 - BGH PARTNER</t>
  </si>
  <si>
    <t>REVERSION PROV.FACT.NO REC AL 31-12-25 - INTERTRON</t>
  </si>
  <si>
    <t>INTERTRON S.A.</t>
  </si>
  <si>
    <t>LIC OFFICE - ENE26 - CUOTA 2/12</t>
  </si>
  <si>
    <t>NEXSYS ARGENTINA SOCIEDAD AN</t>
  </si>
  <si>
    <t>LICENCIAS OFFICE - INTERTRON</t>
  </si>
  <si>
    <t>PROV.FACT.NO RECIB.AL 31-01-26 - INTERTRON</t>
  </si>
  <si>
    <t>Otro Pago</t>
  </si>
  <si>
    <t>ANTHROPIC - CLAUDE TEAM</t>
  </si>
  <si>
    <t>ANTHROPIC - FC 0010 - U$S 21,38 $1.494,30</t>
  </si>
  <si>
    <t>ANTHROPIC - FC 0011 - U$S 15,43 $1.494,30</t>
  </si>
  <si>
    <t>ANTHROPIC - FC 0012 - U$S 15,43 $1.494,30</t>
  </si>
  <si>
    <t>ADOBE - SUSCRIP MENSUAL</t>
  </si>
  <si>
    <t>5516</t>
  </si>
  <si>
    <t>DEVENG.ENE26-SERVIDORES LENOVO BZ CPA 06-08-25</t>
  </si>
  <si>
    <t>DEVENG ENE26-SWITCHES CATALYST BZ CPA 06-08-25</t>
  </si>
  <si>
    <t>DEVENG.ENE26-CABLES P/DC Y BAKCUP BZ CPA 06-08-25</t>
  </si>
  <si>
    <t>5212</t>
  </si>
  <si>
    <t>BAPRO MEDIOS DE PAGO S.A.</t>
  </si>
  <si>
    <t>SERVICIO CALL CENTER - ENE26</t>
  </si>
  <si>
    <t>5216</t>
  </si>
  <si>
    <t>LOGISIS IT SRL</t>
  </si>
  <si>
    <t>Servicio CRM para At Call Center IMED</t>
  </si>
  <si>
    <t>REVERSION PROV.FACT.NO REC AL 31-12-25 - AVANTER</t>
  </si>
  <si>
    <t>AVANTER SRL</t>
  </si>
  <si>
    <t>SERVICIO ASTRA - DIC25</t>
  </si>
  <si>
    <t>SERVICIO SIDUS PANALAB - DIC25</t>
  </si>
  <si>
    <t>PROV.FACT.NO RECIB.AL 31-01-26 - AVANTER</t>
  </si>
  <si>
    <t>INDICOM S.A.</t>
  </si>
  <si>
    <t>3 Puesto Call Center Con Operador, Servicio Mes De Ene-26</t>
  </si>
  <si>
    <t>REVERSION PROV.FACT.NO REC AL 31-12-25 - TRX IQVIA</t>
  </si>
  <si>
    <t>CUYO S.R.L</t>
  </si>
  <si>
    <t>Serv. Cap y Envío de trx  IQVIA</t>
  </si>
  <si>
    <t>GALBOP SRL</t>
  </si>
  <si>
    <t>BIENTEVEO SOCIEDAD DE RESPON</t>
  </si>
  <si>
    <t>GEMA DE MARCOS ANTONIO PAGLI</t>
  </si>
  <si>
    <t>SIAFWARE SRL</t>
  </si>
  <si>
    <t>MARIA JOSE PURICELLI</t>
  </si>
  <si>
    <t>V&amp;S INGENIERIA EN SISTEMAS S</t>
  </si>
  <si>
    <t>ALFANO ROBERTO NICOLAS - CEN</t>
  </si>
  <si>
    <t>PROV.FACT.NO RECIB.AL 31-01-26 - TRX IQVIA</t>
  </si>
  <si>
    <t>5219</t>
  </si>
  <si>
    <t>REVERSION PROV.FACT.NO REC AL 31-12-25 - PANALAB</t>
  </si>
  <si>
    <t>SERDATA S.A.</t>
  </si>
  <si>
    <t>FORM PANALAB</t>
  </si>
  <si>
    <t>FORM PANALAB FC 002-3001</t>
  </si>
  <si>
    <t>FORM PANALAB 2025 12</t>
  </si>
  <si>
    <t>PROV.FACT.NO RECIB.AL 31-01-26 - SERDATA</t>
  </si>
  <si>
    <t>5315</t>
  </si>
  <si>
    <t>REVERSION PROV.FACT.NO REC AL 31-12-25 - AGERI</t>
  </si>
  <si>
    <t>PROV.FACT.NO RECIB.AL 31-01-26 - AGERI</t>
  </si>
  <si>
    <t>REVERSION PROV.FACT.NO REC AL 31-12-25 - BIZLAND</t>
  </si>
  <si>
    <t>BIZLAND S.A.U.</t>
  </si>
  <si>
    <t>TSA - Servicios profesionales diciembre 25</t>
  </si>
  <si>
    <t>TSA PESOS DICIEMBRE 2025</t>
  </si>
  <si>
    <t>TSA DOLARES DICIEMBRE 2025</t>
  </si>
  <si>
    <t>FONDO DE COOPERACION TECNICA</t>
  </si>
  <si>
    <t>RENOVACION DOMINO WORLDSALUD.COM.AR</t>
  </si>
  <si>
    <t>PROV.FACT.NO RECIB.AL 31-01-26 - BIZLAND</t>
  </si>
  <si>
    <t>DEVENG.ENE26 - FORTRA LIC GOANYWHERE</t>
  </si>
  <si>
    <t>DEVENG ENE26 - RED HAT LINUX</t>
  </si>
  <si>
    <t>DEVENGAMIENTO SW - BZ-BASE 4 - ENE26</t>
  </si>
  <si>
    <t>DEVENGAMIENTO SW - BZ-TENABLE - ENE26</t>
  </si>
  <si>
    <t>DEVENGAMIENTO SW - BZ- ZMA - ENE26</t>
  </si>
  <si>
    <t>DEVENGAMIENTO BZ - JIRA BITBUCKET - ENE26</t>
  </si>
  <si>
    <t>DEVENGAMIENTO BZ - TELEXTORAGE - ENE26</t>
  </si>
  <si>
    <t>DEVENGAMIENTO BZ - FORTRA - ENE26</t>
  </si>
  <si>
    <t>DEVENGAMIENTO BZ - ZNET PRTG - ENE26</t>
  </si>
  <si>
    <t>DEVENGAMIENTO BZ - SERV NOW - ENE26</t>
  </si>
  <si>
    <t>DEVENGAMIENTO BZ - AMERICA CISCO - ENE26</t>
  </si>
  <si>
    <t>DEVENGAMIENTO BZ - MS WIND SERVER - ENE26</t>
  </si>
  <si>
    <t>DEVENGAMIENTO BZ - COMMVALT - ENE26</t>
  </si>
  <si>
    <t>5415</t>
  </si>
  <si>
    <t>VICTOR DANIEL ROMERO</t>
  </si>
  <si>
    <t>HONORARIO ENERO 2026</t>
  </si>
  <si>
    <t>REVERSION PROV.FACT.NO REC AL 31-12-25 - BARRERE JULIANA</t>
  </si>
  <si>
    <t>BARRERE MARIA JULIANA RR.HH.</t>
  </si>
  <si>
    <t>SERVICIO RR.HH - DIC 25</t>
  </si>
  <si>
    <t>5427</t>
  </si>
  <si>
    <t>JORGE ANDRES ERDOZAIN</t>
  </si>
  <si>
    <t>HONORARIOS SERVCICIOS JURÍDICOS FC 338</t>
  </si>
  <si>
    <t>MARIA CRISTINA FRAGUGLIA</t>
  </si>
  <si>
    <t>Habilitación Oficina - Inicio</t>
  </si>
  <si>
    <t>COLPPY</t>
  </si>
  <si>
    <t>Suscripcion Mensual Enero Plan Enterprise</t>
  </si>
  <si>
    <t>5411</t>
  </si>
  <si>
    <t>Asiento de sueldos 2026-01</t>
  </si>
  <si>
    <t>5412</t>
  </si>
  <si>
    <t>Provisión SAC 1er Semestre 2026 - 2026/01</t>
  </si>
  <si>
    <t>Prov. Gratificación 2026 - Dev. 2026-01</t>
  </si>
  <si>
    <t>Prov. Vacaciones 2026 - Dev. 2026-01</t>
  </si>
  <si>
    <t>5429</t>
  </si>
  <si>
    <t>SWISS MEDICAL S A</t>
  </si>
  <si>
    <t>SMA 01/2026</t>
  </si>
  <si>
    <t>DERIV.APORTES ANSES + BONIF,APORTES</t>
  </si>
  <si>
    <t>PROV.FACT.NO RECIB.AL 31-01-26 - OSDE</t>
  </si>
  <si>
    <t>5428</t>
  </si>
  <si>
    <t>HONORARIOS PROFESIONALES ENERO 2026</t>
  </si>
  <si>
    <t>5430</t>
  </si>
  <si>
    <t>EDENRED ARGENTINA S.A</t>
  </si>
  <si>
    <t>LIQUIDACION GASTOS - ENERO 2026</t>
  </si>
  <si>
    <t>5611</t>
  </si>
  <si>
    <t>retribución por gestión</t>
  </si>
  <si>
    <t>5417</t>
  </si>
  <si>
    <t>ARAKIM S. A.</t>
  </si>
  <si>
    <t>USO PLATAFORMA CMF - ENE26</t>
  </si>
  <si>
    <t>5432</t>
  </si>
  <si>
    <t>REINTEGRO DE PERSONAL MUÑOZ</t>
  </si>
  <si>
    <t>REINTEGRO DE PERSONAL BAÑARES</t>
  </si>
  <si>
    <t>5433</t>
  </si>
  <si>
    <t>REINTEGRO DE PERSONAL ESPÓSITO</t>
  </si>
  <si>
    <t>5422</t>
  </si>
  <si>
    <t>REINTEGRO COMPRA MLIBRE - FIN DE AÑO</t>
  </si>
  <si>
    <t>Gasto Ignacio TC - Nafta</t>
  </si>
  <si>
    <t>GASTOS IGNACIO TC - Almuerzo</t>
  </si>
  <si>
    <t>GASTO IGNACIO TC  - ALMUERZO</t>
  </si>
  <si>
    <t>GASTO IGNACIO TC  - CARREFOUR  COMPRA</t>
  </si>
  <si>
    <t>GASTOS ALMUERZOS IA</t>
  </si>
  <si>
    <t>5420</t>
  </si>
  <si>
    <t>DEVENGAMIENTO SEGUROS AL 31-01-36 - ZURICH 2/12</t>
  </si>
  <si>
    <t>5211</t>
  </si>
  <si>
    <t>SANTIAGO ALEJO LATORRE</t>
  </si>
  <si>
    <t>5419</t>
  </si>
  <si>
    <t>GRUPO DOBLE M F S.A.</t>
  </si>
  <si>
    <t>ALQUILER OFICINA - ENE 2026</t>
  </si>
  <si>
    <t>REVERSION PROV.FACT.NO REC AL 31-12-25 - MADISSON</t>
  </si>
  <si>
    <t>CONSORCIO PROP BME CRUZ 1810</t>
  </si>
  <si>
    <t>EXPENSAS JUAN CARLOS CRUZ 1810 12-2025</t>
  </si>
  <si>
    <t>PROV.FACT.NO RECIB.AL 31-01-26 - MADISSON</t>
  </si>
  <si>
    <t>5425</t>
  </si>
  <si>
    <t>Libro Sueldo Digital</t>
  </si>
  <si>
    <t>ABL - VICENTE LOPEZ (CH *3 Y OFICINA)</t>
  </si>
  <si>
    <t>5434</t>
  </si>
  <si>
    <t>Impuesto Sello de alquiler</t>
  </si>
  <si>
    <t>5312</t>
  </si>
  <si>
    <t>EDENOR</t>
  </si>
  <si>
    <t>LUZ OFICINA 31-12-25 AL 30-01-26</t>
  </si>
  <si>
    <t>FEDERACION PATRONAL SEGUROS</t>
  </si>
  <si>
    <t>POLIZA 1186054 ELEMENTOS DE LA OFICINA 25-01-2026 AL 25-01-2027</t>
  </si>
  <si>
    <t>DEVENG.FIANZA ALQ.OFICINA - ENERO 2026</t>
  </si>
  <si>
    <t>5314</t>
  </si>
  <si>
    <t>C.P.S.  COMUNICACIONES S.A.</t>
  </si>
  <si>
    <t>SERVICIO INTERNET - ENERO 2026</t>
  </si>
  <si>
    <t>REVERSION PROV.FACT.NO REC AL 31-12-25 - CLARO</t>
  </si>
  <si>
    <t>AMX ARGENTINA SOCIEDAD ANONI</t>
  </si>
  <si>
    <t>Servicio de Internet OF</t>
  </si>
  <si>
    <t>ARGONTECH S.R.L</t>
  </si>
  <si>
    <t>Servicio de Alquiler de impresora</t>
  </si>
  <si>
    <t>REVERSION PROV.FACT.NO REC AL 31-12-25 - COLPPY</t>
  </si>
  <si>
    <t>CORREGIR IMPUT LENOVO PAGO 16-01-2026 CERT.457</t>
  </si>
  <si>
    <t>PROV.FACT.SERV DIC25 - NO RECIBIDA</t>
  </si>
  <si>
    <t>5423</t>
  </si>
  <si>
    <t>LAVIERI HNOS</t>
  </si>
  <si>
    <t>COMPRA CAPSULAS DE CAFE</t>
  </si>
  <si>
    <t>CARREFOUR - INSUMOS OFICINA</t>
  </si>
  <si>
    <t>ZHUO TECHNOLOGIES</t>
  </si>
  <si>
    <t>Abono Mens. Dispenser agua OF</t>
  </si>
  <si>
    <t>5511</t>
  </si>
  <si>
    <t>DEVENG.ENE26-OPORTUTEK - CPA 01-25</t>
  </si>
  <si>
    <t>DEVENG ENE26-LA SOLIDA- CPA 02-25</t>
  </si>
  <si>
    <t>DEVENG ENE26-DAMARFU- CPA 02-25</t>
  </si>
  <si>
    <t>DEVENG.ENE26-QUICK SUPPLIES - CPA 04-25</t>
  </si>
  <si>
    <t>DEVENG.ENE26-LA SOLIDA- CPA 06-25</t>
  </si>
  <si>
    <t>DEVENG ENE26-LA SOLIDA- CPA 09-25</t>
  </si>
  <si>
    <t>DEVENG ENE26-LENOVO - 2 NOTEB - CPA 12-25</t>
  </si>
  <si>
    <t>5421</t>
  </si>
  <si>
    <t>LUCAS JAVIER HOJMAN</t>
  </si>
  <si>
    <t>SERVICIOS VARIOS EN OFICINA</t>
  </si>
  <si>
    <t>PARA ANULAR FC 0328</t>
  </si>
  <si>
    <t>5515</t>
  </si>
  <si>
    <t>DEVENG.ENE-26- GASTOS ORGANIZACION</t>
  </si>
  <si>
    <t>5220</t>
  </si>
  <si>
    <t>REVERSION PROV.FACT.NO REC AL 31-12-25 - FRONTIER - TECN</t>
  </si>
  <si>
    <t>FRONTIER TECHLAB</t>
  </si>
  <si>
    <t>SERVICIOS TECNOLÓGICOS DICIEMBRE</t>
  </si>
  <si>
    <t>PROV.FACT.NO RECIB.AL 31-01-26 - FRONTIER TECNO</t>
  </si>
  <si>
    <t>5221</t>
  </si>
  <si>
    <t>REVERSION PROV.FACT.NO REC AL 31-12-25 - FRONTIER - GCIA</t>
  </si>
  <si>
    <t>Servicios de Gerenciamiento</t>
  </si>
  <si>
    <t>Servicio de gerenciamiento enero 26</t>
  </si>
  <si>
    <t>BANCO CMF SOCIEDAD ANONIMA</t>
  </si>
  <si>
    <t>MANT.CTA+CERT SALDOS - BANCO - ENE26</t>
  </si>
  <si>
    <t>5121</t>
  </si>
  <si>
    <t>BGH TECH PARTNER S.A</t>
  </si>
  <si>
    <t>PAGO FC 26956</t>
  </si>
  <si>
    <t>LP ASOCIADOS S.R.L.</t>
  </si>
  <si>
    <t>PAGO FC 115</t>
  </si>
  <si>
    <t>5122</t>
  </si>
  <si>
    <t>Por resultado FCI 2026-01</t>
  </si>
  <si>
    <t>5123</t>
  </si>
  <si>
    <t>Actualización saldo cta.cte. U$S 2026-01</t>
  </si>
  <si>
    <t>5126</t>
  </si>
  <si>
    <t>Devengamiento intereses préstamos a accionistas 2026-01</t>
  </si>
  <si>
    <t>5435</t>
  </si>
  <si>
    <t>Provisión Tasa Seguridad e Higiene 2026-01</t>
  </si>
  <si>
    <t>5426</t>
  </si>
  <si>
    <t>Provisión IG 2026 - 2026-01</t>
  </si>
  <si>
    <t>Feb</t>
  </si>
  <si>
    <t>Servicio Basico Online PREPAGAS - Diciembre 2025</t>
  </si>
  <si>
    <t>Disolución Previsión  ene26  FLK Prepagas On Line</t>
  </si>
  <si>
    <t>Constitución Previsión  feb26  FLK Prepagas On Line</t>
  </si>
  <si>
    <t>Servicio Basico Online APROSS - Diciembre 2025</t>
  </si>
  <si>
    <t>Disolución Previsión  ene26  FLK Apross On Line</t>
  </si>
  <si>
    <t>Constitución Previsión  feb26  FLK Apross On Line</t>
  </si>
  <si>
    <t>Servicio Basico Online IOMA - Diciembre 2025</t>
  </si>
  <si>
    <t>Disolución Previsión  ene26  FLK IOMA On Line</t>
  </si>
  <si>
    <t>Constitución Previsión  feb26  FLK IOMA On Line</t>
  </si>
  <si>
    <t>Servicio Basico Online - RECETA ELECTRONICA - PREPAGAS - Diciembre 2025</t>
  </si>
  <si>
    <t>Disolución Previsión  ene26  FLK Prepagas Receta Electronica On Line</t>
  </si>
  <si>
    <t>Constitución Previsión  feb26  FLK Prepagas Receta Electronica On Line</t>
  </si>
  <si>
    <t>Servicio Basico Online - RECETA ELECTRONICA - APROSS - Diciembre 2025</t>
  </si>
  <si>
    <t>Disolución Previsión  ene26  FLK Apross  Receta Electronica On Line</t>
  </si>
  <si>
    <t>Constitución Previsión  feb26  FLK Apross  Receta Electronica On Line</t>
  </si>
  <si>
    <t>Servicio Basico Online - RECETA ELECTRONICA - IOMA - Diciembre 2025</t>
  </si>
  <si>
    <t>Disolución Previsión  ene26  FLK IOMA  Receta Electronica On Line</t>
  </si>
  <si>
    <t>Constitución Previsión  feb26  FLK IOMA  Receta Electronica On Line</t>
  </si>
  <si>
    <t>Servicio Básico On Line - PAMI - Diciembre 2025</t>
  </si>
  <si>
    <t>Disolución Previsión  ene26  FLK PAMI On Line</t>
  </si>
  <si>
    <t>Constitución Previsión  feb26  FLK PAMI On Line</t>
  </si>
  <si>
    <t>Servicio Básico On Line - PAMI Imposiciones  - Diciembre 2025</t>
  </si>
  <si>
    <t>Disolución Previsión  ene26  FLK PAMI Imposiciones On Line</t>
  </si>
  <si>
    <t>Constitución Previsión  feb26  FLK PAMI Imposiciones On Line</t>
  </si>
  <si>
    <t>Servicio de Validación en Linea - Enero 2026</t>
  </si>
  <si>
    <t>Disolución Previsión  ene26  Pcia ART</t>
  </si>
  <si>
    <t>Constitución Previsión  feb26  Pcia ART</t>
  </si>
  <si>
    <t>Programa Elegir Salud - Enero 2026 - OC 4550044197  PRID  KQCV952</t>
  </si>
  <si>
    <t>Disolución Previsión  ene26  Astrazeneca</t>
  </si>
  <si>
    <t>Constitución Previsión  feb26  Astrazfebca</t>
  </si>
  <si>
    <t>Servicio Transaccional - Enero 2026</t>
  </si>
  <si>
    <t>Disolución Previsión  ene26  Avanter</t>
  </si>
  <si>
    <t>Constitución Previsión  feb26  Avanter</t>
  </si>
  <si>
    <t>Programa Mas Simple Bayer - Enero 2026 - Pedido 750614669</t>
  </si>
  <si>
    <t>Disolución Previsión  ene26 Bayer Argentina S.A.</t>
  </si>
  <si>
    <t>Constitución Previsión  feb26 Bayer Argentina S.A.</t>
  </si>
  <si>
    <t>Servicio trx de acciones comerciales en farmacias  Enero 2026</t>
  </si>
  <si>
    <t>Disolución Previsión  ene26  Ceoderma S.A. (Dermacare S.A)</t>
  </si>
  <si>
    <t>Serv Transm Registros Venta Farmacias para info mercadeo Ene-Dic26 segun Carta Oferta modific N°5</t>
  </si>
  <si>
    <t>5112</t>
  </si>
  <si>
    <t>Reversión Facturación Mar26-Dic26 Iqvia Solutions Argentina</t>
  </si>
  <si>
    <t>Servicio de Validación en linea de Bonos - Enero 2026</t>
  </si>
  <si>
    <t>Disolución Previsión  ene26  Max Vision SRL</t>
  </si>
  <si>
    <t>Constitución Previsión  feb26  Max Vision SRL</t>
  </si>
  <si>
    <t>Serv de Proc de Bonos de Descuento Manual -  Enero 2026 OC 19367</t>
  </si>
  <si>
    <t>Serv de Generac y Autoriz de Dispensa de Bonos Digitales -  Enero 2026 OC 19367</t>
  </si>
  <si>
    <t>Disolución Previsión  ene26  Panalab</t>
  </si>
  <si>
    <t>Constitución Previsión  feb26  Panalab</t>
  </si>
  <si>
    <t>Disolución Previsión ene26  Sidus Dermocosmetica</t>
  </si>
  <si>
    <t>Constitución Previsión feb26  Sidus Dermocosmetica</t>
  </si>
  <si>
    <t>Servicio de Validación en linea de Bonos Programa Convida  Enero 2026</t>
  </si>
  <si>
    <t>Disolución Previsión  ene26  Sidus S.A.</t>
  </si>
  <si>
    <t>Constitución Previsión  feb26  Sidus S.A.</t>
  </si>
  <si>
    <t>Biu Cosmeceuticals Bonos -  Enero 2026</t>
  </si>
  <si>
    <t>Disolución Previsión  ene26  Unyc S. A.</t>
  </si>
  <si>
    <t>Constitución Previsión  feb26  Unyc S. A.</t>
  </si>
  <si>
    <t>Validación On Line Bonos Digitales -  Enero 2026</t>
  </si>
  <si>
    <t>Disolución Previsión ene26  Healthcare Marketing Group S.A.</t>
  </si>
  <si>
    <t>Constitución Previsión feb26  Healthcare Marketing Group S.A.</t>
  </si>
  <si>
    <t>Servicio de Validación de TRX -  Enero 2026 OC 8500880322</t>
  </si>
  <si>
    <t>Disolución Previsión ene26  Colgate Palmolive Argentina S.A.</t>
  </si>
  <si>
    <t>Constitución Previsión feb26  Colgate Palmolive Argentina S.A.</t>
  </si>
  <si>
    <t>DR LAZAR Y CIA S A QUIMICA E</t>
  </si>
  <si>
    <t>Fase 1 - Start Up - Enero 2026</t>
  </si>
  <si>
    <t>Constitución Previsión feb26  DR LAZAR Y CIA S A QUIMICA E INDUSTRIAL</t>
  </si>
  <si>
    <t>Servicio  Enero 2026 Abono básico hasta 70.000 trs  Ref. N°: 8000263771/6</t>
  </si>
  <si>
    <t>Servicio Febrero 2026 Abono básico hasta 70.000 trs  Ref. N°: 8000263771/6</t>
  </si>
  <si>
    <t>Disolución Previsión  ene26  Obra Social de la Act. de Seguro</t>
  </si>
  <si>
    <t>Constitución Previsión  feb26  Obra Social de la Act. de Seguro</t>
  </si>
  <si>
    <t>Rev. Prov. IIBB 2026-01</t>
  </si>
  <si>
    <t>DDJJ IIBB 2026-01</t>
  </si>
  <si>
    <t>Prov. IIBB 2026-02</t>
  </si>
  <si>
    <t>LIC ABI - FEB26</t>
  </si>
  <si>
    <t>PARA APLICAR FC 1033</t>
  </si>
  <si>
    <t>MANT.APLIC.NET FEB25</t>
  </si>
  <si>
    <t>PARA APLICAR FC 1034</t>
  </si>
  <si>
    <t>REVERSION PROV.FACT.NO RECIB. ENE26 - RESERV</t>
  </si>
  <si>
    <t>SERVICIO 2 RRHH - ENE26</t>
  </si>
  <si>
    <t>HORAS ADICIONALES (42) - ENE26</t>
  </si>
  <si>
    <t>CONST.PROV.COSTOS - FEB26 - RESERV</t>
  </si>
  <si>
    <t>LIC.ABI CUOTA 1 - DEV.AMORTIZ.FEB26</t>
  </si>
  <si>
    <t>LIC.ABI CUOTA 2 - DEV.AMORTIZ.FEB26</t>
  </si>
  <si>
    <t>LIC.ABI CUOTA 3 - DEV.AMORTIZ.FEB26</t>
  </si>
  <si>
    <t>MANUAL FARMACEUTICO - FEB26</t>
  </si>
  <si>
    <t>DIFERENCIA CAMBIO - PAGO FC 126</t>
  </si>
  <si>
    <t>SERV.MONITOREO REDES - FEB26</t>
  </si>
  <si>
    <t>REVERSION PROV.FACT.NO RECIB. ENE26 - BGH PARTNER</t>
  </si>
  <si>
    <t>LICENCIAS GOOGLE (33) - CUOTA 11/12</t>
  </si>
  <si>
    <t>LICENCIAS GOOGLE (34) - CUOTA 12/12</t>
  </si>
  <si>
    <t>CONST.PROV.COSTOS - FEB26 - BGH PARTNER</t>
  </si>
  <si>
    <t>REVERSION PROV.FACT.NO RECIB. ENE26 - INTERTRON</t>
  </si>
  <si>
    <t>LICENCIAS MS - FEB26</t>
  </si>
  <si>
    <t>CONST.PROV.COSTOS - FEB26 - INTERTRON</t>
  </si>
  <si>
    <t>PARA ANULAR FC 4141</t>
  </si>
  <si>
    <t>TCC - ANTHROPIC - LICENCIAS - FC 0015 - U$S 311,77</t>
  </si>
  <si>
    <t>TCC - ANTHROPIC - LICENCIAS - FC 16 - U$S 12,50</t>
  </si>
  <si>
    <t>TCC - ADOBE - CARGO MENSUAL - SUSCRIPCION</t>
  </si>
  <si>
    <t>DEVENG.FEB26-SERVIDORES LENOVO BZ CPA 06-08-25</t>
  </si>
  <si>
    <t>DEVENG FEB26-SWITCHES CATALYST BZ CPA 06-08-25</t>
  </si>
  <si>
    <t>DEVENG.FEB26-CABLES P/DC Y BAKCUP BZ CPA 06-08-25</t>
  </si>
  <si>
    <t>SERVICIO CC FARMACIAS - FEB26</t>
  </si>
  <si>
    <t>SERV.CRM CALL CENTER - FEB26</t>
  </si>
  <si>
    <t>REVERSION PROV.FACT.NO RECIB. ENE26 - AVANTER</t>
  </si>
  <si>
    <t>SERV SIDUS-PANALAB - ENERO 2025</t>
  </si>
  <si>
    <t>SERV.ASTRA + START UP NUEVO</t>
  </si>
  <si>
    <t>CONST.PROV.COSTOS - FEB26 - AVANTER</t>
  </si>
  <si>
    <t>SERV.CALL CENTER - FEB26</t>
  </si>
  <si>
    <t>REVERSION PROV.FACT.NO RECIB. ENE26 - TRX IQVIA</t>
  </si>
  <si>
    <t>LLANEZA Y ASOCIADOS S.A</t>
  </si>
  <si>
    <t>Serv. Cap y Envío de trx  IQVIA  NOV - DIC 25</t>
  </si>
  <si>
    <t>MONSERRAT ZULMA BEATRIZ</t>
  </si>
  <si>
    <t>TRX IQVIA - OCT-NOV-DIC 2025</t>
  </si>
  <si>
    <t>PLAZZA SILVIA RENE</t>
  </si>
  <si>
    <t>TRX IQVIA - JUL-DIC 2025</t>
  </si>
  <si>
    <t>NUEVA VILLA S. R. L.</t>
  </si>
  <si>
    <t>TEX IQVIA - NOV-DIC 2025</t>
  </si>
  <si>
    <t>FERNANDO ADRIAN SARTI</t>
  </si>
  <si>
    <t>TRX IQVIA - NOV-DIC 2025</t>
  </si>
  <si>
    <t>HIGH SOFT SIFACO S.R.L.</t>
  </si>
  <si>
    <t>CONST.PROV.COSTOS - TRX IQVIA 2025</t>
  </si>
  <si>
    <t>CONST.PROV.COSTOS - TRX IQVIA 2026</t>
  </si>
  <si>
    <t>REVERSION PROV.FACT.NO RECIB. ENE26 - SERDATA</t>
  </si>
  <si>
    <t>FORM.PANALAB ENE-26 57.740 A $59,27</t>
  </si>
  <si>
    <t>CONST.PROV.COSTOS - FEB26 - SERDATA</t>
  </si>
  <si>
    <t>REVERSION PROV.FACT.NO RECIB. ENE26 - AGERI</t>
  </si>
  <si>
    <t>CONST.PROV.COSTOS - FEB26 - AGERI</t>
  </si>
  <si>
    <t>REVERSION PROV.FACT.NO RECIB. ENE26 - BIZLAND</t>
  </si>
  <si>
    <t>TSA - SERV PROF - $ - A1 - ENE26</t>
  </si>
  <si>
    <t>TSA - SERV ADIC $ - A2 - ENE26</t>
  </si>
  <si>
    <t>TSA - SERV ADIC U$S - A3 - ENE26</t>
  </si>
  <si>
    <t>DOMINIO IMEDLABORATORIOS.COM.AR</t>
  </si>
  <si>
    <t>CONST.PROV.COSTOS - FEB26 - BIZLAND</t>
  </si>
  <si>
    <t>DEVENG.FEB26 - FORTRA LIC GOANYWHERE (P2025)</t>
  </si>
  <si>
    <t>DEVENG FEB26 - RED HAT LINUX (P2025)</t>
  </si>
  <si>
    <t>DEVENGAMIENTO SW - BZ-BASE 4 - FEB26 (P2025)</t>
  </si>
  <si>
    <t>DEVENGAMIENTO SW - BZ-TENABLE - FEB26 (P2025)</t>
  </si>
  <si>
    <t>DEVENGAMIENTO SW - BZ- ZMA - FEB26 (P2025)</t>
  </si>
  <si>
    <t>DEVENGAMIENTO BZ - JIRA BITBUCKET - FEB26 (P2025)</t>
  </si>
  <si>
    <t>DEVENGAMIENTO BZ - TELEXTORAGE - FEB26 (P2025)</t>
  </si>
  <si>
    <t>DEVENGAMIENTO BZ - FORTRA - FEB26 (P2025)</t>
  </si>
  <si>
    <t>DEVENGAMIENTO BZ - ZNET PRTG -FEB26 (P2025)</t>
  </si>
  <si>
    <t>DEVENGAMIENTO BZ - SERV NOW - FEB26 (P2025)</t>
  </si>
  <si>
    <t>DEVENGAMIENTO BZ - AMERICA CISCO - FEB26 (P2025)</t>
  </si>
  <si>
    <t>DEVENGAMIENTO BZ - MS WIND SERVER - FEB26 (P2025)</t>
  </si>
  <si>
    <t>DEVENGAMIENTO BZ - COMMVALT - FEB26 (P2025)</t>
  </si>
  <si>
    <t>HONORARIOS - MES DE FEBRERO 2026</t>
  </si>
  <si>
    <t>CONST.PROV.COSTOS - FEB26 - NATALIA RRHH</t>
  </si>
  <si>
    <t>HONORARIOS CERT.DOC</t>
  </si>
  <si>
    <t>SIST.ADM CONTABLE - FEB26</t>
  </si>
  <si>
    <t>LIBRO SUELDOS DIGITALES - ENE26</t>
  </si>
  <si>
    <t>Asiento de sueldos 2026-02</t>
  </si>
  <si>
    <t>Ajuste cuenta Cs. Sociales a pagar (Prepaga + ART)</t>
  </si>
  <si>
    <t>Provisión SAC 1er Semestre 2026 - 2026/02</t>
  </si>
  <si>
    <t>Prov. Gratificación 2026 - Dev. 2026-02</t>
  </si>
  <si>
    <t>Prov. Vacaciones 2026 - Dev. 2026-02</t>
  </si>
  <si>
    <t>CREDITO SOBRE FC VARIAS</t>
  </si>
  <si>
    <t>DERIVACION APOR ANSES 10/25</t>
  </si>
  <si>
    <t>SMA - FEBRERO 2026</t>
  </si>
  <si>
    <t>ND AJUSTE CUOTA ENE-26 - FC 01068637</t>
  </si>
  <si>
    <t>ND AJUSTE FC 1075993 FEB26</t>
  </si>
  <si>
    <t>NC AJ.MES ENE-26 FC 01068637</t>
  </si>
  <si>
    <t>REVERSION PROV.FACT.NO RECIB. ENE26 - OSDE</t>
  </si>
  <si>
    <t>OSDE</t>
  </si>
  <si>
    <t>SMA ENERO 2026</t>
  </si>
  <si>
    <t>CONST.PROV.COSTOS - FEB26 - OSDE</t>
  </si>
  <si>
    <t>SERVICIO TICKET CAR - FEB 2026</t>
  </si>
  <si>
    <t>LIQ.GASTOS TJCKET CAR - FEB26</t>
  </si>
  <si>
    <t>BANCO - USO PLATAFORMA - FEB25</t>
  </si>
  <si>
    <t>PARA AJUSTAR VALOR ENE 2026</t>
  </si>
  <si>
    <t>AJUSTE VALOR SERV FEBRERO 2026</t>
  </si>
  <si>
    <t>DIF CAMBIO - FACTURACION FEBRERO 2026</t>
  </si>
  <si>
    <t>TCC - GASTOS ALMUERZOS IA</t>
  </si>
  <si>
    <t>TCC- GASTOS ALMUERZOS - ADIDAS DOT - IA</t>
  </si>
  <si>
    <t>VERMUDEZ S. R. L.</t>
  </si>
  <si>
    <t>GASTOS ALMUERZOS - IA</t>
  </si>
  <si>
    <t>AJUSTE CONTAB. FC 210 VERMUDEZ</t>
  </si>
  <si>
    <t>TCC - GASTOS ALMUERZO IA - ESMERALDA</t>
  </si>
  <si>
    <t>TCC - GASTOS AL,MUERZO IA - GARDINER</t>
  </si>
  <si>
    <t>DEVENGAMIENTO SEGUROS AL 28-02-26 - ZURICH 3/12</t>
  </si>
  <si>
    <t>SERV.PROFESIONALES - FEB26</t>
  </si>
  <si>
    <t>ALQUILER OFICINA - FEB26</t>
  </si>
  <si>
    <t>REVERSION PROV.FACT.NO RECIB. ENE26 - MADISSON</t>
  </si>
  <si>
    <t>LIQ.EXPENSAS OFIC - ENE26</t>
  </si>
  <si>
    <t>CONST.PROV.COSTOS - FEB26 - MADISSON - EXPENSAS</t>
  </si>
  <si>
    <t>TCC-MUNI VL - ABL - FEB25 - COCHERA 15</t>
  </si>
  <si>
    <t>MUNI VL - ABL - OFICINA - FEB26 - TCC</t>
  </si>
  <si>
    <t>MUNI VL - ABL - COCH 16 - FEB26 - TCC</t>
  </si>
  <si>
    <t>MUNI VL - ABL - COCH 46 - FEB26 - TCC</t>
  </si>
  <si>
    <t>RECUPERO 50% GASTOS SELLADO CTO ALQ</t>
  </si>
  <si>
    <t>LUZ OFICINA - FEB26</t>
  </si>
  <si>
    <t>DEVENG.FIANZA ALQ.OFICINA - FEB2026</t>
  </si>
  <si>
    <t>SERVICIO INTERNET OFIC - FEB26</t>
  </si>
  <si>
    <t>SERVICIO INTERNET OFICINA - ENE26</t>
  </si>
  <si>
    <t>SERV.IMPRESORA - FEB26</t>
  </si>
  <si>
    <t>AJUSTE CONTABILIZACION FC 8493</t>
  </si>
  <si>
    <t>5316</t>
  </si>
  <si>
    <t>CEVEN SA</t>
  </si>
  <si>
    <t>COMPRA TV SAMSUNG 50" MONITOREO TRX</t>
  </si>
  <si>
    <t>DTO MERC.PAGO - CPA TV 50" SAMSUNG</t>
  </si>
  <si>
    <t>JOSE FRANCISCO MICHELOUD</t>
  </si>
  <si>
    <t>SOPORTE PARED - ACCESS POINT -OFICINA</t>
  </si>
  <si>
    <t>GRUPO GAUSS S.R.L.</t>
  </si>
  <si>
    <t>CPA 3 ACCESS POINT - TPLINK - OFICINA</t>
  </si>
  <si>
    <t>DTO MERC. PAGO FC ACCESS POINT+SOPORTE</t>
  </si>
  <si>
    <t>TCC - ZUNIN RODRIGO - TORNILLOS SOPORTE</t>
  </si>
  <si>
    <t>TCC - FRAVEGA - COMPRA 2 MONITORES</t>
  </si>
  <si>
    <t>SERGIO DANIEL COCIGLIO</t>
  </si>
  <si>
    <t>PROVISION MATAFUEGOS Y CARTELERIA</t>
  </si>
  <si>
    <t>HOMERO TORRES MESUR</t>
  </si>
  <si>
    <t>SERV.MOTO - ENVIO LIBRO SOCIEDADES - ENE26</t>
  </si>
  <si>
    <t>TCC - CPA MAQ. SODA - SODA STREAM</t>
  </si>
  <si>
    <t>TCC - TODO MICRO - CONV.VIDEO Y CABLES</t>
  </si>
  <si>
    <t>TCC - CARREFOUR - INSUMOS OFICINA</t>
  </si>
  <si>
    <t>DISPENSER AGUA OFICINA - FEB26</t>
  </si>
  <si>
    <t>DEVENG.FEB26-OPORTUTEK - CPA 01-25</t>
  </si>
  <si>
    <t>DEVENG FEB26-LA SOLIDA- CPA 02-25</t>
  </si>
  <si>
    <t>DEVENG FEB26-DAMARFU- CPA 02-25</t>
  </si>
  <si>
    <t>DEVENG.FEB26-QUICK SUPPLIES - CPA 04-25</t>
  </si>
  <si>
    <t>DEVENG.FEB26-LA SOLIDA- CPA 06-25</t>
  </si>
  <si>
    <t>DEVENG FEB26-LA SOLIDA- CPA 09-25</t>
  </si>
  <si>
    <t>DEVENG FEB26-LENOVO - 2 NOTEB - CPA 12-25</t>
  </si>
  <si>
    <t>GUILLERMO JORGE MARTINEZ</t>
  </si>
  <si>
    <t>SERVICIO DE MANTENIMIENTO OFICINA V.LOPEZ</t>
  </si>
  <si>
    <t>EMILIA MARTINEZ VALENZUELA</t>
  </si>
  <si>
    <t>SERV LIMPIEZA Y MANTENIMIENTO - FEB26</t>
  </si>
  <si>
    <t>DEVENG.FEB-26- GASTOS ORGANIZACION</t>
  </si>
  <si>
    <t>REVERSION PROV.FACT.NO RECIB. ENE26 - FRONTIER - TEC</t>
  </si>
  <si>
    <t>SERV.TECNOLOGICOS - ENERO 2026</t>
  </si>
  <si>
    <t>CONST.PROV.COSTOS - FEB26 - FRONTIER - TECN</t>
  </si>
  <si>
    <t>CONST.PROV.COSTOS - FEB26 - FRONTIER - GCIA</t>
  </si>
  <si>
    <t>GASTOS Y COMISIONES BANCARIAS - FEB26</t>
  </si>
  <si>
    <t>PAGO FC 13872</t>
  </si>
  <si>
    <t>PAGO FC 1448</t>
  </si>
  <si>
    <t>PAGO FC 13914</t>
  </si>
  <si>
    <t>Por resultado FCI 2026-02</t>
  </si>
  <si>
    <t>Actualización saldo cta.cte. U$S 2026-02-27</t>
  </si>
  <si>
    <t>Devengamiento intereses préstamos a accionistas 2026-02</t>
  </si>
  <si>
    <t>5711</t>
  </si>
  <si>
    <t>Ajuste Intereses TSH 2025-12 pago</t>
  </si>
  <si>
    <t>REVERSION PROV.AL 31-01-2026 - TASA SEG HIGIENE</t>
  </si>
  <si>
    <t>MUNI VL - TASA SEG HIG - ENERO 2026</t>
  </si>
  <si>
    <t>Provisión Tasa de Seguridad e Higiene 2026-02</t>
  </si>
  <si>
    <t>Provisión IG 2026 - 2026-02</t>
  </si>
  <si>
    <t>Mar</t>
  </si>
  <si>
    <t>Servicio Basico Online PREPAGAS - Enero 2026</t>
  </si>
  <si>
    <t>Disolución Previsión  feb26  FLK Prepagas On Line</t>
  </si>
  <si>
    <t>Constitución Previsión  mar26  FLK Prepagas On Line</t>
  </si>
  <si>
    <t>Servicio Basico Online APROSS - Enero 2026</t>
  </si>
  <si>
    <t>Disolución Previsión  feb26  FLK Apross On Line</t>
  </si>
  <si>
    <t>Constitución Previsión  mar26  FLK Apross On Line</t>
  </si>
  <si>
    <t>Servicio Basico Online IOMA - Enero 2026</t>
  </si>
  <si>
    <t>Disolución Previsión  feb26  FLK IOMA On Line</t>
  </si>
  <si>
    <t>Constitución Previsión  mar26  FLK IOMA On Line</t>
  </si>
  <si>
    <t>Servicio Basico Online - RECETA ELECTRONICA - PREPAGAS - Enero 2026</t>
  </si>
  <si>
    <t>Disolución Previsión  feb26  FLK Prepagas Receta Electronica On Line</t>
  </si>
  <si>
    <t>Constitución Previsión  mar26  FLK Prepagas Receta Electronica On Line</t>
  </si>
  <si>
    <t>Servicio Basico Online - RECETA ELECTRONICA - APROSS - Enero 2026</t>
  </si>
  <si>
    <t>Disolución Previsión  feb26  FLK Apross  Receta Electronica On Line</t>
  </si>
  <si>
    <t>Constitución Previsión  mar26  FLK Apross  Receta Electronica On Line</t>
  </si>
  <si>
    <t>Servicio Basico Online - RECETA ELECTRONICA - IOMA - Enero 2026</t>
  </si>
  <si>
    <t>Disolución Previsión  feb26  FLK IOMA  Receta Electronica On Line</t>
  </si>
  <si>
    <t>Constitución Previsión  mar26  FLK IOMA  Receta Electronica On Line</t>
  </si>
  <si>
    <t>Servicio Básico On Line - PAMI - Enero 2026</t>
  </si>
  <si>
    <t>Disolución Previsión  feb26  FLK PAMI On Line</t>
  </si>
  <si>
    <t>Constitución Previsión  mar26  FLK PAMI On Line</t>
  </si>
  <si>
    <t>Servicio Básico On Line - PAMI Imposiciones  - Enero 2026</t>
  </si>
  <si>
    <t>Disolución Previsión  feb26  FLK PAMI Imposiciones On Line</t>
  </si>
  <si>
    <t>Constitución Previsión  mar26  FLK PAMI Imposiciones On Line</t>
  </si>
  <si>
    <t>Servicio de Validación en Linea - Febrero 2026</t>
  </si>
  <si>
    <t>Disolución Previsión  feb26  Pcia ART</t>
  </si>
  <si>
    <t>Constitución Previsión  mar26  Pcia ART</t>
  </si>
  <si>
    <t>Programa Elegir Salud - Febrero 2026 - OC 4550044197  PRID  KKHD039</t>
  </si>
  <si>
    <t>Disolución Previsión  feb26  Astrazfebca</t>
  </si>
  <si>
    <t>Constitución Previsión  mar26  Astrazebca</t>
  </si>
  <si>
    <t>Servicio Transaccional - Febrero 2026</t>
  </si>
  <si>
    <t>Disolución Previsión  feb26  Avanter</t>
  </si>
  <si>
    <t>Constitución Previsión  mar26  Avanter</t>
  </si>
  <si>
    <t>Programa Mas Simple Bayer - Febrero 2026 - Pedido 750614669</t>
  </si>
  <si>
    <t>Disolución Previsión  feb26 Bayer Argentina S.A.</t>
  </si>
  <si>
    <t>Constitución Previsión  mar26 Bayer Argentina S.A.</t>
  </si>
  <si>
    <t>Devengamiento Facturación Mar26 Iqvia Solutions Argentina</t>
  </si>
  <si>
    <t>Servicio de Validación en línea de Bonos - Febrero 2026</t>
  </si>
  <si>
    <t>Disolución Previsión  feb26  Max Vision SRL</t>
  </si>
  <si>
    <t>Constitución Previsión  mar26  Max Vision SRL</t>
  </si>
  <si>
    <t>Serv de Proc de Bonos de Descuento Manual - Febrero 2026 OC  19367</t>
  </si>
  <si>
    <t>Serv de Generac y Autoriz de Dispensa de Bonos Digitales -  Febrero 2026 OC 19367</t>
  </si>
  <si>
    <t>Disolución Previsión  feb26  Panalab</t>
  </si>
  <si>
    <t>Constitución Previsión  mar26  Panalab</t>
  </si>
  <si>
    <t>Saldo de NC</t>
  </si>
  <si>
    <t>Servicio de Validación de TRX -  Enero 2026 OC 4500333423</t>
  </si>
  <si>
    <t>Servicio de Validación de TRX -  Febrero 2026 OC 4500333424</t>
  </si>
  <si>
    <t>Disolución Previsión feb26  Sidus Dermocosmetica</t>
  </si>
  <si>
    <t>Constitución Previsión mar26  Sidus Dermocosmetica</t>
  </si>
  <si>
    <t>Servicio de Validación en linea de Bonos Programa Convida  Febrero 2026</t>
  </si>
  <si>
    <t>Disolución Previsión  feb26  Sidus S.A.</t>
  </si>
  <si>
    <t>Constitución Previsión  mar26  Sidus S.A.</t>
  </si>
  <si>
    <t>Biu Cosmeceuticals Bonos -  Febrero 2026</t>
  </si>
  <si>
    <t>Disolución Previsión  feb26  Unyc S. A.</t>
  </si>
  <si>
    <t>Constitución Previsión  mar26  Unyc S. A.</t>
  </si>
  <si>
    <t>Validación On Line Bonos Digitales -  Febrero 2026</t>
  </si>
  <si>
    <t>Disolución Previsión feb26  Healthcare Marketing Group S.A.</t>
  </si>
  <si>
    <t>Constitución Previsión mar26  Healthcare Marketing Group S.A.</t>
  </si>
  <si>
    <t>Servicio de Validación de TRX -  Febrero 2026 OC 8500891288</t>
  </si>
  <si>
    <t>Disolución Previsión feb26  Colgate Palmolive Argentina S.A.</t>
  </si>
  <si>
    <t>Constitución Previsión mar26  Colgate Palmolive Argentina S.A.</t>
  </si>
  <si>
    <t>Piloto - Febrero 2026</t>
  </si>
  <si>
    <t>Disolución Previsión feb26  Lazar</t>
  </si>
  <si>
    <t>Constitución Previsión mar26  Lazar</t>
  </si>
  <si>
    <t>NCEA 0001-00000001 Obra Social de la Actividad del Seguro</t>
  </si>
  <si>
    <t>NCEA 0001-00000002 Obra Social de la Actividad del Seguro</t>
  </si>
  <si>
    <t>Disolución Previsión  feb26  Obra Social de la Act. de Seguro</t>
  </si>
  <si>
    <t>Constitución Previsión  mar26  Obra Social de la Act. de Seguro</t>
  </si>
  <si>
    <t>Rev. Prov. IIBB 2026-02</t>
  </si>
  <si>
    <t>DDJJ. IIBB 2026-02</t>
  </si>
  <si>
    <t>Prov. IIBB 2026-03</t>
  </si>
  <si>
    <t>MANT LIC ABI - MAR 2026</t>
  </si>
  <si>
    <t>PARA APLICAR A FC 1038</t>
  </si>
  <si>
    <t>MANT.APLIC.NET - MAR 2026</t>
  </si>
  <si>
    <t>PARA APLICAR FC 1039</t>
  </si>
  <si>
    <t>REVERTIR CONST.PROV.COSTOS - FEB26 - RESERV</t>
  </si>
  <si>
    <t>QHOM TECHNOLOGIES S.A.</t>
  </si>
  <si>
    <t>DESARROLLO TOKEN OSSEG</t>
  </si>
  <si>
    <t>SERV.DESAR 2 RECURSOS - FEB26</t>
  </si>
  <si>
    <t>POOL 38 HORAS -FEB26</t>
  </si>
  <si>
    <t>CONST.PROV.COSTOS - MAR26 - RESERV</t>
  </si>
  <si>
    <t>DEVENG.AMORTIZ. LIC.ABI - CUOTA 1 - MAR26</t>
  </si>
  <si>
    <t>DEVENG.AMORTIZ. LIC.ABI - CUOTA 2 - MAR26</t>
  </si>
  <si>
    <t>DEVENG.AMORTIZ. LIC.ABI - CUOTA 3 - MAR26</t>
  </si>
  <si>
    <t>SERV.MANUAL FARMAC, - MAR26</t>
  </si>
  <si>
    <t>TRX IQVIA - ENERO 2026</t>
  </si>
  <si>
    <t>TRX IQVIA - FEBRERO 2026</t>
  </si>
  <si>
    <t>SERV.MONITOREO REDES - MAR26</t>
  </si>
  <si>
    <t>REVERTIR CONST.PROV.COSTOS - FEB26 - BGH PARTNER</t>
  </si>
  <si>
    <t>LIC GOOGLE (34) - FEB26</t>
  </si>
  <si>
    <t>CONST.PROV.COSTOS - MAR26 - BGH PARTNER</t>
  </si>
  <si>
    <t>REVERTIR CONST.PROV.COSTOS - FEB26 - INTERTRON</t>
  </si>
  <si>
    <t>LIC OFFICE - FEB26 - CUOTA 4-12</t>
  </si>
  <si>
    <t>CONST.PROV.COSTOS - MAR26 - INTERTRON</t>
  </si>
  <si>
    <t>ANTHROPIC PBC - FC L7CZLLVN-0017 -U$S 7,03</t>
  </si>
  <si>
    <t>ANTHROPIC PBC - FC L7CZLLVN-0018 - u$s 6,42</t>
  </si>
  <si>
    <t>ANTHROPIC PBC - FC L7CZLLVN-0019 - u$s 2,76</t>
  </si>
  <si>
    <t>ANTHROPIC PBC - FC L7CZLLVN-0019 - u$s 425</t>
  </si>
  <si>
    <t>ADOBE - CUOTA SUSCRIPCION</t>
  </si>
  <si>
    <t>DEVENG.AMORTIZ. SERVIDORES LENOVO - MAR26</t>
  </si>
  <si>
    <t>DEVENG.AMORTIZ. SWITCH CATALYST - MAR26</t>
  </si>
  <si>
    <t>DEVENG.AMORTIZ. CABLES P/DC BU - MAR26</t>
  </si>
  <si>
    <t>CALL CENTER - FARMACIAS - MAR26</t>
  </si>
  <si>
    <t>SERVICIO CRM - CC - MAR 2026</t>
  </si>
  <si>
    <t>REVERTIR CONST.PROV.COSTOS - FEB26 - AVANTER</t>
  </si>
  <si>
    <t>SERVICIO ASTRA - FEB26</t>
  </si>
  <si>
    <t>SERV.PANALAB-SIDUS - FEB26</t>
  </si>
  <si>
    <t>CONST.PROV.COSTOS - MAR26 - AVANTER</t>
  </si>
  <si>
    <t>CALL CENTER - ASTRA - MAR26</t>
  </si>
  <si>
    <t>REVERTIR CONST.PROV.COSTOS - FEB26 - TRX IQVIA 2025</t>
  </si>
  <si>
    <t>REVERTIR CONST.PROV.COSTOS - FEB26 - TRX IQVIA 2026</t>
  </si>
  <si>
    <t>KELLERTAS S.C.S.</t>
  </si>
  <si>
    <t>TRX IQVIA - ENE-FEB26</t>
  </si>
  <si>
    <t>TRX IQVIA - ENE-FEB 2026</t>
  </si>
  <si>
    <t>REG.CONTAB.CERT.GAN NRO 57 DEL 23-02-2026</t>
  </si>
  <si>
    <t>ADRIANA DUMM</t>
  </si>
  <si>
    <t>TRX IQVIA - ENE A DIC 2025</t>
  </si>
  <si>
    <t>CONST.PROV.COSTOS - MAR26 - TRX IQVIA 2025-2026</t>
  </si>
  <si>
    <t>REVERTIR CONST.PROV.COSTOS - FEB26 - SERDATA</t>
  </si>
  <si>
    <t>SERV.FORM PANALAB FEB26 - 76.676 A $59,27</t>
  </si>
  <si>
    <t>CORREGIR IMPUT.PAGO A SERDATA 16-03-26</t>
  </si>
  <si>
    <t>CONST.PROV.COSTOS - MAR26 - SERDATA</t>
  </si>
  <si>
    <t>REVERTIR CONST.PROV.COSTOS - FEB26 - AGERI</t>
  </si>
  <si>
    <t>CONST.PROV.COSTOS - MAR26 - AGERI</t>
  </si>
  <si>
    <t>REVERTIR CONST.PROV.COSTOS - FEB26 - BIZLAND</t>
  </si>
  <si>
    <t>TSA - SERV PROF - $ - A1 - FEB26</t>
  </si>
  <si>
    <t>TSA - SERV PROF ADIC - $ - A2 - FEB26</t>
  </si>
  <si>
    <t>TSA - SERV. DOLARES - A3 - FEB26</t>
  </si>
  <si>
    <t>CONST.PROV.COSTOS - MAR26 - BIZLAND</t>
  </si>
  <si>
    <t>DEVENG.AMORTIZ-BZ-FORTRA-LIC GOANYWEHRE -(P2025) - MAR26</t>
  </si>
  <si>
    <t>DEVENG.AMORTIZ-BZ-RED HAT LINUX -(P2025) - MAR26</t>
  </si>
  <si>
    <t>DEVENG.AMORTIZ. BZ - RENOV BASE4 (P2025) - MAR26</t>
  </si>
  <si>
    <t>DEVENG.AMORTIZ. BZ - RENOV TENABLE (P2025) - MAR26</t>
  </si>
  <si>
    <t>DEVENG.AMORTIZ. BZ - RENOV ZMA (P2025) - MAR26</t>
  </si>
  <si>
    <t>DEVENG.AMORTIZ. BZ - RENOV JIRA (P2025) - MAR26</t>
  </si>
  <si>
    <t>DEVENG.AMORTIZ. BZ - RENOV TELEXTORAGE (P2025) - MAR26</t>
  </si>
  <si>
    <t>DEVENG.AMORTIZ. BZ - RENOV FORTRA (P2025) - MAR26</t>
  </si>
  <si>
    <t>DEVENG.AMORTIZ. BZ - RENOV ZNET PRTG (P2025) - MAR26</t>
  </si>
  <si>
    <t>DEVENG.AMORTIZ. BZ - RENOV SERV NOW (P2025) - MAR26</t>
  </si>
  <si>
    <t>DEVENG.AMORTIZ. BZ - RENOV AMERICA (P2025) - MAR26</t>
  </si>
  <si>
    <t>DEVENG.AMORTIZ. BZ - RENOV MICROSOFT (P2025) - MAR26</t>
  </si>
  <si>
    <t>DEVENG.AMORTIZ. BZ - RENOV COMMVALT (P2025) - MAR26</t>
  </si>
  <si>
    <t>LA MERIDIONAL CIA ARG DE SEG</t>
  </si>
  <si>
    <t>DIF.COTIZACION - PAGO CUOTAS</t>
  </si>
  <si>
    <t>HONORARIOS - MAR26</t>
  </si>
  <si>
    <t>HONORARIOS x AUM CAPITAL</t>
  </si>
  <si>
    <t>REVERTIR CONST.PROV.COSTOS - FEB26 - NATALIA RRHH</t>
  </si>
  <si>
    <t>HONOR.CERTIF.CIRCULAR ARCA</t>
  </si>
  <si>
    <t>SIST.ADM - MARZO 2026</t>
  </si>
  <si>
    <t>PAGO LIBRO SUELDOS DIGITALES - FEB26</t>
  </si>
  <si>
    <t>Asiento de sueldos 2026-03</t>
  </si>
  <si>
    <t>Provisión SAC 1er Semestre 2026 - 2026/03</t>
  </si>
  <si>
    <t>Prov. Gratificación 2026 - Dev. 2026-03</t>
  </si>
  <si>
    <t>Prov. Vacaciones 2026 - Dev. 2026-03</t>
  </si>
  <si>
    <t>SERV.MEDICOS ASISTENCIALES - MAR26</t>
  </si>
  <si>
    <t>DERIV.APORTES ANSES 01-11/2025</t>
  </si>
  <si>
    <t>AJUSTE CUOTA 03-26 2,9% FC 1080620</t>
  </si>
  <si>
    <t>SERV.MEDICOS ASIST - FEBRERO 2026</t>
  </si>
  <si>
    <t>REVERTIR CONST.PROV.COSTOS - FEB26 - OSDE</t>
  </si>
  <si>
    <t>CONST.PROV.COSTOS - MAR26 - OSDE</t>
  </si>
  <si>
    <t>MARIA NATALIA DOYHARZABAL</t>
  </si>
  <si>
    <t>SERV.RECURSOS HUMANOS - FEB26</t>
  </si>
  <si>
    <t>SERV.RR.HH SALDO HORAS MAR26</t>
  </si>
  <si>
    <t>SERVICIOS RR.HH - MARZO 2026</t>
  </si>
  <si>
    <t>TICKET CAR - SERVICIO MAR26</t>
  </si>
  <si>
    <t>LIQUIDACION GASTOS - MAR26</t>
  </si>
  <si>
    <t>USO PLATAF BANCO - MAR26</t>
  </si>
  <si>
    <t>NC AJUSTE FC 2078</t>
  </si>
  <si>
    <t>RENT.PERSONAL - DANIEL BAÑARES</t>
  </si>
  <si>
    <t>REINT.PERSONAL - HERNAN ESPOSITO</t>
  </si>
  <si>
    <t>REINT.PERSONAL - VIRGINIA ASCHIERI</t>
  </si>
  <si>
    <t>REINT.PERSONAL - GALO MUÑOZ</t>
  </si>
  <si>
    <t>REINT.PERSONAL - IGNACIO ALADRO</t>
  </si>
  <si>
    <t>REINT.PERSONAL - LUCAS HOJMAN</t>
  </si>
  <si>
    <t>GASTOS ALMUERZO IA - LA PANERA</t>
  </si>
  <si>
    <t>GASTOS ALMUERZO IA - ELENA PONYLINE REST</t>
  </si>
  <si>
    <t>5431</t>
  </si>
  <si>
    <t>MEGAH SRL</t>
  </si>
  <si>
    <t>EXAM.PREOCUPAC. ALEGRE EZEQUIEL</t>
  </si>
  <si>
    <t>EXAM.PREOCUP. LOBATO ANDRES</t>
  </si>
  <si>
    <t>EXAM PREOCUP - FORNES EZEQUIEL</t>
  </si>
  <si>
    <t>HONOR.SELECC. RODRIGO ALEGRE</t>
  </si>
  <si>
    <t>ANULA FC A 00002-00000179</t>
  </si>
  <si>
    <t>HONORARIOS SELECC - EZEQUIEL FORNES</t>
  </si>
  <si>
    <t>DEVENG. SEGUROS - ZURICH - AUTOS GM-DB - MAR26</t>
  </si>
  <si>
    <t>SERV.SOPORTE - MES DE MARZO 2026</t>
  </si>
  <si>
    <t>SERV.SOPORTE - AJUSTE ENE-FEB26</t>
  </si>
  <si>
    <t>ALQUILER OFICINA - MARZO 2026</t>
  </si>
  <si>
    <t>LIQ.EXPENSAS - FEBRERO 2026</t>
  </si>
  <si>
    <t>REVERTIR CONST.PROV.COSTOS - FEB26 - MADISSON - EXPENSAS</t>
  </si>
  <si>
    <t>CONST.PROV.COSTOS - MAR26 - MADISSON - EXPENSAS</t>
  </si>
  <si>
    <t>MUNI VL - PAGO ABL OFICINA - MAR26</t>
  </si>
  <si>
    <t>MUNI VL - PAGO ABL COCHERA 15 - MAR26</t>
  </si>
  <si>
    <t>MUNI VL - PAGO ABL COCHERA 16 - MAR26</t>
  </si>
  <si>
    <t>MUNI VL - PAGO ABL COCHERA 46 - MAR26</t>
  </si>
  <si>
    <t>LUZ OFICINA - MARZO 2026</t>
  </si>
  <si>
    <t>ENDOSO POLIZA 1186054 - ELEM.OFICINA</t>
  </si>
  <si>
    <t>SERV.INTERNET - MARZO 2026</t>
  </si>
  <si>
    <t>SERVICIO INTERNET - FEB26</t>
  </si>
  <si>
    <t>SERV.IMPRESORA - MAR26</t>
  </si>
  <si>
    <t>LENOVO ARGENTINA SRL</t>
  </si>
  <si>
    <t>PARA AJUSTAR CONTAB.LENOVO</t>
  </si>
  <si>
    <t>COMPRA ML - ELEMENTOS OFICINA</t>
  </si>
  <si>
    <t>SERV.DISPENSER AGUA - MAR26</t>
  </si>
  <si>
    <t>DEVENG.AMORTIZ. OPORTUTEK - 1 NTB - CPA 01-25 - MAR26</t>
  </si>
  <si>
    <t>DEVENG.AMORTIZ. LA SOLIDA - 2 NTB - CPA 02-25 - MAR26</t>
  </si>
  <si>
    <t>DEVENG.AMORTIZ. DAMARFU - 2 NTB - CPA 02-25 - MAR26</t>
  </si>
  <si>
    <t>DEVENG.AMORTIZ. QUICK SUP - 2 NTB - CPA 04-25 - MAR26</t>
  </si>
  <si>
    <t>DEVENG.AMORTIZ. LA SOLIDA - 2 NTB - CPA 06-25 - MAR26</t>
  </si>
  <si>
    <t>DEVENG.AMORTIZ. LA SOLIDA - 1 NTB - CPA 09-25 - MAR26</t>
  </si>
  <si>
    <t>DEVENG.AMORTIZ. LENOVO - 2 NTB - CPA 01-26 - MAR26</t>
  </si>
  <si>
    <t>DEVENG.AMORTIZ. LENOVO - 2 NTB - CPA 03-26 - MAR26</t>
  </si>
  <si>
    <t>SERGIO RAMON SOTTILE</t>
  </si>
  <si>
    <t>50% ANT. ARREGLO AIRE ACOND</t>
  </si>
  <si>
    <t>50% SALDO ARREGLO AIRE ACOND</t>
  </si>
  <si>
    <t>DEVENG. SEGUROS - GARANTOR - FIANZA ALQ - MAR26</t>
  </si>
  <si>
    <t>SERV.LIMP.OFICINA MAR-26</t>
  </si>
  <si>
    <t>DEVENG,AMORTIZ. GASTOS ORGANIZ. - MAR26</t>
  </si>
  <si>
    <t>REVERTIR CONST.PROV.COSTOS - FEB26 - FRONTIER - TECN</t>
  </si>
  <si>
    <t>SERV.TECNOLOGICOS - FEB26</t>
  </si>
  <si>
    <t>CONST.PROV.COSTOS - MAR26 - FRONTIER - TECN</t>
  </si>
  <si>
    <t>REVERTIR CONST.PROV.COSTOS - FEB26 - FRONTIER - GCIA</t>
  </si>
  <si>
    <t>SERV.GERENCIAMIENTO - FEB26</t>
  </si>
  <si>
    <t>CONST.PROV.COSTOS - MAR26 - FRONTIER - GCIA</t>
  </si>
  <si>
    <t>GASTOS BANCARIOS - MARZO 2026</t>
  </si>
  <si>
    <t>PAGO FC 27735 Y 27736</t>
  </si>
  <si>
    <t>PAGO FC 143</t>
  </si>
  <si>
    <t>Por resultado FCI 2026-03</t>
  </si>
  <si>
    <t>Actualización saldo cta.cte. U$S 2026-03</t>
  </si>
  <si>
    <t>Devengamiento intereses préstamos a accionistas 2026-03</t>
  </si>
  <si>
    <t>MUNI VL - PAGO TISH - FEB26</t>
  </si>
  <si>
    <t>Reversión Prov. TSH 2026-02</t>
  </si>
  <si>
    <t>Provisión TSH 2026-03</t>
  </si>
  <si>
    <t>Provisión IG 2026 - 2026-03</t>
  </si>
  <si>
    <t>Servicio Basico Online PREPAGAS - Febrero 2026</t>
  </si>
  <si>
    <t>Disolución Previsión  mar26  FLK Prepagas On Line</t>
  </si>
  <si>
    <t>Constitución Previsión  abr26  FLK Prepagas On Line</t>
  </si>
  <si>
    <t>Servicio Basico Online APROSS - Febrero 2026</t>
  </si>
  <si>
    <t>Disolución Previsión  mar26  FLK Apross On Line</t>
  </si>
  <si>
    <t>Constitución Previsión  abr26  FLK Apross On Line</t>
  </si>
  <si>
    <t>Servicio Basico Online IOMA - Febrero 2026</t>
  </si>
  <si>
    <t>Disolución Previsión  mar26  FLK IOMA On Line</t>
  </si>
  <si>
    <t>Constitución Previsión  abr26  FLK IOMA On Line</t>
  </si>
  <si>
    <t>Servicio Basico Online - RECETA ELECTRONICA - PREPAGAS - Febrero 2026</t>
  </si>
  <si>
    <t>Disolución Previsión  mar26  FLK Prepagas Receta Electronica On Line</t>
  </si>
  <si>
    <t>Constitución Previsión  abr26  FLK Prepagas Receta Electronica On Line</t>
  </si>
  <si>
    <t>Servicio Basico Online - RECETA ELECTRONICA - APROSS - Febrero 2026</t>
  </si>
  <si>
    <t>Disolución Previsión  mar26  FLK Apross  Receta Electronica On Line</t>
  </si>
  <si>
    <t>Constitución Previsión  abr26  FLK Apross  Receta Electronica On Line</t>
  </si>
  <si>
    <t>Servicio Basico Online - RECETA ELECTRONICA - IOMA - Febrero 2026</t>
  </si>
  <si>
    <t>Disolución Previsión  mar26  FLK IOMA  Receta Electronica On Line</t>
  </si>
  <si>
    <t>Constitución Previsión  abr26  FLK IOMA  Receta Electronica On Line</t>
  </si>
  <si>
    <t>Servicio Básico On Line - PAMI - Febrero 2026</t>
  </si>
  <si>
    <t>Disolución Previsión  mar26  FLK PAMI On Line</t>
  </si>
  <si>
    <t>Constitución Previsión  abr26  FLK PAMI On Line</t>
  </si>
  <si>
    <t>Servicio Básico On Line - PAMI Imposiciones  - Febrero 2026</t>
  </si>
  <si>
    <t>Disolución Previsión  mar26  FLK PAMI Imposiciones On Line</t>
  </si>
  <si>
    <t>Constitución Previsión  abr26  FLK PAMI Imposiciones On Line</t>
  </si>
  <si>
    <t>Servicio de Validación en Linea - Marzo 2026</t>
  </si>
  <si>
    <t>Disolución Previsión  mar26  Pcia ART</t>
  </si>
  <si>
    <t>Constitución Previsión  abr26  Pcia ART</t>
  </si>
  <si>
    <t>Programa Elegir Salud - Marzo 2026 - OC 4550044197  PRID  KKHD039</t>
  </si>
  <si>
    <t>Disolución Previsión  mar26  Astrazeca</t>
  </si>
  <si>
    <t>Constitución Previsión  abr26  Astrazmarca</t>
  </si>
  <si>
    <t>Servicio Transaccional - Marzo 2026</t>
  </si>
  <si>
    <t>Disolución Previsión  mar26  Avanter</t>
  </si>
  <si>
    <t>Constitución Previsión  abr26  Avanter</t>
  </si>
  <si>
    <t>Programa Mas Simple Bayer - Marzo 2026 - Pedido 750614669</t>
  </si>
  <si>
    <t>Disolución Previsión  mar26 Bayer Argentina S.A.</t>
  </si>
  <si>
    <t>Constitución Previsión  abr26 Bayer Argentina S.A.</t>
  </si>
  <si>
    <t>Devengamiento Facturación Abr26 Iqvia Solutions Argentina</t>
  </si>
  <si>
    <t>Servicio de Validación en linea de Bonos - Marzo 2026</t>
  </si>
  <si>
    <t>Disolución Previsión  mar26  Max Vision SRL</t>
  </si>
  <si>
    <t>Constitución Previsión  abr26  Max Vision SRL</t>
  </si>
  <si>
    <t>Serv de Proc de Bonos de Descuento Manual - Marzo 2026 OC  20314</t>
  </si>
  <si>
    <t>Serv de Generac y Autoriz de Dispensa de Bonos Digitales -  Marzo 2026 OC 20314</t>
  </si>
  <si>
    <t>Disolución Previsión  mar26  Panalab</t>
  </si>
  <si>
    <t>Constitución Previsión  abr26  Panalab</t>
  </si>
  <si>
    <t>Servicio de Validación de TRX -  Marzo 2026 OC 4500335755</t>
  </si>
  <si>
    <t>Disolución Previsión mar26  Sidus Dermocosmetica</t>
  </si>
  <si>
    <t>Constitución Previsión abr26  Sidus Dermocosmetica</t>
  </si>
  <si>
    <t>OC 4500334626 Start Up Marzo 2026 (cuota 1 de 2)</t>
  </si>
  <si>
    <t>Servicio de Validación en linea de Bonos Programa Convida Marzo 2026</t>
  </si>
  <si>
    <t>Disolución Previsión  mar26  Sidus S.A.</t>
  </si>
  <si>
    <t>Constitución Previsión  abr26  Sidus S.A.</t>
  </si>
  <si>
    <t>Biu Cosmeceuticals Bonos -  Marzo 2026</t>
  </si>
  <si>
    <t>Disolución Previsión  mar26  Unyc S. A.</t>
  </si>
  <si>
    <t>Constitución Previsión  abr26  Unyc S. A.</t>
  </si>
  <si>
    <t>Validación On Line Bonos Digitales -  Marzo 2026</t>
  </si>
  <si>
    <t>Validación On Line Bonos Digitales -  Marzo 2026 (Luar)</t>
  </si>
  <si>
    <t>Disolución Previsión mar26  Healthcare Marketing Group S.A.</t>
  </si>
  <si>
    <t>Constitución Previsión abr26  Healthcare abrketing Group S.A.</t>
  </si>
  <si>
    <t>Servicio de Validación de TRX -  Marzo 2026 OC 8500908832</t>
  </si>
  <si>
    <t>Disolución Previsión mar26  Colgate Palmolive Argentina S.A.</t>
  </si>
  <si>
    <t>Constitución Previsión abr26  Colgate Palmolive Argentina S.A.</t>
  </si>
  <si>
    <t>Piloto - Marzo 2026</t>
  </si>
  <si>
    <t>Disolución Previsión mar26  Lazar</t>
  </si>
  <si>
    <t>Constitución Previsión abr26  Lazar</t>
  </si>
  <si>
    <t>Servicio Marzo 2026 Abono básico hasta 70.000 trs  Ref. N°: 8000263771/6</t>
  </si>
  <si>
    <t>Disolución Previsión  mar26  Obra Social de la Act. de Seguro</t>
  </si>
  <si>
    <t>Constitución Previsión  abr26  Obra Social de la Act. de Seguro</t>
  </si>
  <si>
    <t>Rev. Prov. IIBB 2026-03</t>
  </si>
  <si>
    <t>DDJJ IIBB 2026-03</t>
  </si>
  <si>
    <t>DDJJ IIBB 2026-04</t>
  </si>
  <si>
    <t>MANT.LIC ABI - ABR26</t>
  </si>
  <si>
    <t>PARA REG.CONTAB FC 1041</t>
  </si>
  <si>
    <t>MANT.APL.NET - ABR26</t>
  </si>
  <si>
    <t>PARA REG.CONTAB FC 1042</t>
  </si>
  <si>
    <t>REVERSION PROV.COSTOS - MAR26 - RESERV</t>
  </si>
  <si>
    <t>SERVICIO RRHH - MAR26</t>
  </si>
  <si>
    <t>HS ADICIONALES (24) - MAR26</t>
  </si>
  <si>
    <t>CONST.PROV.COSTOS - ABR26 - RESERV - RRHH</t>
  </si>
  <si>
    <t>CONST.PROV.COSTOS - ABR26 - RESERV - HORAS</t>
  </si>
  <si>
    <t>DEVENG.AMORTIZ. LIC.ABI - CUOTA 1 - ABR26</t>
  </si>
  <si>
    <t>DEVENG.AMORTIZ. LIC.ABI - CUOTA 2 - ABR26</t>
  </si>
  <si>
    <t>DEVENG.AMORTIZ. LIC.ABI - CUOTA 3 - ABR26</t>
  </si>
  <si>
    <t>SERV.MANUAL FARMAC - ABR26</t>
  </si>
  <si>
    <t>SERV.MONITOREO - ABR26</t>
  </si>
  <si>
    <t>REVERSION PROV.COSTOS - MAR26 - BGH PARTNER</t>
  </si>
  <si>
    <t>LIC GOOGLE - 40 LICENCIAS CUOTA 1/12</t>
  </si>
  <si>
    <t>CONST.PROV.COSTOS - ABR26 - BGH PARTNER</t>
  </si>
  <si>
    <t>AJUSTE PAGO FC 13972</t>
  </si>
  <si>
    <t>REVERSION PROV.COSTOS - MAR26 - INTERTRON</t>
  </si>
  <si>
    <t>LICENCIAS MS - MAR26</t>
  </si>
  <si>
    <t>CONST.PROV.COSTOS - ABR26 - INTERTRON</t>
  </si>
  <si>
    <t>ANTHROPIC PBC - FC L7CZLLVN-0021 - U$S 3,15</t>
  </si>
  <si>
    <t>ANTHROPIC PBC - FC L7CZLLVN-0022 - U$S 3,14</t>
  </si>
  <si>
    <t>ANTHROPIC PBC - FC L7CZLLVN-0023 - U$S 475</t>
  </si>
  <si>
    <t>ANTHROPIC PBC - FC L7CZLLVN-0024 -U$S 419,11</t>
  </si>
  <si>
    <t>DEVENG.AMORTIZ. SERVIDORES LENOVO - ABR26</t>
  </si>
  <si>
    <t>DEVENG.AMORTIZ. SWITCH CATALYST - ABR26</t>
  </si>
  <si>
    <t>DEVENG.AMORTIZ. CABLES P/DC BU - ABR26</t>
  </si>
  <si>
    <t>SERV.CALL CENTER - FCIAS - ABR26</t>
  </si>
  <si>
    <t>SERV.CRM CALL IMED - ABR26</t>
  </si>
  <si>
    <t>REVERSION PROV.COSTOS - MAR26 - AVANTER</t>
  </si>
  <si>
    <t>SERVICIO ASTRA - MAR26</t>
  </si>
  <si>
    <t>SERVICIO SIDUS-PANALAB - MAR26</t>
  </si>
  <si>
    <t>CONST.PROV.COSTOS - ABR26 - AVANTER - ASTRA</t>
  </si>
  <si>
    <t>CONST.PROV.COSTOS - ABR26 - AVANTER - PABALAB-SIDUS</t>
  </si>
  <si>
    <t>SERV CC ASTRA - ABR26</t>
  </si>
  <si>
    <t>REVERSION PROV.COSTOS - MAR26 - TRX IQVIA 2025-2026</t>
  </si>
  <si>
    <t>PARA ANULAR FC 13981</t>
  </si>
  <si>
    <t>TRX IQVIA - ENE-FEB-MAR 26</t>
  </si>
  <si>
    <t>ESTACION 44 S.C.S.</t>
  </si>
  <si>
    <t>TRX IQVIA - ENE-FEB-MAR 2026</t>
  </si>
  <si>
    <t>TRX IQVIA - MARZO 2026</t>
  </si>
  <si>
    <t>CONST.PROV.COSTOS - ABR26 - TRX IQVIA 2025</t>
  </si>
  <si>
    <t>CONST.PROV.COSTOS - ABR26 - TRX IQVIA 2026</t>
  </si>
  <si>
    <t>REVERSION PROV.COSTOS - MAR26 - SERDATA</t>
  </si>
  <si>
    <t>SERV.FORM PANALAB 82.896 - MAR26</t>
  </si>
  <si>
    <t>CONST.PROV.COSTOS - ABR26 - SERDATA</t>
  </si>
  <si>
    <t>REVERSION PROV.COSTOS - MAR26 - AGERI</t>
  </si>
  <si>
    <t>AGERI S.R.L.</t>
  </si>
  <si>
    <t>REMISES PANALAB - REG.CTA</t>
  </si>
  <si>
    <t>REVERSION PROV.COSTOS - MAR26 - BIZLAND</t>
  </si>
  <si>
    <t>SERV TSA 2026-03 - RRHH - $ A1 - 2026-03</t>
  </si>
  <si>
    <t>SERV.TSA - 2026-03 - ADIC RRHH $ A2</t>
  </si>
  <si>
    <t>SERV.TSA - 2026-03 - MANT PLAT - U$S A3</t>
  </si>
  <si>
    <t>CONST.PROV.COSTOS - ABR26 - BIZLAND</t>
  </si>
  <si>
    <t>DEVENG.AMORTIZ-BZ-FORTRA-LIC GOANYWEHRE -(P2025) - ABR26</t>
  </si>
  <si>
    <t>DEVENG.AMORTIZ-BZ-RED HAT LINUX -(P2025) - ABR26</t>
  </si>
  <si>
    <t>DEVENG.AMORTIZ. BZ - RENOV BASE4 (P2025) - ABR26</t>
  </si>
  <si>
    <t>DEVENG.AMORTIZ. BZ - RENOV TENABLE (P2025) - ABR26</t>
  </si>
  <si>
    <t>DEVENG.AMORTIZ. BZ - RENOV ZMA (P2025) - ABR26</t>
  </si>
  <si>
    <t>DEVENG.AMORTIZ. BZ - RENOV JIRA (P2025) - ABR26</t>
  </si>
  <si>
    <t>DEVENG.AMORTIZ. BZ - RENOV TELEXTORAGE (P2025) - ABR26</t>
  </si>
  <si>
    <t>DEVENG.AMORTIZ. BZ - RENOV FORTRA (P2025) - ABR26</t>
  </si>
  <si>
    <t>DEVENG.AMORTIZ. BZ - RENOV ZNET PRTG (P2025) - ABR26</t>
  </si>
  <si>
    <t>DEVENG.AMORTIZ. BZ - RENOV SERV NOW (P2025) - ABR26</t>
  </si>
  <si>
    <t>DEVENG.AMORTIZ. BZ - RENOV AMERICA (P2025) - ABR26</t>
  </si>
  <si>
    <t>DEVENG.AMORTIZ. BZ - RENOV MICROSOFT (P2025) - ABR26</t>
  </si>
  <si>
    <t>DEVENG.AMORTIZ. BZ - RENOV COMMVALT (P2025) - ABR26</t>
  </si>
  <si>
    <t>DEVENG.AMORTIZ. BZ - RENOV FORTRA (P2026) - ABR26</t>
  </si>
  <si>
    <t>SERVICIO CONTABLE - ABRIL 2026</t>
  </si>
  <si>
    <t>HONOR.POR CARTA DOCUMENTO</t>
  </si>
  <si>
    <t>SIST ADM CONTABLE - ABR26</t>
  </si>
  <si>
    <t>LIBRO SUELDOS DIGITALES - MAR26</t>
  </si>
  <si>
    <t>Asiento de sueldos 2026-04</t>
  </si>
  <si>
    <t>Provisión SAC 1er Semestre 2026 - 2026/04</t>
  </si>
  <si>
    <t>Prov. Gratificación 2026 - Dev. 2026-04</t>
  </si>
  <si>
    <t>Prov. Vacaciones 2026 - Dev. 2026-04</t>
  </si>
  <si>
    <t>DERIV.APORTE ANSES 12/2025</t>
  </si>
  <si>
    <t>SERV.MEDICOS ASIST - ABR26</t>
  </si>
  <si>
    <t>AJUSTE CUOTA SERV 04/2026 3,2%</t>
  </si>
  <si>
    <t>CREDITO CUOTA 03 Y 04/2026 - FCs 620-459</t>
  </si>
  <si>
    <t>REVERSION PROV.COSTOS - MAR26 - OSDE</t>
  </si>
  <si>
    <t>SERV.MEDICOS ASIST - MAR26</t>
  </si>
  <si>
    <t>CONST.PROV.COSTOS - ABR26 - OSDE</t>
  </si>
  <si>
    <t>VISMA ARGENTINA S.A.</t>
  </si>
  <si>
    <t>SERV.IMP.RECIBOS - ABR26-MAR27</t>
  </si>
  <si>
    <t>SERVICIO RR.HH. - ABR26</t>
  </si>
  <si>
    <t>SERVICIO TICKET CAR - ABR26</t>
  </si>
  <si>
    <t>LIQ GASTOS -TICKET CAR - ABR 2026</t>
  </si>
  <si>
    <t>SERVICIO PLATAFORMA - ABR26</t>
  </si>
  <si>
    <t>REINTEGRO GASTOS - VIATICOS IGNACIO</t>
  </si>
  <si>
    <t>REINT.GASTOS - VIATICOS - LUCAS HOJMAN</t>
  </si>
  <si>
    <t>LO DE CARLITOS - ALMUERZO IA</t>
  </si>
  <si>
    <t>CUSTOMCELL - Atención Nicolás Campos</t>
  </si>
  <si>
    <t>GASTOS ALMUERZO Y ESTACION - IA</t>
  </si>
  <si>
    <t>GASTOS IA - ALMUERZOS Y ESTACIONAM</t>
  </si>
  <si>
    <t>HONORARIOS SELECC - ANDRES LOBATO</t>
  </si>
  <si>
    <t>DEVENG. SEGUROS - ZURICH - AUTOS GM-DB - ABR26</t>
  </si>
  <si>
    <t>SERV.PROFESIONALES - ABR26</t>
  </si>
  <si>
    <t>EZEQUIEL PADILLA</t>
  </si>
  <si>
    <t>SERV.PROFES. PRESENT.DIGITALES</t>
  </si>
  <si>
    <t>PARA ANULAR FC MAL CONTAB</t>
  </si>
  <si>
    <t>CONST.PROV.COSTOS - ABR26 - PADILLA EZEQUIEL</t>
  </si>
  <si>
    <t>ALQUILER OFICINA - ABRIL 2026</t>
  </si>
  <si>
    <t>LIQUIDACION EXPENSAS - MAR26</t>
  </si>
  <si>
    <t>REVERSION PROV.COSTOS - MAR26 - MADISSON - EXPENSAS</t>
  </si>
  <si>
    <t>CONST.PROV.COSTOS - ABR26 - MADISSON - EXPENSAS</t>
  </si>
  <si>
    <t>ABL VL - OFICINA - ABR2026</t>
  </si>
  <si>
    <t>MUNI VL - COCHERA 15 - ABR26</t>
  </si>
  <si>
    <t>MUNI VL - COCHERA 16 - ABR26</t>
  </si>
  <si>
    <t>MUNI VL - COCHERA 46 - ABR26</t>
  </si>
  <si>
    <t>5436</t>
  </si>
  <si>
    <t>ARBA - IMP INMOB - OFICINA - CUOTA 1 Y 2</t>
  </si>
  <si>
    <t>ARBA - IMP INMOB - COCH 15 - AÑO 2026</t>
  </si>
  <si>
    <t>ARBA - IMP INMOB - COCH 16 - AÑO 2026</t>
  </si>
  <si>
    <t>ARBA - IMP INMOB - COCH 46 - AÑO 2026</t>
  </si>
  <si>
    <t>CONST.PROV.COSTOS - ABR26 - EDENOR</t>
  </si>
  <si>
    <t>SERVICIO INTERNET OFICINA - MAR26</t>
  </si>
  <si>
    <t>SERVICIO INTERNET - ABR26</t>
  </si>
  <si>
    <t>CONST.PROV.COSTOS - ABR26 - CLARO</t>
  </si>
  <si>
    <t>SERVICIO IMPRESORA - ABR26</t>
  </si>
  <si>
    <t>JUST SOLUTION - CPA 7 AURICULARES</t>
  </si>
  <si>
    <t>DENDA - CPA  5 TECLADOS Y MOUSE</t>
  </si>
  <si>
    <t>PUSHKENA TEXTIL S. A.</t>
  </si>
  <si>
    <t>DOS SILLAS EJECUTIVO - OFICINA</t>
  </si>
  <si>
    <t>BRUNO DEMATTEIS</t>
  </si>
  <si>
    <t>4 ESCRITORIOS MADERA METAL</t>
  </si>
  <si>
    <t>DESCUENTO PAGO CPA 4 ESCRITORIOS</t>
  </si>
  <si>
    <t>LIMPIO OL - INSUMOS LIMPIEZA</t>
  </si>
  <si>
    <t>MILER - CPA LAMPARAS OFICINA</t>
  </si>
  <si>
    <t>MERCADO ON LINE - CPA TUBOS LUZ OFICINA</t>
  </si>
  <si>
    <t>ASOCIACION BENEFICA CULTURAL</t>
  </si>
  <si>
    <t>ALQUILER SITIO - AL,MUERZO 10-04</t>
  </si>
  <si>
    <t>CARREFOUR - INSUMOS ALMUERZO OFICINA</t>
  </si>
  <si>
    <t>PEDIDOS YA - ALMUERZO OFIC (HIELO)</t>
  </si>
  <si>
    <t>PEDIDOS YA - DESAYUNO OFICINA</t>
  </si>
  <si>
    <t>REINT GASTOS - SUPERM - NORBERTO NOGUERA</t>
  </si>
  <si>
    <t>DISPENSER AGUA OFICINA - ABR26</t>
  </si>
  <si>
    <t>DEVENG.AMORTIZ. OPORTUTEK - 1 NTB - CPA 01-25 - ABR26</t>
  </si>
  <si>
    <t>DEVENG.AMORTIZ. DAMARFU - INST SW - ABR26</t>
  </si>
  <si>
    <t>DEVENG.AMORTIZ. LA SOLIDA - 2 NTB - CPA 02-25 - ABR26</t>
  </si>
  <si>
    <t>DEVENG.AMORTIZ. DAMARFU - 2 NTB - CPA 02-25 - ABR26</t>
  </si>
  <si>
    <t>DEVENG.AMORTIZ. QUICK SUP - 2 NTB - CPA 04-25 - ABR26</t>
  </si>
  <si>
    <t>DEVENG.AMORTIZ. LA SOLIDA - 2 NTB - CPA 06-25 - ABR26</t>
  </si>
  <si>
    <t>DEVENG.AMORTIZ. LA SOLIDA - 1 NTB - CPA 09-25 - ABR26</t>
  </si>
  <si>
    <t>DEVENG.AMORTIZ. LENOVO - 2 NTB - CPA 01-26 - ABR26</t>
  </si>
  <si>
    <t>DEVENG.AMORTIZ. LENOVO - 2 NTB - CPA 03-26 - ABR26</t>
  </si>
  <si>
    <t>DEVENG. SEGUROS - GARANTOR - FIANZA ALQ - ABR26</t>
  </si>
  <si>
    <t>ALEJANDRO BRUNO HEUER Y RASC</t>
  </si>
  <si>
    <t>ELECTRICISTA - INFORME TECNICO (RES)</t>
  </si>
  <si>
    <t>CORREGIR IMPUT.FC C 201 - HEUER - ELECTRICISTA</t>
  </si>
  <si>
    <t>V</t>
  </si>
  <si>
    <t>DEVENG,AMORTIZ. GASTOS ORGANIZ. - ABR26</t>
  </si>
  <si>
    <t>REVERSION PROV.COSTOS - MAR26 - FRONTIER - TECN</t>
  </si>
  <si>
    <t>SERVICIOS TECNOLOGICOS - MAR26</t>
  </si>
  <si>
    <t>CONST.PROV.COSTOS - ABR26 - FRONTIER - TECN</t>
  </si>
  <si>
    <t>REVERSION PROV.COSTOS - MAR26 - FRONTIER - GCIA</t>
  </si>
  <si>
    <t>SERV.GERENCIAMIENTO - MAR26</t>
  </si>
  <si>
    <t>CONST.PROV.COSTOS - ABR26 - FRONTIER - GCIA</t>
  </si>
  <si>
    <t>GASTOS BANCARIOS - ABRIL 2026</t>
  </si>
  <si>
    <t>PARA PAGAR FC 13972</t>
  </si>
  <si>
    <t>PAGO FC 28129</t>
  </si>
  <si>
    <t>PAGO FC 152</t>
  </si>
  <si>
    <t>PAGO FC 14027</t>
  </si>
  <si>
    <t>PAGO FC 2311</t>
  </si>
  <si>
    <t>Por resultado FCI 2026-04</t>
  </si>
  <si>
    <t>Actualización saldo cta.cte. U$S 2026-04</t>
  </si>
  <si>
    <t>INTERESES - VEP 1617439149 - RET GAN - MUTUO</t>
  </si>
  <si>
    <t>AJUSTE REVERS.PROV.SEG E HIGIENE</t>
  </si>
  <si>
    <t>MUNI VL - TASA SEG HIG - MARZO 2026</t>
  </si>
  <si>
    <t>Prov. TSH 2026-04</t>
  </si>
  <si>
    <t>Rev. Prov. TSH 2026-03</t>
  </si>
  <si>
    <t>Provisión IG 2026 - 2026-04</t>
  </si>
  <si>
    <t>(al 30/09/25)</t>
  </si>
  <si>
    <t>Ventas</t>
  </si>
  <si>
    <t>Budget</t>
  </si>
  <si>
    <t>RFC</t>
  </si>
  <si>
    <t xml:space="preserve">% de </t>
  </si>
  <si>
    <t>inflación</t>
  </si>
  <si>
    <t>crecimiento</t>
  </si>
  <si>
    <t>(sin incidencia IIBB)</t>
  </si>
  <si>
    <t>FY 2025</t>
  </si>
  <si>
    <t>estimada 2026</t>
  </si>
  <si>
    <t>neto</t>
  </si>
  <si>
    <t>proyectada 2025</t>
  </si>
  <si>
    <t>Total Ventas</t>
  </si>
  <si>
    <t>Costos</t>
  </si>
  <si>
    <t>Gastos Comercializacion</t>
  </si>
  <si>
    <t>Total Costos</t>
  </si>
  <si>
    <t>Premisas Presupuesto 2026</t>
  </si>
  <si>
    <t>Variables Económicas:</t>
  </si>
  <si>
    <t>Se asume una inflación del 1,5% mensual</t>
  </si>
  <si>
    <t>Inflación Anual 19,56%</t>
  </si>
  <si>
    <t>Se inicia con un dolar BNA enero 1500 y se ajusta el 1,5% mensual</t>
  </si>
  <si>
    <t>dolar BNA ene-26</t>
  </si>
  <si>
    <t>dolar BNA dic-26</t>
  </si>
  <si>
    <t>El dolar Mep es el 2,5% por sobre el BNA</t>
  </si>
  <si>
    <t>dalor Mep ene-26</t>
  </si>
  <si>
    <t>dolar Mep dic-26</t>
  </si>
  <si>
    <t>RRHH:</t>
  </si>
  <si>
    <t>Se consideran 3 ingresos de recursos:  1 desarrollador (enero) + 1 operador (febrero) + 1 desarrollador (abril)</t>
  </si>
  <si>
    <t xml:space="preserve">se considera incremento salarial por performance en Enero del 6,5% </t>
  </si>
  <si>
    <t>se considera incremento salarial por ipc acumulado trimestral en Abril, Julio y Octubre</t>
  </si>
  <si>
    <t>Recambio Tecnológico:</t>
  </si>
  <si>
    <t>Se considera compra de notebook y monitor unicamente en los 3 casos de nuevos recursos</t>
  </si>
  <si>
    <t>Se considera recambio de celular 1 por mes</t>
  </si>
  <si>
    <t>Proveedores:</t>
  </si>
  <si>
    <t>Se prevee una reducción de la contratación del proveedor Reserv al 50% en todas sus lineas desde el mes de Julio2026</t>
  </si>
  <si>
    <t>REAL ACUM MAR</t>
  </si>
  <si>
    <t>BDGT</t>
  </si>
  <si>
    <t>BDGT ACUM MAR</t>
  </si>
  <si>
    <t>P&amp;L</t>
  </si>
  <si>
    <t>Revenue</t>
  </si>
  <si>
    <t>Sales Tax</t>
  </si>
  <si>
    <t>Gross margin</t>
  </si>
  <si>
    <t>Professional fees</t>
  </si>
  <si>
    <t>Travel</t>
  </si>
  <si>
    <t>Marketing&amp;Advertising</t>
  </si>
  <si>
    <t>Miscellaneous</t>
  </si>
  <si>
    <t>EBITDA</t>
  </si>
  <si>
    <t>Other income</t>
  </si>
  <si>
    <t>Income tax</t>
  </si>
  <si>
    <t>Net (loss) income</t>
  </si>
  <si>
    <t>Ingresos por Venta de Servicios</t>
  </si>
  <si>
    <t>Diferencia de Cambio</t>
  </si>
  <si>
    <t xml:space="preserve">Resultados Financieros - </t>
  </si>
  <si>
    <t>Resultados por tenencia</t>
  </si>
  <si>
    <t>Resultados por tenencia FCI</t>
  </si>
  <si>
    <t>Intereses ganados préstamos accionistas</t>
  </si>
  <si>
    <t>Servicios Call Center</t>
  </si>
  <si>
    <t>Mantenimiento y Soporte Plataforma</t>
  </si>
  <si>
    <t>Evolucion Desarrollo</t>
  </si>
  <si>
    <t>Mantenimiento de Licencias</t>
  </si>
  <si>
    <t>Servicios de CRM de llamadas telefonicas</t>
  </si>
  <si>
    <t>Diseño de Pagina WEB</t>
  </si>
  <si>
    <t>Servicio de Captura y Envio de transacciones</t>
  </si>
  <si>
    <t>Servicio de Formularios Panalab</t>
  </si>
  <si>
    <t>Otros general</t>
  </si>
  <si>
    <t>Energia Electrica</t>
  </si>
  <si>
    <t>Comunicaciones</t>
  </si>
  <si>
    <t>Movilidad</t>
  </si>
  <si>
    <t>Accesorios de hardware</t>
  </si>
  <si>
    <t>Sueldos y salarios administrativos</t>
  </si>
  <si>
    <t>Cargas Sociales administrativas</t>
  </si>
  <si>
    <t>Honorarios Administracion</t>
  </si>
  <si>
    <t>Comisiones y Gastos bancarios</t>
  </si>
  <si>
    <t>Gastos de Oficina</t>
  </si>
  <si>
    <t>Alquileres y Expensas</t>
  </si>
  <si>
    <t>Seguros</t>
  </si>
  <si>
    <t>Servicios de Mantenimiento y Limpieza</t>
  </si>
  <si>
    <t>Representacion</t>
  </si>
  <si>
    <t>Refrigerios y Supermercado</t>
  </si>
  <si>
    <t>Tasas Varias</t>
  </si>
  <si>
    <t>Impuesto a las ganancias</t>
  </si>
  <si>
    <t>Depreciaciones Equipos de computacion</t>
  </si>
  <si>
    <t>Depreciacion Software</t>
  </si>
  <si>
    <t>Depreciación Gastos de Organización</t>
  </si>
  <si>
    <t>Depreciación Servidores</t>
  </si>
  <si>
    <t>Servicios de terceros</t>
  </si>
  <si>
    <t>Impuestos sobre los IIBB</t>
  </si>
  <si>
    <t>Impuesto Percep. II.BB Córdoba</t>
  </si>
  <si>
    <t>Gastos de marketing</t>
  </si>
  <si>
    <t>Gastos de comercializacion.</t>
  </si>
  <si>
    <t>Impuestos Sobre Bienes Personales (Acc/Part)</t>
  </si>
  <si>
    <t>Intereses Perdidos y Multas</t>
  </si>
  <si>
    <t>Ingresos de Personal</t>
  </si>
  <si>
    <t>ipc estimado</t>
  </si>
  <si>
    <t>Meses en los que se suma</t>
  </si>
  <si>
    <t>desarrolladores</t>
  </si>
  <si>
    <t>enero y abril</t>
  </si>
  <si>
    <t>operaciones</t>
  </si>
  <si>
    <t>febrero</t>
  </si>
  <si>
    <t>dic-25</t>
  </si>
  <si>
    <t>ACTUALIZAR CANTIDAD DE LICENCIAS SEGUN INGRESOS</t>
  </si>
  <si>
    <t>Calculo Mensual de Vacaciones y Bono</t>
  </si>
  <si>
    <t>Monto Anual</t>
  </si>
  <si>
    <t>Prorrateo</t>
  </si>
  <si>
    <t>a definir por IA</t>
  </si>
  <si>
    <t>Mensual</t>
  </si>
  <si>
    <t>ajuste aplicado en cada mes</t>
  </si>
  <si>
    <t>Fuente: Mail Analia de Martin 20/11/2025</t>
  </si>
  <si>
    <t>Abr-25</t>
  </si>
  <si>
    <t>Prov. Vacaciones</t>
  </si>
  <si>
    <t>base salarial dic2025</t>
  </si>
  <si>
    <t>Prov. Vacaciones (Cargas sociales)</t>
  </si>
  <si>
    <t>Total Provi Vacaciones y Cs Sociales</t>
  </si>
  <si>
    <t>Prov. Bono 75%</t>
  </si>
  <si>
    <t>Prov. Bono (Cargas sociales)</t>
  </si>
  <si>
    <t>Total Provi Bono y Cs Sociales</t>
  </si>
  <si>
    <t>multiplicador costo total empresa por sueldo bruto</t>
  </si>
  <si>
    <t>Dias hábiles 2025</t>
  </si>
  <si>
    <t>REAL TRX 2025</t>
  </si>
  <si>
    <t>Servicio Basico Online PREPAGAS</t>
  </si>
  <si>
    <t>Servicio Basico Online APROSS</t>
  </si>
  <si>
    <t>Servicio Basico Online IOMA</t>
  </si>
  <si>
    <t>Receta Electrónica Prepagas</t>
  </si>
  <si>
    <t>Receta Electrónica Apross</t>
  </si>
  <si>
    <t>Receta Electrónica IOMA</t>
  </si>
  <si>
    <t>Servicio Basico On Line PAMI</t>
  </si>
  <si>
    <t>Servicio Basico On Line PAMI Imposiciones</t>
  </si>
  <si>
    <t>se prevee un IPC de 1,5% en Julio</t>
  </si>
  <si>
    <t>Variación estacional Prepagas 2025</t>
  </si>
  <si>
    <t>Variación estacional Apross 2025</t>
  </si>
  <si>
    <t>Variación estacional IOMA 2025</t>
  </si>
  <si>
    <t>Variación estacional Rec Elect Prepagas 2025</t>
  </si>
  <si>
    <t>Variación estacional  Rec Elect Apross 2025</t>
  </si>
  <si>
    <t>Variación estacional  Rec Elect IOMA 2025</t>
  </si>
  <si>
    <t>REAL Precio x TRX 2025</t>
  </si>
  <si>
    <t>IPC Indec mensual proyectado 2025</t>
  </si>
  <si>
    <t>REAL Facturación 2025</t>
  </si>
  <si>
    <t>Dias hábiles 2026</t>
  </si>
  <si>
    <t>BDGT TRX 2026</t>
  </si>
  <si>
    <t xml:space="preserve">  -&gt; IGUAL REAL A SEPT 2025 + RFC Q4 2025</t>
  </si>
  <si>
    <t>Presentaciones Digitales</t>
  </si>
  <si>
    <t>desde abril se considera un 5% acumulativo mensual sobre la cant de TRX Pami</t>
  </si>
  <si>
    <t>BDGT Precio x TRX 2026</t>
  </si>
  <si>
    <t>IPC Indec mensual proyectado 2026</t>
  </si>
  <si>
    <t>inflación anual</t>
  </si>
  <si>
    <t>BDGT Facturación 2026</t>
  </si>
  <si>
    <t>crec s/pres digitales</t>
  </si>
  <si>
    <t>Total Facturación BDGT FLK 2026</t>
  </si>
  <si>
    <t>Gap TRX</t>
  </si>
  <si>
    <t>Gap Precio</t>
  </si>
  <si>
    <t>Gap Facturación</t>
  </si>
  <si>
    <t>crecim c/pres digitales</t>
  </si>
  <si>
    <t>RFC 2025 (Nov25)</t>
  </si>
  <si>
    <t>Facturación Astra - Programa Elegir Salud</t>
  </si>
  <si>
    <t>Septiembre 2025 (*) Real</t>
  </si>
  <si>
    <t>Octubre 2025 RFC</t>
  </si>
  <si>
    <t>Noviembre 2025 RFC</t>
  </si>
  <si>
    <t>Diciembre 2025 RFC</t>
  </si>
  <si>
    <t>Enero 2026 RFC</t>
  </si>
  <si>
    <t>Febrero 2026 RFC</t>
  </si>
  <si>
    <t>Marzo 2026 RFC</t>
  </si>
  <si>
    <t>Abril 2026 RFC</t>
  </si>
  <si>
    <t>Mayo 2026 RFC</t>
  </si>
  <si>
    <t>Junio 2026 RFC</t>
  </si>
  <si>
    <t>Julio 2026 RFC</t>
  </si>
  <si>
    <t>Agosto 2026 RFC</t>
  </si>
  <si>
    <t>Septiembre 2026 RFC</t>
  </si>
  <si>
    <t>Octubre 2026 RFC</t>
  </si>
  <si>
    <t>Noviembre 2026 RFC</t>
  </si>
  <si>
    <t>Diciembre 2026 RFC</t>
  </si>
  <si>
    <t>Cantidad</t>
  </si>
  <si>
    <t>Precio Unit. Ago-25</t>
  </si>
  <si>
    <t>Precio Unit. Sept-25</t>
  </si>
  <si>
    <t>Total a Facturar</t>
  </si>
  <si>
    <t>Precio Unitario</t>
  </si>
  <si>
    <t>Total</t>
  </si>
  <si>
    <t xml:space="preserve">Operación </t>
  </si>
  <si>
    <t xml:space="preserve">Cápitas Activas Adicionales a 12,000 </t>
  </si>
  <si>
    <t>Auditoría basada en Alertas Tempranas</t>
  </si>
  <si>
    <t>Supervisor de Cutomer Service – Valor Horario por Recurso</t>
  </si>
  <si>
    <t>Auditoría Digital - Servicio Base (Bonificado 50%)</t>
  </si>
  <si>
    <t>Auditoría Digital - Cápitas Adicionales (Bonificado 50%)</t>
  </si>
  <si>
    <t>Operadores Call Center Beneficiarios Suma Fija Agosto (**)</t>
  </si>
  <si>
    <t>Operadores Call Center Beneficiarios (**)</t>
  </si>
  <si>
    <t>(*) Todos los items se actualizan por IPC Caba del mes anterior al de la prestación del servicio.  En el caso de Operadores Call Center, se aplica lo homologado por Convenio de Comercio.</t>
  </si>
  <si>
    <t>IPC Caba mensual proyectado</t>
  </si>
  <si>
    <t>(**) Convenio de Comercio mensual proyectado</t>
  </si>
  <si>
    <t>VALIDADO CON LUIS CONVENIO DE COMERCIO</t>
  </si>
  <si>
    <t>Costo Astra</t>
  </si>
  <si>
    <t>Septiembre 2025</t>
  </si>
  <si>
    <t>Operación</t>
  </si>
  <si>
    <t xml:space="preserve">Cápitas Activas Adicionales a 10.000 </t>
  </si>
  <si>
    <t>Total Avanter</t>
  </si>
  <si>
    <t>Operador CALL CENTER</t>
  </si>
  <si>
    <t>Monto Fijo</t>
  </si>
  <si>
    <t>Total Indicom</t>
  </si>
  <si>
    <t>Variación según IPC (mes de facturación)</t>
  </si>
  <si>
    <t>Facturación Abril 2022</t>
  </si>
  <si>
    <t>Facturación Mayo 2022</t>
  </si>
  <si>
    <t>Facturación Junio 2022</t>
  </si>
  <si>
    <t>Facturación Julio 2022</t>
  </si>
  <si>
    <t>Facturación Agosto 2022</t>
  </si>
  <si>
    <t>Facturación Septiembre 2022</t>
  </si>
  <si>
    <t>Facturación Octubre 2022</t>
  </si>
  <si>
    <t>Facturación Noviembre 2022</t>
  </si>
  <si>
    <t>Facturación Diciembre 2022</t>
  </si>
  <si>
    <t>Facturación Enero 2023</t>
  </si>
  <si>
    <t>Facturación Febrero 2023</t>
  </si>
  <si>
    <t>Facturación Marzo 2023</t>
  </si>
  <si>
    <t>IPC Abril 2022</t>
  </si>
  <si>
    <t>IPC Mayo 2022</t>
  </si>
  <si>
    <t>IPC Junio 2022</t>
  </si>
  <si>
    <t>IPC Julio 2022</t>
  </si>
  <si>
    <t>IPC Agosto 2022</t>
  </si>
  <si>
    <t>IPC Septiembre 2022</t>
  </si>
  <si>
    <t>IPC Octubre 2022</t>
  </si>
  <si>
    <t>IPC Noviembre 2022</t>
  </si>
  <si>
    <t>IPC Diciembre 2022</t>
  </si>
  <si>
    <t>IPC Enero 2023</t>
  </si>
  <si>
    <t>IPC Febrero 2023</t>
  </si>
  <si>
    <t>Concepto</t>
  </si>
  <si>
    <t>Auditoría Digital - Servicio Base</t>
  </si>
  <si>
    <t>Auditoría Digital - Cápitas Adicionales</t>
  </si>
  <si>
    <t>Facturación Abril 2023</t>
  </si>
  <si>
    <t>Facturación Mayo 2023</t>
  </si>
  <si>
    <t>Facturación Junio 2023</t>
  </si>
  <si>
    <t>Facturación Julio 2023</t>
  </si>
  <si>
    <t>Facturación Agosto 2023</t>
  </si>
  <si>
    <t>Facturación Septiembre 2023</t>
  </si>
  <si>
    <t>Facturación Octubre 2023</t>
  </si>
  <si>
    <t>Facturación Noviembre 2023</t>
  </si>
  <si>
    <t>Facturación Diciembre 2023</t>
  </si>
  <si>
    <t>Facturación Enero 2024</t>
  </si>
  <si>
    <t>Facturación Febrero 2024</t>
  </si>
  <si>
    <t>Facturación Marzo 2024</t>
  </si>
  <si>
    <t>IPC Marzo 2023</t>
  </si>
  <si>
    <t>IPC Abril 2023</t>
  </si>
  <si>
    <t>IPC Mayo 2023</t>
  </si>
  <si>
    <t>IPC Junio 2023</t>
  </si>
  <si>
    <t>IPC Julio 2023</t>
  </si>
  <si>
    <t>IPC Agosto 2023</t>
  </si>
  <si>
    <t>IPC Septiembre 2023</t>
  </si>
  <si>
    <t>IPC Octubre 2023</t>
  </si>
  <si>
    <t>IPC Noviembre 2023</t>
  </si>
  <si>
    <t>IPC Diciembre 2023</t>
  </si>
  <si>
    <t>IPC Enero 2024</t>
  </si>
  <si>
    <t>IPC Febrero 2024</t>
  </si>
  <si>
    <t>Facturación Abril 2024</t>
  </si>
  <si>
    <t>Facturación Mayo 2024</t>
  </si>
  <si>
    <t>Facturación Junio 2024</t>
  </si>
  <si>
    <t>Facturación Julio 2024</t>
  </si>
  <si>
    <t>Facturación Agosto 2024</t>
  </si>
  <si>
    <t>Facturación Septiembre 2024</t>
  </si>
  <si>
    <t>Facturación Octubre 2024</t>
  </si>
  <si>
    <t>Facturación Noviembre 2024</t>
  </si>
  <si>
    <t>Facturación Diciembre 2024</t>
  </si>
  <si>
    <t>Facturación Enero 2025</t>
  </si>
  <si>
    <t>Facturación Febrero 2025</t>
  </si>
  <si>
    <t>Facturación Marzo  2025</t>
  </si>
  <si>
    <t>IPC Marzo 2024</t>
  </si>
  <si>
    <t>IPC Abril 2024</t>
  </si>
  <si>
    <t>IPC Mayo 2024</t>
  </si>
  <si>
    <t>IPC Junio 2024</t>
  </si>
  <si>
    <t>IPC Julio 2024</t>
  </si>
  <si>
    <t>IPC Agosto 2024</t>
  </si>
  <si>
    <t>IPC Septiembre 2024</t>
  </si>
  <si>
    <t>IPC Octubre 2024</t>
  </si>
  <si>
    <t>IPC Noviembre 2024</t>
  </si>
  <si>
    <t>IPC Diciembre 2024</t>
  </si>
  <si>
    <t>IPC Enero 2025</t>
  </si>
  <si>
    <t>IPC Febrero 2025</t>
  </si>
  <si>
    <t>Facturación Abril 2025</t>
  </si>
  <si>
    <t>Facturación Mayo 2025</t>
  </si>
  <si>
    <t>Facturación Junio 2025</t>
  </si>
  <si>
    <t>Facturación Julio 2025</t>
  </si>
  <si>
    <t>Facturación Agosto 2025</t>
  </si>
  <si>
    <t>Facturación Septiembre 2025</t>
  </si>
  <si>
    <t>RFC Octubre</t>
  </si>
  <si>
    <t>RFC Noviembre</t>
  </si>
  <si>
    <t>RFC Diciembre</t>
  </si>
  <si>
    <t>IPC Marzo 2025</t>
  </si>
  <si>
    <t>IPC Abril 2025</t>
  </si>
  <si>
    <t>IPC Mayo 2025</t>
  </si>
  <si>
    <t>IPC Junio 2025</t>
  </si>
  <si>
    <t>IPC Julio 2025</t>
  </si>
  <si>
    <t>IPC Agosto 2025</t>
  </si>
  <si>
    <t>Facturación Más Simple Bayer- Septiembre 2025</t>
  </si>
  <si>
    <t>Abono Mínimo (*)</t>
  </si>
  <si>
    <t>Total Vendido</t>
  </si>
  <si>
    <t>% PVP</t>
  </si>
  <si>
    <t>Operación Servicio</t>
  </si>
  <si>
    <t>IPC Indec mensual proyectado</t>
  </si>
  <si>
    <t>(*)</t>
  </si>
  <si>
    <t>En Septiembre 2025 el valor del abono mínimo se incrementó con el mismo porcentaje de aumento que tuvieron los productos incluidos en el programa durante el último trimestre.</t>
  </si>
  <si>
    <t>COLGATE PALMOLIVE</t>
  </si>
  <si>
    <t>Estimación Facturación Licha Dic 25</t>
  </si>
  <si>
    <t>luego actualiza por IPC Mensual</t>
  </si>
  <si>
    <t>HEALTHCARE</t>
  </si>
  <si>
    <t>luego actualiza por IPC Trimestral</t>
  </si>
  <si>
    <t>Cli_id</t>
  </si>
  <si>
    <t>Conceptos</t>
  </si>
  <si>
    <t>FACTURACIÓN SIDUS FARMA</t>
  </si>
  <si>
    <t>Precio cerrado en propuesta vigente</t>
  </si>
  <si>
    <t>finaliza propuesta</t>
  </si>
  <si>
    <t>Mes 8</t>
  </si>
  <si>
    <t>mes 9</t>
  </si>
  <si>
    <t>mes 10</t>
  </si>
  <si>
    <t>mes 11</t>
  </si>
  <si>
    <t>mes 12</t>
  </si>
  <si>
    <t>Envases Aprobados</t>
  </si>
  <si>
    <t>Monto Total</t>
  </si>
  <si>
    <t>PVP Promedio</t>
  </si>
  <si>
    <t xml:space="preserve">$ Total Facturación </t>
  </si>
  <si>
    <t>Sidus Farma BONOS Dispensas</t>
  </si>
  <si>
    <t>Mínimo Facturable x Propuesta Mes 7</t>
  </si>
  <si>
    <t>TOTAL A FACTURAR</t>
  </si>
  <si>
    <t>= minimo feb</t>
  </si>
  <si>
    <t xml:space="preserve"> en mayo se actualiza por ipc indec trimestral</t>
  </si>
  <si>
    <t xml:space="preserve"> actualiza por ipc indec trimestral</t>
  </si>
  <si>
    <t>LICHA: Se reduciría el programa (LICHA AVISA NOVEDADES)</t>
  </si>
  <si>
    <t>FACTURACIÓN TRANSACCIONAL SIDUS DERMO</t>
  </si>
  <si>
    <t>Actualización Mensual por IPC Indec</t>
  </si>
  <si>
    <t>PRECIOS UNITARIOS</t>
  </si>
  <si>
    <t>Valor x TRX Septiembre 25 con IPC</t>
  </si>
  <si>
    <t>Total TRX Septiembre 2025</t>
  </si>
  <si>
    <t>Facturac Sept25</t>
  </si>
  <si>
    <t>SIDUS BONOS</t>
  </si>
  <si>
    <t>SIDUS DINAMICAS</t>
  </si>
  <si>
    <t>SIDUS CÓDIGOS DINAMICAS</t>
  </si>
  <si>
    <t>FACTURACIÓN PLATAFORMA EMISIÓN BONOS DIGITALES  (BONOS DERMO)</t>
  </si>
  <si>
    <t>Actualización Trimestral por IPC Indec</t>
  </si>
  <si>
    <t>USO DE LA PLATAFORMA</t>
  </si>
  <si>
    <t>MENSAJES WHATSAPP</t>
  </si>
  <si>
    <t>Valor dólar</t>
  </si>
  <si>
    <t>Proyección Dolar BNA</t>
  </si>
  <si>
    <t>Meses</t>
  </si>
  <si>
    <t>FACTURACIÓN TOTAL SIDUS DERMO</t>
  </si>
  <si>
    <t>Evolución IPC CABA</t>
  </si>
  <si>
    <t>Facturado</t>
  </si>
  <si>
    <t>Base Octubre 2023</t>
  </si>
  <si>
    <t>SR estimó</t>
  </si>
  <si>
    <t>MES</t>
  </si>
  <si>
    <t>FACTURACIÓN TRANSACCIONAL</t>
  </si>
  <si>
    <t>FACTURACIÓN PLATAFORMA EMISIÓN BONOS DIGITALES</t>
  </si>
  <si>
    <t>COSTO AVANTER (SIDUS DERMO)</t>
  </si>
  <si>
    <t>COSTOS UNITARIOS</t>
  </si>
  <si>
    <t>TRX Bonos</t>
  </si>
  <si>
    <t>TRX Bonos Dinamicas (hasta 25.000)</t>
  </si>
  <si>
    <t>Armado Dinamicas</t>
  </si>
  <si>
    <t>Total Costo Avanter por Sidus Dermo</t>
  </si>
  <si>
    <t>FACTURACION año 2025</t>
  </si>
  <si>
    <t>IQVIA</t>
  </si>
  <si>
    <t>WORLD SALUD</t>
  </si>
  <si>
    <t>Proyección año 2026</t>
  </si>
  <si>
    <t>Registros comprados por IQVIA</t>
  </si>
  <si>
    <t>Farmacias IQVIA</t>
  </si>
  <si>
    <t>precio unitario registros válidos farmacias Iqvia</t>
  </si>
  <si>
    <t>precio unitario registros con prescripción Iqvia (otras dispensas)</t>
  </si>
  <si>
    <t>Farmacias Wsalud</t>
  </si>
  <si>
    <t>precio unitario registro válido farmacias WS</t>
  </si>
  <si>
    <t>precio unitario registros con prescripción WS (otras dispensas)</t>
  </si>
  <si>
    <t>PROYECCIÓN</t>
  </si>
  <si>
    <t>AÑO 2025</t>
  </si>
  <si>
    <t>AÑO 2026</t>
  </si>
  <si>
    <t>Hipótesis</t>
  </si>
  <si>
    <t>Registros Farmacias</t>
  </si>
  <si>
    <t>Precio fijo Operación</t>
  </si>
  <si>
    <t>Precio farmacia nueva</t>
  </si>
  <si>
    <t>Cuantas???</t>
  </si>
  <si>
    <t>FACTURACIÓN (Registros + Operación)</t>
  </si>
  <si>
    <t>(Incremento 1,30)</t>
  </si>
  <si>
    <t>IIBB 5%</t>
  </si>
  <si>
    <t>Ventas netas de IIBB</t>
  </si>
  <si>
    <t>COSTOS año 2025</t>
  </si>
  <si>
    <t>Real ene-sep2025</t>
  </si>
  <si>
    <t>Estimado oct-dic</t>
  </si>
  <si>
    <t>SWH</t>
  </si>
  <si>
    <t>Resultado bruto</t>
  </si>
  <si>
    <t xml:space="preserve">El costo 2025 a las farmacias y a las SWHouse es de </t>
  </si>
  <si>
    <t>por registro</t>
  </si>
  <si>
    <t>considerar IPC</t>
  </si>
  <si>
    <t>Panalab Manual</t>
  </si>
  <si>
    <t xml:space="preserve"> Septiembre 2025</t>
  </si>
  <si>
    <t>Facturación Proceso Manual Panalab</t>
  </si>
  <si>
    <t>Cantidad Registros Procesados sin Acondicionamiento</t>
  </si>
  <si>
    <t>Valor unitario sin acondicionamiento Registro Septiembre 2025</t>
  </si>
  <si>
    <t>Cantidad Registros Procesados con Acondicionamiento</t>
  </si>
  <si>
    <t>Valor unitario con acondicionamiento Registro Septiembre 2025</t>
  </si>
  <si>
    <t>Cantidad Total Registros Procesados</t>
  </si>
  <si>
    <t>Total a facturar por proceso de Registros</t>
  </si>
  <si>
    <t>Cajas Utilizadas</t>
  </si>
  <si>
    <t>Valor unitario Caja Septiembre 2025</t>
  </si>
  <si>
    <t>Total Facturación</t>
  </si>
  <si>
    <t>IPC CABA mensual proyectado</t>
  </si>
  <si>
    <t>aprox</t>
  </si>
  <si>
    <t>Se toma como base la cantidad de registros procesados estimada por Licha en 135.000 a Nov-25 y sobre esa base se aplica una disminución de un 10% mensual acumulativa</t>
  </si>
  <si>
    <t>llegando a Dic-26 con un aprox de 35.000 registros procesados</t>
  </si>
  <si>
    <t>COSTOS SERDATA</t>
  </si>
  <si>
    <t>Proceso Manual Panalab</t>
  </si>
  <si>
    <t>Cantidad de Registros Procesados</t>
  </si>
  <si>
    <t>Valor Unitario</t>
  </si>
  <si>
    <t>Costo Total</t>
  </si>
  <si>
    <t>* datos históricos</t>
  </si>
  <si>
    <t>Bonos Procesados Agosto</t>
  </si>
  <si>
    <t>IPC CABA</t>
  </si>
  <si>
    <t>Valor unitario Registro Agosto 2025</t>
  </si>
  <si>
    <t>Incremento</t>
  </si>
  <si>
    <t>Bonos Procesados</t>
  </si>
  <si>
    <t>Valor unitario Registro Julio 2025</t>
  </si>
  <si>
    <t>Servicios IMED</t>
  </si>
  <si>
    <t>Factor 1</t>
  </si>
  <si>
    <t>Factor 2</t>
  </si>
  <si>
    <t>Factor 3</t>
  </si>
  <si>
    <t>Valor unitario Registro Mayo 2025</t>
  </si>
  <si>
    <t>Valor registro procesado</t>
  </si>
  <si>
    <t>Valor caja</t>
  </si>
  <si>
    <t>Valor guarda caja</t>
  </si>
  <si>
    <t>base</t>
  </si>
  <si>
    <t>FACTURACIÓN PANALAB BONOS DIGITALES (*)</t>
  </si>
  <si>
    <t>$ Total Facturación sin Mínimo</t>
  </si>
  <si>
    <t>Panalab BONOS Digitales Emisiones</t>
  </si>
  <si>
    <t>Panalab BONOS Digitales Dispensas</t>
  </si>
  <si>
    <t xml:space="preserve"> Envases</t>
  </si>
  <si>
    <t xml:space="preserve">Monto Total </t>
  </si>
  <si>
    <t xml:space="preserve">0,6 % Monto </t>
  </si>
  <si>
    <t>Facturación  Transaccional Bonos Digitales</t>
  </si>
  <si>
    <t xml:space="preserve">(*) </t>
  </si>
  <si>
    <t>Actualiza Mensual por IPC CABA</t>
  </si>
  <si>
    <t>(**)</t>
  </si>
  <si>
    <t>Actualiza Trimestral por IPC CABA  ---&gt;&gt;&gt;</t>
  </si>
  <si>
    <t>FACTURACIÓN PLATAFORMA EMISIÓN BONOS DIGITALES  (BONOS DERMO) PANALAB (**)</t>
  </si>
  <si>
    <t>Precio Total</t>
  </si>
  <si>
    <t>validar con licha</t>
  </si>
  <si>
    <t>Valor dólar  BNA</t>
  </si>
  <si>
    <t>FACTURACIÓN PANALAB BONOS PAPEL ON LINE (*)</t>
  </si>
  <si>
    <t>(1)</t>
  </si>
  <si>
    <t>Panalab BONOS Papel On Line Dispensas</t>
  </si>
  <si>
    <t>RESUMEN TOTAL FACTURACIÓN PANALAB BONOS DIGITALES Y ON LINE</t>
  </si>
  <si>
    <t xml:space="preserve">a partir del mes de enero 2026 se estima que crecerá un 10% en forma mensual </t>
  </si>
  <si>
    <t xml:space="preserve">por la caida del procesamiento manual </t>
  </si>
  <si>
    <t>BONOS DIGITALES</t>
  </si>
  <si>
    <t>PLATAFORMA EMISIÓN BONOS DIGITALES</t>
  </si>
  <si>
    <t>BONOS PAPEL ON LINE</t>
  </si>
  <si>
    <t>COSTO AVANTER (PANALAB)</t>
  </si>
  <si>
    <t>TOTAL COSTO AVANTER</t>
  </si>
  <si>
    <t>Cálculo Incremento del servicio de Bonos Dermo</t>
  </si>
  <si>
    <t>Evol IPC CABA</t>
  </si>
  <si>
    <t>IPC Abril  2024</t>
  </si>
  <si>
    <t>IPC Mayo  2024</t>
  </si>
  <si>
    <t>IPC Junio  2024</t>
  </si>
  <si>
    <t>IPC JuLio  2024</t>
  </si>
  <si>
    <t>IPC Agosto  2024</t>
  </si>
  <si>
    <t>IPC Septiembre  2024</t>
  </si>
  <si>
    <t>IPC Octubre  2024</t>
  </si>
  <si>
    <t>IPC Diciembre  2024</t>
  </si>
  <si>
    <t>IPC CABA Enero 2025</t>
  </si>
  <si>
    <t>IPC CABA Febrero 2025</t>
  </si>
  <si>
    <t>IPC CABA Marzo 2025</t>
  </si>
  <si>
    <t>IPC CABA Abril 2025</t>
  </si>
  <si>
    <t>IPC CABA Mayo 2025</t>
  </si>
  <si>
    <t>IPC CABA Junio 2025</t>
  </si>
  <si>
    <t>IPC CABA Julio 2025</t>
  </si>
  <si>
    <t>IPC CABA Agosto 2025</t>
  </si>
  <si>
    <t>IPC CABA Septiembre 2025</t>
  </si>
  <si>
    <t>Se toma como base la cantidad de emisión y dispensa de bonos y los msjes de whatsapp reales del mes de Septiembre25</t>
  </si>
  <si>
    <t>manteniendo el mismo volumen estable a diciembre 2026</t>
  </si>
  <si>
    <t>% increm. abono</t>
  </si>
  <si>
    <t>precio hasta 70.000</t>
  </si>
  <si>
    <t>Trx Mes</t>
  </si>
  <si>
    <t>Cant Trx Adic</t>
  </si>
  <si>
    <t>precio trx adic.</t>
  </si>
  <si>
    <t>Total Trx Adic a facturar</t>
  </si>
  <si>
    <t>Facturación Provincia ART- SEPTIEMBRE 2025</t>
  </si>
  <si>
    <t>Monto Vendido</t>
  </si>
  <si>
    <t>Monto a Facturar</t>
  </si>
  <si>
    <t>Indice incremento de precios medicamentos (*)</t>
  </si>
  <si>
    <t>(*) se considera ipc trimestral acumulado</t>
  </si>
  <si>
    <t xml:space="preserve">se aplica IPC trimestral acumulado </t>
  </si>
  <si>
    <t>COMPARATIVO</t>
  </si>
  <si>
    <t>precio con actualización mensual por ipc</t>
  </si>
  <si>
    <t>FACTURACIÓN CEODERMA</t>
  </si>
  <si>
    <t>Transacciones CEODERMA</t>
  </si>
  <si>
    <t>FACTURACIÓN MAX VISION</t>
  </si>
  <si>
    <t>$ Total Factur sin Mínimo</t>
  </si>
  <si>
    <t>Max Vision Bonos Transaccionados</t>
  </si>
  <si>
    <t>Facturación Bonos Mayo 2025</t>
  </si>
  <si>
    <t>Laboratorio</t>
  </si>
  <si>
    <t>$ Unitario</t>
  </si>
  <si>
    <t>$ Total</t>
  </si>
  <si>
    <t>BIU COSMECEUTICALS BONOS</t>
  </si>
  <si>
    <t>Facturación Bonos Junio 2025</t>
  </si>
  <si>
    <t>BIU COSMECEUTICALS BONOS</t>
  </si>
  <si>
    <t>Facturación Bonos Julio 2025</t>
  </si>
  <si>
    <t>Facturación Bonos Agosto 2025</t>
  </si>
  <si>
    <t>ago-25</t>
  </si>
  <si>
    <t>Facturación Bonos Septiembre 2025</t>
  </si>
  <si>
    <t xml:space="preserve"> - &gt; Se actualiza en forma trimestral por IPC CABA</t>
  </si>
  <si>
    <t>Precio</t>
  </si>
  <si>
    <t>FY2026</t>
  </si>
  <si>
    <t>COSTO AVANTER POR BIU (Bonos Septiembre 2025)</t>
  </si>
  <si>
    <t xml:space="preserve">Costo </t>
  </si>
  <si>
    <t>Escalones Facturación</t>
  </si>
  <si>
    <t>1 a 25.000</t>
  </si>
  <si>
    <t>Valores  Facturación</t>
  </si>
  <si>
    <t>Cli_ID</t>
  </si>
  <si>
    <t>Total TRX</t>
  </si>
  <si>
    <t>BIU</t>
  </si>
  <si>
    <t>Valores  Facturación</t>
  </si>
  <si>
    <t>coef ajus Q trx</t>
  </si>
  <si>
    <t>LOREAL</t>
  </si>
  <si>
    <t>EUCERIN</t>
  </si>
  <si>
    <t>OFERTAS CASASCO</t>
  </si>
  <si>
    <t>ANDROMACO</t>
  </si>
  <si>
    <t>ISDIN</t>
  </si>
  <si>
    <t>GALDERMA</t>
  </si>
  <si>
    <t>BERNABO</t>
  </si>
  <si>
    <t>EUROLAB</t>
  </si>
  <si>
    <t>CASSARA</t>
  </si>
  <si>
    <t>DINAMICAS BAGO OTC</t>
  </si>
  <si>
    <t>BONOS CAVIAHUE</t>
  </si>
  <si>
    <t>BONOS BY DERM</t>
  </si>
  <si>
    <t>BONOS BIODERMA</t>
  </si>
  <si>
    <t>BONOS FRESENIUS</t>
  </si>
  <si>
    <t>Facturación Dinámicas Septiembre 2025</t>
  </si>
  <si>
    <t>1 a 50.000</t>
  </si>
  <si>
    <t>50.001 a 100.000</t>
  </si>
  <si>
    <t>100.001 a 200.000</t>
  </si>
  <si>
    <t>200.001 a 300.000</t>
  </si>
  <si>
    <t>300.001 a 400.000</t>
  </si>
  <si>
    <t>400.001 a 600.000</t>
  </si>
  <si>
    <t>&gt;600.001</t>
  </si>
  <si>
    <t>1 y 2</t>
  </si>
  <si>
    <t>3 y 4</t>
  </si>
  <si>
    <t>Facturación Eticos Septiembre 2025</t>
  </si>
  <si>
    <t>Labo</t>
  </si>
  <si>
    <t>Programa</t>
  </si>
  <si>
    <t>Límite Cápitas Mes</t>
  </si>
  <si>
    <t>TRXs</t>
  </si>
  <si>
    <t>Cápitas</t>
  </si>
  <si>
    <t>Startup</t>
  </si>
  <si>
    <t>Cápitas Adic. a 12.000</t>
  </si>
  <si>
    <t>TEVA</t>
  </si>
  <si>
    <t>PROGRAMA TEVAcuidar</t>
  </si>
  <si>
    <t>FERRING</t>
  </si>
  <si>
    <t>BENEFICIARTE</t>
  </si>
  <si>
    <t>ROSSMORE</t>
  </si>
  <si>
    <t>ASPEN</t>
  </si>
  <si>
    <t>FARMASPEN</t>
  </si>
  <si>
    <t>NUTRICIA BAGO</t>
  </si>
  <si>
    <t>NUTRICIA SIEMPRE JUNTOS</t>
  </si>
  <si>
    <t>VARIFARMA</t>
  </si>
  <si>
    <t>PROGRAMA VARI TE ACERCA</t>
  </si>
  <si>
    <t>Total AVANTER Septiembre 2025</t>
  </si>
  <si>
    <t>en octubre se aplica incremento</t>
  </si>
  <si>
    <t>IPC indec Agosto Sept y Oct</t>
  </si>
  <si>
    <t>tabla precio viejos</t>
  </si>
  <si>
    <t>tabla precio nuevos</t>
  </si>
  <si>
    <t>septiembre (ponderado)</t>
  </si>
  <si>
    <t>enero</t>
  </si>
  <si>
    <t>ago</t>
  </si>
  <si>
    <t>sep</t>
  </si>
  <si>
    <t>por cant trx</t>
  </si>
  <si>
    <t>abril</t>
  </si>
  <si>
    <t>15% + inflación acum trimestre</t>
  </si>
  <si>
    <t>marzo</t>
  </si>
  <si>
    <t>julio</t>
  </si>
  <si>
    <t>11% + inflación acum trimestre</t>
  </si>
  <si>
    <t>126 + inflación trimestral acumulada</t>
  </si>
  <si>
    <t>octubre</t>
  </si>
  <si>
    <t>6% + inflación acum trimestre</t>
  </si>
  <si>
    <t>mayo</t>
  </si>
  <si>
    <t>pedir a Licha cant de trx enero - diciembre 2026 nuevos labos</t>
  </si>
  <si>
    <t>ene</t>
  </si>
  <si>
    <t>feb</t>
  </si>
  <si>
    <t>mar</t>
  </si>
  <si>
    <t>actualización trimestral por ipc</t>
  </si>
  <si>
    <t>=5% adic a sept</t>
  </si>
  <si>
    <t>= dic</t>
  </si>
  <si>
    <t>= nov</t>
  </si>
  <si>
    <t>=sept</t>
  </si>
  <si>
    <t>fijo hasta enero 2027</t>
  </si>
  <si>
    <t>ajuste en precio por ipc acumulado</t>
  </si>
  <si>
    <t>ajuste en precio (segun negociación)</t>
  </si>
  <si>
    <t>ajuste en trx con base sept</t>
  </si>
  <si>
    <t>PRECIO SOBRE LABOS VIEJOS</t>
  </si>
  <si>
    <t>REAL SEPT</t>
  </si>
  <si>
    <t>se considera un</t>
  </si>
  <si>
    <t>minimo de 400.000 trx aseguradas</t>
  </si>
  <si>
    <t>Q</t>
  </si>
  <si>
    <t>Precio x TRX</t>
  </si>
  <si>
    <t>mensuales (considerando el minimo a nivel semestral)</t>
  </si>
  <si>
    <t>TOTAL VIEJOS</t>
  </si>
  <si>
    <t>VIEJOS</t>
  </si>
  <si>
    <t>PRECIO SOBRE LABOS NUEVOS</t>
  </si>
  <si>
    <t>Licha calculó un crecimiento de trx por nuevos labos en 2025 de 70.000</t>
  </si>
  <si>
    <t>TOTAL NUEVOS</t>
  </si>
  <si>
    <t>se estima un crecimiento por nuevos labos en 2026 de aprox 40.000 trx</t>
  </si>
  <si>
    <t>NUEVOS</t>
  </si>
  <si>
    <t>como surge el precio de los nuevos labos</t>
  </si>
  <si>
    <t>precio inicial</t>
  </si>
  <si>
    <t>desc aplicado</t>
  </si>
  <si>
    <t>precio con desc</t>
  </si>
  <si>
    <t>LABO</t>
  </si>
  <si>
    <t>PVP PROMEDIO</t>
  </si>
  <si>
    <t>Observaciones</t>
  </si>
  <si>
    <t>SIEGFRIED  (a través de ROFINA)</t>
  </si>
  <si>
    <t>(Verde es operación en regimen)</t>
  </si>
  <si>
    <t>LAZAR</t>
  </si>
  <si>
    <t>GUEVARRA GARRE (solo una charla)</t>
  </si>
  <si>
    <t>LABO A</t>
  </si>
  <si>
    <t>LABO B</t>
  </si>
  <si>
    <t>TOTAL FACTURACIÓN NUEVOS LABOS (estimada por Licha)</t>
  </si>
  <si>
    <t>LABOS CERRADOS</t>
  </si>
  <si>
    <t>LABOS EN CONVERSACIONES</t>
  </si>
  <si>
    <t>LABOS HIPOTESIS</t>
  </si>
  <si>
    <t>Envases Mes</t>
  </si>
  <si>
    <t>PILOTO</t>
  </si>
  <si>
    <t>livechat</t>
  </si>
  <si>
    <t>agente operaciones</t>
  </si>
  <si>
    <t>labo web 2</t>
  </si>
  <si>
    <t>dashboard labo</t>
  </si>
  <si>
    <t>Status Diciembre 2025</t>
  </si>
  <si>
    <t>abr</t>
  </si>
  <si>
    <t>INTERTRON</t>
  </si>
  <si>
    <t>Valor Microsoft - actual</t>
  </si>
  <si>
    <t>Valor BI PRO - actual</t>
  </si>
  <si>
    <t>Valor VISIO - actual</t>
  </si>
  <si>
    <t>actualizacion estimada</t>
  </si>
  <si>
    <t>ene 2025</t>
  </si>
  <si>
    <t>feb 2025</t>
  </si>
  <si>
    <t>mar 2025</t>
  </si>
  <si>
    <t>abr 2025</t>
  </si>
  <si>
    <t>may 2025</t>
  </si>
  <si>
    <t>jun 2025</t>
  </si>
  <si>
    <t>jul 2025</t>
  </si>
  <si>
    <t>ago 2025</t>
  </si>
  <si>
    <t>sept 2025</t>
  </si>
  <si>
    <t>VOLUMEN</t>
  </si>
  <si>
    <t>IQVIA 50%</t>
  </si>
  <si>
    <t>WORLD SALUD 50%</t>
  </si>
  <si>
    <t>PRECIOS</t>
  </si>
  <si>
    <t>IQVIA 70%</t>
  </si>
  <si>
    <t>IQVIA 30%</t>
  </si>
  <si>
    <t>WORLD SALUD 70%</t>
  </si>
  <si>
    <t>WORLD SALUD 30%</t>
  </si>
  <si>
    <t>Fijo mensual</t>
  </si>
  <si>
    <t>Alta Farmacias</t>
  </si>
  <si>
    <t>COSTOS</t>
  </si>
  <si>
    <t>Totales</t>
  </si>
  <si>
    <t>Real</t>
  </si>
  <si>
    <t>Presupuesto</t>
  </si>
  <si>
    <t>Ene-25</t>
  </si>
  <si>
    <t>Total Ingresos</t>
  </si>
  <si>
    <t>Osana</t>
  </si>
  <si>
    <t>Total Egresos</t>
  </si>
</sst>
</file>

<file path=xl/styles.xml><?xml version="1.0" encoding="utf-8"?>
<styleSheet xmlns="http://schemas.openxmlformats.org/spreadsheetml/2006/main" xmlns:x14ac="http://schemas.microsoft.com/office/spreadsheetml/2009/9/ac" xmlns:mc="http://schemas.openxmlformats.org/markup-compatibility/2006">
  <numFmts count="34">
    <numFmt numFmtId="164" formatCode="&quot;$&quot;\ #,##0"/>
    <numFmt numFmtId="165" formatCode="&quot;$&quot;#,##0"/>
    <numFmt numFmtId="166" formatCode="[$USD]\ #,##0"/>
    <numFmt numFmtId="167" formatCode="&quot;$&quot;\ #,##0;[Red]\-&quot;$&quot;\ #,##0"/>
    <numFmt numFmtId="168" formatCode="_(&quot;$&quot;* #,##0.00_);_(&quot;$&quot;* \(#,##0.00\);_(&quot;$&quot;* &quot;-&quot;??_);_(@_)"/>
    <numFmt numFmtId="169" formatCode="&quot;$&quot;\ #,##0.00"/>
    <numFmt numFmtId="170" formatCode="0.0%"/>
    <numFmt numFmtId="171" formatCode="0.000"/>
    <numFmt numFmtId="172" formatCode="#,##0.000"/>
    <numFmt numFmtId="173" formatCode="&quot;$&quot;#,##0.00"/>
    <numFmt numFmtId="174" formatCode="#,##0.0"/>
    <numFmt numFmtId="175" formatCode="yyyy\-mm"/>
    <numFmt numFmtId="176" formatCode="#,##0_);\(#,##0\);\ \-_)\ "/>
    <numFmt numFmtId="177" formatCode="_-* #,##0.00_-;\-* #,##0.00_-;_-* &quot;-&quot;??_-;_-@"/>
    <numFmt numFmtId="178" formatCode="_(* #,##0.00_);[Red]_(* \(#,##0.00\);_(* &quot;-&quot;??_);_(@_)"/>
    <numFmt numFmtId="179" formatCode="#,##0.0000"/>
    <numFmt numFmtId="180" formatCode="&quot;$&quot;#,##0.000000"/>
    <numFmt numFmtId="181" formatCode="&quot;$&quot;\ #,##0.00;[Red]&quot;$&quot;\ \-#,##0.00"/>
    <numFmt numFmtId="182" formatCode="&quot;$&quot;\ #,##0;[Red]&quot;$&quot;\ \-#,##0"/>
    <numFmt numFmtId="183" formatCode="&quot;$&quot;\ #,##0.00;[Red]\-&quot;$&quot;\ #,##0.00"/>
    <numFmt numFmtId="184" formatCode="&quot;$&quot;#,##0.00_);[Red]\(&quot;$&quot;#,##0.00\)"/>
    <numFmt numFmtId="185" formatCode="_-[$USD]\ * #,##0.00_-;\-[$USD]\ * #,##0.00_-;_-[$USD]\ * &quot;-&quot;??_-;_-@"/>
    <numFmt numFmtId="186" formatCode="#,##0_ ;[Red]\-#,##0\ "/>
    <numFmt numFmtId="187" formatCode="[$USD]\ #,##0.00_);\([$USD]\ #,##0.00\)"/>
    <numFmt numFmtId="188" formatCode="&quot; &quot;&quot;$&quot;&quot; &quot;* #,##0&quot; &quot;;&quot;-&quot;&quot;$&quot;&quot; &quot;* #,##0&quot; &quot;;&quot; &quot;&quot;$&quot;&quot; &quot;* &quot;-&quot;#&quot; &quot;;&quot; &quot;@&quot; &quot;"/>
    <numFmt numFmtId="189" formatCode="&quot; &quot;&quot;$&quot;&quot; &quot;* #,##0.00&quot; &quot;;&quot;-&quot;&quot;$&quot;&quot; &quot;* #,##0.00&quot; &quot;;&quot; &quot;&quot;$&quot;&quot; &quot;* &quot;-&quot;#&quot; &quot;;&quot; &quot;@&quot; &quot;"/>
    <numFmt numFmtId="190" formatCode="_-&quot;$&quot;\ * #,##0_-;\-&quot;$&quot;\ * #,##0_-;_-&quot;$&quot;\ * &quot;-&quot;??_-;_-@"/>
    <numFmt numFmtId="191" formatCode="_-&quot;$&quot;\ * #,##0.00_-;\-&quot;$&quot;\ * #,##0.00_-;_-&quot;$&quot;\ * &quot;-&quot;??_-;_-@"/>
    <numFmt numFmtId="192" formatCode="_-[$USD]\ * #,##0.000_-;\-[$USD]\ * #,##0.000_-;_-[$USD]\ * &quot;-&quot;??_-;_-@"/>
    <numFmt numFmtId="193" formatCode="&quot;$&quot;\ #,##0.00;\-&quot;$&quot;\ #,##0.00"/>
    <numFmt numFmtId="194" formatCode="&quot;$&quot;\ #,##0.000;\-&quot;$&quot;\ #,##0.000"/>
    <numFmt numFmtId="195" formatCode="&quot;$&quot;#,##0_);[Red]\(&quot;$&quot;#,##0\)"/>
    <numFmt numFmtId="196" formatCode="&quot;$&quot;#,##0.0"/>
    <numFmt numFmtId="197" formatCode="[$USD]\ #,##0.00"/>
  </numFmts>
  <fonts count="56">
    <font>
      <sz val="11.0"/>
      <color theme="1"/>
      <name val="Aptos Narrow"/>
      <scheme val="minor"/>
    </font>
    <font>
      <b/>
      <sz val="7.0"/>
      <color theme="1"/>
      <name val="Arial"/>
    </font>
    <font>
      <sz val="7.0"/>
      <color theme="1"/>
      <name val="Arial"/>
    </font>
    <font>
      <sz val="11.0"/>
      <color theme="1"/>
      <name val="Aptos Narrow"/>
    </font>
    <font>
      <b/>
      <sz val="7.0"/>
      <color theme="0"/>
      <name val="Arial"/>
    </font>
    <font>
      <b/>
      <sz val="7.0"/>
      <color rgb="FFFF0000"/>
      <name val="Arial"/>
    </font>
    <font>
      <i/>
      <sz val="7.0"/>
      <color theme="1"/>
      <name val="Arial"/>
    </font>
    <font>
      <sz val="7.0"/>
      <color theme="1"/>
      <name val="Aptos Narrow"/>
    </font>
    <font>
      <sz val="7.0"/>
      <color rgb="FFFF0000"/>
      <name val="Arial"/>
    </font>
    <font>
      <b/>
      <sz val="14.0"/>
      <color rgb="FFFF0000"/>
      <name val="Arial"/>
    </font>
    <font>
      <sz val="7.0"/>
      <color rgb="FF000000"/>
      <name val="Arial"/>
    </font>
    <font>
      <sz val="11.0"/>
      <color rgb="FFFF0000"/>
      <name val="Aptos Narrow"/>
    </font>
    <font>
      <sz val="11.0"/>
      <color rgb="FF000000"/>
      <name val="Aptos Narrow"/>
    </font>
    <font>
      <b/>
      <i/>
      <sz val="7.0"/>
      <color theme="1"/>
      <name val="Arial"/>
    </font>
    <font>
      <b/>
      <sz val="7.0"/>
      <color theme="1"/>
      <name val="Aptos Narrow"/>
    </font>
    <font>
      <b/>
      <u/>
      <sz val="7.0"/>
      <color theme="1"/>
      <name val="Arial"/>
    </font>
    <font>
      <b/>
      <sz val="11.0"/>
      <color theme="1"/>
      <name val="Aptos Narrow"/>
    </font>
    <font>
      <b/>
      <sz val="11.0"/>
      <color theme="1"/>
      <name val="Arial"/>
    </font>
    <font/>
    <font>
      <i/>
      <sz val="9.0"/>
      <color theme="1"/>
      <name val="Arial"/>
    </font>
    <font>
      <b/>
      <sz val="9.0"/>
      <color theme="1"/>
      <name val="Arial"/>
    </font>
    <font>
      <sz val="9.0"/>
      <color theme="1"/>
      <name val="Arial"/>
    </font>
    <font>
      <b/>
      <sz val="10.0"/>
      <color theme="1"/>
      <name val="Arial"/>
    </font>
    <font>
      <b/>
      <sz val="9.0"/>
      <color rgb="FFFFFFFF"/>
      <name val="Arial"/>
    </font>
    <font>
      <sz val="9.0"/>
      <color theme="1"/>
      <name val="Aptos Narrow"/>
    </font>
    <font>
      <sz val="8.0"/>
      <color theme="1"/>
      <name val="Aptos Narrow"/>
    </font>
    <font>
      <b/>
      <sz val="9.0"/>
      <color theme="1"/>
      <name val="Aptos Narrow"/>
    </font>
    <font>
      <b/>
      <u/>
      <sz val="11.0"/>
      <color theme="1"/>
      <name val="Aptos Narrow"/>
    </font>
    <font>
      <b/>
      <sz val="8.0"/>
      <color theme="1"/>
      <name val="Arial"/>
    </font>
    <font>
      <sz val="8.0"/>
      <color theme="1"/>
      <name val="Arial"/>
    </font>
    <font>
      <b/>
      <u/>
      <sz val="9.0"/>
      <color theme="1"/>
      <name val="Aptos Narrow"/>
    </font>
    <font>
      <u/>
      <sz val="9.0"/>
      <color theme="1"/>
      <name val="Aptos Narrow"/>
    </font>
    <font>
      <b/>
      <sz val="9.0"/>
      <color rgb="FFFF0000"/>
      <name val="Aptos Narrow"/>
    </font>
    <font>
      <b/>
      <u/>
      <sz val="9.0"/>
      <color theme="1"/>
      <name val="Aptos Narrow"/>
    </font>
    <font>
      <b/>
      <sz val="9.0"/>
      <color rgb="FFFF0000"/>
      <name val="Arial"/>
    </font>
    <font>
      <b/>
      <sz val="9.0"/>
      <color rgb="FF00B050"/>
      <name val="Arial"/>
    </font>
    <font>
      <b/>
      <sz val="9.0"/>
      <color rgb="FF000000"/>
      <name val="Arial"/>
    </font>
    <font>
      <sz val="9.0"/>
      <color rgb="FF000000"/>
      <name val="Arial"/>
    </font>
    <font>
      <sz val="10.0"/>
      <color theme="1"/>
      <name val="Arial"/>
    </font>
    <font>
      <b/>
      <sz val="10.0"/>
      <color rgb="FF000000"/>
      <name val="Arial"/>
    </font>
    <font>
      <sz val="10.0"/>
      <color rgb="FF000000"/>
      <name val="Arial"/>
    </font>
    <font>
      <sz val="10.0"/>
      <color rgb="FF222222"/>
      <name val="Arial"/>
    </font>
    <font>
      <sz val="9.0"/>
      <color rgb="FFFF0000"/>
      <name val="Arial"/>
    </font>
    <font>
      <b/>
      <sz val="12.0"/>
      <color theme="1"/>
      <name val="Arial"/>
    </font>
    <font>
      <b/>
      <sz val="12.0"/>
      <color rgb="FF000000"/>
      <name val="Arial"/>
    </font>
    <font>
      <b/>
      <i/>
      <sz val="11.0"/>
      <color rgb="FF000000"/>
      <name val="Aptos Narrow"/>
    </font>
    <font>
      <b/>
      <sz val="11.0"/>
      <color rgb="FF000000"/>
      <name val="Aptos Narrow"/>
    </font>
    <font>
      <b/>
      <sz val="11.0"/>
      <color rgb="FFFF0000"/>
      <name val="Aptos Narrow"/>
    </font>
    <font>
      <sz val="12.0"/>
      <color theme="1"/>
      <name val="Arial"/>
    </font>
    <font>
      <b/>
      <sz val="8.0"/>
      <color rgb="FF000000"/>
      <name val="Arial"/>
    </font>
    <font>
      <sz val="8.0"/>
      <color rgb="FF000000"/>
      <name val="Arial"/>
    </font>
    <font>
      <sz val="8.0"/>
      <color rgb="FF00B050"/>
      <name val="Arial"/>
    </font>
    <font>
      <b/>
      <u/>
      <sz val="8.0"/>
      <color theme="1"/>
      <name val="Arial"/>
    </font>
    <font>
      <b/>
      <sz val="8.0"/>
      <color rgb="FFFF0000"/>
      <name val="Arial"/>
    </font>
    <font>
      <b/>
      <i/>
      <u/>
      <sz val="11.0"/>
      <color rgb="FF000000"/>
      <name val="Aptos Narrow"/>
    </font>
    <font>
      <b/>
      <i/>
      <u/>
      <sz val="11.0"/>
      <color rgb="FF000000"/>
      <name val="Aptos Narrow"/>
    </font>
  </fonts>
  <fills count="49">
    <fill>
      <patternFill patternType="none"/>
    </fill>
    <fill>
      <patternFill patternType="lightGray"/>
    </fill>
    <fill>
      <patternFill patternType="solid">
        <fgColor theme="0"/>
        <bgColor theme="0"/>
      </patternFill>
    </fill>
    <fill>
      <patternFill patternType="solid">
        <fgColor theme="4"/>
        <bgColor theme="4"/>
      </patternFill>
    </fill>
    <fill>
      <patternFill patternType="solid">
        <fgColor rgb="FF99CCFF"/>
        <bgColor rgb="FF99CCFF"/>
      </patternFill>
    </fill>
    <fill>
      <patternFill patternType="solid">
        <fgColor rgb="FFC0C0C0"/>
        <bgColor rgb="FFC0C0C0"/>
      </patternFill>
    </fill>
    <fill>
      <patternFill patternType="solid">
        <fgColor rgb="FFCCFFFF"/>
        <bgColor rgb="FFCCFFFF"/>
      </patternFill>
    </fill>
    <fill>
      <patternFill patternType="solid">
        <fgColor rgb="FFFFFFFF"/>
        <bgColor rgb="FFFFFFFF"/>
      </patternFill>
    </fill>
    <fill>
      <patternFill patternType="solid">
        <fgColor rgb="FFD6E3BC"/>
        <bgColor rgb="FFD6E3BC"/>
      </patternFill>
    </fill>
    <fill>
      <patternFill patternType="solid">
        <fgColor theme="7"/>
        <bgColor theme="7"/>
      </patternFill>
    </fill>
    <fill>
      <patternFill patternType="solid">
        <fgColor rgb="FF00FF00"/>
        <bgColor rgb="FF00FF00"/>
      </patternFill>
    </fill>
    <fill>
      <patternFill patternType="solid">
        <fgColor rgb="FFFFFFCC"/>
        <bgColor rgb="FFFFFFCC"/>
      </patternFill>
    </fill>
    <fill>
      <patternFill patternType="solid">
        <fgColor theme="5"/>
        <bgColor theme="5"/>
      </patternFill>
    </fill>
    <fill>
      <patternFill patternType="solid">
        <fgColor rgb="FFB6DDE8"/>
        <bgColor rgb="FFB6DDE8"/>
      </patternFill>
    </fill>
    <fill>
      <patternFill patternType="solid">
        <fgColor rgb="FFFFFF99"/>
        <bgColor rgb="FFFFFF99"/>
      </patternFill>
    </fill>
    <fill>
      <patternFill patternType="solid">
        <fgColor rgb="FFE2EFDA"/>
        <bgColor rgb="FFE2EFDA"/>
      </patternFill>
    </fill>
    <fill>
      <patternFill patternType="solid">
        <fgColor rgb="FF2E75B6"/>
        <bgColor rgb="FF2E75B6"/>
      </patternFill>
    </fill>
    <fill>
      <patternFill patternType="solid">
        <fgColor rgb="FF92D050"/>
        <bgColor rgb="FF92D050"/>
      </patternFill>
    </fill>
    <fill>
      <patternFill patternType="solid">
        <fgColor rgb="FFFF0000"/>
        <bgColor rgb="FFFF0000"/>
      </patternFill>
    </fill>
    <fill>
      <patternFill patternType="solid">
        <fgColor rgb="FFCAEDFB"/>
        <bgColor rgb="FFCAEDFB"/>
      </patternFill>
    </fill>
    <fill>
      <patternFill patternType="solid">
        <fgColor rgb="FFA4C2F4"/>
        <bgColor rgb="FFA4C2F4"/>
      </patternFill>
    </fill>
    <fill>
      <patternFill patternType="solid">
        <fgColor rgb="FFD8D8D8"/>
        <bgColor rgb="FFD8D8D8"/>
      </patternFill>
    </fill>
    <fill>
      <patternFill patternType="solid">
        <fgColor rgb="FFFFFF00"/>
        <bgColor rgb="FFFFFF00"/>
      </patternFill>
    </fill>
    <fill>
      <patternFill patternType="solid">
        <fgColor theme="6"/>
        <bgColor theme="6"/>
      </patternFill>
    </fill>
    <fill>
      <patternFill patternType="solid">
        <fgColor rgb="FFFDE9D9"/>
        <bgColor rgb="FFFDE9D9"/>
      </patternFill>
    </fill>
    <fill>
      <patternFill patternType="solid">
        <fgColor rgb="FFF2F2F2"/>
        <bgColor rgb="FFF2F2F2"/>
      </patternFill>
    </fill>
    <fill>
      <patternFill patternType="solid">
        <fgColor rgb="FFFFC000"/>
        <bgColor rgb="FFFFC000"/>
      </patternFill>
    </fill>
    <fill>
      <patternFill patternType="solid">
        <fgColor rgb="FFEAF1DD"/>
        <bgColor rgb="FFEAF1DD"/>
      </patternFill>
    </fill>
    <fill>
      <patternFill patternType="solid">
        <fgColor rgb="FFD99594"/>
        <bgColor rgb="FFD99594"/>
      </patternFill>
    </fill>
    <fill>
      <patternFill patternType="solid">
        <fgColor rgb="FF7F7F7F"/>
        <bgColor rgb="FF7F7F7F"/>
      </patternFill>
    </fill>
    <fill>
      <patternFill patternType="solid">
        <fgColor rgb="FFA6A6A6"/>
        <bgColor rgb="FFA6A6A6"/>
      </patternFill>
    </fill>
    <fill>
      <patternFill patternType="solid">
        <fgColor rgb="FF95B3D7"/>
        <bgColor rgb="FF95B3D7"/>
      </patternFill>
    </fill>
    <fill>
      <patternFill patternType="solid">
        <fgColor rgb="FFB8CCE4"/>
        <bgColor rgb="FFB8CCE4"/>
      </patternFill>
    </fill>
    <fill>
      <patternFill patternType="solid">
        <fgColor rgb="FFCBCBCB"/>
        <bgColor rgb="FFCBCBCB"/>
      </patternFill>
    </fill>
    <fill>
      <patternFill patternType="solid">
        <fgColor rgb="FF656565"/>
        <bgColor rgb="FF656565"/>
      </patternFill>
    </fill>
    <fill>
      <patternFill patternType="solid">
        <fgColor rgb="FF92CDDC"/>
        <bgColor rgb="FF92CDDC"/>
      </patternFill>
    </fill>
    <fill>
      <patternFill patternType="solid">
        <fgColor rgb="FF989898"/>
        <bgColor rgb="FF989898"/>
      </patternFill>
    </fill>
    <fill>
      <patternFill patternType="solid">
        <fgColor rgb="FFE5B8B7"/>
        <bgColor rgb="FFE5B8B7"/>
      </patternFill>
    </fill>
    <fill>
      <patternFill patternType="solid">
        <fgColor rgb="FFA5A5A5"/>
        <bgColor rgb="FFA5A5A5"/>
      </patternFill>
    </fill>
    <fill>
      <patternFill patternType="solid">
        <fgColor rgb="FFBFBFBF"/>
        <bgColor rgb="FFBFBFBF"/>
      </patternFill>
    </fill>
    <fill>
      <patternFill patternType="solid">
        <fgColor rgb="FFF2DBDB"/>
        <bgColor rgb="FFF2DBDB"/>
      </patternFill>
    </fill>
    <fill>
      <patternFill patternType="solid">
        <fgColor rgb="FFC0E6F5"/>
        <bgColor rgb="FFC0E6F5"/>
      </patternFill>
    </fill>
    <fill>
      <patternFill patternType="solid">
        <fgColor rgb="FFDBE5F1"/>
        <bgColor rgb="FFDBE5F1"/>
      </patternFill>
    </fill>
    <fill>
      <patternFill patternType="solid">
        <fgColor rgb="FFE5DFEC"/>
        <bgColor rgb="FFE5DFEC"/>
      </patternFill>
    </fill>
    <fill>
      <patternFill patternType="solid">
        <fgColor rgb="FF538DD5"/>
        <bgColor rgb="FF538DD5"/>
      </patternFill>
    </fill>
    <fill>
      <patternFill patternType="solid">
        <fgColor rgb="FFC5D9F1"/>
        <bgColor rgb="FFC5D9F1"/>
      </patternFill>
    </fill>
    <fill>
      <patternFill patternType="solid">
        <fgColor rgb="FF8DB4E2"/>
        <bgColor rgb="FF8DB4E2"/>
      </patternFill>
    </fill>
    <fill>
      <patternFill patternType="solid">
        <fgColor rgb="FFFBE2D5"/>
        <bgColor rgb="FFFBE2D5"/>
      </patternFill>
    </fill>
    <fill>
      <patternFill patternType="solid">
        <fgColor rgb="FF83E28E"/>
        <bgColor rgb="FF83E28E"/>
      </patternFill>
    </fill>
  </fills>
  <borders count="112">
    <border/>
    <border>
      <left/>
      <right/>
      <top/>
      <bottom/>
    </border>
    <border>
      <left style="medium">
        <color rgb="FF000000"/>
      </left>
      <right style="medium">
        <color rgb="FF000000"/>
      </right>
      <top style="medium">
        <color rgb="FF000000"/>
      </top>
    </border>
    <border>
      <left style="medium">
        <color rgb="FF000000"/>
      </left>
      <right style="medium">
        <color rgb="FF000000"/>
      </right>
      <top/>
      <bottom/>
    </border>
    <border>
      <left style="thin">
        <color rgb="FF000000"/>
      </left>
      <right/>
      <top style="thin">
        <color rgb="FF000000"/>
      </top>
      <bottom/>
    </border>
    <border>
      <left/>
      <right/>
      <top style="thin">
        <color rgb="FF000000"/>
      </top>
      <bottom/>
    </border>
    <border>
      <left style="medium">
        <color rgb="FF000000"/>
      </left>
      <right style="medium">
        <color rgb="FF000000"/>
      </right>
    </border>
    <border>
      <left style="thin">
        <color rgb="FF000000"/>
      </left>
      <right/>
      <top/>
      <bottom/>
    </border>
    <border>
      <left style="thin">
        <color rgb="FF000000"/>
      </left>
    </border>
    <border>
      <left style="thin">
        <color rgb="FF000000"/>
      </left>
      <bottom style="thin">
        <color rgb="FF000000"/>
      </bottom>
    </border>
    <border>
      <bottom style="thin">
        <color rgb="FF000000"/>
      </bottom>
    </border>
    <border>
      <left/>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medium">
        <color rgb="FF000000"/>
      </left>
      <right style="medium">
        <color rgb="FF000000"/>
      </right>
      <top style="thin">
        <color rgb="FF000000"/>
      </top>
      <bottom style="thin">
        <color rgb="FF000000"/>
      </bottom>
    </border>
    <border>
      <top style="thin">
        <color rgb="FF000000"/>
      </top>
      <bottom style="thin">
        <color rgb="FF000000"/>
      </bottom>
    </border>
    <border>
      <left style="medium">
        <color rgb="FF000000"/>
      </left>
      <right style="medium">
        <color rgb="FF000000"/>
      </right>
      <bottom style="thin">
        <color rgb="FF000000"/>
      </bottom>
    </border>
    <border>
      <left style="medium">
        <color rgb="FF000000"/>
      </left>
      <right style="medium">
        <color rgb="FF000000"/>
      </right>
      <top style="thin">
        <color rgb="FF000000"/>
      </top>
      <bottom/>
    </border>
    <border>
      <left style="thin">
        <color rgb="FF000000"/>
      </left>
      <right/>
      <top/>
      <bottom style="thin">
        <color rgb="FF000000"/>
      </bottom>
    </border>
    <border>
      <left style="medium">
        <color rgb="FF000000"/>
      </left>
      <right style="medium">
        <color rgb="FF000000"/>
      </right>
      <top/>
      <bottom style="thin">
        <color rgb="FF000000"/>
      </bottom>
    </border>
    <border>
      <top style="thin">
        <color rgb="FF000000"/>
      </top>
    </border>
    <border>
      <left style="thin">
        <color rgb="FF000000"/>
      </left>
      <top style="thin">
        <color rgb="FF000000"/>
      </top>
    </border>
    <border>
      <left style="medium">
        <color rgb="FF000000"/>
      </left>
      <right/>
      <top style="medium">
        <color rgb="FF000000"/>
      </top>
      <bottom/>
    </border>
    <border>
      <left style="medium">
        <color rgb="FF000000"/>
      </left>
      <right/>
      <top/>
      <bottom/>
    </border>
    <border>
      <left style="medium">
        <color rgb="FF000000"/>
      </left>
      <right/>
      <top/>
      <bottom style="medium">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medium">
        <color rgb="FF000000"/>
      </left>
      <right style="medium">
        <color rgb="FF000000"/>
      </right>
      <top style="medium">
        <color rgb="FF000000"/>
      </top>
      <bottom/>
    </border>
    <border>
      <left style="medium">
        <color rgb="FF000000"/>
      </left>
      <right style="medium">
        <color rgb="FF000000"/>
      </right>
      <bottom/>
    </border>
    <border>
      <left style="medium">
        <color rgb="FF000000"/>
      </left>
      <right style="medium">
        <color rgb="FF000000"/>
      </right>
      <top/>
      <bottom style="medium">
        <color rgb="FF000000"/>
      </bottom>
    </border>
    <border>
      <left/>
      <right style="thin">
        <color rgb="FF000000"/>
      </right>
      <top style="thin">
        <color rgb="FF000000"/>
      </top>
      <bottom style="thin">
        <color rgb="FF000000"/>
      </bottom>
    </border>
    <border>
      <left/>
      <right style="thin">
        <color rgb="FF000000"/>
      </right>
      <top style="thin">
        <color rgb="FF000000"/>
      </top>
      <bottom/>
    </border>
    <border>
      <bottom style="medium">
        <color rgb="FF000000"/>
      </bottom>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right style="thin">
        <color rgb="FF000000"/>
      </right>
      <top style="thin">
        <color rgb="FF000000"/>
      </top>
    </border>
    <border>
      <left style="medium">
        <color rgb="FF000000"/>
      </left>
      <right/>
      <top style="thin">
        <color rgb="FF000000"/>
      </top>
      <bottom style="medium">
        <color rgb="FF000000"/>
      </bottom>
    </border>
    <border>
      <left/>
      <right/>
      <top style="thin">
        <color rgb="FF000000"/>
      </top>
      <bottom style="medium">
        <color rgb="FF000000"/>
      </bottom>
    </border>
    <border>
      <left/>
      <right style="medium">
        <color rgb="FF000000"/>
      </right>
      <top style="thin">
        <color rgb="FF000000"/>
      </top>
      <bottom style="medium">
        <color rgb="FF000000"/>
      </bottom>
    </border>
    <border>
      <left/>
      <right/>
      <top/>
      <bottom style="medium">
        <color rgb="FF000000"/>
      </bottom>
    </border>
    <border>
      <left style="thin">
        <color rgb="FF000000"/>
      </left>
      <right style="medium">
        <color rgb="FF000000"/>
      </right>
      <top style="thin">
        <color rgb="FF000000"/>
      </top>
      <bottom/>
    </border>
    <border>
      <left style="thin">
        <color rgb="FF000000"/>
      </left>
      <right style="thin">
        <color rgb="FF000000"/>
      </right>
    </border>
    <border>
      <right style="thin">
        <color rgb="FF000000"/>
      </right>
      <bottom style="thin">
        <color rgb="FF000000"/>
      </bottom>
    </border>
    <border>
      <left/>
      <top/>
      <bottom/>
    </border>
    <border>
      <top/>
      <bottom/>
    </border>
    <border>
      <right style="thin">
        <color rgb="FF000000"/>
      </right>
      <top/>
      <bottom/>
    </border>
    <border>
      <left/>
      <top style="thin">
        <color rgb="FF000000"/>
      </top>
      <bottom style="thin">
        <color rgb="FF000000"/>
      </bottom>
    </border>
    <border>
      <left/>
      <right style="thin">
        <color rgb="FF000000"/>
      </right>
      <top style="thin">
        <color rgb="FF000000"/>
      </top>
    </border>
    <border>
      <left/>
      <right style="thin">
        <color rgb="FF000000"/>
      </right>
      <bottom style="thin">
        <color rgb="FF000000"/>
      </bottom>
    </border>
    <border>
      <left/>
      <right/>
      <top/>
    </border>
    <border>
      <left/>
      <right/>
    </border>
    <border>
      <left/>
      <right/>
      <bottom/>
    </border>
    <border>
      <left/>
      <right/>
      <top/>
      <bottom style="double">
        <color rgb="FF000000"/>
      </bottom>
    </border>
    <border>
      <left/>
      <right style="thin">
        <color rgb="FF000000"/>
      </right>
      <top/>
    </border>
    <border>
      <left style="thin">
        <color rgb="FF000000"/>
      </left>
      <top/>
    </border>
    <border>
      <right/>
      <top/>
    </border>
    <border>
      <right/>
      <bottom style="thin">
        <color rgb="FF000000"/>
      </bottom>
    </border>
    <border>
      <left style="thin">
        <color rgb="FF000000"/>
      </left>
      <right style="thin">
        <color rgb="FF000000"/>
      </right>
      <top style="thin">
        <color rgb="FF000000"/>
      </top>
      <bottom style="double">
        <color rgb="FF000000"/>
      </bottom>
    </border>
    <border>
      <left style="thin">
        <color rgb="FF000000"/>
      </left>
      <right style="thin">
        <color rgb="FF000000"/>
      </right>
      <bottom style="double">
        <color rgb="FF000000"/>
      </bottom>
    </border>
    <border>
      <left style="thin">
        <color rgb="FF000000"/>
      </left>
      <right style="thin">
        <color rgb="FF000000"/>
      </right>
      <top/>
    </border>
    <border>
      <left style="thin">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thin">
        <color rgb="FF000000"/>
      </right>
      <top/>
      <bottom style="medium">
        <color rgb="FF000000"/>
      </bottom>
    </border>
    <border>
      <left/>
      <right/>
      <top style="medium">
        <color rgb="FF000000"/>
      </top>
      <bottom/>
    </border>
    <border>
      <left/>
      <right style="medium">
        <color rgb="FF000000"/>
      </right>
      <top style="medium">
        <color rgb="FF000000"/>
      </top>
      <bottom/>
    </border>
    <border>
      <left/>
      <right style="medium">
        <color rgb="FF000000"/>
      </right>
      <top/>
      <bottom style="medium">
        <color rgb="FF000000"/>
      </bottom>
    </border>
    <border>
      <right style="thin">
        <color rgb="FF000000"/>
      </right>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thin">
        <color rgb="FF000000"/>
      </right>
      <top/>
    </border>
    <border>
      <left style="thin">
        <color rgb="FF000000"/>
      </left>
      <bottom/>
    </border>
    <border>
      <right/>
      <bottom/>
    </border>
    <border>
      <right style="thin">
        <color rgb="FF000000"/>
      </right>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right/>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medium">
        <color rgb="FF000000"/>
      </left>
      <top style="medium">
        <color rgb="FF000000"/>
      </top>
    </border>
    <border>
      <right/>
      <top style="medium">
        <color rgb="FF000000"/>
      </top>
    </border>
    <border>
      <left style="thin">
        <color rgb="FF000000"/>
      </left>
      <top style="medium">
        <color rgb="FF000000"/>
      </top>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thin">
        <color rgb="FF000000"/>
      </left>
      <right style="medium">
        <color rgb="FF000000"/>
      </right>
      <top style="thin">
        <color rgb="FF000000"/>
      </top>
      <bottom style="medium">
        <color rgb="FF000000"/>
      </bottom>
    </border>
    <border>
      <right/>
      <top/>
      <bottom/>
    </border>
    <border>
      <left style="medium">
        <color rgb="FF000000"/>
      </left>
      <right style="medium">
        <color rgb="FF000000"/>
      </right>
      <top style="medium">
        <color rgb="FF000000"/>
      </top>
      <bottom style="medium">
        <color rgb="FF000000"/>
      </bottom>
    </border>
    <border>
      <left/>
      <right style="thin">
        <color rgb="FF000000"/>
      </right>
      <top/>
      <bottom/>
    </border>
    <border>
      <left/>
      <right style="thin">
        <color rgb="FF000000"/>
      </right>
      <top/>
      <bottom style="thin">
        <color rgb="FF000000"/>
      </bottom>
    </border>
    <border>
      <left style="thin">
        <color rgb="FF000000"/>
      </left>
      <top/>
      <bottom/>
    </border>
    <border>
      <left style="thin">
        <color rgb="FF000000"/>
      </left>
      <right/>
      <top/>
    </border>
    <border>
      <left style="thin">
        <color rgb="FF000000"/>
      </left>
      <right/>
    </border>
    <border>
      <left style="thin">
        <color rgb="FF000000"/>
      </left>
      <right/>
      <bottom style="thin">
        <color rgb="FF000000"/>
      </bottom>
    </border>
    <border>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bottom/>
    </border>
  </borders>
  <cellStyleXfs count="1">
    <xf borderId="0" fillId="0" fontId="0" numFmtId="0" applyAlignment="1" applyFont="1"/>
  </cellStyleXfs>
  <cellXfs count="1198">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1" fillId="2" fontId="2" numFmtId="3" xfId="0" applyAlignment="1" applyBorder="1" applyFill="1" applyFont="1" applyNumberFormat="1">
      <alignment horizontal="center"/>
    </xf>
    <xf borderId="1" fillId="2" fontId="1" numFmtId="0" xfId="0" applyAlignment="1" applyBorder="1" applyFont="1">
      <alignment horizontal="left"/>
    </xf>
    <xf borderId="1" fillId="2" fontId="2" numFmtId="0" xfId="0" applyBorder="1" applyFont="1"/>
    <xf borderId="0" fillId="0" fontId="2" numFmtId="164" xfId="0" applyAlignment="1" applyFont="1" applyNumberFormat="1">
      <alignment horizontal="right"/>
    </xf>
    <xf borderId="0" fillId="0" fontId="3" numFmtId="0" xfId="0" applyFont="1"/>
    <xf borderId="2" fillId="0" fontId="2" numFmtId="164" xfId="0" applyAlignment="1" applyBorder="1" applyFont="1" applyNumberFormat="1">
      <alignment horizontal="right"/>
    </xf>
    <xf borderId="0" fillId="0" fontId="3" numFmtId="0" xfId="0" applyAlignment="1" applyFont="1">
      <alignment horizontal="left"/>
    </xf>
    <xf borderId="0" fillId="0" fontId="2" numFmtId="2" xfId="0" applyAlignment="1" applyFont="1" applyNumberFormat="1">
      <alignment horizontal="center"/>
    </xf>
    <xf borderId="2" fillId="0" fontId="2" numFmtId="164" xfId="0" applyAlignment="1" applyBorder="1" applyFont="1" applyNumberFormat="1">
      <alignment horizontal="center"/>
    </xf>
    <xf borderId="1" fillId="2" fontId="4" numFmtId="0" xfId="0" applyAlignment="1" applyBorder="1" applyFont="1">
      <alignment vertical="center"/>
    </xf>
    <xf borderId="1" fillId="2" fontId="1" numFmtId="164" xfId="0" applyAlignment="1" applyBorder="1" applyFont="1" applyNumberFormat="1">
      <alignment horizontal="left" vertical="center"/>
    </xf>
    <xf borderId="1" fillId="2" fontId="5" numFmtId="0" xfId="0" applyAlignment="1" applyBorder="1" applyFont="1">
      <alignment vertical="center"/>
    </xf>
    <xf borderId="1" fillId="3" fontId="4" numFmtId="0" xfId="0" applyAlignment="1" applyBorder="1" applyFill="1" applyFont="1">
      <alignment horizontal="center" vertical="center"/>
    </xf>
    <xf borderId="3" fillId="3" fontId="4" numFmtId="0" xfId="0" applyAlignment="1" applyBorder="1" applyFont="1">
      <alignment horizontal="center" vertical="center"/>
    </xf>
    <xf borderId="1" fillId="2" fontId="1" numFmtId="0" xfId="0" applyBorder="1" applyFont="1"/>
    <xf borderId="1" fillId="2" fontId="1" numFmtId="0" xfId="0" applyAlignment="1" applyBorder="1" applyFont="1">
      <alignment horizontal="center"/>
    </xf>
    <xf borderId="1" fillId="4" fontId="1" numFmtId="17" xfId="0" applyAlignment="1" applyBorder="1" applyFill="1" applyFont="1" applyNumberFormat="1">
      <alignment horizontal="center" vertical="center"/>
    </xf>
    <xf borderId="3" fillId="4" fontId="1" numFmtId="17" xfId="0" applyAlignment="1" applyBorder="1" applyFont="1" applyNumberFormat="1">
      <alignment horizontal="center" vertical="center"/>
    </xf>
    <xf borderId="1" fillId="2" fontId="5" numFmtId="0" xfId="0" applyAlignment="1" applyBorder="1" applyFont="1">
      <alignment horizontal="center"/>
    </xf>
    <xf borderId="0" fillId="0" fontId="1" numFmtId="0" xfId="0" applyAlignment="1" applyFont="1">
      <alignment horizontal="center" vertical="center"/>
    </xf>
    <xf borderId="4" fillId="5" fontId="1" numFmtId="0" xfId="0" applyAlignment="1" applyBorder="1" applyFill="1" applyFont="1">
      <alignment vertical="center"/>
    </xf>
    <xf borderId="5" fillId="5" fontId="2" numFmtId="0" xfId="0" applyAlignment="1" applyBorder="1" applyFont="1">
      <alignment vertical="center"/>
    </xf>
    <xf borderId="5" fillId="5" fontId="2" numFmtId="0" xfId="0" applyAlignment="1" applyBorder="1" applyFont="1">
      <alignment horizontal="center" vertical="center"/>
    </xf>
    <xf borderId="5" fillId="5" fontId="6" numFmtId="0" xfId="0" applyAlignment="1" applyBorder="1" applyFont="1">
      <alignment vertical="center"/>
    </xf>
    <xf borderId="1" fillId="5" fontId="2" numFmtId="0" xfId="0" applyAlignment="1" applyBorder="1" applyFont="1">
      <alignment horizontal="center" vertical="center"/>
    </xf>
    <xf borderId="1" fillId="5" fontId="2" numFmtId="17" xfId="0" applyAlignment="1" applyBorder="1" applyFont="1" applyNumberFormat="1">
      <alignment horizontal="right" vertical="center"/>
    </xf>
    <xf borderId="3" fillId="5" fontId="2" numFmtId="17" xfId="0" applyAlignment="1" applyBorder="1" applyFont="1" applyNumberFormat="1">
      <alignment horizontal="right" vertical="center"/>
    </xf>
    <xf borderId="6" fillId="0" fontId="2" numFmtId="164" xfId="0" applyAlignment="1" applyBorder="1" applyFont="1" applyNumberFormat="1">
      <alignment horizontal="center"/>
    </xf>
    <xf borderId="7" fillId="5" fontId="1" numFmtId="0" xfId="0" applyAlignment="1" applyBorder="1" applyFont="1">
      <alignment vertical="center"/>
    </xf>
    <xf borderId="1" fillId="5" fontId="1" numFmtId="0" xfId="0" applyAlignment="1" applyBorder="1" applyFont="1">
      <alignment vertical="center"/>
    </xf>
    <xf borderId="1" fillId="5" fontId="1" numFmtId="0" xfId="0" applyAlignment="1" applyBorder="1" applyFont="1">
      <alignment horizontal="center" vertical="center"/>
    </xf>
    <xf borderId="1" fillId="5" fontId="6" numFmtId="0" xfId="0" applyAlignment="1" applyBorder="1" applyFont="1">
      <alignment vertical="center"/>
    </xf>
    <xf borderId="1" fillId="5" fontId="2" numFmtId="0" xfId="0" applyAlignment="1" applyBorder="1" applyFont="1">
      <alignment horizontal="right" vertical="center"/>
    </xf>
    <xf borderId="1" fillId="5" fontId="6" numFmtId="0" xfId="0" applyAlignment="1" applyBorder="1" applyFont="1">
      <alignment horizontal="right" vertical="center"/>
    </xf>
    <xf borderId="1" fillId="5" fontId="2" numFmtId="9" xfId="0" applyAlignment="1" applyBorder="1" applyFont="1" applyNumberFormat="1">
      <alignment horizontal="center" vertical="center"/>
    </xf>
    <xf borderId="0" fillId="0" fontId="3" numFmtId="9" xfId="0" applyFont="1" applyNumberFormat="1"/>
    <xf borderId="3" fillId="5" fontId="2" numFmtId="9" xfId="0" applyAlignment="1" applyBorder="1" applyFont="1" applyNumberFormat="1">
      <alignment horizontal="center" vertical="center"/>
    </xf>
    <xf borderId="0" fillId="0" fontId="3" numFmtId="9" xfId="0" applyAlignment="1" applyFont="1" applyNumberFormat="1">
      <alignment horizontal="left"/>
    </xf>
    <xf borderId="7" fillId="6" fontId="1" numFmtId="0" xfId="0" applyAlignment="1" applyBorder="1" applyFill="1" applyFont="1">
      <alignment horizontal="left" vertical="center"/>
    </xf>
    <xf borderId="1" fillId="6" fontId="1" numFmtId="0" xfId="0" applyAlignment="1" applyBorder="1" applyFont="1">
      <alignment horizontal="center" vertical="center"/>
    </xf>
    <xf borderId="1" fillId="6" fontId="1" numFmtId="0" xfId="0" applyAlignment="1" applyBorder="1" applyFont="1">
      <alignment horizontal="left" shrinkToFit="0" vertical="center" wrapText="1"/>
    </xf>
    <xf borderId="1" fillId="6" fontId="1" numFmtId="164" xfId="0" applyAlignment="1" applyBorder="1" applyFont="1" applyNumberFormat="1">
      <alignment horizontal="right" vertical="center"/>
    </xf>
    <xf borderId="3" fillId="6" fontId="1" numFmtId="165" xfId="0" applyAlignment="1" applyBorder="1" applyFont="1" applyNumberFormat="1">
      <alignment horizontal="right" vertical="center"/>
    </xf>
    <xf borderId="0" fillId="0" fontId="3" numFmtId="164" xfId="0" applyAlignment="1" applyFont="1" applyNumberFormat="1">
      <alignment horizontal="left"/>
    </xf>
    <xf borderId="0" fillId="0" fontId="7" numFmtId="9" xfId="0" applyAlignment="1" applyFont="1" applyNumberFormat="1">
      <alignment horizontal="center"/>
    </xf>
    <xf borderId="1" fillId="2" fontId="1" numFmtId="0" xfId="0" applyAlignment="1" applyBorder="1" applyFont="1">
      <alignment horizontal="center" vertical="center"/>
    </xf>
    <xf borderId="7" fillId="2" fontId="1" numFmtId="0" xfId="0" applyAlignment="1" applyBorder="1" applyFont="1">
      <alignment horizontal="left" vertical="center"/>
    </xf>
    <xf borderId="1" fillId="2" fontId="2" numFmtId="0" xfId="0" applyAlignment="1" applyBorder="1" applyFont="1">
      <alignment horizontal="center"/>
    </xf>
    <xf borderId="1" fillId="2" fontId="2" numFmtId="0" xfId="0" applyAlignment="1" applyBorder="1" applyFont="1">
      <alignment horizontal="right"/>
    </xf>
    <xf borderId="1" fillId="2" fontId="2" numFmtId="164" xfId="0" applyAlignment="1" applyBorder="1" applyFont="1" applyNumberFormat="1">
      <alignment horizontal="right"/>
    </xf>
    <xf borderId="1" fillId="2" fontId="3" numFmtId="0" xfId="0" applyBorder="1" applyFont="1"/>
    <xf borderId="3" fillId="2" fontId="2" numFmtId="164" xfId="0" applyAlignment="1" applyBorder="1" applyFont="1" applyNumberFormat="1">
      <alignment horizontal="right"/>
    </xf>
    <xf borderId="1" fillId="2" fontId="3" numFmtId="0" xfId="0" applyAlignment="1" applyBorder="1" applyFont="1">
      <alignment horizontal="left"/>
    </xf>
    <xf borderId="1" fillId="2" fontId="2" numFmtId="2" xfId="0" applyAlignment="1" applyBorder="1" applyFont="1" applyNumberFormat="1">
      <alignment horizontal="center"/>
    </xf>
    <xf borderId="1" fillId="2" fontId="2" numFmtId="164" xfId="0" applyAlignment="1" applyBorder="1" applyFont="1" applyNumberFormat="1">
      <alignment horizontal="center"/>
    </xf>
    <xf borderId="7" fillId="2" fontId="2" numFmtId="0" xfId="0" applyBorder="1" applyFont="1"/>
    <xf borderId="8" fillId="0" fontId="2" numFmtId="0" xfId="0" applyBorder="1" applyFont="1"/>
    <xf borderId="0" fillId="0" fontId="2" numFmtId="0" xfId="0" applyAlignment="1" applyFont="1">
      <alignment horizontal="center"/>
    </xf>
    <xf borderId="0" fillId="0" fontId="2" numFmtId="0" xfId="0" applyAlignment="1" applyFont="1">
      <alignment horizontal="right"/>
    </xf>
    <xf borderId="1" fillId="6" fontId="1" numFmtId="0" xfId="0" applyAlignment="1" applyBorder="1" applyFont="1">
      <alignment horizontal="left" vertical="center"/>
    </xf>
    <xf borderId="1" fillId="2" fontId="5" numFmtId="0" xfId="0" applyBorder="1" applyFont="1"/>
    <xf borderId="1" fillId="2" fontId="2" numFmtId="0" xfId="0" applyAlignment="1" applyBorder="1" applyFont="1">
      <alignment horizontal="left"/>
    </xf>
    <xf borderId="1" fillId="2" fontId="8" numFmtId="0" xfId="0" applyAlignment="1" applyBorder="1" applyFont="1">
      <alignment horizontal="center"/>
    </xf>
    <xf borderId="1" fillId="2" fontId="9" numFmtId="0" xfId="0" applyAlignment="1" applyBorder="1" applyFont="1">
      <alignment horizontal="center" shrinkToFit="0" wrapText="1"/>
    </xf>
    <xf borderId="0" fillId="0" fontId="2" numFmtId="164" xfId="0" applyAlignment="1" applyFont="1" applyNumberFormat="1">
      <alignment horizontal="right" vertical="center"/>
    </xf>
    <xf borderId="6" fillId="0" fontId="2" numFmtId="164" xfId="0" applyAlignment="1" applyBorder="1" applyFont="1" applyNumberFormat="1">
      <alignment horizontal="center" vertical="center"/>
    </xf>
    <xf borderId="1" fillId="2" fontId="8" numFmtId="0" xfId="0" applyBorder="1" applyFont="1"/>
    <xf borderId="8" fillId="0" fontId="1" numFmtId="0" xfId="0" applyAlignment="1" applyBorder="1" applyFont="1">
      <alignment vertical="center"/>
    </xf>
    <xf borderId="1" fillId="5" fontId="1" numFmtId="164" xfId="0" applyAlignment="1" applyBorder="1" applyFont="1" applyNumberFormat="1">
      <alignment horizontal="right" vertical="center"/>
    </xf>
    <xf borderId="3" fillId="5" fontId="1" numFmtId="164" xfId="0" applyAlignment="1" applyBorder="1" applyFont="1" applyNumberFormat="1">
      <alignment horizontal="right" vertical="center"/>
    </xf>
    <xf borderId="0" fillId="0" fontId="1" numFmtId="0" xfId="0" applyAlignment="1" applyFont="1">
      <alignment vertical="center"/>
    </xf>
    <xf borderId="9" fillId="0" fontId="2" numFmtId="0" xfId="0" applyAlignment="1" applyBorder="1" applyFont="1">
      <alignment vertical="center"/>
    </xf>
    <xf borderId="10" fillId="0" fontId="2" numFmtId="0" xfId="0" applyAlignment="1" applyBorder="1" applyFont="1">
      <alignment vertical="center"/>
    </xf>
    <xf borderId="11" fillId="2" fontId="8" numFmtId="10" xfId="0" applyAlignment="1" applyBorder="1" applyFont="1" applyNumberFormat="1">
      <alignment vertical="center"/>
    </xf>
    <xf borderId="1" fillId="2" fontId="8" numFmtId="10" xfId="0" applyAlignment="1" applyBorder="1" applyFont="1" applyNumberFormat="1">
      <alignment vertical="center"/>
    </xf>
    <xf borderId="1" fillId="2" fontId="2" numFmtId="164" xfId="0" applyAlignment="1" applyBorder="1" applyFont="1" applyNumberFormat="1">
      <alignment vertical="center"/>
    </xf>
    <xf borderId="11" fillId="2" fontId="2" numFmtId="164" xfId="0" applyAlignment="1" applyBorder="1" applyFont="1" applyNumberFormat="1">
      <alignment vertical="center"/>
    </xf>
    <xf borderId="0" fillId="0" fontId="3" numFmtId="0" xfId="0" applyAlignment="1" applyFont="1">
      <alignment vertical="center"/>
    </xf>
    <xf borderId="3" fillId="2" fontId="2" numFmtId="164" xfId="0" applyAlignment="1" applyBorder="1" applyFont="1" applyNumberFormat="1">
      <alignment vertical="center"/>
    </xf>
    <xf borderId="0" fillId="0" fontId="3" numFmtId="0" xfId="0" applyAlignment="1" applyFont="1">
      <alignment horizontal="left" vertical="center"/>
    </xf>
    <xf borderId="12" fillId="4" fontId="1" numFmtId="0" xfId="0" applyAlignment="1" applyBorder="1" applyFont="1">
      <alignment horizontal="left" vertical="center"/>
    </xf>
    <xf borderId="13" fillId="4" fontId="1" numFmtId="0" xfId="0" applyAlignment="1" applyBorder="1" applyFont="1">
      <alignment horizontal="left" vertical="center"/>
    </xf>
    <xf borderId="13" fillId="4" fontId="1" numFmtId="0" xfId="0" applyAlignment="1" applyBorder="1" applyFont="1">
      <alignment horizontal="center" vertical="center"/>
    </xf>
    <xf borderId="13" fillId="4" fontId="1" numFmtId="164" xfId="0" applyAlignment="1" applyBorder="1" applyFont="1" applyNumberFormat="1">
      <alignment horizontal="right" vertical="center"/>
    </xf>
    <xf borderId="11" fillId="4" fontId="1" numFmtId="164" xfId="0" applyAlignment="1" applyBorder="1" applyFont="1" applyNumberFormat="1">
      <alignment horizontal="right" vertical="center"/>
    </xf>
    <xf borderId="14" fillId="4" fontId="1" numFmtId="164" xfId="0" applyAlignment="1" applyBorder="1" applyFont="1" applyNumberFormat="1">
      <alignment horizontal="right" vertical="center"/>
    </xf>
    <xf borderId="0" fillId="0" fontId="2" numFmtId="9" xfId="0" applyAlignment="1" applyFont="1" applyNumberFormat="1">
      <alignment horizontal="left"/>
    </xf>
    <xf borderId="0" fillId="0" fontId="2" numFmtId="164" xfId="0" applyAlignment="1" applyFont="1" applyNumberFormat="1">
      <alignment horizontal="left" vertical="center"/>
    </xf>
    <xf borderId="10" fillId="0" fontId="2" numFmtId="0" xfId="0" applyAlignment="1" applyBorder="1" applyFont="1">
      <alignment horizontal="center"/>
    </xf>
    <xf borderId="15" fillId="0" fontId="2" numFmtId="164" xfId="0" applyAlignment="1" applyBorder="1" applyFont="1" applyNumberFormat="1">
      <alignment horizontal="right"/>
    </xf>
    <xf borderId="10" fillId="0" fontId="2" numFmtId="164" xfId="0" applyAlignment="1" applyBorder="1" applyFont="1" applyNumberFormat="1">
      <alignment horizontal="right"/>
    </xf>
    <xf borderId="10" fillId="0" fontId="2" numFmtId="9" xfId="0" applyAlignment="1" applyBorder="1" applyFont="1" applyNumberFormat="1">
      <alignment horizontal="right"/>
    </xf>
    <xf borderId="14" fillId="0" fontId="2" numFmtId="164" xfId="0" applyAlignment="1" applyBorder="1" applyFont="1" applyNumberFormat="1">
      <alignment horizontal="left"/>
    </xf>
    <xf borderId="6" fillId="0" fontId="2" numFmtId="164" xfId="0" applyAlignment="1" applyBorder="1" applyFont="1" applyNumberFormat="1">
      <alignment horizontal="right"/>
    </xf>
    <xf borderId="4" fillId="5" fontId="1" numFmtId="0" xfId="0" applyAlignment="1" applyBorder="1" applyFont="1">
      <alignment horizontal="left" vertical="center"/>
    </xf>
    <xf borderId="5" fillId="5" fontId="2" numFmtId="0" xfId="0" applyAlignment="1" applyBorder="1" applyFont="1">
      <alignment horizontal="left" vertical="center"/>
    </xf>
    <xf borderId="1" fillId="5" fontId="2" numFmtId="0" xfId="0" applyAlignment="1" applyBorder="1" applyFont="1">
      <alignment horizontal="left" vertical="center"/>
    </xf>
    <xf borderId="7" fillId="5" fontId="2" numFmtId="0" xfId="0" applyAlignment="1" applyBorder="1" applyFont="1">
      <alignment horizontal="left" vertical="center"/>
    </xf>
    <xf borderId="1" fillId="5" fontId="1" numFmtId="0" xfId="0" applyAlignment="1" applyBorder="1" applyFont="1">
      <alignment horizontal="left" vertical="center"/>
    </xf>
    <xf borderId="1" fillId="5" fontId="2" numFmtId="0" xfId="0" applyAlignment="1" applyBorder="1" applyFont="1">
      <alignment horizontal="left" shrinkToFit="0" vertical="center" wrapText="1"/>
    </xf>
    <xf borderId="3" fillId="6" fontId="1" numFmtId="164" xfId="0" applyAlignment="1" applyBorder="1" applyFont="1" applyNumberFormat="1">
      <alignment horizontal="right" vertical="center"/>
    </xf>
    <xf borderId="1" fillId="2" fontId="2" numFmtId="166" xfId="0" applyAlignment="1" applyBorder="1" applyFont="1" applyNumberFormat="1">
      <alignment horizontal="center"/>
    </xf>
    <xf borderId="1" fillId="2" fontId="3" numFmtId="9" xfId="0" applyAlignment="1" applyBorder="1" applyFont="1" applyNumberFormat="1">
      <alignment horizontal="left"/>
    </xf>
    <xf borderId="1" fillId="2" fontId="2" numFmtId="165" xfId="0" applyAlignment="1" applyBorder="1" applyFont="1" applyNumberFormat="1">
      <alignment horizontal="center"/>
    </xf>
    <xf borderId="0" fillId="0" fontId="2" numFmtId="165" xfId="0" applyAlignment="1" applyFont="1" applyNumberFormat="1">
      <alignment horizontal="center"/>
    </xf>
    <xf borderId="0" fillId="0" fontId="2" numFmtId="4" xfId="0" applyAlignment="1" applyFont="1" applyNumberFormat="1">
      <alignment horizontal="right"/>
    </xf>
    <xf borderId="1" fillId="2" fontId="2" numFmtId="4" xfId="0" applyAlignment="1" applyBorder="1" applyFont="1" applyNumberFormat="1">
      <alignment horizontal="right"/>
    </xf>
    <xf borderId="1" fillId="2" fontId="10" numFmtId="0" xfId="0" applyBorder="1" applyFont="1"/>
    <xf borderId="1" fillId="2" fontId="10" numFmtId="0" xfId="0" applyAlignment="1" applyBorder="1" applyFont="1">
      <alignment horizontal="center"/>
    </xf>
    <xf borderId="1" fillId="2" fontId="10" numFmtId="165" xfId="0" applyAlignment="1" applyBorder="1" applyFont="1" applyNumberFormat="1">
      <alignment horizontal="center"/>
    </xf>
    <xf borderId="1" fillId="2" fontId="10" numFmtId="164" xfId="0" applyAlignment="1" applyBorder="1" applyFont="1" applyNumberFormat="1">
      <alignment horizontal="right"/>
    </xf>
    <xf borderId="7" fillId="2" fontId="8" numFmtId="0" xfId="0" applyBorder="1" applyFont="1"/>
    <xf borderId="1" fillId="2" fontId="2" numFmtId="167" xfId="0" applyAlignment="1" applyBorder="1" applyFont="1" applyNumberFormat="1">
      <alignment horizontal="right"/>
    </xf>
    <xf borderId="1" fillId="2" fontId="11" numFmtId="9" xfId="0" applyAlignment="1" applyBorder="1" applyFont="1" applyNumberFormat="1">
      <alignment horizontal="left"/>
    </xf>
    <xf borderId="1" fillId="2" fontId="11" numFmtId="0" xfId="0" applyBorder="1" applyFont="1"/>
    <xf borderId="1" fillId="2" fontId="6" numFmtId="0" xfId="0" applyAlignment="1" applyBorder="1" applyFont="1">
      <alignment horizontal="center"/>
    </xf>
    <xf borderId="7" fillId="2" fontId="10" numFmtId="0" xfId="0" applyBorder="1" applyFont="1"/>
    <xf borderId="1" fillId="2" fontId="12" numFmtId="0" xfId="0" applyBorder="1" applyFont="1"/>
    <xf borderId="1" fillId="2" fontId="12" numFmtId="9" xfId="0" applyAlignment="1" applyBorder="1" applyFont="1" applyNumberFormat="1">
      <alignment horizontal="left"/>
    </xf>
    <xf borderId="1" fillId="2" fontId="8" numFmtId="164" xfId="0" applyAlignment="1" applyBorder="1" applyFont="1" applyNumberFormat="1">
      <alignment horizontal="right"/>
    </xf>
    <xf borderId="0" fillId="0" fontId="11" numFmtId="0" xfId="0" applyFont="1"/>
    <xf borderId="0" fillId="0" fontId="11" numFmtId="9" xfId="0" applyAlignment="1" applyFont="1" applyNumberFormat="1">
      <alignment horizontal="left"/>
    </xf>
    <xf borderId="3" fillId="2" fontId="8" numFmtId="164" xfId="0" applyAlignment="1" applyBorder="1" applyFont="1" applyNumberFormat="1">
      <alignment horizontal="right"/>
    </xf>
    <xf borderId="1" fillId="2" fontId="2" numFmtId="168" xfId="0" applyAlignment="1" applyBorder="1" applyFont="1" applyNumberFormat="1">
      <alignment horizontal="center"/>
    </xf>
    <xf borderId="1" fillId="2" fontId="2" numFmtId="9" xfId="0" applyAlignment="1" applyBorder="1" applyFont="1" applyNumberFormat="1">
      <alignment horizontal="left"/>
    </xf>
    <xf borderId="1" fillId="2" fontId="2" numFmtId="169" xfId="0" applyAlignment="1" applyBorder="1" applyFont="1" applyNumberFormat="1">
      <alignment horizontal="right"/>
    </xf>
    <xf borderId="1" fillId="2" fontId="2" numFmtId="165" xfId="0" applyAlignment="1" applyBorder="1" applyFont="1" applyNumberFormat="1">
      <alignment horizontal="right"/>
    </xf>
    <xf borderId="1" fillId="2" fontId="5" numFmtId="0" xfId="0" applyAlignment="1" applyBorder="1" applyFont="1">
      <alignment horizontal="center" shrinkToFit="0" wrapText="1"/>
    </xf>
    <xf borderId="0" fillId="0" fontId="4" numFmtId="0" xfId="0" applyAlignment="1" applyFont="1">
      <alignment horizontal="center"/>
    </xf>
    <xf borderId="1" fillId="0" fontId="2" numFmtId="4" xfId="0" applyAlignment="1" applyBorder="1" applyFont="1" applyNumberFormat="1">
      <alignment horizontal="right"/>
    </xf>
    <xf borderId="1" fillId="7" fontId="2" numFmtId="164" xfId="0" applyAlignment="1" applyBorder="1" applyFill="1" applyFont="1" applyNumberFormat="1">
      <alignment horizontal="right"/>
    </xf>
    <xf borderId="0" fillId="0" fontId="4" numFmtId="165" xfId="0" applyAlignment="1" applyFont="1" applyNumberFormat="1">
      <alignment horizontal="center"/>
    </xf>
    <xf borderId="0" fillId="0" fontId="2" numFmtId="166" xfId="0" applyAlignment="1" applyFont="1" applyNumberFormat="1">
      <alignment horizontal="center"/>
    </xf>
    <xf borderId="1" fillId="6" fontId="1" numFmtId="169" xfId="0" applyAlignment="1" applyBorder="1" applyFont="1" applyNumberFormat="1">
      <alignment horizontal="right" vertical="center"/>
    </xf>
    <xf borderId="0" fillId="0" fontId="2" numFmtId="164" xfId="0" applyAlignment="1" applyFont="1" applyNumberFormat="1">
      <alignment horizontal="center"/>
    </xf>
    <xf borderId="1" fillId="2" fontId="3" numFmtId="164" xfId="0" applyBorder="1" applyFont="1" applyNumberFormat="1"/>
    <xf borderId="0" fillId="0" fontId="10" numFmtId="164" xfId="0" applyAlignment="1" applyFont="1" applyNumberFormat="1">
      <alignment horizontal="center"/>
    </xf>
    <xf borderId="0" fillId="0" fontId="2" numFmtId="170" xfId="0" applyFont="1" applyNumberFormat="1"/>
    <xf borderId="0" fillId="0" fontId="10" numFmtId="0" xfId="0" applyAlignment="1" applyFont="1">
      <alignment horizontal="center"/>
    </xf>
    <xf borderId="0" fillId="0" fontId="10" numFmtId="165" xfId="0" applyAlignment="1" applyFont="1" applyNumberFormat="1">
      <alignment horizontal="center"/>
    </xf>
    <xf borderId="1" fillId="2" fontId="2" numFmtId="10" xfId="0" applyBorder="1" applyFont="1" applyNumberFormat="1"/>
    <xf borderId="1" fillId="2" fontId="8" numFmtId="0" xfId="0" applyAlignment="1" applyBorder="1" applyFont="1">
      <alignment horizontal="center" shrinkToFit="0" wrapText="1"/>
    </xf>
    <xf borderId="0" fillId="0" fontId="2" numFmtId="9" xfId="0" applyFont="1" applyNumberFormat="1"/>
    <xf borderId="0" fillId="0" fontId="2" numFmtId="170" xfId="0" applyAlignment="1" applyFont="1" applyNumberFormat="1">
      <alignment horizontal="left"/>
    </xf>
    <xf borderId="0" fillId="0" fontId="2" numFmtId="164" xfId="0" applyAlignment="1" applyFont="1" applyNumberFormat="1">
      <alignment horizontal="left"/>
    </xf>
    <xf borderId="0" fillId="0" fontId="8" numFmtId="0" xfId="0" applyAlignment="1" applyFont="1">
      <alignment horizontal="center" shrinkToFit="0" vertical="center" wrapText="1"/>
    </xf>
    <xf borderId="0" fillId="0" fontId="2" numFmtId="10" xfId="0" applyFont="1" applyNumberFormat="1"/>
    <xf borderId="0" fillId="0" fontId="8" numFmtId="0" xfId="0" applyAlignment="1" applyFont="1">
      <alignment horizontal="center" shrinkToFit="0" wrapText="1"/>
    </xf>
    <xf borderId="11" fillId="2" fontId="2" numFmtId="164" xfId="0" applyAlignment="1" applyBorder="1" applyFont="1" applyNumberFormat="1">
      <alignment horizontal="right"/>
    </xf>
    <xf borderId="12" fillId="4" fontId="1" numFmtId="0" xfId="0" applyAlignment="1" applyBorder="1" applyFont="1">
      <alignment vertical="center"/>
    </xf>
    <xf borderId="13" fillId="4" fontId="1" numFmtId="0" xfId="0" applyAlignment="1" applyBorder="1" applyFont="1">
      <alignment vertical="center"/>
    </xf>
    <xf borderId="0" fillId="0" fontId="13" numFmtId="0" xfId="0" applyAlignment="1" applyFont="1">
      <alignment horizontal="center"/>
    </xf>
    <xf borderId="0" fillId="0" fontId="6" numFmtId="0" xfId="0" applyFont="1"/>
    <xf borderId="0" fillId="0" fontId="6" numFmtId="0" xfId="0" applyAlignment="1" applyFont="1">
      <alignment horizontal="center"/>
    </xf>
    <xf borderId="0" fillId="0" fontId="2" numFmtId="9" xfId="0" applyAlignment="1" applyFont="1" applyNumberFormat="1">
      <alignment horizontal="right"/>
    </xf>
    <xf borderId="16" fillId="0" fontId="2" numFmtId="164" xfId="0" applyAlignment="1" applyBorder="1" applyFont="1" applyNumberFormat="1">
      <alignment horizontal="right"/>
    </xf>
    <xf borderId="6" fillId="0" fontId="2" numFmtId="9" xfId="0" applyAlignment="1" applyBorder="1" applyFont="1" applyNumberFormat="1">
      <alignment horizontal="right"/>
    </xf>
    <xf borderId="5" fillId="5" fontId="1" numFmtId="0" xfId="0" applyAlignment="1" applyBorder="1" applyFont="1">
      <alignment vertical="center"/>
    </xf>
    <xf borderId="5" fillId="5" fontId="1" numFmtId="0" xfId="0" applyAlignment="1" applyBorder="1" applyFont="1">
      <alignment horizontal="center" vertical="center"/>
    </xf>
    <xf borderId="5" fillId="5" fontId="1" numFmtId="164" xfId="0" applyAlignment="1" applyBorder="1" applyFont="1" applyNumberFormat="1">
      <alignment horizontal="right" vertical="center"/>
    </xf>
    <xf borderId="0" fillId="0" fontId="3" numFmtId="3" xfId="0" applyFont="1" applyNumberFormat="1"/>
    <xf borderId="17" fillId="5" fontId="1" numFmtId="164" xfId="0" applyAlignment="1" applyBorder="1" applyFont="1" applyNumberFormat="1">
      <alignment horizontal="right" vertical="center"/>
    </xf>
    <xf borderId="0" fillId="0" fontId="3" numFmtId="3" xfId="0" applyAlignment="1" applyFont="1" applyNumberFormat="1">
      <alignment horizontal="left"/>
    </xf>
    <xf borderId="18" fillId="5" fontId="1" numFmtId="0" xfId="0" applyAlignment="1" applyBorder="1" applyFont="1">
      <alignment vertical="center"/>
    </xf>
    <xf borderId="11" fillId="5" fontId="1" numFmtId="0" xfId="0" applyAlignment="1" applyBorder="1" applyFont="1">
      <alignment vertical="center"/>
    </xf>
    <xf borderId="11" fillId="5" fontId="1" numFmtId="0" xfId="0" applyAlignment="1" applyBorder="1" applyFont="1">
      <alignment horizontal="center" vertical="center"/>
    </xf>
    <xf borderId="11" fillId="5" fontId="1" numFmtId="170" xfId="0" applyAlignment="1" applyBorder="1" applyFont="1" applyNumberFormat="1">
      <alignment horizontal="right" vertical="center"/>
    </xf>
    <xf borderId="19" fillId="5" fontId="1" numFmtId="170" xfId="0" applyAlignment="1" applyBorder="1" applyFont="1" applyNumberFormat="1">
      <alignment horizontal="right" vertical="center"/>
    </xf>
    <xf borderId="1" fillId="6" fontId="2" numFmtId="0" xfId="0" applyAlignment="1" applyBorder="1" applyFont="1">
      <alignment horizontal="center" vertical="center"/>
    </xf>
    <xf borderId="1" fillId="6" fontId="2" numFmtId="0" xfId="0" applyAlignment="1" applyBorder="1" applyFont="1">
      <alignment horizontal="center" shrinkToFit="0" vertical="center" wrapText="1"/>
    </xf>
    <xf borderId="1" fillId="6" fontId="1" numFmtId="4" xfId="0" applyAlignment="1" applyBorder="1" applyFont="1" applyNumberFormat="1">
      <alignment horizontal="right" vertical="center"/>
    </xf>
    <xf borderId="0" fillId="0" fontId="3" numFmtId="170" xfId="0" applyFont="1" applyNumberFormat="1"/>
    <xf borderId="0" fillId="0" fontId="3" numFmtId="170" xfId="0" applyAlignment="1" applyFont="1" applyNumberFormat="1">
      <alignment horizontal="left"/>
    </xf>
    <xf borderId="1" fillId="2" fontId="2" numFmtId="170" xfId="0" applyAlignment="1" applyBorder="1" applyFont="1" applyNumberFormat="1">
      <alignment horizontal="left"/>
    </xf>
    <xf borderId="0" fillId="0" fontId="3" numFmtId="164" xfId="0" applyFont="1" applyNumberFormat="1"/>
    <xf borderId="13" fillId="4" fontId="1" numFmtId="0" xfId="0" applyAlignment="1" applyBorder="1" applyFont="1">
      <alignment readingOrder="0" vertical="center"/>
    </xf>
    <xf borderId="19" fillId="2" fontId="2" numFmtId="164" xfId="0" applyAlignment="1" applyBorder="1" applyFont="1" applyNumberFormat="1">
      <alignment horizontal="right"/>
    </xf>
    <xf borderId="0" fillId="0" fontId="2" numFmtId="170" xfId="0" applyAlignment="1" applyFont="1" applyNumberFormat="1">
      <alignment horizontal="right"/>
    </xf>
    <xf borderId="1" fillId="8" fontId="2" numFmtId="164" xfId="0" applyAlignment="1" applyBorder="1" applyFill="1" applyFont="1" applyNumberFormat="1">
      <alignment horizontal="right"/>
    </xf>
    <xf borderId="6" fillId="0" fontId="3" numFmtId="0" xfId="0" applyBorder="1" applyFont="1"/>
    <xf borderId="0" fillId="0" fontId="2" numFmtId="10" xfId="0" applyAlignment="1" applyFont="1" applyNumberFormat="1">
      <alignment horizontal="center"/>
    </xf>
    <xf borderId="1" fillId="2" fontId="7" numFmtId="0" xfId="0" applyAlignment="1" applyBorder="1" applyFont="1">
      <alignment horizontal="right"/>
    </xf>
    <xf borderId="1" fillId="2" fontId="7" numFmtId="2" xfId="0" applyAlignment="1" applyBorder="1" applyFont="1" applyNumberFormat="1">
      <alignment horizontal="center"/>
    </xf>
    <xf borderId="3" fillId="2" fontId="7" numFmtId="0" xfId="0" applyAlignment="1" applyBorder="1" applyFont="1">
      <alignment horizontal="right"/>
    </xf>
    <xf borderId="4" fillId="2" fontId="2" numFmtId="0" xfId="0" applyAlignment="1" applyBorder="1" applyFont="1">
      <alignment horizontal="center"/>
    </xf>
    <xf borderId="5" fillId="2" fontId="14" numFmtId="0" xfId="0" applyAlignment="1" applyBorder="1" applyFont="1">
      <alignment horizontal="right"/>
    </xf>
    <xf borderId="5" fillId="2" fontId="2" numFmtId="170" xfId="0" applyAlignment="1" applyBorder="1" applyFont="1" applyNumberFormat="1">
      <alignment horizontal="center"/>
    </xf>
    <xf borderId="20" fillId="0" fontId="3" numFmtId="0" xfId="0" applyBorder="1" applyFont="1"/>
    <xf borderId="17" fillId="2" fontId="2" numFmtId="170" xfId="0" applyAlignment="1" applyBorder="1" applyFont="1" applyNumberFormat="1">
      <alignment horizontal="center"/>
    </xf>
    <xf borderId="20" fillId="0" fontId="3" numFmtId="0" xfId="0" applyAlignment="1" applyBorder="1" applyFont="1">
      <alignment horizontal="left"/>
    </xf>
    <xf borderId="20" fillId="0" fontId="2" numFmtId="2" xfId="0" applyAlignment="1" applyBorder="1" applyFont="1" applyNumberFormat="1">
      <alignment horizontal="center"/>
    </xf>
    <xf borderId="7" fillId="2" fontId="2" numFmtId="0" xfId="0" applyAlignment="1" applyBorder="1" applyFont="1">
      <alignment horizontal="center"/>
    </xf>
    <xf borderId="1" fillId="2" fontId="14" numFmtId="0" xfId="0" applyAlignment="1" applyBorder="1" applyFont="1">
      <alignment horizontal="right"/>
    </xf>
    <xf borderId="6" fillId="0" fontId="7" numFmtId="2" xfId="0" applyAlignment="1" applyBorder="1" applyFont="1" applyNumberFormat="1">
      <alignment horizontal="center"/>
    </xf>
    <xf borderId="0" fillId="0" fontId="7" numFmtId="2" xfId="0" applyAlignment="1" applyFont="1" applyNumberFormat="1">
      <alignment horizontal="center"/>
    </xf>
    <xf borderId="1" fillId="2" fontId="7" numFmtId="171" xfId="0" applyAlignment="1" applyBorder="1" applyFont="1" applyNumberFormat="1">
      <alignment horizontal="center"/>
    </xf>
    <xf borderId="1" fillId="2" fontId="7" numFmtId="9" xfId="0" applyAlignment="1" applyBorder="1" applyFont="1" applyNumberFormat="1">
      <alignment horizontal="center"/>
    </xf>
    <xf borderId="0" fillId="0" fontId="3" numFmtId="0" xfId="0" applyAlignment="1" applyFont="1">
      <alignment horizontal="center"/>
    </xf>
    <xf borderId="18" fillId="2" fontId="2" numFmtId="0" xfId="0" applyAlignment="1" applyBorder="1" applyFont="1">
      <alignment horizontal="center"/>
    </xf>
    <xf borderId="11" fillId="2" fontId="14" numFmtId="0" xfId="0" applyAlignment="1" applyBorder="1" applyFont="1">
      <alignment horizontal="right"/>
    </xf>
    <xf borderId="11" fillId="2" fontId="7" numFmtId="171" xfId="0" applyAlignment="1" applyBorder="1" applyFont="1" applyNumberFormat="1">
      <alignment horizontal="center"/>
    </xf>
    <xf borderId="11" fillId="2" fontId="7" numFmtId="2" xfId="0" applyAlignment="1" applyBorder="1" applyFont="1" applyNumberFormat="1">
      <alignment horizontal="center"/>
    </xf>
    <xf borderId="11" fillId="2" fontId="3" numFmtId="0" xfId="0" applyAlignment="1" applyBorder="1" applyFont="1">
      <alignment horizontal="center"/>
    </xf>
    <xf borderId="19" fillId="2" fontId="7" numFmtId="2" xfId="0" applyAlignment="1" applyBorder="1" applyFont="1" applyNumberFormat="1">
      <alignment horizontal="center"/>
    </xf>
    <xf borderId="11" fillId="2" fontId="3" numFmtId="0" xfId="0" applyAlignment="1" applyBorder="1" applyFont="1">
      <alignment horizontal="left"/>
    </xf>
    <xf borderId="11" fillId="2" fontId="2" numFmtId="2" xfId="0" applyAlignment="1" applyBorder="1" applyFont="1" applyNumberFormat="1">
      <alignment horizontal="center"/>
    </xf>
    <xf borderId="0" fillId="0" fontId="7" numFmtId="0" xfId="0" applyFont="1"/>
    <xf borderId="10" fillId="0" fontId="7" numFmtId="0" xfId="0" applyAlignment="1" applyBorder="1" applyFont="1">
      <alignment horizontal="center"/>
    </xf>
    <xf borderId="0" fillId="0" fontId="7" numFmtId="0" xfId="0" applyAlignment="1" applyFont="1">
      <alignment horizontal="center"/>
    </xf>
    <xf borderId="16" fillId="0" fontId="7" numFmtId="0" xfId="0" applyAlignment="1" applyBorder="1" applyFont="1">
      <alignment horizontal="center"/>
    </xf>
    <xf borderId="6" fillId="0" fontId="7" numFmtId="0" xfId="0" applyAlignment="1" applyBorder="1" applyFont="1">
      <alignment horizontal="center"/>
    </xf>
    <xf borderId="21" fillId="0" fontId="2" numFmtId="0" xfId="0" applyAlignment="1" applyBorder="1" applyFont="1">
      <alignment horizontal="center"/>
    </xf>
    <xf borderId="20" fillId="0" fontId="7" numFmtId="0" xfId="0" applyBorder="1" applyFont="1"/>
    <xf borderId="1" fillId="2" fontId="7" numFmtId="172" xfId="0" applyAlignment="1" applyBorder="1" applyFont="1" applyNumberFormat="1">
      <alignment horizontal="center"/>
    </xf>
    <xf borderId="5" fillId="2" fontId="7" numFmtId="172" xfId="0" applyAlignment="1" applyBorder="1" applyFont="1" applyNumberFormat="1">
      <alignment horizontal="center"/>
    </xf>
    <xf borderId="3" fillId="2" fontId="7" numFmtId="172" xfId="0" applyAlignment="1" applyBorder="1" applyFont="1" applyNumberFormat="1">
      <alignment horizontal="center"/>
    </xf>
    <xf borderId="1" fillId="2" fontId="7" numFmtId="3" xfId="0" applyAlignment="1" applyBorder="1" applyFont="1" applyNumberFormat="1">
      <alignment horizontal="center"/>
    </xf>
    <xf borderId="1" fillId="2" fontId="3" numFmtId="0" xfId="0" applyAlignment="1" applyBorder="1" applyFont="1">
      <alignment horizontal="center"/>
    </xf>
    <xf borderId="3" fillId="2" fontId="7" numFmtId="3" xfId="0" applyAlignment="1" applyBorder="1" applyFont="1" applyNumberFormat="1">
      <alignment horizontal="center"/>
    </xf>
    <xf borderId="3" fillId="2" fontId="2" numFmtId="164" xfId="0" applyAlignment="1" applyBorder="1" applyFont="1" applyNumberFormat="1">
      <alignment horizontal="center"/>
    </xf>
    <xf borderId="11" fillId="2" fontId="7" numFmtId="3" xfId="0" applyAlignment="1" applyBorder="1" applyFont="1" applyNumberFormat="1">
      <alignment horizontal="center"/>
    </xf>
    <xf borderId="11" fillId="2" fontId="2" numFmtId="3" xfId="0" applyAlignment="1" applyBorder="1" applyFont="1" applyNumberFormat="1">
      <alignment horizontal="center"/>
    </xf>
    <xf borderId="19" fillId="2" fontId="7" numFmtId="3" xfId="0" applyAlignment="1" applyBorder="1" applyFont="1" applyNumberFormat="1">
      <alignment horizontal="center"/>
    </xf>
    <xf borderId="6" fillId="0" fontId="2" numFmtId="0" xfId="0" applyAlignment="1" applyBorder="1" applyFont="1">
      <alignment horizontal="right"/>
    </xf>
    <xf borderId="6" fillId="0" fontId="2" numFmtId="0" xfId="0" applyAlignment="1" applyBorder="1" applyFont="1">
      <alignment horizontal="center"/>
    </xf>
    <xf borderId="0" fillId="0" fontId="2" numFmtId="0" xfId="0" applyAlignment="1" applyFont="1">
      <alignment horizontal="left"/>
    </xf>
    <xf borderId="0" fillId="0" fontId="2" numFmtId="3" xfId="0" applyAlignment="1" applyFont="1" applyNumberFormat="1">
      <alignment horizontal="right"/>
    </xf>
    <xf borderId="6" fillId="0" fontId="2" numFmtId="3" xfId="0" applyAlignment="1" applyBorder="1" applyFont="1" applyNumberFormat="1">
      <alignment horizontal="right"/>
    </xf>
    <xf borderId="1" fillId="2" fontId="2" numFmtId="170" xfId="0" applyAlignment="1" applyBorder="1" applyFont="1" applyNumberFormat="1">
      <alignment horizontal="center"/>
    </xf>
    <xf borderId="0" fillId="0" fontId="2" numFmtId="17" xfId="0" applyAlignment="1" applyFont="1" applyNumberFormat="1">
      <alignment horizontal="right"/>
    </xf>
    <xf borderId="6" fillId="0" fontId="2" numFmtId="173" xfId="0" applyAlignment="1" applyBorder="1" applyFont="1" applyNumberFormat="1">
      <alignment horizontal="right"/>
    </xf>
    <xf borderId="22" fillId="8" fontId="15" numFmtId="0" xfId="0" applyAlignment="1" applyBorder="1" applyFont="1">
      <alignment horizontal="left"/>
    </xf>
    <xf borderId="1" fillId="8" fontId="7" numFmtId="9" xfId="0" applyAlignment="1" applyBorder="1" applyFont="1" applyNumberFormat="1">
      <alignment horizontal="right"/>
    </xf>
    <xf borderId="0" fillId="0" fontId="1" numFmtId="0" xfId="0" applyFont="1"/>
    <xf borderId="23" fillId="8" fontId="2" numFmtId="0" xfId="0" applyAlignment="1" applyBorder="1" applyFont="1">
      <alignment horizontal="center"/>
    </xf>
    <xf borderId="0" fillId="0" fontId="2" numFmtId="174" xfId="0" applyAlignment="1" applyFont="1" applyNumberFormat="1">
      <alignment horizontal="right"/>
    </xf>
    <xf borderId="0" fillId="0" fontId="7" numFmtId="166" xfId="0" applyAlignment="1" applyFont="1" applyNumberFormat="1">
      <alignment horizontal="center"/>
    </xf>
    <xf borderId="0" fillId="0" fontId="2" numFmtId="3" xfId="0" applyAlignment="1" applyFont="1" applyNumberFormat="1">
      <alignment horizontal="right" readingOrder="0"/>
    </xf>
    <xf borderId="24" fillId="8" fontId="2" numFmtId="0" xfId="0" applyAlignment="1" applyBorder="1" applyFont="1">
      <alignment horizontal="center"/>
    </xf>
    <xf borderId="1" fillId="9" fontId="2" numFmtId="0" xfId="0" applyAlignment="1" applyBorder="1" applyFill="1" applyFont="1">
      <alignment horizontal="center"/>
    </xf>
    <xf borderId="1" fillId="10" fontId="2" numFmtId="0" xfId="0" applyAlignment="1" applyBorder="1" applyFill="1" applyFont="1">
      <alignment horizontal="center"/>
    </xf>
    <xf borderId="1" fillId="11" fontId="4" numFmtId="0" xfId="0" applyAlignment="1" applyBorder="1" applyFill="1" applyFont="1">
      <alignment horizontal="center" vertical="center"/>
    </xf>
    <xf borderId="1" fillId="12" fontId="1" numFmtId="0" xfId="0" applyAlignment="1" applyBorder="1" applyFill="1" applyFont="1">
      <alignment horizontal="center"/>
    </xf>
    <xf borderId="1" fillId="13" fontId="2" numFmtId="0" xfId="0" applyBorder="1" applyFill="1" applyFont="1"/>
    <xf borderId="1" fillId="13" fontId="1" numFmtId="0" xfId="0" applyAlignment="1" applyBorder="1" applyFont="1">
      <alignment horizontal="center"/>
    </xf>
    <xf borderId="1" fillId="13" fontId="2" numFmtId="0" xfId="0" applyAlignment="1" applyBorder="1" applyFont="1">
      <alignment horizontal="center"/>
    </xf>
    <xf borderId="1" fillId="13" fontId="2" numFmtId="17" xfId="0" applyAlignment="1" applyBorder="1" applyFont="1" applyNumberFormat="1">
      <alignment horizontal="center"/>
    </xf>
    <xf borderId="3" fillId="13" fontId="2" numFmtId="17" xfId="0" applyAlignment="1" applyBorder="1" applyFont="1" applyNumberFormat="1">
      <alignment horizontal="center"/>
    </xf>
    <xf borderId="25" fillId="0" fontId="2" numFmtId="164" xfId="0" applyAlignment="1" applyBorder="1" applyFont="1" applyNumberFormat="1">
      <alignment horizontal="right"/>
    </xf>
    <xf borderId="20" fillId="0" fontId="2" numFmtId="164" xfId="0" applyAlignment="1" applyBorder="1" applyFont="1" applyNumberFormat="1">
      <alignment horizontal="right"/>
    </xf>
    <xf borderId="9" fillId="0" fontId="2" numFmtId="164" xfId="0" applyAlignment="1" applyBorder="1" applyFont="1" applyNumberFormat="1">
      <alignment horizontal="right"/>
    </xf>
    <xf borderId="0" fillId="0" fontId="1" numFmtId="0" xfId="0" applyAlignment="1" applyFont="1">
      <alignment horizontal="right"/>
    </xf>
    <xf borderId="8" fillId="0" fontId="1" numFmtId="164" xfId="0" applyAlignment="1" applyBorder="1" applyFont="1" applyNumberFormat="1">
      <alignment horizontal="right"/>
    </xf>
    <xf borderId="6" fillId="0" fontId="1" numFmtId="164" xfId="0" applyAlignment="1" applyBorder="1" applyFont="1" applyNumberFormat="1">
      <alignment horizontal="right"/>
    </xf>
    <xf borderId="9" fillId="0" fontId="1" numFmtId="164" xfId="0" applyAlignment="1" applyBorder="1" applyFont="1" applyNumberFormat="1">
      <alignment horizontal="right"/>
    </xf>
    <xf borderId="1" fillId="11" fontId="2" numFmtId="10" xfId="0" applyAlignment="1" applyBorder="1" applyFont="1" applyNumberFormat="1">
      <alignment horizontal="right"/>
    </xf>
    <xf borderId="26" fillId="11" fontId="2" numFmtId="164" xfId="0" applyAlignment="1" applyBorder="1" applyFont="1" applyNumberFormat="1">
      <alignment horizontal="right"/>
    </xf>
    <xf borderId="3" fillId="11" fontId="2" numFmtId="164" xfId="0" applyAlignment="1" applyBorder="1" applyFont="1" applyNumberFormat="1">
      <alignment horizontal="right"/>
    </xf>
    <xf borderId="1" fillId="13" fontId="1" numFmtId="0" xfId="0" applyBorder="1" applyFont="1"/>
    <xf borderId="1" fillId="13" fontId="1" numFmtId="10" xfId="0" applyAlignment="1" applyBorder="1" applyFont="1" applyNumberFormat="1">
      <alignment horizontal="center"/>
    </xf>
    <xf borderId="1" fillId="13" fontId="5" numFmtId="164" xfId="0" applyAlignment="1" applyBorder="1" applyFont="1" applyNumberFormat="1">
      <alignment horizontal="right"/>
    </xf>
    <xf borderId="7" fillId="13" fontId="5" numFmtId="164" xfId="0" applyAlignment="1" applyBorder="1" applyFont="1" applyNumberFormat="1">
      <alignment horizontal="right"/>
    </xf>
    <xf borderId="0" fillId="0" fontId="16" numFmtId="0" xfId="0" applyFont="1"/>
    <xf borderId="0" fillId="0" fontId="16" numFmtId="0" xfId="0" applyAlignment="1" applyFont="1">
      <alignment horizontal="left"/>
    </xf>
    <xf borderId="3" fillId="13" fontId="5" numFmtId="164" xfId="0" applyAlignment="1" applyBorder="1" applyFont="1" applyNumberFormat="1">
      <alignment horizontal="right"/>
    </xf>
    <xf borderId="0" fillId="0" fontId="1" numFmtId="2" xfId="0" applyAlignment="1" applyFont="1" applyNumberFormat="1">
      <alignment horizontal="center"/>
    </xf>
    <xf borderId="0" fillId="0" fontId="5" numFmtId="0" xfId="0" applyAlignment="1" applyFont="1">
      <alignment horizontal="right"/>
    </xf>
    <xf borderId="8" fillId="0" fontId="2" numFmtId="0" xfId="0" applyAlignment="1" applyBorder="1" applyFont="1">
      <alignment horizontal="right"/>
    </xf>
    <xf borderId="1" fillId="2" fontId="7" numFmtId="0" xfId="0" applyBorder="1" applyFont="1"/>
    <xf borderId="0" fillId="0" fontId="16" numFmtId="0" xfId="0" applyAlignment="1" applyFont="1">
      <alignment horizontal="center"/>
    </xf>
    <xf borderId="0" fillId="0" fontId="3" numFmtId="0" xfId="0" applyAlignment="1" applyFont="1">
      <alignment horizontal="right"/>
    </xf>
    <xf borderId="6" fillId="0" fontId="3" numFmtId="0" xfId="0" applyAlignment="1" applyBorder="1" applyFont="1">
      <alignment horizontal="right"/>
    </xf>
    <xf borderId="6" fillId="0" fontId="16" numFmtId="0" xfId="0" applyAlignment="1" applyBorder="1" applyFont="1">
      <alignment horizontal="center"/>
    </xf>
    <xf borderId="27" fillId="4" fontId="17" numFmtId="0" xfId="0" applyAlignment="1" applyBorder="1" applyFont="1">
      <alignment horizontal="center" shrinkToFit="0" vertical="center" wrapText="1"/>
    </xf>
    <xf borderId="15" fillId="0" fontId="18" numFmtId="0" xfId="0" applyBorder="1" applyFont="1"/>
    <xf borderId="28" fillId="0" fontId="18" numFmtId="0" xfId="0" applyBorder="1" applyFont="1"/>
    <xf borderId="27" fillId="0" fontId="19" numFmtId="0" xfId="0" applyAlignment="1" applyBorder="1" applyFont="1">
      <alignment horizontal="left" shrinkToFit="0" vertical="center" wrapText="1"/>
    </xf>
    <xf borderId="26" fillId="5" fontId="20" numFmtId="0" xfId="0" applyAlignment="1" applyBorder="1" applyFont="1">
      <alignment horizontal="center" shrinkToFit="0" vertical="center" wrapText="1"/>
    </xf>
    <xf borderId="26" fillId="14" fontId="21" numFmtId="0" xfId="0" applyAlignment="1" applyBorder="1" applyFill="1" applyFont="1">
      <alignment horizontal="center" shrinkToFit="0" vertical="center" wrapText="1"/>
    </xf>
    <xf borderId="26" fillId="0" fontId="20" numFmtId="0" xfId="0" applyAlignment="1" applyBorder="1" applyFont="1">
      <alignment horizontal="left" shrinkToFit="0" vertical="center" wrapText="1"/>
    </xf>
    <xf borderId="27" fillId="0" fontId="21" numFmtId="0" xfId="0" applyBorder="1" applyFont="1"/>
    <xf borderId="26" fillId="0" fontId="22" numFmtId="164" xfId="0" applyBorder="1" applyFont="1" applyNumberFormat="1"/>
    <xf borderId="26" fillId="6" fontId="20" numFmtId="0" xfId="0" applyAlignment="1" applyBorder="1" applyFont="1">
      <alignment horizontal="center" shrinkToFit="0" vertical="center" wrapText="1"/>
    </xf>
    <xf borderId="26" fillId="15" fontId="21" numFmtId="0" xfId="0" applyAlignment="1" applyBorder="1" applyFill="1" applyFont="1">
      <alignment horizontal="left" shrinkToFit="0" vertical="center" wrapText="1"/>
    </xf>
    <xf borderId="26" fillId="15" fontId="21" numFmtId="0" xfId="0" applyAlignment="1" applyBorder="1" applyFont="1">
      <alignment horizontal="center" shrinkToFit="0" vertical="center" wrapText="1"/>
    </xf>
    <xf borderId="26" fillId="15" fontId="21" numFmtId="3" xfId="0" applyBorder="1" applyFont="1" applyNumberFormat="1"/>
    <xf borderId="26" fillId="15" fontId="21" numFmtId="164" xfId="0" applyBorder="1" applyFont="1" applyNumberFormat="1"/>
    <xf borderId="26" fillId="15" fontId="21" numFmtId="0" xfId="0" applyBorder="1" applyFont="1"/>
    <xf borderId="26" fillId="0" fontId="21" numFmtId="0" xfId="0" applyAlignment="1" applyBorder="1" applyFont="1">
      <alignment horizontal="left" shrinkToFit="0" vertical="center" wrapText="1"/>
    </xf>
    <xf borderId="26" fillId="0" fontId="21" numFmtId="0" xfId="0" applyAlignment="1" applyBorder="1" applyFont="1">
      <alignment horizontal="center" shrinkToFit="0" vertical="center" wrapText="1"/>
    </xf>
    <xf borderId="26" fillId="0" fontId="21" numFmtId="3" xfId="0" applyBorder="1" applyFont="1" applyNumberFormat="1"/>
    <xf borderId="26" fillId="0" fontId="21" numFmtId="164" xfId="0" applyBorder="1" applyFont="1" applyNumberFormat="1"/>
    <xf borderId="26" fillId="0" fontId="21" numFmtId="0" xfId="0" applyBorder="1" applyFont="1"/>
    <xf borderId="26" fillId="16" fontId="23" numFmtId="0" xfId="0" applyAlignment="1" applyBorder="1" applyFill="1" applyFont="1">
      <alignment horizontal="center" shrinkToFit="0" vertical="center" wrapText="1"/>
    </xf>
    <xf borderId="26" fillId="16" fontId="23" numFmtId="0" xfId="0" applyAlignment="1" applyBorder="1" applyFont="1">
      <alignment horizontal="left" shrinkToFit="0" vertical="center" wrapText="1"/>
    </xf>
    <xf borderId="26" fillId="16" fontId="23" numFmtId="0" xfId="0" applyBorder="1" applyFont="1"/>
    <xf borderId="26" fillId="16" fontId="23" numFmtId="3" xfId="0" applyBorder="1" applyFont="1" applyNumberFormat="1"/>
    <xf borderId="26" fillId="16" fontId="23" numFmtId="164" xfId="0" applyBorder="1" applyFont="1" applyNumberFormat="1"/>
    <xf borderId="26" fillId="17" fontId="20" numFmtId="164" xfId="0" applyAlignment="1" applyBorder="1" applyFill="1" applyFont="1" applyNumberFormat="1">
      <alignment horizontal="center" shrinkToFit="0" vertical="center" wrapText="1"/>
    </xf>
    <xf borderId="26" fillId="18" fontId="20" numFmtId="164" xfId="0" applyAlignment="1" applyBorder="1" applyFill="1" applyFont="1" applyNumberFormat="1">
      <alignment horizontal="center" shrinkToFit="0" vertical="center" wrapText="1"/>
    </xf>
    <xf borderId="0" fillId="0" fontId="24" numFmtId="0" xfId="0" applyFont="1"/>
    <xf borderId="0" fillId="0" fontId="25" numFmtId="0" xfId="0" applyAlignment="1" applyFont="1">
      <alignment horizontal="center"/>
    </xf>
    <xf borderId="1" fillId="2" fontId="24" numFmtId="0" xfId="0" applyBorder="1" applyFont="1"/>
    <xf borderId="29" fillId="19" fontId="16" numFmtId="0" xfId="0" applyAlignment="1" applyBorder="1" applyFill="1" applyFont="1">
      <alignment horizontal="center"/>
    </xf>
    <xf borderId="0" fillId="0" fontId="26" numFmtId="0" xfId="0" applyAlignment="1" applyFont="1">
      <alignment horizontal="center"/>
    </xf>
    <xf borderId="25" fillId="0" fontId="26" numFmtId="0" xfId="0" applyAlignment="1" applyBorder="1" applyFont="1">
      <alignment horizontal="center"/>
    </xf>
    <xf borderId="30" fillId="19" fontId="16" numFmtId="0" xfId="0" applyAlignment="1" applyBorder="1" applyFont="1">
      <alignment horizontal="center"/>
    </xf>
    <xf quotePrefix="1" borderId="0" fillId="0" fontId="26" numFmtId="0" xfId="0" applyAlignment="1" applyFont="1">
      <alignment horizontal="center"/>
    </xf>
    <xf borderId="31" fillId="0" fontId="26" numFmtId="0" xfId="0" applyAlignment="1" applyBorder="1" applyFont="1">
      <alignment horizontal="center"/>
    </xf>
    <xf borderId="26" fillId="0" fontId="3" numFmtId="0" xfId="0" applyBorder="1" applyFont="1"/>
    <xf borderId="31" fillId="0" fontId="3" numFmtId="164" xfId="0" applyBorder="1" applyFont="1" applyNumberFormat="1"/>
    <xf borderId="0" fillId="0" fontId="24" numFmtId="9" xfId="0" applyAlignment="1" applyFont="1" applyNumberFormat="1">
      <alignment horizontal="center"/>
    </xf>
    <xf borderId="1" fillId="20" fontId="24" numFmtId="9" xfId="0" applyAlignment="1" applyBorder="1" applyFill="1" applyFont="1" applyNumberFormat="1">
      <alignment horizontal="center"/>
    </xf>
    <xf borderId="26" fillId="0" fontId="3" numFmtId="164" xfId="0" applyBorder="1" applyFont="1" applyNumberFormat="1"/>
    <xf borderId="26" fillId="19" fontId="16" numFmtId="0" xfId="0" applyAlignment="1" applyBorder="1" applyFont="1">
      <alignment horizontal="center"/>
    </xf>
    <xf borderId="26" fillId="19" fontId="16" numFmtId="164" xfId="0" applyBorder="1" applyFont="1" applyNumberFormat="1"/>
    <xf borderId="1" fillId="20" fontId="24" numFmtId="0" xfId="0" applyBorder="1" applyFont="1"/>
    <xf borderId="15" fillId="0" fontId="3" numFmtId="0" xfId="0" applyBorder="1" applyFont="1"/>
    <xf borderId="27" fillId="0" fontId="3" numFmtId="0" xfId="0" applyBorder="1" applyFont="1"/>
    <xf borderId="1" fillId="2" fontId="16" numFmtId="0" xfId="0" applyAlignment="1" applyBorder="1" applyFont="1">
      <alignment horizontal="center"/>
    </xf>
    <xf borderId="0" fillId="0" fontId="3" numFmtId="9" xfId="0" applyAlignment="1" applyFont="1" applyNumberFormat="1">
      <alignment horizontal="center"/>
    </xf>
    <xf borderId="1" fillId="2" fontId="16" numFmtId="164" xfId="0" applyBorder="1" applyFont="1" applyNumberFormat="1"/>
    <xf borderId="0" fillId="0" fontId="27" numFmtId="0" xfId="0" applyFont="1"/>
    <xf borderId="0" fillId="0" fontId="28" numFmtId="0" xfId="0" applyFont="1"/>
    <xf borderId="0" fillId="0" fontId="28" numFmtId="0" xfId="0" applyAlignment="1" applyFont="1">
      <alignment horizontal="center"/>
    </xf>
    <xf borderId="10" fillId="0" fontId="28" numFmtId="175" xfId="0" applyAlignment="1" applyBorder="1" applyFont="1" applyNumberFormat="1">
      <alignment horizontal="center"/>
    </xf>
    <xf borderId="0" fillId="0" fontId="28" numFmtId="175" xfId="0" applyAlignment="1" applyFont="1" applyNumberFormat="1">
      <alignment horizontal="center"/>
    </xf>
    <xf borderId="1" fillId="4" fontId="29" numFmtId="0" xfId="0" applyBorder="1" applyFont="1"/>
    <xf borderId="1" fillId="4" fontId="29" numFmtId="176" xfId="0" applyAlignment="1" applyBorder="1" applyFont="1" applyNumberFormat="1">
      <alignment horizontal="right"/>
    </xf>
    <xf borderId="0" fillId="0" fontId="29" numFmtId="0" xfId="0" applyFont="1"/>
    <xf borderId="0" fillId="0" fontId="29" numFmtId="176" xfId="0" applyAlignment="1" applyFont="1" applyNumberFormat="1">
      <alignment horizontal="right"/>
    </xf>
    <xf borderId="11" fillId="4" fontId="29" numFmtId="176" xfId="0" applyAlignment="1" applyBorder="1" applyFont="1" applyNumberFormat="1">
      <alignment horizontal="right"/>
    </xf>
    <xf borderId="0" fillId="0" fontId="28" numFmtId="176" xfId="0" applyAlignment="1" applyFont="1" applyNumberFormat="1">
      <alignment horizontal="right"/>
    </xf>
    <xf borderId="0" fillId="0" fontId="29" numFmtId="10" xfId="0" applyAlignment="1" applyFont="1" applyNumberFormat="1">
      <alignment horizontal="right"/>
    </xf>
    <xf borderId="11" fillId="4" fontId="29" numFmtId="0" xfId="0" applyBorder="1" applyFont="1"/>
    <xf borderId="20" fillId="0" fontId="28" numFmtId="0" xfId="0" applyBorder="1" applyFont="1"/>
    <xf borderId="20" fillId="0" fontId="28" numFmtId="176" xfId="0" applyAlignment="1" applyBorder="1" applyFont="1" applyNumberFormat="1">
      <alignment horizontal="right"/>
    </xf>
    <xf borderId="1" fillId="7" fontId="29" numFmtId="0" xfId="0" applyBorder="1" applyFont="1"/>
    <xf borderId="11" fillId="7" fontId="29" numFmtId="176" xfId="0" applyAlignment="1" applyBorder="1" applyFont="1" applyNumberFormat="1">
      <alignment horizontal="right"/>
    </xf>
    <xf borderId="0" fillId="0" fontId="29" numFmtId="170" xfId="0" applyAlignment="1" applyFont="1" applyNumberFormat="1">
      <alignment horizontal="right"/>
    </xf>
    <xf borderId="0" fillId="0" fontId="25" numFmtId="10" xfId="0" applyFont="1" applyNumberFormat="1"/>
    <xf borderId="0" fillId="0" fontId="25" numFmtId="3" xfId="0" applyFont="1" applyNumberFormat="1"/>
    <xf borderId="0" fillId="0" fontId="3" numFmtId="176" xfId="0" applyFont="1" applyNumberFormat="1"/>
    <xf borderId="1" fillId="21" fontId="30" numFmtId="0" xfId="0" applyAlignment="1" applyBorder="1" applyFill="1" applyFont="1">
      <alignment horizontal="left"/>
    </xf>
    <xf borderId="1" fillId="21" fontId="24" numFmtId="0" xfId="0" applyAlignment="1" applyBorder="1" applyFont="1">
      <alignment horizontal="center"/>
    </xf>
    <xf borderId="1" fillId="2" fontId="24" numFmtId="0" xfId="0" applyAlignment="1" applyBorder="1" applyFont="1">
      <alignment horizontal="center"/>
    </xf>
    <xf borderId="1" fillId="2" fontId="26" numFmtId="0" xfId="0" applyAlignment="1" applyBorder="1" applyFont="1">
      <alignment horizontal="center"/>
    </xf>
    <xf borderId="1" fillId="2" fontId="24" numFmtId="171" xfId="0" applyBorder="1" applyFont="1" applyNumberFormat="1"/>
    <xf borderId="1" fillId="2" fontId="31" numFmtId="0" xfId="0" applyAlignment="1" applyBorder="1" applyFont="1">
      <alignment horizontal="left"/>
    </xf>
    <xf borderId="1" fillId="2" fontId="24" numFmtId="166" xfId="0" applyAlignment="1" applyBorder="1" applyFont="1" applyNumberFormat="1">
      <alignment horizontal="center"/>
    </xf>
    <xf borderId="1" fillId="2" fontId="24" numFmtId="17" xfId="0" applyAlignment="1" applyBorder="1" applyFont="1" applyNumberFormat="1">
      <alignment horizontal="left"/>
    </xf>
    <xf borderId="1" fillId="2" fontId="24" numFmtId="164" xfId="0" applyBorder="1" applyFont="1" applyNumberFormat="1"/>
    <xf borderId="1" fillId="2" fontId="24" numFmtId="0" xfId="0" applyAlignment="1" applyBorder="1" applyFont="1">
      <alignment horizontal="left"/>
    </xf>
    <xf borderId="1" fillId="2" fontId="24" numFmtId="171" xfId="0" applyAlignment="1" applyBorder="1" applyFont="1" applyNumberFormat="1">
      <alignment horizontal="center"/>
    </xf>
    <xf borderId="1" fillId="2" fontId="24" numFmtId="17" xfId="0" applyBorder="1" applyFont="1" applyNumberFormat="1"/>
    <xf borderId="1" fillId="22" fontId="24" numFmtId="0" xfId="0" applyAlignment="1" applyBorder="1" applyFill="1" applyFont="1">
      <alignment horizontal="left"/>
    </xf>
    <xf borderId="1" fillId="22" fontId="24" numFmtId="0" xfId="0" applyAlignment="1" applyBorder="1" applyFont="1">
      <alignment horizontal="center"/>
    </xf>
    <xf borderId="1" fillId="22" fontId="24" numFmtId="166" xfId="0" applyAlignment="1" applyBorder="1" applyFont="1" applyNumberFormat="1">
      <alignment horizontal="center"/>
    </xf>
    <xf borderId="1" fillId="21" fontId="26" numFmtId="0" xfId="0" applyBorder="1" applyFont="1"/>
    <xf borderId="1" fillId="21" fontId="24" numFmtId="0" xfId="0" applyBorder="1" applyFont="1"/>
    <xf borderId="2" fillId="23" fontId="26" numFmtId="0" xfId="0" applyAlignment="1" applyBorder="1" applyFill="1" applyFont="1">
      <alignment horizontal="center" vertical="center"/>
    </xf>
    <xf borderId="32" fillId="8" fontId="26" numFmtId="0" xfId="0" applyAlignment="1" applyBorder="1" applyFont="1">
      <alignment horizontal="center"/>
    </xf>
    <xf borderId="1" fillId="22" fontId="32" numFmtId="0" xfId="0" applyAlignment="1" applyBorder="1" applyFont="1">
      <alignment horizontal="center" vertical="center"/>
    </xf>
    <xf borderId="33" fillId="0" fontId="18" numFmtId="0" xfId="0" applyBorder="1" applyFont="1"/>
    <xf borderId="3" fillId="8" fontId="26" numFmtId="0" xfId="0" applyAlignment="1" applyBorder="1" applyFont="1">
      <alignment horizontal="center"/>
    </xf>
    <xf borderId="1" fillId="2" fontId="32" numFmtId="0" xfId="0" applyAlignment="1" applyBorder="1" applyFont="1">
      <alignment horizontal="right"/>
    </xf>
    <xf borderId="1" fillId="22" fontId="32" numFmtId="171" xfId="0" applyAlignment="1" applyBorder="1" applyFont="1" applyNumberFormat="1">
      <alignment horizontal="center" vertical="center"/>
    </xf>
    <xf borderId="1" fillId="11" fontId="32" numFmtId="171" xfId="0" applyAlignment="1" applyBorder="1" applyFont="1" applyNumberFormat="1">
      <alignment horizontal="center" vertical="center"/>
    </xf>
    <xf borderId="3" fillId="11" fontId="32" numFmtId="171" xfId="0" applyAlignment="1" applyBorder="1" applyFont="1" applyNumberFormat="1">
      <alignment horizontal="center" vertical="center"/>
    </xf>
    <xf borderId="3" fillId="2" fontId="24" numFmtId="0" xfId="0" applyBorder="1" applyFont="1"/>
    <xf borderId="0" fillId="0" fontId="33" numFmtId="0" xfId="0" applyAlignment="1" applyFont="1">
      <alignment vertical="center"/>
    </xf>
    <xf borderId="1" fillId="23" fontId="26" numFmtId="17" xfId="0" applyAlignment="1" applyBorder="1" applyFont="1" applyNumberFormat="1">
      <alignment horizontal="center" vertical="center"/>
    </xf>
    <xf borderId="3" fillId="23" fontId="26" numFmtId="17" xfId="0" applyAlignment="1" applyBorder="1" applyFont="1" applyNumberFormat="1">
      <alignment horizontal="center" vertical="center"/>
    </xf>
    <xf borderId="0" fillId="0" fontId="24" numFmtId="177" xfId="0" applyFont="1" applyNumberFormat="1"/>
    <xf borderId="1" fillId="24" fontId="26" numFmtId="178" xfId="0" applyBorder="1" applyFill="1" applyFont="1" applyNumberFormat="1"/>
    <xf borderId="1" fillId="2" fontId="24" numFmtId="3" xfId="0" applyBorder="1" applyFont="1" applyNumberFormat="1"/>
    <xf borderId="3" fillId="2" fontId="24" numFmtId="3" xfId="0" applyBorder="1" applyFont="1" applyNumberFormat="1"/>
    <xf borderId="1" fillId="23" fontId="24" numFmtId="0" xfId="0" applyBorder="1" applyFont="1"/>
    <xf borderId="1" fillId="23" fontId="24" numFmtId="177" xfId="0" applyBorder="1" applyFont="1" applyNumberFormat="1"/>
    <xf borderId="1" fillId="23" fontId="26" numFmtId="178" xfId="0" applyBorder="1" applyFont="1" applyNumberFormat="1"/>
    <xf borderId="1" fillId="23" fontId="26" numFmtId="3" xfId="0" applyBorder="1" applyFont="1" applyNumberFormat="1"/>
    <xf borderId="3" fillId="23" fontId="26" numFmtId="3" xfId="0" applyBorder="1" applyFont="1" applyNumberFormat="1"/>
    <xf borderId="3" fillId="8" fontId="26" numFmtId="3" xfId="0" applyBorder="1" applyFont="1" applyNumberFormat="1"/>
    <xf borderId="1" fillId="2" fontId="24" numFmtId="177" xfId="0" applyBorder="1" applyFont="1" applyNumberFormat="1"/>
    <xf borderId="1" fillId="2" fontId="26" numFmtId="178" xfId="0" applyBorder="1" applyFont="1" applyNumberFormat="1"/>
    <xf borderId="34" fillId="23" fontId="26" numFmtId="178" xfId="0" applyBorder="1" applyFont="1" applyNumberFormat="1"/>
    <xf borderId="34" fillId="8" fontId="26" numFmtId="3" xfId="0" applyBorder="1" applyFont="1" applyNumberFormat="1"/>
    <xf borderId="12" fillId="2" fontId="24" numFmtId="0" xfId="0" applyBorder="1" applyFont="1"/>
    <xf borderId="13" fillId="2" fontId="24" numFmtId="0" xfId="0" applyBorder="1" applyFont="1"/>
    <xf borderId="35" fillId="2" fontId="24" numFmtId="0" xfId="0" applyBorder="1" applyFont="1"/>
    <xf borderId="0" fillId="0" fontId="21" numFmtId="0" xfId="0" applyFont="1"/>
    <xf borderId="26" fillId="25" fontId="21" numFmtId="0" xfId="0" applyAlignment="1" applyBorder="1" applyFill="1" applyFont="1">
      <alignment horizontal="right" vertical="center"/>
    </xf>
    <xf borderId="26" fillId="25" fontId="21" numFmtId="3" xfId="0" applyAlignment="1" applyBorder="1" applyFont="1" applyNumberFormat="1">
      <alignment horizontal="center"/>
    </xf>
    <xf borderId="1" fillId="2" fontId="21" numFmtId="0" xfId="0" applyAlignment="1" applyBorder="1" applyFont="1">
      <alignment horizontal="left"/>
    </xf>
    <xf borderId="1" fillId="2" fontId="21" numFmtId="3" xfId="0" applyAlignment="1" applyBorder="1" applyFont="1" applyNumberFormat="1">
      <alignment horizontal="right"/>
    </xf>
    <xf borderId="1" fillId="2" fontId="21" numFmtId="9" xfId="0" applyAlignment="1" applyBorder="1" applyFont="1" applyNumberFormat="1">
      <alignment horizontal="right"/>
    </xf>
    <xf borderId="1" fillId="2" fontId="20" numFmtId="9" xfId="0" applyAlignment="1" applyBorder="1" applyFont="1" applyNumberFormat="1">
      <alignment horizontal="center"/>
    </xf>
    <xf borderId="26" fillId="17" fontId="20" numFmtId="0" xfId="0" applyAlignment="1" applyBorder="1" applyFont="1">
      <alignment horizontal="left"/>
    </xf>
    <xf borderId="26" fillId="17" fontId="21" numFmtId="17" xfId="0" applyAlignment="1" applyBorder="1" applyFont="1" applyNumberFormat="1">
      <alignment horizontal="center"/>
    </xf>
    <xf borderId="26" fillId="26" fontId="21" numFmtId="17" xfId="0" applyAlignment="1" applyBorder="1" applyFill="1" applyFont="1" applyNumberFormat="1">
      <alignment horizontal="center"/>
    </xf>
    <xf borderId="1" fillId="2" fontId="21" numFmtId="0" xfId="0" applyBorder="1" applyFont="1"/>
    <xf borderId="26" fillId="2" fontId="21" numFmtId="0" xfId="0" applyAlignment="1" applyBorder="1" applyFont="1">
      <alignment horizontal="left"/>
    </xf>
    <xf borderId="26" fillId="27" fontId="21" numFmtId="3" xfId="0" applyAlignment="1" applyBorder="1" applyFill="1" applyFont="1" applyNumberFormat="1">
      <alignment horizontal="right"/>
    </xf>
    <xf borderId="26" fillId="11" fontId="21" numFmtId="3" xfId="0" applyAlignment="1" applyBorder="1" applyFont="1" applyNumberFormat="1">
      <alignment horizontal="right"/>
    </xf>
    <xf borderId="29" fillId="27" fontId="21" numFmtId="3" xfId="0" applyAlignment="1" applyBorder="1" applyFont="1" applyNumberFormat="1">
      <alignment horizontal="right"/>
    </xf>
    <xf borderId="12" fillId="2" fontId="21" numFmtId="0" xfId="0" applyAlignment="1" applyBorder="1" applyFont="1">
      <alignment horizontal="left"/>
    </xf>
    <xf borderId="35" fillId="27" fontId="21" numFmtId="3" xfId="0" applyAlignment="1" applyBorder="1" applyFont="1" applyNumberFormat="1">
      <alignment horizontal="right"/>
    </xf>
    <xf borderId="4" fillId="2" fontId="21" numFmtId="0" xfId="0" applyAlignment="1" applyBorder="1" applyFont="1">
      <alignment horizontal="left"/>
    </xf>
    <xf borderId="36" fillId="27" fontId="21" numFmtId="3" xfId="0" applyAlignment="1" applyBorder="1" applyFont="1" applyNumberFormat="1">
      <alignment horizontal="right"/>
    </xf>
    <xf borderId="29" fillId="11" fontId="21" numFmtId="3" xfId="0" applyAlignment="1" applyBorder="1" applyFont="1" applyNumberFormat="1">
      <alignment horizontal="right"/>
    </xf>
    <xf borderId="1" fillId="2" fontId="34" numFmtId="0" xfId="0" applyAlignment="1" applyBorder="1" applyFont="1">
      <alignment horizontal="center"/>
    </xf>
    <xf borderId="1" fillId="2" fontId="21" numFmtId="179" xfId="0" applyAlignment="1" applyBorder="1" applyFont="1" applyNumberFormat="1">
      <alignment horizontal="right"/>
    </xf>
    <xf borderId="1" fillId="2" fontId="21" numFmtId="0" xfId="0" applyAlignment="1" applyBorder="1" applyFont="1">
      <alignment horizontal="right"/>
    </xf>
    <xf borderId="0" fillId="0" fontId="21" numFmtId="9" xfId="0" applyFont="1" applyNumberFormat="1"/>
    <xf borderId="26" fillId="27" fontId="21" numFmtId="173" xfId="0" applyAlignment="1" applyBorder="1" applyFont="1" applyNumberFormat="1">
      <alignment horizontal="right"/>
    </xf>
    <xf borderId="26" fillId="11" fontId="21" numFmtId="173" xfId="0" applyAlignment="1" applyBorder="1" applyFont="1" applyNumberFormat="1">
      <alignment horizontal="right"/>
    </xf>
    <xf borderId="29" fillId="27" fontId="21" numFmtId="173" xfId="0" applyAlignment="1" applyBorder="1" applyFont="1" applyNumberFormat="1">
      <alignment horizontal="right"/>
    </xf>
    <xf borderId="35" fillId="27" fontId="21" numFmtId="173" xfId="0" applyAlignment="1" applyBorder="1" applyFont="1" applyNumberFormat="1">
      <alignment horizontal="right"/>
    </xf>
    <xf borderId="36" fillId="27" fontId="21" numFmtId="173" xfId="0" applyAlignment="1" applyBorder="1" applyFont="1" applyNumberFormat="1">
      <alignment horizontal="right"/>
    </xf>
    <xf borderId="26" fillId="28" fontId="20" numFmtId="0" xfId="0" applyAlignment="1" applyBorder="1" applyFill="1" applyFont="1">
      <alignment horizontal="right"/>
    </xf>
    <xf borderId="0" fillId="0" fontId="20" numFmtId="0" xfId="0" applyFont="1"/>
    <xf borderId="26" fillId="28" fontId="20" numFmtId="10" xfId="0" applyAlignment="1" applyBorder="1" applyFont="1" applyNumberFormat="1">
      <alignment horizontal="center"/>
    </xf>
    <xf borderId="26" fillId="27" fontId="21" numFmtId="165" xfId="0" applyAlignment="1" applyBorder="1" applyFont="1" applyNumberFormat="1">
      <alignment horizontal="right"/>
    </xf>
    <xf borderId="0" fillId="0" fontId="21" numFmtId="165" xfId="0" applyFont="1" applyNumberFormat="1"/>
    <xf borderId="37" fillId="0" fontId="21" numFmtId="0" xfId="0" applyBorder="1" applyFont="1"/>
    <xf borderId="0" fillId="0" fontId="20" numFmtId="0" xfId="0" applyAlignment="1" applyFont="1">
      <alignment horizontal="right"/>
    </xf>
    <xf borderId="0" fillId="0" fontId="20" numFmtId="164" xfId="0" applyFont="1" applyNumberFormat="1"/>
    <xf borderId="12" fillId="25" fontId="21" numFmtId="3" xfId="0" applyAlignment="1" applyBorder="1" applyFont="1" applyNumberFormat="1">
      <alignment horizontal="center"/>
    </xf>
    <xf borderId="10" fillId="0" fontId="35" numFmtId="0" xfId="0" applyAlignment="1" applyBorder="1" applyFont="1">
      <alignment horizontal="right"/>
    </xf>
    <xf borderId="0" fillId="0" fontId="35" numFmtId="164" xfId="0" applyFont="1" applyNumberFormat="1"/>
    <xf borderId="0" fillId="0" fontId="35" numFmtId="165" xfId="0" applyFont="1" applyNumberFormat="1"/>
    <xf borderId="1" fillId="26" fontId="20" numFmtId="0" xfId="0" applyBorder="1" applyFont="1"/>
    <xf borderId="12" fillId="26" fontId="21" numFmtId="17" xfId="0" applyAlignment="1" applyBorder="1" applyFont="1" applyNumberFormat="1">
      <alignment horizontal="center"/>
    </xf>
    <xf borderId="1" fillId="2" fontId="21" numFmtId="3" xfId="0" applyAlignment="1" applyBorder="1" applyFont="1" applyNumberFormat="1">
      <alignment horizontal="center"/>
    </xf>
    <xf borderId="1" fillId="2" fontId="20" numFmtId="0" xfId="0" applyBorder="1" applyFont="1"/>
    <xf borderId="29" fillId="2" fontId="21" numFmtId="0" xfId="0" applyAlignment="1" applyBorder="1" applyFont="1">
      <alignment horizontal="left"/>
    </xf>
    <xf borderId="11" fillId="21" fontId="34" numFmtId="0" xfId="0" applyAlignment="1" applyBorder="1" applyFont="1">
      <alignment horizontal="left"/>
    </xf>
    <xf borderId="0" fillId="0" fontId="34" numFmtId="0" xfId="0" applyFont="1"/>
    <xf borderId="10" fillId="0" fontId="21" numFmtId="0" xfId="0" applyBorder="1" applyFont="1"/>
    <xf borderId="1" fillId="7" fontId="20" numFmtId="10" xfId="0" applyBorder="1" applyFont="1" applyNumberFormat="1"/>
    <xf borderId="29" fillId="11" fontId="21" numFmtId="173" xfId="0" applyAlignment="1" applyBorder="1" applyFont="1" applyNumberFormat="1">
      <alignment horizontal="right"/>
    </xf>
    <xf borderId="0" fillId="0" fontId="21" numFmtId="10" xfId="0" applyFont="1" applyNumberFormat="1"/>
    <xf borderId="12" fillId="25" fontId="20" numFmtId="10" xfId="0" applyAlignment="1" applyBorder="1" applyFont="1" applyNumberFormat="1">
      <alignment horizontal="center"/>
    </xf>
    <xf borderId="35" fillId="25" fontId="20" numFmtId="0" xfId="0" applyBorder="1" applyFont="1"/>
    <xf borderId="0" fillId="0" fontId="21" numFmtId="173" xfId="0" applyFont="1" applyNumberFormat="1"/>
    <xf borderId="0" fillId="0" fontId="21" numFmtId="180" xfId="0" applyFont="1" applyNumberFormat="1"/>
    <xf borderId="1" fillId="7" fontId="20" numFmtId="0" xfId="0" applyBorder="1" applyFont="1"/>
    <xf borderId="26" fillId="11" fontId="21" numFmtId="165" xfId="0" applyAlignment="1" applyBorder="1" applyFont="1" applyNumberFormat="1">
      <alignment horizontal="right"/>
    </xf>
    <xf borderId="29" fillId="11" fontId="21" numFmtId="165" xfId="0" applyAlignment="1" applyBorder="1" applyFont="1" applyNumberFormat="1">
      <alignment horizontal="right"/>
    </xf>
    <xf borderId="0" fillId="0" fontId="20" numFmtId="9" xfId="0" applyFont="1" applyNumberFormat="1"/>
    <xf borderId="26" fillId="21" fontId="34" numFmtId="0" xfId="0" applyAlignment="1" applyBorder="1" applyFont="1">
      <alignment horizontal="left"/>
    </xf>
    <xf borderId="26" fillId="11" fontId="34" numFmtId="165" xfId="0" applyAlignment="1" applyBorder="1" applyFont="1" applyNumberFormat="1">
      <alignment horizontal="right"/>
    </xf>
    <xf borderId="35" fillId="25" fontId="20" numFmtId="0" xfId="0" applyAlignment="1" applyBorder="1" applyFont="1">
      <alignment horizontal="center"/>
    </xf>
    <xf borderId="11" fillId="25" fontId="20" numFmtId="165" xfId="0" applyAlignment="1" applyBorder="1" applyFont="1" applyNumberFormat="1">
      <alignment horizontal="right"/>
    </xf>
    <xf borderId="26" fillId="21" fontId="20" numFmtId="165" xfId="0" applyAlignment="1" applyBorder="1" applyFont="1" applyNumberFormat="1">
      <alignment horizontal="right"/>
    </xf>
    <xf borderId="0" fillId="0" fontId="21" numFmtId="3" xfId="0" applyFont="1" applyNumberFormat="1"/>
    <xf borderId="11" fillId="2" fontId="21" numFmtId="0" xfId="0" applyAlignment="1" applyBorder="1" applyFont="1">
      <alignment horizontal="left"/>
    </xf>
    <xf borderId="10" fillId="0" fontId="21" numFmtId="3" xfId="0" applyBorder="1" applyFont="1" applyNumberFormat="1"/>
    <xf borderId="5" fillId="2" fontId="21" numFmtId="0" xfId="0" applyAlignment="1" applyBorder="1" applyFont="1">
      <alignment horizontal="left"/>
    </xf>
    <xf borderId="20" fillId="0" fontId="21" numFmtId="4" xfId="0" applyBorder="1" applyFont="1" applyNumberFormat="1"/>
    <xf borderId="0" fillId="0" fontId="21" numFmtId="4" xfId="0" applyFont="1" applyNumberFormat="1"/>
    <xf borderId="10" fillId="0" fontId="21" numFmtId="4" xfId="0" applyBorder="1" applyFont="1" applyNumberFormat="1"/>
    <xf borderId="0" fillId="0" fontId="20" numFmtId="165" xfId="0" applyFont="1" applyNumberFormat="1"/>
    <xf borderId="20" fillId="0" fontId="21" numFmtId="3" xfId="0" applyBorder="1" applyFont="1" applyNumberFormat="1"/>
    <xf borderId="38" fillId="21" fontId="36" numFmtId="0" xfId="0" applyAlignment="1" applyBorder="1" applyFont="1">
      <alignment horizontal="center" vertical="center"/>
    </xf>
    <xf borderId="39" fillId="17" fontId="36" numFmtId="0" xfId="0" applyAlignment="1" applyBorder="1" applyFont="1">
      <alignment horizontal="center" vertical="center"/>
    </xf>
    <xf borderId="40" fillId="0" fontId="18" numFmtId="0" xfId="0" applyBorder="1" applyFont="1"/>
    <xf borderId="41" fillId="0" fontId="18" numFmtId="0" xfId="0" applyBorder="1" applyFont="1"/>
    <xf borderId="42" fillId="26" fontId="36" numFmtId="0" xfId="0" applyAlignment="1" applyBorder="1" applyFont="1">
      <alignment horizontal="center" vertical="center"/>
    </xf>
    <xf borderId="39" fillId="26" fontId="36" numFmtId="0" xfId="0" applyAlignment="1" applyBorder="1" applyFont="1">
      <alignment horizontal="center" vertical="center"/>
    </xf>
    <xf borderId="14" fillId="17" fontId="21" numFmtId="0" xfId="0" applyAlignment="1" applyBorder="1" applyFont="1">
      <alignment horizontal="center" shrinkToFit="0" vertical="center" wrapText="1"/>
    </xf>
    <xf borderId="43" fillId="17" fontId="21" numFmtId="0" xfId="0" applyAlignment="1" applyBorder="1" applyFont="1">
      <alignment horizontal="center" shrinkToFit="0" vertical="center" wrapText="1"/>
    </xf>
    <xf borderId="26" fillId="17" fontId="21" numFmtId="0" xfId="0" applyAlignment="1" applyBorder="1" applyFont="1">
      <alignment horizontal="center" shrinkToFit="0" vertical="center" wrapText="1"/>
    </xf>
    <xf borderId="44" fillId="17" fontId="21" numFmtId="0" xfId="0" applyAlignment="1" applyBorder="1" applyFont="1">
      <alignment horizontal="center" shrinkToFit="0" vertical="center" wrapText="1"/>
    </xf>
    <xf borderId="35" fillId="26" fontId="21" numFmtId="0" xfId="0" applyAlignment="1" applyBorder="1" applyFont="1">
      <alignment horizontal="center" shrinkToFit="0" vertical="center" wrapText="1"/>
    </xf>
    <xf borderId="26" fillId="26" fontId="21" numFmtId="0" xfId="0" applyAlignment="1" applyBorder="1" applyFont="1">
      <alignment horizontal="center" shrinkToFit="0" vertical="center" wrapText="1"/>
    </xf>
    <xf borderId="44" fillId="26" fontId="21" numFmtId="0" xfId="0" applyAlignment="1" applyBorder="1" applyFont="1">
      <alignment horizontal="center" shrinkToFit="0" vertical="center" wrapText="1"/>
    </xf>
    <xf borderId="43" fillId="26" fontId="21" numFmtId="0" xfId="0" applyAlignment="1" applyBorder="1" applyFont="1">
      <alignment horizontal="center" shrinkToFit="0" vertical="center" wrapText="1"/>
    </xf>
    <xf borderId="14" fillId="0" fontId="37" numFmtId="0" xfId="0" applyAlignment="1" applyBorder="1" applyFont="1">
      <alignment vertical="center"/>
    </xf>
    <xf borderId="43" fillId="0" fontId="37" numFmtId="0" xfId="0" applyAlignment="1" applyBorder="1" applyFont="1">
      <alignment horizontal="center" vertical="center"/>
    </xf>
    <xf borderId="26" fillId="0" fontId="37" numFmtId="181" xfId="0" applyAlignment="1" applyBorder="1" applyFont="1" applyNumberFormat="1">
      <alignment horizontal="right" vertical="center"/>
    </xf>
    <xf borderId="44" fillId="2" fontId="37" numFmtId="181" xfId="0" applyAlignment="1" applyBorder="1" applyFont="1" applyNumberFormat="1">
      <alignment horizontal="right" vertical="center"/>
    </xf>
    <xf borderId="28" fillId="0" fontId="37" numFmtId="0" xfId="0" applyAlignment="1" applyBorder="1" applyFont="1">
      <alignment horizontal="center" vertical="center"/>
    </xf>
    <xf borderId="44" fillId="0" fontId="37" numFmtId="182" xfId="0" applyAlignment="1" applyBorder="1" applyFont="1" applyNumberFormat="1">
      <alignment horizontal="right" vertical="center"/>
    </xf>
    <xf borderId="26" fillId="0" fontId="37" numFmtId="0" xfId="0" applyAlignment="1" applyBorder="1" applyFont="1">
      <alignment horizontal="center" vertical="center"/>
    </xf>
    <xf borderId="43" fillId="0" fontId="21" numFmtId="3" xfId="0" applyAlignment="1" applyBorder="1" applyFont="1" applyNumberFormat="1">
      <alignment horizontal="center" vertical="center"/>
    </xf>
    <xf borderId="28" fillId="0" fontId="21" numFmtId="3" xfId="0" applyAlignment="1" applyBorder="1" applyFont="1" applyNumberFormat="1">
      <alignment horizontal="center" vertical="center"/>
    </xf>
    <xf borderId="26" fillId="0" fontId="21" numFmtId="3" xfId="0" applyAlignment="1" applyBorder="1" applyFont="1" applyNumberFormat="1">
      <alignment horizontal="center" vertical="center"/>
    </xf>
    <xf borderId="43" fillId="0" fontId="37" numFmtId="3" xfId="0" applyAlignment="1" applyBorder="1" applyFont="1" applyNumberFormat="1">
      <alignment horizontal="center" vertical="center"/>
    </xf>
    <xf borderId="28" fillId="0" fontId="37" numFmtId="3" xfId="0" applyAlignment="1" applyBorder="1" applyFont="1" applyNumberFormat="1">
      <alignment horizontal="center" vertical="center"/>
    </xf>
    <xf borderId="26" fillId="0" fontId="37" numFmtId="3" xfId="0" applyAlignment="1" applyBorder="1" applyFont="1" applyNumberFormat="1">
      <alignment horizontal="center" vertical="center"/>
    </xf>
    <xf borderId="26" fillId="0" fontId="37" numFmtId="183" xfId="0" applyAlignment="1" applyBorder="1" applyFont="1" applyNumberFormat="1">
      <alignment horizontal="right" vertical="center"/>
    </xf>
    <xf borderId="26" fillId="29" fontId="37" numFmtId="3" xfId="0" applyAlignment="1" applyBorder="1" applyFill="1" applyFont="1" applyNumberFormat="1">
      <alignment horizontal="right" vertical="center"/>
    </xf>
    <xf borderId="44" fillId="29" fontId="37" numFmtId="182" xfId="0" applyAlignment="1" applyBorder="1" applyFont="1" applyNumberFormat="1">
      <alignment horizontal="right" vertical="center"/>
    </xf>
    <xf borderId="45" fillId="0" fontId="37" numFmtId="3" xfId="0" applyAlignment="1" applyBorder="1" applyFont="1" applyNumberFormat="1">
      <alignment horizontal="center" vertical="center"/>
    </xf>
    <xf borderId="29" fillId="29" fontId="37" numFmtId="3" xfId="0" applyAlignment="1" applyBorder="1" applyFont="1" applyNumberFormat="1">
      <alignment horizontal="right" vertical="center"/>
    </xf>
    <xf borderId="25" fillId="0" fontId="37" numFmtId="183" xfId="0" applyAlignment="1" applyBorder="1" applyFont="1" applyNumberFormat="1">
      <alignment horizontal="right" vertical="center"/>
    </xf>
    <xf borderId="46" fillId="0" fontId="37" numFmtId="3" xfId="0" applyAlignment="1" applyBorder="1" applyFont="1" applyNumberFormat="1">
      <alignment horizontal="center" vertical="center"/>
    </xf>
    <xf borderId="29" fillId="27" fontId="37" numFmtId="181" xfId="0" applyAlignment="1" applyBorder="1" applyFont="1" applyNumberFormat="1">
      <alignment horizontal="right" vertical="center"/>
    </xf>
    <xf borderId="26" fillId="27" fontId="37" numFmtId="181" xfId="0" applyAlignment="1" applyBorder="1" applyFont="1" applyNumberFormat="1">
      <alignment horizontal="right" vertical="center"/>
    </xf>
    <xf borderId="47" fillId="17" fontId="36" numFmtId="0" xfId="0" applyAlignment="1" applyBorder="1" applyFont="1">
      <alignment horizontal="center" vertical="center"/>
    </xf>
    <xf borderId="12" fillId="17" fontId="21" numFmtId="0" xfId="0" applyAlignment="1" applyBorder="1" applyFont="1">
      <alignment shrinkToFit="0" vertical="center" wrapText="1"/>
    </xf>
    <xf borderId="13" fillId="17" fontId="21" numFmtId="0" xfId="0" applyAlignment="1" applyBorder="1" applyFont="1">
      <alignment horizontal="right" shrinkToFit="0" vertical="center" wrapText="1"/>
    </xf>
    <xf borderId="35" fillId="17" fontId="21" numFmtId="0" xfId="0" applyAlignment="1" applyBorder="1" applyFont="1">
      <alignment horizontal="right" shrinkToFit="0" vertical="center" wrapText="1"/>
    </xf>
    <xf borderId="48" fillId="17" fontId="36" numFmtId="182" xfId="0" applyAlignment="1" applyBorder="1" applyFont="1" applyNumberFormat="1">
      <alignment horizontal="right" vertical="center"/>
    </xf>
    <xf borderId="12" fillId="11" fontId="37" numFmtId="181" xfId="0" applyAlignment="1" applyBorder="1" applyFont="1" applyNumberFormat="1">
      <alignment horizontal="center" vertical="center"/>
    </xf>
    <xf borderId="35" fillId="11" fontId="37" numFmtId="181" xfId="0" applyAlignment="1" applyBorder="1" applyFont="1" applyNumberFormat="1">
      <alignment horizontal="center" vertical="center"/>
    </xf>
    <xf borderId="49" fillId="11" fontId="36" numFmtId="182" xfId="0" applyAlignment="1" applyBorder="1" applyFont="1" applyNumberFormat="1">
      <alignment vertical="center"/>
    </xf>
    <xf borderId="1" fillId="2" fontId="21" numFmtId="182" xfId="0" applyBorder="1" applyFont="1" applyNumberFormat="1"/>
    <xf borderId="0" fillId="0" fontId="37" numFmtId="0" xfId="0" applyAlignment="1" applyFont="1">
      <alignment horizontal="left" vertical="center"/>
    </xf>
    <xf borderId="0" fillId="0" fontId="21" numFmtId="0" xfId="0" applyAlignment="1" applyFont="1">
      <alignment shrinkToFit="0" vertical="center" wrapText="1"/>
    </xf>
    <xf borderId="0" fillId="0" fontId="36" numFmtId="181" xfId="0" applyAlignment="1" applyFont="1" applyNumberFormat="1">
      <alignment horizontal="center" vertical="center"/>
    </xf>
    <xf borderId="0" fillId="0" fontId="37" numFmtId="181" xfId="0" applyAlignment="1" applyFont="1" applyNumberFormat="1">
      <alignment horizontal="center" vertical="center"/>
    </xf>
    <xf borderId="0" fillId="0" fontId="37" numFmtId="0" xfId="0" applyAlignment="1" applyFont="1">
      <alignment vertical="center"/>
    </xf>
    <xf borderId="0" fillId="0" fontId="21" numFmtId="3" xfId="0" applyAlignment="1" applyFont="1" applyNumberFormat="1">
      <alignment horizontal="center"/>
    </xf>
    <xf borderId="0" fillId="0" fontId="37" numFmtId="3" xfId="0" applyAlignment="1" applyFont="1" applyNumberFormat="1">
      <alignment horizontal="center" vertical="center"/>
    </xf>
    <xf borderId="0" fillId="0" fontId="37" numFmtId="0" xfId="0" applyAlignment="1" applyFont="1">
      <alignment horizontal="right" vertical="center"/>
    </xf>
    <xf borderId="0" fillId="0" fontId="21" numFmtId="16" xfId="0" applyAlignment="1" applyFont="1" applyNumberFormat="1">
      <alignment horizontal="center" shrinkToFit="0" vertical="center" wrapText="1"/>
    </xf>
    <xf borderId="26" fillId="27" fontId="20" numFmtId="0" xfId="0" applyAlignment="1" applyBorder="1" applyFont="1">
      <alignment horizontal="center" vertical="center"/>
    </xf>
    <xf borderId="26" fillId="28" fontId="20" numFmtId="171" xfId="0" applyAlignment="1" applyBorder="1" applyFont="1" applyNumberFormat="1">
      <alignment horizontal="center" vertical="center"/>
    </xf>
    <xf borderId="26" fillId="27" fontId="20" numFmtId="171" xfId="0" applyAlignment="1" applyBorder="1" applyFont="1" applyNumberFormat="1">
      <alignment horizontal="center" vertical="center"/>
    </xf>
    <xf borderId="26" fillId="28" fontId="20" numFmtId="171" xfId="0" applyAlignment="1" applyBorder="1" applyFont="1" applyNumberFormat="1">
      <alignment horizontal="center"/>
    </xf>
    <xf borderId="37" fillId="0" fontId="36" numFmtId="0" xfId="0" applyAlignment="1" applyBorder="1" applyFont="1">
      <alignment horizontal="center" vertical="center"/>
    </xf>
    <xf borderId="37" fillId="0" fontId="21" numFmtId="0" xfId="0" applyAlignment="1" applyBorder="1" applyFont="1">
      <alignment shrinkToFit="0" vertical="center" wrapText="1"/>
    </xf>
    <xf borderId="37" fillId="0" fontId="36" numFmtId="181" xfId="0" applyAlignment="1" applyBorder="1" applyFont="1" applyNumberFormat="1">
      <alignment horizontal="center" vertical="center"/>
    </xf>
    <xf borderId="37" fillId="0" fontId="37" numFmtId="181" xfId="0" applyAlignment="1" applyBorder="1" applyFont="1" applyNumberFormat="1">
      <alignment horizontal="center" vertical="center"/>
    </xf>
    <xf borderId="37" fillId="0" fontId="34" numFmtId="181" xfId="0" applyAlignment="1" applyBorder="1" applyFont="1" applyNumberFormat="1">
      <alignment horizontal="center" vertical="center"/>
    </xf>
    <xf borderId="37" fillId="0" fontId="37" numFmtId="0" xfId="0" applyAlignment="1" applyBorder="1" applyFont="1">
      <alignment vertical="center"/>
    </xf>
    <xf borderId="37" fillId="0" fontId="21" numFmtId="3" xfId="0" applyAlignment="1" applyBorder="1" applyFont="1" applyNumberFormat="1">
      <alignment horizontal="center"/>
    </xf>
    <xf borderId="37" fillId="0" fontId="37" numFmtId="3" xfId="0" applyAlignment="1" applyBorder="1" applyFont="1" applyNumberFormat="1">
      <alignment horizontal="center" vertical="center"/>
    </xf>
    <xf borderId="50" fillId="2" fontId="21" numFmtId="182" xfId="0" applyBorder="1" applyFont="1" applyNumberFormat="1"/>
    <xf borderId="50" fillId="2" fontId="21" numFmtId="0" xfId="0" applyBorder="1" applyFont="1"/>
    <xf borderId="10" fillId="0" fontId="36" numFmtId="0" xfId="0" applyAlignment="1" applyBorder="1" applyFont="1">
      <alignment horizontal="center" vertical="center"/>
    </xf>
    <xf borderId="1" fillId="21" fontId="36" numFmtId="0" xfId="0" applyAlignment="1" applyBorder="1" applyFont="1">
      <alignment horizontal="center" vertical="center"/>
    </xf>
    <xf borderId="27" fillId="17" fontId="21" numFmtId="0" xfId="0" applyAlignment="1" applyBorder="1" applyFont="1">
      <alignment horizontal="center" shrinkToFit="0" vertical="center" wrapText="1"/>
    </xf>
    <xf borderId="27" fillId="26" fontId="37" numFmtId="181" xfId="0" applyAlignment="1" applyBorder="1" applyFont="1" applyNumberFormat="1">
      <alignment horizontal="center" vertical="center"/>
    </xf>
    <xf borderId="12" fillId="8" fontId="36" numFmtId="0" xfId="0" applyAlignment="1" applyBorder="1" applyFont="1">
      <alignment horizontal="center" vertical="center"/>
    </xf>
    <xf borderId="26" fillId="8" fontId="21" numFmtId="0" xfId="0" applyAlignment="1" applyBorder="1" applyFont="1">
      <alignment horizontal="center" vertical="center"/>
    </xf>
    <xf borderId="13" fillId="8" fontId="21" numFmtId="0" xfId="0" applyAlignment="1" applyBorder="1" applyFont="1">
      <alignment horizontal="center" shrinkToFit="0" vertical="center" wrapText="1"/>
    </xf>
    <xf borderId="26" fillId="8" fontId="21" numFmtId="0" xfId="0" applyAlignment="1" applyBorder="1" applyFont="1">
      <alignment horizontal="center" shrinkToFit="0" vertical="center" wrapText="1"/>
    </xf>
    <xf borderId="35" fillId="8" fontId="37" numFmtId="181" xfId="0" applyAlignment="1" applyBorder="1" applyFont="1" applyNumberFormat="1">
      <alignment horizontal="center" vertical="center"/>
    </xf>
    <xf borderId="51" fillId="26" fontId="21" numFmtId="0" xfId="0" applyAlignment="1" applyBorder="1" applyFont="1">
      <alignment horizontal="center" shrinkToFit="0" vertical="center" wrapText="1"/>
    </xf>
    <xf borderId="21" fillId="0" fontId="21" numFmtId="0" xfId="0" applyAlignment="1" applyBorder="1" applyFont="1">
      <alignment horizontal="right"/>
    </xf>
    <xf borderId="25" fillId="0" fontId="21" numFmtId="3" xfId="0" applyAlignment="1" applyBorder="1" applyFont="1" applyNumberFormat="1">
      <alignment horizontal="center" vertical="center"/>
    </xf>
    <xf borderId="0" fillId="0" fontId="37" numFmtId="181" xfId="0" applyAlignment="1" applyFont="1" applyNumberFormat="1">
      <alignment horizontal="right" vertical="center"/>
    </xf>
    <xf borderId="52" fillId="0" fontId="37" numFmtId="181" xfId="0" applyAlignment="1" applyBorder="1" applyFont="1" applyNumberFormat="1">
      <alignment horizontal="right" vertical="center"/>
    </xf>
    <xf borderId="46" fillId="0" fontId="37" numFmtId="181" xfId="0" applyAlignment="1" applyBorder="1" applyFont="1" applyNumberFormat="1">
      <alignment horizontal="right" vertical="center"/>
    </xf>
    <xf borderId="8" fillId="0" fontId="37" numFmtId="181" xfId="0" applyAlignment="1" applyBorder="1" applyFont="1" applyNumberFormat="1">
      <alignment horizontal="right" vertical="center"/>
    </xf>
    <xf borderId="25" fillId="0" fontId="37" numFmtId="182" xfId="0" applyAlignment="1" applyBorder="1" applyFont="1" applyNumberFormat="1">
      <alignment horizontal="right" vertical="center"/>
    </xf>
    <xf borderId="9" fillId="0" fontId="37" numFmtId="0" xfId="0" applyAlignment="1" applyBorder="1" applyFont="1">
      <alignment horizontal="right" vertical="center"/>
    </xf>
    <xf borderId="52" fillId="0" fontId="21" numFmtId="3" xfId="0" applyAlignment="1" applyBorder="1" applyFont="1" applyNumberFormat="1">
      <alignment horizontal="center" vertical="center"/>
    </xf>
    <xf borderId="53" fillId="0" fontId="37" numFmtId="181" xfId="0" applyAlignment="1" applyBorder="1" applyFont="1" applyNumberFormat="1">
      <alignment horizontal="right" vertical="center"/>
    </xf>
    <xf borderId="31" fillId="0" fontId="37" numFmtId="182" xfId="0" applyAlignment="1" applyBorder="1" applyFont="1" applyNumberFormat="1">
      <alignment horizontal="right" vertical="center"/>
    </xf>
    <xf borderId="31" fillId="0" fontId="21" numFmtId="3" xfId="0" applyAlignment="1" applyBorder="1" applyFont="1" applyNumberFormat="1">
      <alignment horizontal="center" vertical="center"/>
    </xf>
    <xf borderId="12" fillId="11" fontId="21" numFmtId="0" xfId="0" applyAlignment="1" applyBorder="1" applyFont="1">
      <alignment shrinkToFit="0" vertical="center" wrapText="1"/>
    </xf>
    <xf borderId="35" fillId="11" fontId="21" numFmtId="0" xfId="0" applyAlignment="1" applyBorder="1" applyFont="1">
      <alignment horizontal="right" shrinkToFit="0" vertical="center" wrapText="1"/>
    </xf>
    <xf borderId="49" fillId="11" fontId="36" numFmtId="182" xfId="0" applyAlignment="1" applyBorder="1" applyFont="1" applyNumberFormat="1">
      <alignment horizontal="right" vertical="center"/>
    </xf>
    <xf borderId="0" fillId="0" fontId="21" numFmtId="3" xfId="0" applyAlignment="1" applyFont="1" applyNumberFormat="1">
      <alignment horizontal="center" vertical="center"/>
    </xf>
    <xf borderId="4" fillId="8" fontId="36" numFmtId="0" xfId="0" applyAlignment="1" applyBorder="1" applyFont="1">
      <alignment horizontal="center" vertical="center"/>
    </xf>
    <xf borderId="29" fillId="8" fontId="21" numFmtId="0" xfId="0" applyAlignment="1" applyBorder="1" applyFont="1">
      <alignment horizontal="center" vertical="center"/>
    </xf>
    <xf borderId="5" fillId="8" fontId="21" numFmtId="0" xfId="0" applyAlignment="1" applyBorder="1" applyFont="1">
      <alignment horizontal="center" shrinkToFit="0" vertical="center" wrapText="1"/>
    </xf>
    <xf borderId="29" fillId="8" fontId="21" numFmtId="0" xfId="0" applyAlignment="1" applyBorder="1" applyFont="1">
      <alignment horizontal="center" shrinkToFit="0" vertical="center" wrapText="1"/>
    </xf>
    <xf borderId="36" fillId="8" fontId="37" numFmtId="181" xfId="0" applyAlignment="1" applyBorder="1" applyFont="1" applyNumberFormat="1">
      <alignment horizontal="center" vertical="center"/>
    </xf>
    <xf borderId="25" fillId="0" fontId="37" numFmtId="0" xfId="0" applyAlignment="1" applyBorder="1" applyFont="1">
      <alignment horizontal="right" vertical="center"/>
    </xf>
    <xf borderId="25" fillId="0" fontId="21" numFmtId="0" xfId="0" applyAlignment="1" applyBorder="1" applyFont="1">
      <alignment shrinkToFit="0" vertical="center" wrapText="1"/>
    </xf>
    <xf borderId="25" fillId="0" fontId="37" numFmtId="181" xfId="0" applyAlignment="1" applyBorder="1" applyFont="1" applyNumberFormat="1">
      <alignment horizontal="right" vertical="center"/>
    </xf>
    <xf borderId="7" fillId="27" fontId="37" numFmtId="181" xfId="0" applyAlignment="1" applyBorder="1" applyFont="1" applyNumberFormat="1">
      <alignment horizontal="right" vertical="center"/>
    </xf>
    <xf borderId="52" fillId="0" fontId="21" numFmtId="0" xfId="0" applyAlignment="1" applyBorder="1" applyFont="1">
      <alignment shrinkToFit="0" vertical="center" wrapText="1"/>
    </xf>
    <xf borderId="0" fillId="0" fontId="36" numFmtId="0" xfId="0" applyAlignment="1" applyFont="1">
      <alignment horizontal="center" vertical="center"/>
    </xf>
    <xf borderId="27" fillId="22" fontId="20" numFmtId="0" xfId="0" applyAlignment="1" applyBorder="1" applyFont="1">
      <alignment horizontal="center"/>
    </xf>
    <xf borderId="30" fillId="30" fontId="20" numFmtId="0" xfId="0" applyAlignment="1" applyBorder="1" applyFill="1" applyFont="1">
      <alignment horizontal="center" shrinkToFit="0" vertical="center" wrapText="1"/>
    </xf>
    <xf borderId="26" fillId="30" fontId="20" numFmtId="0" xfId="0" applyAlignment="1" applyBorder="1" applyFont="1">
      <alignment horizontal="center" shrinkToFit="0" vertical="center" wrapText="1"/>
    </xf>
    <xf borderId="26" fillId="22" fontId="20" numFmtId="0" xfId="0" applyAlignment="1" applyBorder="1" applyFont="1">
      <alignment horizontal="center"/>
    </xf>
    <xf borderId="26" fillId="22" fontId="20" numFmtId="0" xfId="0" applyAlignment="1" applyBorder="1" applyFont="1">
      <alignment horizontal="center" vertical="center"/>
    </xf>
    <xf borderId="12" fillId="22" fontId="20" numFmtId="0" xfId="0" applyAlignment="1" applyBorder="1" applyFont="1">
      <alignment horizontal="center" vertical="center"/>
    </xf>
    <xf borderId="26" fillId="0" fontId="37" numFmtId="0" xfId="0" applyAlignment="1" applyBorder="1" applyFont="1">
      <alignment vertical="center"/>
    </xf>
    <xf borderId="26" fillId="0" fontId="21" numFmtId="169" xfId="0" applyAlignment="1" applyBorder="1" applyFont="1" applyNumberFormat="1">
      <alignment horizontal="center"/>
    </xf>
    <xf borderId="28" fillId="0" fontId="21" numFmtId="183" xfId="0" applyAlignment="1" applyBorder="1" applyFont="1" applyNumberFormat="1">
      <alignment horizontal="center"/>
    </xf>
    <xf borderId="26" fillId="0" fontId="21" numFmtId="183" xfId="0" applyAlignment="1" applyBorder="1" applyFont="1" applyNumberFormat="1">
      <alignment horizontal="center"/>
    </xf>
    <xf borderId="27" fillId="0" fontId="21" numFmtId="183" xfId="0" applyAlignment="1" applyBorder="1" applyFont="1" applyNumberFormat="1">
      <alignment horizontal="center"/>
    </xf>
    <xf borderId="26" fillId="0" fontId="21" numFmtId="183" xfId="0" applyBorder="1" applyFont="1" applyNumberFormat="1"/>
    <xf borderId="25" fillId="0" fontId="37" numFmtId="0" xfId="0" applyAlignment="1" applyBorder="1" applyFont="1">
      <alignment vertical="center"/>
    </xf>
    <xf borderId="25" fillId="0" fontId="21" numFmtId="169" xfId="0" applyAlignment="1" applyBorder="1" applyFont="1" applyNumberFormat="1">
      <alignment horizontal="center"/>
    </xf>
    <xf borderId="46" fillId="0" fontId="21" numFmtId="183" xfId="0" applyAlignment="1" applyBorder="1" applyFont="1" applyNumberFormat="1">
      <alignment horizontal="center"/>
    </xf>
    <xf borderId="25" fillId="0" fontId="21" numFmtId="183" xfId="0" applyAlignment="1" applyBorder="1" applyFont="1" applyNumberFormat="1">
      <alignment horizontal="center"/>
    </xf>
    <xf borderId="21" fillId="0" fontId="21" numFmtId="183" xfId="0" applyAlignment="1" applyBorder="1" applyFont="1" applyNumberFormat="1">
      <alignment horizontal="center"/>
    </xf>
    <xf borderId="12" fillId="22" fontId="21" numFmtId="0" xfId="0" applyBorder="1" applyFont="1"/>
    <xf borderId="0" fillId="0" fontId="38" numFmtId="0" xfId="0" applyFont="1"/>
    <xf borderId="27" fillId="30" fontId="39" numFmtId="0" xfId="0" applyAlignment="1" applyBorder="1" applyFont="1">
      <alignment horizontal="right" vertical="center"/>
    </xf>
    <xf borderId="26" fillId="30" fontId="39" numFmtId="0" xfId="0" applyAlignment="1" applyBorder="1" applyFont="1">
      <alignment horizontal="center" shrinkToFit="0" vertical="center" wrapText="1"/>
    </xf>
    <xf borderId="26" fillId="0" fontId="40" numFmtId="0" xfId="0" applyAlignment="1" applyBorder="1" applyFont="1">
      <alignment vertical="center"/>
    </xf>
    <xf borderId="26" fillId="27" fontId="40" numFmtId="169" xfId="0" applyAlignment="1" applyBorder="1" applyFont="1" applyNumberFormat="1">
      <alignment horizontal="center" vertical="center"/>
    </xf>
    <xf borderId="26" fillId="0" fontId="38" numFmtId="164" xfId="0" applyAlignment="1" applyBorder="1" applyFont="1" applyNumberFormat="1">
      <alignment horizontal="center"/>
    </xf>
    <xf borderId="26" fillId="0" fontId="40" numFmtId="0" xfId="0" applyAlignment="1" applyBorder="1" applyFont="1">
      <alignment horizontal="center" vertical="center"/>
    </xf>
    <xf borderId="26" fillId="0" fontId="40" numFmtId="183" xfId="0" applyAlignment="1" applyBorder="1" applyFont="1" applyNumberFormat="1">
      <alignment horizontal="center" vertical="center"/>
    </xf>
    <xf borderId="26" fillId="0" fontId="40" numFmtId="167" xfId="0" applyAlignment="1" applyBorder="1" applyFont="1" applyNumberFormat="1">
      <alignment horizontal="center" vertical="center"/>
    </xf>
    <xf borderId="0" fillId="0" fontId="38" numFmtId="167" xfId="0" applyFont="1" applyNumberFormat="1"/>
    <xf borderId="0" fillId="0" fontId="41" numFmtId="0" xfId="0" applyFont="1"/>
    <xf borderId="54" fillId="31" fontId="38" numFmtId="0" xfId="0" applyAlignment="1" applyBorder="1" applyFill="1" applyFont="1">
      <alignment horizontal="center"/>
    </xf>
    <xf borderId="55" fillId="0" fontId="18" numFmtId="0" xfId="0" applyBorder="1" applyFont="1"/>
    <xf borderId="56" fillId="0" fontId="18" numFmtId="0" xfId="0" applyBorder="1" applyFont="1"/>
    <xf borderId="26" fillId="32" fontId="40" numFmtId="167" xfId="0" applyAlignment="1" applyBorder="1" applyFill="1" applyFont="1" applyNumberFormat="1">
      <alignment horizontal="center" vertical="center"/>
    </xf>
    <xf borderId="1" fillId="21" fontId="21" numFmtId="171" xfId="0" applyAlignment="1" applyBorder="1" applyFont="1" applyNumberFormat="1">
      <alignment horizontal="center"/>
    </xf>
    <xf borderId="25" fillId="33" fontId="20" numFmtId="0" xfId="0" applyAlignment="1" applyBorder="1" applyFill="1" applyFont="1">
      <alignment horizontal="center" vertical="center"/>
    </xf>
    <xf borderId="27" fillId="34" fontId="20" numFmtId="0" xfId="0" applyAlignment="1" applyBorder="1" applyFill="1" applyFont="1">
      <alignment horizontal="center"/>
    </xf>
    <xf borderId="1" fillId="8" fontId="20" numFmtId="0" xfId="0" applyAlignment="1" applyBorder="1" applyFont="1">
      <alignment horizontal="left"/>
    </xf>
    <xf borderId="1" fillId="8" fontId="20" numFmtId="0" xfId="0" applyBorder="1" applyFont="1"/>
    <xf borderId="7" fillId="11" fontId="20" numFmtId="0" xfId="0" applyBorder="1" applyFont="1"/>
    <xf borderId="1" fillId="11" fontId="20" numFmtId="0" xfId="0" applyBorder="1" applyFont="1"/>
    <xf borderId="52" fillId="0" fontId="18" numFmtId="0" xfId="0" applyBorder="1" applyFont="1"/>
    <xf borderId="27" fillId="35" fontId="20" numFmtId="17" xfId="0" applyAlignment="1" applyBorder="1" applyFill="1" applyFont="1" applyNumberFormat="1">
      <alignment horizontal="center"/>
    </xf>
    <xf borderId="1" fillId="8" fontId="20" numFmtId="0" xfId="0" applyAlignment="1" applyBorder="1" applyFont="1">
      <alignment horizontal="center"/>
    </xf>
    <xf borderId="18" fillId="11" fontId="20" numFmtId="0" xfId="0" applyAlignment="1" applyBorder="1" applyFont="1">
      <alignment horizontal="left"/>
    </xf>
    <xf borderId="1" fillId="11" fontId="20" numFmtId="0" xfId="0" applyAlignment="1" applyBorder="1" applyFont="1">
      <alignment horizontal="center"/>
    </xf>
    <xf borderId="31" fillId="0" fontId="18" numFmtId="0" xfId="0" applyBorder="1" applyFont="1"/>
    <xf borderId="26" fillId="33" fontId="20" numFmtId="0" xfId="0" applyAlignment="1" applyBorder="1" applyFont="1">
      <alignment horizontal="center" shrinkToFit="0" vertical="center" wrapText="1"/>
    </xf>
    <xf borderId="26" fillId="33" fontId="20" numFmtId="17" xfId="0" applyAlignment="1" applyBorder="1" applyFont="1" applyNumberFormat="1">
      <alignment horizontal="center" shrinkToFit="0" vertical="center" wrapText="1"/>
    </xf>
    <xf borderId="30" fillId="26" fontId="21" numFmtId="17" xfId="0" applyAlignment="1" applyBorder="1" applyFont="1" applyNumberFormat="1">
      <alignment horizontal="center"/>
    </xf>
    <xf borderId="26" fillId="0" fontId="21" numFmtId="0" xfId="0" applyAlignment="1" applyBorder="1" applyFont="1">
      <alignment horizontal="center"/>
    </xf>
    <xf borderId="26" fillId="0" fontId="21" numFmtId="3" xfId="0" applyAlignment="1" applyBorder="1" applyFont="1" applyNumberFormat="1">
      <alignment horizontal="center"/>
    </xf>
    <xf borderId="26" fillId="0" fontId="21" numFmtId="181" xfId="0" applyAlignment="1" applyBorder="1" applyFont="1" applyNumberFormat="1">
      <alignment horizontal="center"/>
    </xf>
    <xf borderId="26" fillId="0" fontId="21" numFmtId="10" xfId="0" applyAlignment="1" applyBorder="1" applyFont="1" applyNumberFormat="1">
      <alignment horizontal="center"/>
    </xf>
    <xf borderId="26" fillId="0" fontId="20" numFmtId="181" xfId="0" applyAlignment="1" applyBorder="1" applyFont="1" applyNumberFormat="1">
      <alignment horizontal="center"/>
    </xf>
    <xf borderId="26" fillId="27" fontId="34" numFmtId="169" xfId="0" applyAlignment="1" applyBorder="1" applyFont="1" applyNumberFormat="1">
      <alignment horizontal="center"/>
    </xf>
    <xf borderId="26" fillId="21" fontId="40" numFmtId="167" xfId="0" applyAlignment="1" applyBorder="1" applyFont="1" applyNumberFormat="1">
      <alignment horizontal="center" vertical="center"/>
    </xf>
    <xf borderId="0" fillId="0" fontId="21" numFmtId="167" xfId="0" applyFont="1" applyNumberFormat="1"/>
    <xf borderId="27" fillId="21" fontId="21" numFmtId="0" xfId="0" applyAlignment="1" applyBorder="1" applyFont="1">
      <alignment horizontal="center"/>
    </xf>
    <xf borderId="26" fillId="21" fontId="20" numFmtId="181" xfId="0" applyAlignment="1" applyBorder="1" applyFont="1" applyNumberFormat="1">
      <alignment horizontal="center"/>
    </xf>
    <xf quotePrefix="1" borderId="0" fillId="0" fontId="29" numFmtId="0" xfId="0" applyAlignment="1" applyFont="1">
      <alignment horizontal="center"/>
    </xf>
    <xf quotePrefix="1" borderId="0" fillId="0" fontId="29" numFmtId="0" xfId="0" applyFont="1"/>
    <xf borderId="1" fillId="22" fontId="42" numFmtId="0" xfId="0" applyAlignment="1" applyBorder="1" applyFont="1">
      <alignment vertical="center"/>
    </xf>
    <xf borderId="1" fillId="22" fontId="21" numFmtId="0" xfId="0" applyAlignment="1" applyBorder="1" applyFont="1">
      <alignment vertical="center"/>
    </xf>
    <xf borderId="57" fillId="17" fontId="43" numFmtId="0" xfId="0" applyAlignment="1" applyBorder="1" applyFont="1">
      <alignment horizontal="center"/>
    </xf>
    <xf borderId="58" fillId="33" fontId="43" numFmtId="0" xfId="0" applyAlignment="1" applyBorder="1" applyFont="1">
      <alignment horizontal="center" vertical="center"/>
    </xf>
    <xf borderId="25" fillId="33" fontId="43" numFmtId="0" xfId="0" applyAlignment="1" applyBorder="1" applyFont="1">
      <alignment horizontal="center" vertical="center"/>
    </xf>
    <xf borderId="27" fillId="17" fontId="43" numFmtId="17" xfId="0" applyAlignment="1" applyBorder="1" applyFont="1" applyNumberFormat="1">
      <alignment horizontal="center"/>
    </xf>
    <xf borderId="59" fillId="0" fontId="18" numFmtId="0" xfId="0" applyBorder="1" applyFont="1"/>
    <xf borderId="26" fillId="33" fontId="43" numFmtId="17" xfId="0" applyAlignment="1" applyBorder="1" applyFont="1" applyNumberFormat="1">
      <alignment horizontal="center" shrinkToFit="0" vertical="center" wrapText="1"/>
    </xf>
    <xf borderId="26" fillId="33" fontId="43" numFmtId="0" xfId="0" applyAlignment="1" applyBorder="1" applyFont="1">
      <alignment horizontal="center" shrinkToFit="0" vertical="center" wrapText="1"/>
    </xf>
    <xf borderId="26" fillId="26" fontId="20" numFmtId="17" xfId="0" applyAlignment="1" applyBorder="1" applyFont="1" applyNumberFormat="1">
      <alignment horizontal="center" vertical="center"/>
    </xf>
    <xf borderId="12" fillId="26" fontId="20" numFmtId="17" xfId="0" applyAlignment="1" applyBorder="1" applyFont="1" applyNumberFormat="1">
      <alignment horizontal="center" vertical="center"/>
    </xf>
    <xf borderId="26" fillId="2" fontId="20" numFmtId="17" xfId="0" applyAlignment="1" applyBorder="1" applyFont="1" applyNumberFormat="1">
      <alignment horizontal="center" vertical="center"/>
    </xf>
    <xf borderId="12" fillId="2" fontId="20" numFmtId="17" xfId="0" applyAlignment="1" applyBorder="1" applyFont="1" applyNumberFormat="1">
      <alignment horizontal="center" vertical="center"/>
    </xf>
    <xf borderId="28" fillId="0" fontId="3" numFmtId="0" xfId="0" applyAlignment="1" applyBorder="1" applyFont="1">
      <alignment horizontal="center"/>
    </xf>
    <xf borderId="26" fillId="0" fontId="3" numFmtId="183" xfId="0" applyAlignment="1" applyBorder="1" applyFont="1" applyNumberFormat="1">
      <alignment horizontal="center"/>
    </xf>
    <xf borderId="26" fillId="0" fontId="40" numFmtId="3" xfId="0" applyAlignment="1" applyBorder="1" applyFont="1" applyNumberFormat="1">
      <alignment horizontal="center" vertical="center"/>
    </xf>
    <xf borderId="0" fillId="0" fontId="3" numFmtId="165" xfId="0" applyAlignment="1" applyFont="1" applyNumberFormat="1">
      <alignment horizontal="right"/>
    </xf>
    <xf borderId="0" fillId="0" fontId="3" numFmtId="184" xfId="0" applyFont="1" applyNumberFormat="1"/>
    <xf borderId="26" fillId="0" fontId="3" numFmtId="0" xfId="0" applyAlignment="1" applyBorder="1" applyFont="1">
      <alignment horizontal="center"/>
    </xf>
    <xf borderId="13" fillId="17" fontId="3" numFmtId="0" xfId="0" applyBorder="1" applyFont="1"/>
    <xf borderId="26" fillId="17" fontId="22" numFmtId="181" xfId="0" applyAlignment="1" applyBorder="1" applyFont="1" applyNumberFormat="1">
      <alignment horizontal="center"/>
    </xf>
    <xf borderId="26" fillId="11" fontId="16" numFmtId="165" xfId="0" applyAlignment="1" applyBorder="1" applyFont="1" applyNumberFormat="1">
      <alignment horizontal="right"/>
    </xf>
    <xf borderId="27" fillId="17" fontId="43" numFmtId="0" xfId="0" applyAlignment="1" applyBorder="1" applyFont="1">
      <alignment horizontal="center"/>
    </xf>
    <xf borderId="0" fillId="0" fontId="3" numFmtId="165" xfId="0" applyAlignment="1" applyFont="1" applyNumberFormat="1">
      <alignment horizontal="left"/>
    </xf>
    <xf borderId="0" fillId="0" fontId="16" numFmtId="165" xfId="0" applyAlignment="1" applyFont="1" applyNumberFormat="1">
      <alignment horizontal="right"/>
    </xf>
    <xf borderId="26" fillId="0" fontId="3" numFmtId="181" xfId="0" applyAlignment="1" applyBorder="1" applyFont="1" applyNumberFormat="1">
      <alignment horizontal="center"/>
    </xf>
    <xf borderId="1" fillId="22" fontId="3" numFmtId="165" xfId="0" applyAlignment="1" applyBorder="1" applyFont="1" applyNumberFormat="1">
      <alignment horizontal="right"/>
    </xf>
    <xf borderId="26" fillId="0" fontId="3" numFmtId="185" xfId="0" applyBorder="1" applyFont="1" applyNumberFormat="1"/>
    <xf borderId="26" fillId="0" fontId="3" numFmtId="3" xfId="0" applyAlignment="1" applyBorder="1" applyFont="1" applyNumberFormat="1">
      <alignment horizontal="center"/>
    </xf>
    <xf borderId="27" fillId="17" fontId="3" numFmtId="0" xfId="0" applyAlignment="1" applyBorder="1" applyFont="1">
      <alignment horizontal="center"/>
    </xf>
    <xf borderId="26" fillId="11" fontId="22" numFmtId="165" xfId="0" applyAlignment="1" applyBorder="1" applyFont="1" applyNumberFormat="1">
      <alignment horizontal="right"/>
    </xf>
    <xf borderId="35" fillId="21" fontId="16" numFmtId="0" xfId="0" applyAlignment="1" applyBorder="1" applyFont="1">
      <alignment horizontal="center"/>
    </xf>
    <xf borderId="26" fillId="17" fontId="3" numFmtId="181" xfId="0" applyAlignment="1" applyBorder="1" applyFont="1" applyNumberFormat="1">
      <alignment horizontal="center"/>
    </xf>
    <xf borderId="12" fillId="2" fontId="16" numFmtId="0" xfId="0" applyBorder="1" applyFont="1"/>
    <xf borderId="35" fillId="2" fontId="16" numFmtId="0" xfId="0" applyAlignment="1" applyBorder="1" applyFont="1">
      <alignment horizontal="right"/>
    </xf>
    <xf borderId="1" fillId="2" fontId="43" numFmtId="0" xfId="0" applyBorder="1" applyFont="1"/>
    <xf borderId="13" fillId="17" fontId="43" numFmtId="0" xfId="0" applyBorder="1" applyFont="1"/>
    <xf borderId="35" fillId="17" fontId="43" numFmtId="0" xfId="0" applyBorder="1" applyFont="1"/>
    <xf borderId="26" fillId="17" fontId="20" numFmtId="17" xfId="0" applyAlignment="1" applyBorder="1" applyFont="1" applyNumberFormat="1">
      <alignment horizontal="center" vertical="center"/>
    </xf>
    <xf borderId="0" fillId="0" fontId="3" numFmtId="165" xfId="0" applyFont="1" applyNumberFormat="1"/>
    <xf borderId="36" fillId="36" fontId="16" numFmtId="0" xfId="0" applyAlignment="1" applyBorder="1" applyFill="1" applyFont="1">
      <alignment horizontal="center"/>
    </xf>
    <xf borderId="29" fillId="36" fontId="16" numFmtId="0" xfId="0" applyAlignment="1" applyBorder="1" applyFont="1">
      <alignment horizontal="center"/>
    </xf>
    <xf borderId="28" fillId="0" fontId="3" numFmtId="183" xfId="0" applyAlignment="1" applyBorder="1" applyFont="1" applyNumberFormat="1">
      <alignment horizontal="center"/>
    </xf>
    <xf borderId="0" fillId="0" fontId="3" numFmtId="183" xfId="0" applyFont="1" applyNumberFormat="1"/>
    <xf borderId="1" fillId="2" fontId="3" numFmtId="10" xfId="0" applyAlignment="1" applyBorder="1" applyFont="1" applyNumberFormat="1">
      <alignment horizontal="center"/>
    </xf>
    <xf borderId="0" fillId="0" fontId="44" numFmtId="0" xfId="0" applyAlignment="1" applyFont="1">
      <alignment horizontal="center" vertical="center"/>
    </xf>
    <xf borderId="0" fillId="0" fontId="44" numFmtId="0" xfId="0" applyAlignment="1" applyFont="1">
      <alignment vertical="center"/>
    </xf>
    <xf borderId="35" fillId="22" fontId="3" numFmtId="183" xfId="0" applyAlignment="1" applyBorder="1" applyFont="1" applyNumberFormat="1">
      <alignment horizontal="center"/>
    </xf>
    <xf borderId="26" fillId="22" fontId="3" numFmtId="183" xfId="0" applyAlignment="1" applyBorder="1" applyFont="1" applyNumberFormat="1">
      <alignment horizontal="center"/>
    </xf>
    <xf borderId="35" fillId="37" fontId="3" numFmtId="183" xfId="0" applyAlignment="1" applyBorder="1" applyFill="1" applyFont="1" applyNumberFormat="1">
      <alignment horizontal="center"/>
    </xf>
    <xf borderId="26" fillId="37" fontId="3" numFmtId="183" xfId="0" applyAlignment="1" applyBorder="1" applyFont="1" applyNumberFormat="1">
      <alignment horizontal="center"/>
    </xf>
    <xf borderId="0" fillId="0" fontId="38" numFmtId="0" xfId="0" applyAlignment="1" applyFont="1">
      <alignment horizontal="center" vertical="center"/>
    </xf>
    <xf borderId="0" fillId="0" fontId="38" numFmtId="3" xfId="0" applyAlignment="1" applyFont="1" applyNumberFormat="1">
      <alignment horizontal="center" vertical="center"/>
    </xf>
    <xf borderId="27" fillId="31" fontId="43" numFmtId="0" xfId="0" applyAlignment="1" applyBorder="1" applyFont="1">
      <alignment horizontal="center"/>
    </xf>
    <xf borderId="0" fillId="0" fontId="43" numFmtId="0" xfId="0" applyFont="1"/>
    <xf borderId="0" fillId="0" fontId="40" numFmtId="183" xfId="0" applyAlignment="1" applyFont="1" applyNumberFormat="1">
      <alignment horizontal="center" vertical="center"/>
    </xf>
    <xf borderId="60" fillId="2" fontId="43" numFmtId="0" xfId="0" applyAlignment="1" applyBorder="1" applyFont="1">
      <alignment horizontal="center" vertical="center"/>
    </xf>
    <xf borderId="35" fillId="34" fontId="43" numFmtId="0" xfId="0" applyAlignment="1" applyBorder="1" applyFont="1">
      <alignment horizontal="center"/>
    </xf>
    <xf borderId="0" fillId="0" fontId="22" numFmtId="0" xfId="0" applyAlignment="1" applyFont="1">
      <alignment horizontal="center"/>
    </xf>
    <xf borderId="61" fillId="0" fontId="18" numFmtId="0" xfId="0" applyBorder="1" applyFont="1"/>
    <xf borderId="35" fillId="35" fontId="43" numFmtId="17" xfId="0" applyAlignment="1" applyBorder="1" applyFont="1" applyNumberFormat="1">
      <alignment horizontal="center"/>
    </xf>
    <xf borderId="0" fillId="0" fontId="43" numFmtId="17" xfId="0" applyFont="1" applyNumberFormat="1"/>
    <xf borderId="0" fillId="0" fontId="40" numFmtId="3" xfId="0" applyAlignment="1" applyFont="1" applyNumberFormat="1">
      <alignment horizontal="center" vertical="center"/>
    </xf>
    <xf borderId="0" fillId="0" fontId="38" numFmtId="186" xfId="0" applyAlignment="1" applyFont="1" applyNumberFormat="1">
      <alignment horizontal="center" vertical="center"/>
    </xf>
    <xf borderId="0" fillId="0" fontId="3" numFmtId="183" xfId="0" applyAlignment="1" applyFont="1" applyNumberFormat="1">
      <alignment horizontal="center"/>
    </xf>
    <xf borderId="62" fillId="0" fontId="18" numFmtId="0" xfId="0" applyBorder="1" applyFont="1"/>
    <xf borderId="35" fillId="33" fontId="43" numFmtId="17" xfId="0" applyAlignment="1" applyBorder="1" applyFont="1" applyNumberFormat="1">
      <alignment horizontal="center"/>
    </xf>
    <xf borderId="0" fillId="0" fontId="43" numFmtId="0" xfId="0" applyAlignment="1" applyFont="1">
      <alignment horizontal="center"/>
    </xf>
    <xf borderId="0" fillId="0" fontId="38" numFmtId="183" xfId="0" applyAlignment="1" applyFont="1" applyNumberFormat="1">
      <alignment horizontal="center" vertical="center"/>
    </xf>
    <xf borderId="0" fillId="0" fontId="22" numFmtId="181" xfId="0" applyAlignment="1" applyFont="1" applyNumberFormat="1">
      <alignment horizontal="center"/>
    </xf>
    <xf borderId="35" fillId="38" fontId="22" numFmtId="181" xfId="0" applyAlignment="1" applyBorder="1" applyFill="1" applyFont="1" applyNumberFormat="1">
      <alignment horizontal="center"/>
    </xf>
    <xf borderId="1" fillId="2" fontId="16" numFmtId="0" xfId="0" applyAlignment="1" applyBorder="1" applyFont="1">
      <alignment horizontal="center" vertical="center"/>
    </xf>
    <xf borderId="21" fillId="21" fontId="36" numFmtId="0" xfId="0" applyAlignment="1" applyBorder="1" applyFont="1">
      <alignment horizontal="center" vertical="center"/>
    </xf>
    <xf borderId="46" fillId="0" fontId="18" numFmtId="0" xfId="0" applyBorder="1" applyFont="1"/>
    <xf borderId="27" fillId="17" fontId="20" numFmtId="0" xfId="0" applyAlignment="1" applyBorder="1" applyFont="1">
      <alignment horizontal="center" shrinkToFit="0" vertical="center" wrapText="1"/>
    </xf>
    <xf borderId="9" fillId="0" fontId="18" numFmtId="0" xfId="0" applyBorder="1" applyFont="1"/>
    <xf borderId="53" fillId="0" fontId="18" numFmtId="0" xfId="0" applyBorder="1" applyFont="1"/>
    <xf borderId="26" fillId="8" fontId="20" numFmtId="0" xfId="0" applyAlignment="1" applyBorder="1" applyFont="1">
      <alignment horizontal="center" vertical="center"/>
    </xf>
    <xf borderId="26" fillId="8" fontId="20" numFmtId="0" xfId="0" applyAlignment="1" applyBorder="1" applyFont="1">
      <alignment horizontal="center" shrinkToFit="0" vertical="center" wrapText="1"/>
    </xf>
    <xf borderId="35" fillId="8" fontId="36" numFmtId="181" xfId="0" applyAlignment="1" applyBorder="1" applyFont="1" applyNumberFormat="1">
      <alignment horizontal="center" shrinkToFit="0" vertical="center" wrapText="1"/>
    </xf>
    <xf borderId="27" fillId="0" fontId="3" numFmtId="0" xfId="0" applyAlignment="1" applyBorder="1" applyFont="1">
      <alignment horizontal="center"/>
    </xf>
    <xf borderId="26" fillId="0" fontId="3" numFmtId="181" xfId="0" applyAlignment="1" applyBorder="1" applyFont="1" applyNumberFormat="1">
      <alignment horizontal="right"/>
    </xf>
    <xf borderId="26" fillId="22" fontId="3" numFmtId="165" xfId="0" applyAlignment="1" applyBorder="1" applyFont="1" applyNumberFormat="1">
      <alignment horizontal="right"/>
    </xf>
    <xf borderId="26" fillId="0" fontId="3" numFmtId="165" xfId="0" applyAlignment="1" applyBorder="1" applyFont="1" applyNumberFormat="1">
      <alignment horizontal="right"/>
    </xf>
    <xf borderId="26" fillId="0" fontId="3" numFmtId="187" xfId="0" applyAlignment="1" applyBorder="1" applyFont="1" applyNumberFormat="1">
      <alignment horizontal="center"/>
    </xf>
    <xf borderId="0" fillId="0" fontId="3" numFmtId="181" xfId="0" applyFont="1" applyNumberFormat="1"/>
    <xf borderId="28" fillId="0" fontId="3" numFmtId="181" xfId="0" applyAlignment="1" applyBorder="1" applyFont="1" applyNumberFormat="1">
      <alignment horizontal="center"/>
    </xf>
    <xf borderId="27" fillId="17" fontId="16" numFmtId="0" xfId="0" applyAlignment="1" applyBorder="1" applyFont="1">
      <alignment horizontal="center"/>
    </xf>
    <xf borderId="26" fillId="11" fontId="3" numFmtId="165" xfId="0" applyBorder="1" applyFont="1" applyNumberFormat="1"/>
    <xf borderId="0" fillId="0" fontId="3" numFmtId="10" xfId="0" applyFont="1" applyNumberFormat="1"/>
    <xf borderId="1" fillId="17" fontId="45" numFmtId="0" xfId="0" applyBorder="1" applyFont="1"/>
    <xf borderId="0" fillId="0" fontId="12" numFmtId="0" xfId="0" applyFont="1"/>
    <xf borderId="21" fillId="0" fontId="46" numFmtId="0" xfId="0" applyAlignment="1" applyBorder="1" applyFont="1">
      <alignment horizontal="center" vertical="center"/>
    </xf>
    <xf borderId="25" fillId="0" fontId="46" numFmtId="0" xfId="0" applyAlignment="1" applyBorder="1" applyFont="1">
      <alignment horizontal="center" vertical="center"/>
    </xf>
    <xf borderId="27" fillId="26" fontId="45" numFmtId="0" xfId="0" applyAlignment="1" applyBorder="1" applyFont="1">
      <alignment horizontal="center"/>
    </xf>
    <xf borderId="9" fillId="0" fontId="12" numFmtId="9" xfId="0" applyAlignment="1" applyBorder="1" applyFont="1" applyNumberFormat="1">
      <alignment horizontal="center"/>
    </xf>
    <xf borderId="31" fillId="0" fontId="12" numFmtId="9" xfId="0" applyAlignment="1" applyBorder="1" applyFont="1" applyNumberFormat="1">
      <alignment horizontal="center"/>
    </xf>
    <xf borderId="27" fillId="0" fontId="46" numFmtId="0" xfId="0" applyBorder="1" applyFont="1"/>
    <xf borderId="28" fillId="0" fontId="12" numFmtId="3" xfId="0" applyBorder="1" applyFont="1" applyNumberFormat="1"/>
    <xf borderId="53" fillId="0" fontId="12" numFmtId="3" xfId="0" applyBorder="1" applyFont="1" applyNumberFormat="1"/>
    <xf borderId="31" fillId="0" fontId="12" numFmtId="3" xfId="0" applyBorder="1" applyFont="1" applyNumberFormat="1"/>
    <xf borderId="26" fillId="7" fontId="46" numFmtId="0" xfId="0" applyBorder="1" applyFont="1"/>
    <xf borderId="1" fillId="25" fontId="12" numFmtId="0" xfId="0" applyBorder="1" applyFont="1"/>
    <xf borderId="0" fillId="0" fontId="12" numFmtId="188" xfId="0" applyFont="1" applyNumberFormat="1"/>
    <xf borderId="1" fillId="25" fontId="12" numFmtId="189" xfId="0" applyBorder="1" applyFont="1" applyNumberFormat="1"/>
    <xf borderId="0" fillId="0" fontId="12" numFmtId="189" xfId="0" applyFont="1" applyNumberFormat="1"/>
    <xf borderId="26" fillId="39" fontId="46" numFmtId="0" xfId="0" applyAlignment="1" applyBorder="1" applyFill="1" applyFont="1">
      <alignment horizontal="center"/>
    </xf>
    <xf borderId="26" fillId="17" fontId="46" numFmtId="0" xfId="0" applyAlignment="1" applyBorder="1" applyFont="1">
      <alignment horizontal="center"/>
    </xf>
    <xf borderId="26" fillId="26" fontId="46" numFmtId="0" xfId="0" applyAlignment="1" applyBorder="1" applyFont="1">
      <alignment horizontal="center"/>
    </xf>
    <xf borderId="0" fillId="0" fontId="46" numFmtId="0" xfId="0" applyAlignment="1" applyFont="1">
      <alignment horizontal="left"/>
    </xf>
    <xf borderId="0" fillId="0" fontId="46" numFmtId="0" xfId="0" applyFont="1"/>
    <xf borderId="26" fillId="0" fontId="12" numFmtId="188" xfId="0" applyBorder="1" applyFont="1" applyNumberFormat="1"/>
    <xf borderId="1" fillId="24" fontId="12" numFmtId="188" xfId="0" applyBorder="1" applyFont="1" applyNumberFormat="1"/>
    <xf borderId="1" fillId="40" fontId="12" numFmtId="188" xfId="0" applyBorder="1" applyFill="1" applyFont="1" applyNumberFormat="1"/>
    <xf borderId="26" fillId="17" fontId="46" numFmtId="0" xfId="0" applyBorder="1" applyFont="1"/>
    <xf borderId="63" fillId="17" fontId="12" numFmtId="188" xfId="0" applyBorder="1" applyFont="1" applyNumberFormat="1"/>
    <xf borderId="26" fillId="26" fontId="12" numFmtId="188" xfId="0" applyBorder="1" applyFont="1" applyNumberFormat="1"/>
    <xf borderId="1" fillId="22" fontId="46" numFmtId="0" xfId="0" applyBorder="1" applyFont="1"/>
    <xf borderId="1" fillId="22" fontId="12" numFmtId="0" xfId="0" applyBorder="1" applyFont="1"/>
    <xf borderId="26" fillId="17" fontId="46" numFmtId="0" xfId="0" applyAlignment="1" applyBorder="1" applyFont="1">
      <alignment horizontal="right"/>
    </xf>
    <xf borderId="35" fillId="17" fontId="12" numFmtId="188" xfId="0" applyBorder="1" applyFont="1" applyNumberFormat="1"/>
    <xf borderId="35" fillId="26" fontId="12" numFmtId="188" xfId="0" applyBorder="1" applyFont="1" applyNumberFormat="1"/>
    <xf borderId="1" fillId="41" fontId="45" numFmtId="0" xfId="0" applyBorder="1" applyFill="1" applyFont="1"/>
    <xf borderId="26" fillId="0" fontId="46" numFmtId="0" xfId="0" applyBorder="1" applyFont="1"/>
    <xf borderId="0" fillId="0" fontId="12" numFmtId="9" xfId="0" applyAlignment="1" applyFont="1" applyNumberFormat="1">
      <alignment horizontal="center"/>
    </xf>
    <xf borderId="21" fillId="0" fontId="12" numFmtId="0" xfId="0" applyAlignment="1" applyBorder="1" applyFont="1">
      <alignment horizontal="center"/>
    </xf>
    <xf borderId="9" fillId="0" fontId="3" numFmtId="173" xfId="0" applyBorder="1" applyFont="1" applyNumberFormat="1"/>
    <xf borderId="53" fillId="0" fontId="12" numFmtId="0" xfId="0" applyBorder="1" applyFont="1"/>
    <xf borderId="0" fillId="0" fontId="12" numFmtId="0" xfId="0" applyAlignment="1" applyFont="1">
      <alignment horizontal="center"/>
    </xf>
    <xf borderId="64" fillId="25" fontId="16" numFmtId="0" xfId="0" applyAlignment="1" applyBorder="1" applyFont="1">
      <alignment horizontal="center" vertical="center"/>
    </xf>
    <xf borderId="65" fillId="26" fontId="20" numFmtId="17" xfId="0" applyAlignment="1" applyBorder="1" applyFont="1" applyNumberFormat="1">
      <alignment horizontal="center" vertical="center"/>
    </xf>
    <xf borderId="66" fillId="0" fontId="18" numFmtId="0" xfId="0" applyBorder="1" applyFont="1"/>
    <xf borderId="21" fillId="26" fontId="20" numFmtId="17" xfId="0" applyAlignment="1" applyBorder="1" applyFont="1" applyNumberFormat="1">
      <alignment horizontal="center" vertical="center"/>
    </xf>
    <xf borderId="27" fillId="17" fontId="16" numFmtId="0" xfId="0" applyAlignment="1" applyBorder="1" applyFont="1">
      <alignment horizontal="center" shrinkToFit="0" wrapText="1"/>
    </xf>
    <xf borderId="67" fillId="0" fontId="18" numFmtId="0" xfId="0" applyBorder="1" applyFont="1"/>
    <xf borderId="26" fillId="0" fontId="3" numFmtId="0" xfId="0" applyAlignment="1" applyBorder="1" applyFont="1">
      <alignment horizontal="left"/>
    </xf>
    <xf borderId="26" fillId="0" fontId="3" numFmtId="3" xfId="0" applyAlignment="1" applyBorder="1" applyFont="1" applyNumberFormat="1">
      <alignment horizontal="right"/>
    </xf>
    <xf borderId="25" fillId="0" fontId="3" numFmtId="190" xfId="0" applyAlignment="1" applyBorder="1" applyFont="1" applyNumberFormat="1">
      <alignment horizontal="right" vertical="center"/>
    </xf>
    <xf borderId="26" fillId="27" fontId="3" numFmtId="3" xfId="0" applyAlignment="1" applyBorder="1" applyFont="1" applyNumberFormat="1">
      <alignment horizontal="right"/>
    </xf>
    <xf borderId="26" fillId="0" fontId="3" numFmtId="173" xfId="0" applyAlignment="1" applyBorder="1" applyFont="1" applyNumberFormat="1">
      <alignment horizontal="right"/>
    </xf>
    <xf borderId="68" fillId="0" fontId="3" numFmtId="0" xfId="0" applyAlignment="1" applyBorder="1" applyFont="1">
      <alignment horizontal="left"/>
    </xf>
    <xf borderId="68" fillId="0" fontId="3" numFmtId="173" xfId="0" applyAlignment="1" applyBorder="1" applyFont="1" applyNumberFormat="1">
      <alignment horizontal="right"/>
    </xf>
    <xf borderId="69" fillId="0" fontId="18" numFmtId="0" xfId="0" applyBorder="1" applyFont="1"/>
    <xf borderId="30" fillId="25" fontId="16" numFmtId="0" xfId="0" applyAlignment="1" applyBorder="1" applyFont="1">
      <alignment horizontal="left"/>
    </xf>
    <xf borderId="31" fillId="0" fontId="16" numFmtId="3" xfId="0" applyAlignment="1" applyBorder="1" applyFont="1" applyNumberFormat="1">
      <alignment horizontal="right"/>
    </xf>
    <xf borderId="70" fillId="25" fontId="16" numFmtId="190" xfId="0" applyAlignment="1" applyBorder="1" applyFont="1" applyNumberFormat="1">
      <alignment horizontal="right" vertical="center"/>
    </xf>
    <xf borderId="26" fillId="25" fontId="16" numFmtId="0" xfId="0" applyAlignment="1" applyBorder="1" applyFont="1">
      <alignment horizontal="left"/>
    </xf>
    <xf borderId="26" fillId="2" fontId="16" numFmtId="0" xfId="0" applyAlignment="1" applyBorder="1" applyFont="1">
      <alignment horizontal="right"/>
    </xf>
    <xf borderId="26" fillId="27" fontId="3" numFmtId="0" xfId="0" applyAlignment="1" applyBorder="1" applyFont="1">
      <alignment horizontal="right"/>
    </xf>
    <xf borderId="25" fillId="25" fontId="16" numFmtId="190" xfId="0" applyAlignment="1" applyBorder="1" applyFont="1" applyNumberFormat="1">
      <alignment horizontal="right" vertical="center"/>
    </xf>
    <xf borderId="26" fillId="27" fontId="3" numFmtId="1" xfId="0" applyAlignment="1" applyBorder="1" applyFont="1" applyNumberFormat="1">
      <alignment horizontal="right"/>
    </xf>
    <xf borderId="71" fillId="25" fontId="16" numFmtId="0" xfId="0" applyAlignment="1" applyBorder="1" applyFont="1">
      <alignment horizontal="left"/>
    </xf>
    <xf borderId="71" fillId="0" fontId="3" numFmtId="173" xfId="0" applyAlignment="1" applyBorder="1" applyFont="1" applyNumberFormat="1">
      <alignment horizontal="right"/>
    </xf>
    <xf borderId="72" fillId="0" fontId="18" numFmtId="0" xfId="0" applyBorder="1" applyFont="1"/>
    <xf borderId="73" fillId="17" fontId="16" numFmtId="0" xfId="0" applyAlignment="1" applyBorder="1" applyFont="1">
      <alignment horizontal="left"/>
    </xf>
    <xf borderId="72" fillId="0" fontId="3" numFmtId="0" xfId="0" applyAlignment="1" applyBorder="1" applyFont="1">
      <alignment horizontal="right"/>
    </xf>
    <xf borderId="73" fillId="17" fontId="16" numFmtId="190" xfId="0" applyAlignment="1" applyBorder="1" applyFont="1" applyNumberFormat="1">
      <alignment horizontal="right"/>
    </xf>
    <xf borderId="73" fillId="11" fontId="16" numFmtId="190" xfId="0" applyAlignment="1" applyBorder="1" applyFont="1" applyNumberFormat="1">
      <alignment horizontal="right"/>
    </xf>
    <xf borderId="0" fillId="0" fontId="3" numFmtId="190" xfId="0" applyFont="1" applyNumberFormat="1"/>
    <xf borderId="71" fillId="0" fontId="3" numFmtId="165" xfId="0" applyAlignment="1" applyBorder="1" applyFont="1" applyNumberFormat="1">
      <alignment horizontal="right"/>
    </xf>
    <xf borderId="27" fillId="28" fontId="20" numFmtId="10" xfId="0" applyAlignment="1" applyBorder="1" applyFont="1" applyNumberFormat="1">
      <alignment horizontal="center"/>
    </xf>
    <xf borderId="0" fillId="0" fontId="3" numFmtId="191" xfId="0" applyAlignment="1" applyFont="1" applyNumberFormat="1">
      <alignment horizontal="center" vertical="center"/>
    </xf>
    <xf borderId="25" fillId="0" fontId="3" numFmtId="3" xfId="0" applyAlignment="1" applyBorder="1" applyFont="1" applyNumberFormat="1">
      <alignment horizontal="right"/>
    </xf>
    <xf borderId="22" fillId="22" fontId="16" numFmtId="0" xfId="0" applyBorder="1" applyFont="1"/>
    <xf borderId="74" fillId="22" fontId="3" numFmtId="0" xfId="0" applyBorder="1" applyFont="1"/>
    <xf borderId="75" fillId="22" fontId="3" numFmtId="0" xfId="0" applyBorder="1" applyFont="1"/>
    <xf borderId="24" fillId="22" fontId="16" numFmtId="0" xfId="0" applyBorder="1" applyFont="1"/>
    <xf borderId="50" fillId="22" fontId="3" numFmtId="0" xfId="0" applyBorder="1" applyFont="1"/>
    <xf borderId="76" fillId="22" fontId="3" numFmtId="0" xfId="0" applyBorder="1" applyFont="1"/>
    <xf borderId="26" fillId="22" fontId="3" numFmtId="3" xfId="0" applyAlignment="1" applyBorder="1" applyFont="1" applyNumberFormat="1">
      <alignment horizontal="right"/>
    </xf>
    <xf borderId="31" fillId="0" fontId="3" numFmtId="0" xfId="0" applyBorder="1" applyFont="1"/>
    <xf borderId="73" fillId="21" fontId="16" numFmtId="0" xfId="0" applyAlignment="1" applyBorder="1" applyFont="1">
      <alignment horizontal="left"/>
    </xf>
    <xf borderId="0" fillId="0" fontId="25" numFmtId="0" xfId="0" applyFont="1"/>
    <xf borderId="21" fillId="0" fontId="25" numFmtId="0" xfId="0" applyBorder="1" applyFont="1"/>
    <xf borderId="20" fillId="0" fontId="25" numFmtId="3" xfId="0" applyBorder="1" applyFont="1" applyNumberFormat="1"/>
    <xf borderId="25" fillId="0" fontId="25" numFmtId="190" xfId="0" applyAlignment="1" applyBorder="1" applyFont="1" applyNumberFormat="1">
      <alignment horizontal="right" vertical="center"/>
    </xf>
    <xf borderId="27" fillId="32" fontId="16" numFmtId="0" xfId="0" applyAlignment="1" applyBorder="1" applyFont="1">
      <alignment horizontal="center"/>
    </xf>
    <xf borderId="8" fillId="0" fontId="25" numFmtId="0" xfId="0" applyBorder="1" applyFont="1"/>
    <xf borderId="0" fillId="0" fontId="25" numFmtId="184" xfId="0" applyFont="1" applyNumberFormat="1"/>
    <xf borderId="25" fillId="33" fontId="16" numFmtId="0" xfId="0" applyAlignment="1" applyBorder="1" applyFont="1">
      <alignment horizontal="center" vertical="center"/>
    </xf>
    <xf borderId="21" fillId="0" fontId="25" numFmtId="0" xfId="0" applyAlignment="1" applyBorder="1" applyFont="1">
      <alignment horizontal="left"/>
    </xf>
    <xf borderId="46" fillId="0" fontId="25" numFmtId="3" xfId="0" applyBorder="1" applyFont="1" applyNumberFormat="1"/>
    <xf borderId="77" fillId="0" fontId="25" numFmtId="190" xfId="0" applyAlignment="1" applyBorder="1" applyFont="1" applyNumberFormat="1">
      <alignment horizontal="right" vertical="center"/>
    </xf>
    <xf borderId="9" fillId="0" fontId="25" numFmtId="0" xfId="0" applyAlignment="1" applyBorder="1" applyFont="1">
      <alignment horizontal="left"/>
    </xf>
    <xf borderId="53" fillId="0" fontId="25" numFmtId="184" xfId="0" applyBorder="1" applyFont="1" applyNumberFormat="1"/>
    <xf borderId="27" fillId="32" fontId="16" numFmtId="17" xfId="0" applyAlignment="1" applyBorder="1" applyFont="1" applyNumberFormat="1">
      <alignment horizontal="center"/>
    </xf>
    <xf borderId="26" fillId="0" fontId="25" numFmtId="0" xfId="0" applyAlignment="1" applyBorder="1" applyFont="1">
      <alignment horizontal="left"/>
    </xf>
    <xf borderId="30" fillId="33" fontId="16" numFmtId="0" xfId="0" applyAlignment="1" applyBorder="1" applyFont="1">
      <alignment horizontal="center" shrinkToFit="0" wrapText="1"/>
    </xf>
    <xf borderId="31" fillId="0" fontId="25" numFmtId="184" xfId="0" applyBorder="1" applyFont="1" applyNumberFormat="1"/>
    <xf borderId="26" fillId="33" fontId="16" numFmtId="0" xfId="0" applyAlignment="1" applyBorder="1" applyFont="1">
      <alignment horizontal="center" shrinkToFit="0" wrapText="1"/>
    </xf>
    <xf borderId="26" fillId="2" fontId="3" numFmtId="17" xfId="0" applyAlignment="1" applyBorder="1" applyFont="1" applyNumberFormat="1">
      <alignment horizontal="center"/>
    </xf>
    <xf borderId="26" fillId="2" fontId="3" numFmtId="0" xfId="0" applyAlignment="1" applyBorder="1" applyFont="1">
      <alignment horizontal="center"/>
    </xf>
    <xf borderId="26" fillId="2" fontId="3" numFmtId="191" xfId="0" applyBorder="1" applyFont="1" applyNumberFormat="1"/>
    <xf borderId="0" fillId="0" fontId="25" numFmtId="170" xfId="0" applyFont="1" applyNumberFormat="1"/>
    <xf borderId="26" fillId="2" fontId="3" numFmtId="10" xfId="0" applyAlignment="1" applyBorder="1" applyFont="1" applyNumberFormat="1">
      <alignment horizontal="center"/>
    </xf>
    <xf borderId="26" fillId="0" fontId="3" numFmtId="17" xfId="0" applyAlignment="1" applyBorder="1" applyFont="1" applyNumberFormat="1">
      <alignment horizontal="center"/>
    </xf>
    <xf borderId="26" fillId="0" fontId="3" numFmtId="10" xfId="0" applyAlignment="1" applyBorder="1" applyFont="1" applyNumberFormat="1">
      <alignment horizontal="center"/>
    </xf>
    <xf borderId="26" fillId="0" fontId="3" numFmtId="191" xfId="0" applyBorder="1" applyFont="1" applyNumberFormat="1"/>
    <xf borderId="25" fillId="0" fontId="3" numFmtId="191" xfId="0" applyBorder="1" applyFont="1" applyNumberFormat="1"/>
    <xf borderId="26" fillId="22" fontId="3" numFmtId="17" xfId="0" applyAlignment="1" applyBorder="1" applyFont="1" applyNumberFormat="1">
      <alignment horizontal="center"/>
    </xf>
    <xf borderId="26" fillId="22" fontId="3" numFmtId="10" xfId="0" applyAlignment="1" applyBorder="1" applyFont="1" applyNumberFormat="1">
      <alignment horizontal="center"/>
    </xf>
    <xf borderId="26" fillId="22" fontId="3" numFmtId="191" xfId="0" applyBorder="1" applyFont="1" applyNumberFormat="1"/>
    <xf borderId="27" fillId="21" fontId="43" numFmtId="0" xfId="0" applyAlignment="1" applyBorder="1" applyFont="1">
      <alignment horizontal="center"/>
    </xf>
    <xf borderId="13" fillId="21" fontId="3" numFmtId="0" xfId="0" applyBorder="1" applyFont="1"/>
    <xf borderId="35" fillId="21" fontId="3" numFmtId="0" xfId="0" applyBorder="1" applyFont="1"/>
    <xf borderId="70" fillId="33" fontId="43" numFmtId="0" xfId="0" applyAlignment="1" applyBorder="1" applyFont="1">
      <alignment horizontal="center" vertical="center"/>
    </xf>
    <xf borderId="78" fillId="34" fontId="43" numFmtId="0" xfId="0" applyAlignment="1" applyBorder="1" applyFont="1">
      <alignment horizontal="center"/>
    </xf>
    <xf borderId="79" fillId="0" fontId="18" numFmtId="0" xfId="0" applyBorder="1" applyFont="1"/>
    <xf borderId="80" fillId="0" fontId="18" numFmtId="0" xfId="0" applyBorder="1" applyFont="1"/>
    <xf borderId="27" fillId="35" fontId="43" numFmtId="17" xfId="0" applyAlignment="1" applyBorder="1" applyFont="1" applyNumberFormat="1">
      <alignment horizontal="center"/>
    </xf>
    <xf borderId="26" fillId="38" fontId="22" numFmtId="181" xfId="0" applyAlignment="1" applyBorder="1" applyFont="1" applyNumberFormat="1">
      <alignment horizontal="center"/>
    </xf>
    <xf borderId="25" fillId="2" fontId="43" numFmtId="0" xfId="0" applyAlignment="1" applyBorder="1" applyFont="1">
      <alignment horizontal="center" vertical="center"/>
    </xf>
    <xf borderId="81" fillId="0" fontId="18" numFmtId="0" xfId="0" applyBorder="1" applyFont="1"/>
    <xf borderId="29" fillId="2" fontId="43" numFmtId="0" xfId="0" applyAlignment="1" applyBorder="1" applyFont="1">
      <alignment horizontal="center" shrinkToFit="0" vertical="center" wrapText="1"/>
    </xf>
    <xf borderId="29" fillId="2" fontId="43" numFmtId="17" xfId="0" applyAlignment="1" applyBorder="1" applyFont="1" applyNumberFormat="1">
      <alignment horizontal="center" shrinkToFit="0" vertical="center" wrapText="1"/>
    </xf>
    <xf borderId="29" fillId="11" fontId="43" numFmtId="0" xfId="0" applyAlignment="1" applyBorder="1" applyFont="1">
      <alignment horizontal="center" shrinkToFit="0" vertical="center" wrapText="1"/>
    </xf>
    <xf borderId="82" fillId="0" fontId="18" numFmtId="0" xfId="0" applyBorder="1" applyFont="1"/>
    <xf borderId="83" fillId="0" fontId="18" numFmtId="0" xfId="0" applyBorder="1" applyFont="1"/>
    <xf borderId="84" fillId="0" fontId="18" numFmtId="0" xfId="0" applyBorder="1" applyFont="1"/>
    <xf borderId="85" fillId="0" fontId="3" numFmtId="0" xfId="0" applyAlignment="1" applyBorder="1" applyFont="1">
      <alignment horizontal="center"/>
    </xf>
    <xf borderId="86" fillId="0" fontId="3" numFmtId="0" xfId="0" applyBorder="1" applyFont="1"/>
    <xf borderId="86" fillId="0" fontId="3" numFmtId="3" xfId="0" applyAlignment="1" applyBorder="1" applyFont="1" applyNumberFormat="1">
      <alignment horizontal="center"/>
    </xf>
    <xf borderId="86" fillId="0" fontId="3" numFmtId="181" xfId="0" applyAlignment="1" applyBorder="1" applyFont="1" applyNumberFormat="1">
      <alignment horizontal="center"/>
    </xf>
    <xf borderId="86" fillId="0" fontId="3" numFmtId="182" xfId="0" applyAlignment="1" applyBorder="1" applyFont="1" applyNumberFormat="1">
      <alignment horizontal="center"/>
    </xf>
    <xf borderId="86" fillId="0" fontId="3" numFmtId="169" xfId="0" applyAlignment="1" applyBorder="1" applyFont="1" applyNumberFormat="1">
      <alignment horizontal="center"/>
    </xf>
    <xf borderId="86" fillId="17" fontId="16" numFmtId="181" xfId="0" applyAlignment="1" applyBorder="1" applyFont="1" applyNumberFormat="1">
      <alignment horizontal="center"/>
    </xf>
    <xf borderId="26" fillId="21" fontId="22" numFmtId="182" xfId="0" applyAlignment="1" applyBorder="1" applyFont="1" applyNumberFormat="1">
      <alignment horizontal="center"/>
    </xf>
    <xf borderId="1" fillId="2" fontId="47" numFmtId="0" xfId="0" applyAlignment="1" applyBorder="1" applyFont="1">
      <alignment horizontal="left"/>
    </xf>
    <xf borderId="12" fillId="21" fontId="43" numFmtId="0" xfId="0" applyBorder="1" applyFont="1"/>
    <xf borderId="13" fillId="21" fontId="43" numFmtId="0" xfId="0" applyBorder="1" applyFont="1"/>
    <xf borderId="35" fillId="21" fontId="43" numFmtId="0" xfId="0" applyBorder="1" applyFont="1"/>
    <xf borderId="70" fillId="2" fontId="43" numFmtId="0" xfId="0" applyAlignment="1" applyBorder="1" applyFont="1">
      <alignment horizontal="center" vertical="center"/>
    </xf>
    <xf borderId="78" fillId="17" fontId="43" numFmtId="17" xfId="0" applyAlignment="1" applyBorder="1" applyFont="1" applyNumberFormat="1">
      <alignment horizontal="center"/>
    </xf>
    <xf borderId="87" fillId="0" fontId="18" numFmtId="0" xfId="0" applyBorder="1" applyFont="1"/>
    <xf borderId="29" fillId="2" fontId="43" numFmtId="17" xfId="0" applyAlignment="1" applyBorder="1" applyFont="1" applyNumberFormat="1">
      <alignment horizontal="center"/>
    </xf>
    <xf borderId="29" fillId="2" fontId="43" numFmtId="0" xfId="0" applyAlignment="1" applyBorder="1" applyFont="1">
      <alignment horizontal="center"/>
    </xf>
    <xf borderId="1" fillId="18" fontId="3" numFmtId="0" xfId="0" applyAlignment="1" applyBorder="1" applyFont="1">
      <alignment horizontal="center"/>
    </xf>
    <xf borderId="88" fillId="0" fontId="3" numFmtId="0" xfId="0" applyBorder="1" applyFont="1"/>
    <xf borderId="89" fillId="0" fontId="3" numFmtId="0" xfId="0" applyBorder="1" applyFont="1"/>
    <xf borderId="89" fillId="0" fontId="3" numFmtId="0" xfId="0" applyAlignment="1" applyBorder="1" applyFont="1">
      <alignment horizontal="center"/>
    </xf>
    <xf borderId="89" fillId="0" fontId="3" numFmtId="182" xfId="0" applyAlignment="1" applyBorder="1" applyFont="1" applyNumberFormat="1">
      <alignment horizontal="center"/>
    </xf>
    <xf borderId="89" fillId="0" fontId="3" numFmtId="181" xfId="0" applyAlignment="1" applyBorder="1" applyFont="1" applyNumberFormat="1">
      <alignment horizontal="right"/>
    </xf>
    <xf borderId="26" fillId="8" fontId="3" numFmtId="190" xfId="0" applyBorder="1" applyFont="1" applyNumberFormat="1"/>
    <xf borderId="26" fillId="0" fontId="3" numFmtId="190" xfId="0" applyBorder="1" applyFont="1" applyNumberFormat="1"/>
    <xf borderId="26" fillId="11" fontId="3" numFmtId="190" xfId="0" applyBorder="1" applyFont="1" applyNumberFormat="1"/>
    <xf borderId="90" fillId="0" fontId="3" numFmtId="0" xfId="0" applyBorder="1" applyFont="1"/>
    <xf borderId="71" fillId="0" fontId="3" numFmtId="0" xfId="0" applyBorder="1" applyFont="1"/>
    <xf borderId="71" fillId="0" fontId="3" numFmtId="0" xfId="0" applyAlignment="1" applyBorder="1" applyFont="1">
      <alignment horizontal="center"/>
    </xf>
    <xf borderId="71" fillId="0" fontId="3" numFmtId="185" xfId="0" applyBorder="1" applyFont="1" applyNumberFormat="1"/>
    <xf borderId="71" fillId="0" fontId="3" numFmtId="3" xfId="0" applyAlignment="1" applyBorder="1" applyFont="1" applyNumberFormat="1">
      <alignment horizontal="center"/>
    </xf>
    <xf borderId="71" fillId="0" fontId="3" numFmtId="181" xfId="0" applyAlignment="1" applyBorder="1" applyFont="1" applyNumberFormat="1">
      <alignment horizontal="right"/>
    </xf>
    <xf borderId="71" fillId="0" fontId="3" numFmtId="192" xfId="0" applyBorder="1" applyFont="1" applyNumberFormat="1"/>
    <xf borderId="26" fillId="22" fontId="3" numFmtId="190" xfId="0" applyBorder="1" applyFont="1" applyNumberFormat="1"/>
    <xf borderId="91" fillId="21" fontId="16" numFmtId="0" xfId="0" applyAlignment="1" applyBorder="1" applyFont="1">
      <alignment horizontal="center"/>
    </xf>
    <xf borderId="92" fillId="0" fontId="18" numFmtId="0" xfId="0" applyBorder="1" applyFont="1"/>
    <xf borderId="30" fillId="17" fontId="22" numFmtId="181" xfId="0" applyAlignment="1" applyBorder="1" applyFont="1" applyNumberFormat="1">
      <alignment horizontal="center"/>
    </xf>
    <xf borderId="30" fillId="21" fontId="22" numFmtId="182" xfId="0" applyAlignment="1" applyBorder="1" applyFont="1" applyNumberFormat="1">
      <alignment horizontal="center"/>
    </xf>
    <xf borderId="26" fillId="32" fontId="3" numFmtId="0" xfId="0" applyAlignment="1" applyBorder="1" applyFont="1">
      <alignment horizontal="center"/>
    </xf>
    <xf borderId="26" fillId="32" fontId="3" numFmtId="181" xfId="0" applyAlignment="1" applyBorder="1" applyFont="1" applyNumberFormat="1">
      <alignment horizontal="center"/>
    </xf>
    <xf borderId="0" fillId="0" fontId="3" numFmtId="181" xfId="0" applyAlignment="1" applyFont="1" applyNumberFormat="1">
      <alignment horizontal="center"/>
    </xf>
    <xf borderId="78" fillId="35" fontId="43" numFmtId="17" xfId="0" applyAlignment="1" applyBorder="1" applyFont="1" applyNumberFormat="1">
      <alignment horizontal="center"/>
    </xf>
    <xf borderId="10" fillId="0" fontId="3" numFmtId="0" xfId="0" applyBorder="1" applyFont="1"/>
    <xf quotePrefix="1" borderId="1" fillId="22" fontId="47" numFmtId="0" xfId="0" applyAlignment="1" applyBorder="1" applyFont="1">
      <alignment horizontal="center"/>
    </xf>
    <xf borderId="86" fillId="11" fontId="3" numFmtId="10" xfId="0" applyAlignment="1" applyBorder="1" applyFont="1" applyNumberFormat="1">
      <alignment horizontal="center"/>
    </xf>
    <xf borderId="27" fillId="21" fontId="43" numFmtId="0" xfId="0" applyAlignment="1" applyBorder="1" applyFont="1">
      <alignment horizontal="center" shrinkToFit="0" wrapText="1"/>
    </xf>
    <xf borderId="1" fillId="21" fontId="3" numFmtId="0" xfId="0" applyBorder="1" applyFont="1"/>
    <xf borderId="12" fillId="17" fontId="43" numFmtId="17" xfId="0" applyAlignment="1" applyBorder="1" applyFont="1" applyNumberFormat="1">
      <alignment horizontal="center"/>
    </xf>
    <xf borderId="93" fillId="26" fontId="20" numFmtId="17" xfId="0" applyAlignment="1" applyBorder="1" applyFont="1" applyNumberFormat="1">
      <alignment horizontal="center" vertical="center"/>
    </xf>
    <xf borderId="94" fillId="0" fontId="18" numFmtId="0" xfId="0" applyBorder="1" applyFont="1"/>
    <xf borderId="95" fillId="26" fontId="20" numFmtId="17" xfId="0" applyAlignment="1" applyBorder="1" applyFont="1" applyNumberFormat="1">
      <alignment horizontal="center" vertical="center"/>
    </xf>
    <xf borderId="96" fillId="0" fontId="18" numFmtId="0" xfId="0" applyBorder="1" applyFont="1"/>
    <xf borderId="0" fillId="0" fontId="47" numFmtId="0" xfId="0" applyFont="1"/>
    <xf borderId="12" fillId="33" fontId="48" numFmtId="17" xfId="0" applyAlignment="1" applyBorder="1" applyFont="1" applyNumberFormat="1">
      <alignment horizontal="center"/>
    </xf>
    <xf borderId="97" fillId="0" fontId="18" numFmtId="0" xfId="0" applyBorder="1" applyFont="1"/>
    <xf borderId="98" fillId="0" fontId="18" numFmtId="0" xfId="0" applyBorder="1" applyFont="1"/>
    <xf borderId="27" fillId="0" fontId="3" numFmtId="183" xfId="0" applyAlignment="1" applyBorder="1" applyFont="1" applyNumberFormat="1">
      <alignment horizontal="right"/>
    </xf>
    <xf borderId="43" fillId="0" fontId="3" numFmtId="0" xfId="0" applyBorder="1" applyFont="1"/>
    <xf borderId="44" fillId="0" fontId="3" numFmtId="190" xfId="0" applyBorder="1" applyFont="1" applyNumberFormat="1"/>
    <xf borderId="27" fillId="21" fontId="16" numFmtId="0" xfId="0" applyAlignment="1" applyBorder="1" applyFont="1">
      <alignment horizontal="center"/>
    </xf>
    <xf borderId="12" fillId="17" fontId="22" numFmtId="181" xfId="0" applyAlignment="1" applyBorder="1" applyFont="1" applyNumberFormat="1">
      <alignment horizontal="center"/>
    </xf>
    <xf borderId="90" fillId="11" fontId="3" numFmtId="0" xfId="0" applyBorder="1" applyFont="1"/>
    <xf borderId="71" fillId="11" fontId="22" numFmtId="165" xfId="0" applyAlignment="1" applyBorder="1" applyFont="1" applyNumberFormat="1">
      <alignment horizontal="center"/>
    </xf>
    <xf borderId="71" fillId="11" fontId="3" numFmtId="165" xfId="0" applyBorder="1" applyFont="1" applyNumberFormat="1"/>
    <xf borderId="99" fillId="11" fontId="3" numFmtId="165" xfId="0" applyBorder="1" applyFont="1" applyNumberFormat="1"/>
    <xf borderId="37" fillId="0" fontId="3" numFmtId="0" xfId="0" applyBorder="1" applyFont="1"/>
    <xf borderId="37" fillId="0" fontId="3" numFmtId="10" xfId="0" applyBorder="1" applyFont="1" applyNumberFormat="1"/>
    <xf borderId="50" fillId="21" fontId="21" numFmtId="171" xfId="0" applyAlignment="1" applyBorder="1" applyFont="1" applyNumberFormat="1">
      <alignment horizontal="center"/>
    </xf>
    <xf borderId="1" fillId="21" fontId="16" numFmtId="0" xfId="0" applyAlignment="1" applyBorder="1" applyFont="1">
      <alignment horizontal="center"/>
    </xf>
    <xf borderId="21" fillId="21" fontId="43" numFmtId="0" xfId="0" applyAlignment="1" applyBorder="1" applyFont="1">
      <alignment horizontal="center" vertical="center"/>
    </xf>
    <xf borderId="78" fillId="17" fontId="48" numFmtId="17" xfId="0" applyAlignment="1" applyBorder="1" applyFont="1" applyNumberFormat="1">
      <alignment horizontal="center"/>
    </xf>
    <xf borderId="54" fillId="26" fontId="16" numFmtId="17" xfId="0" applyAlignment="1" applyBorder="1" applyFont="1" applyNumberFormat="1">
      <alignment horizontal="center"/>
    </xf>
    <xf borderId="100" fillId="0" fontId="18" numFmtId="0" xfId="0" applyBorder="1" applyFont="1"/>
    <xf borderId="29" fillId="2" fontId="48" numFmtId="17" xfId="0" applyAlignment="1" applyBorder="1" applyFont="1" applyNumberFormat="1">
      <alignment horizontal="center"/>
    </xf>
    <xf borderId="29" fillId="2" fontId="48" numFmtId="0" xfId="0" applyAlignment="1" applyBorder="1" applyFont="1">
      <alignment horizontal="center"/>
    </xf>
    <xf borderId="26" fillId="0" fontId="3" numFmtId="192" xfId="0" applyBorder="1" applyFont="1" applyNumberFormat="1"/>
    <xf borderId="26" fillId="11" fontId="3" numFmtId="181" xfId="0" applyAlignment="1" applyBorder="1" applyFont="1" applyNumberFormat="1">
      <alignment horizontal="center"/>
    </xf>
    <xf borderId="78" fillId="21" fontId="16" numFmtId="0" xfId="0" applyAlignment="1" applyBorder="1" applyFont="1">
      <alignment horizontal="center"/>
    </xf>
    <xf borderId="30" fillId="11" fontId="22" numFmtId="182" xfId="0" applyAlignment="1" applyBorder="1" applyFont="1" applyNumberFormat="1">
      <alignment horizontal="center"/>
    </xf>
    <xf borderId="1" fillId="2" fontId="21" numFmtId="171" xfId="0" applyAlignment="1" applyBorder="1" applyFont="1" applyNumberFormat="1">
      <alignment horizontal="center"/>
    </xf>
    <xf borderId="26" fillId="36" fontId="16" numFmtId="0" xfId="0" applyBorder="1" applyFont="1"/>
    <xf borderId="26" fillId="36" fontId="16" numFmtId="0" xfId="0" applyAlignment="1" applyBorder="1" applyFont="1">
      <alignment horizontal="center"/>
    </xf>
    <xf borderId="26" fillId="22" fontId="3" numFmtId="0" xfId="0" applyBorder="1" applyFont="1"/>
    <xf borderId="0" fillId="0" fontId="24" numFmtId="0" xfId="0" applyAlignment="1" applyFont="1">
      <alignment horizontal="right"/>
    </xf>
    <xf borderId="7" fillId="24" fontId="24" numFmtId="170" xfId="0" applyAlignment="1" applyBorder="1" applyFont="1" applyNumberFormat="1">
      <alignment horizontal="center"/>
    </xf>
    <xf borderId="101" fillId="24" fontId="24" numFmtId="10" xfId="0" applyAlignment="1" applyBorder="1" applyFont="1" applyNumberFormat="1">
      <alignment horizontal="center"/>
    </xf>
    <xf borderId="101" fillId="37" fontId="24" numFmtId="170" xfId="0" applyAlignment="1" applyBorder="1" applyFont="1" applyNumberFormat="1">
      <alignment horizontal="center"/>
    </xf>
    <xf borderId="0" fillId="0" fontId="24" numFmtId="3" xfId="0" applyAlignment="1" applyFont="1" applyNumberFormat="1">
      <alignment horizontal="right"/>
    </xf>
    <xf borderId="8" fillId="0" fontId="24" numFmtId="0" xfId="0" applyBorder="1" applyFont="1"/>
    <xf borderId="8" fillId="0" fontId="24" numFmtId="170" xfId="0" applyAlignment="1" applyBorder="1" applyFont="1" applyNumberFormat="1">
      <alignment horizontal="center"/>
    </xf>
    <xf borderId="77" fillId="0" fontId="24" numFmtId="3" xfId="0" applyAlignment="1" applyBorder="1" applyFont="1" applyNumberFormat="1">
      <alignment horizontal="center"/>
    </xf>
    <xf borderId="0" fillId="0" fontId="24" numFmtId="3" xfId="0" applyAlignment="1" applyFont="1" applyNumberFormat="1">
      <alignment horizontal="center"/>
    </xf>
    <xf borderId="77" fillId="0" fontId="24" numFmtId="0" xfId="0" applyBorder="1" applyFont="1"/>
    <xf borderId="1" fillId="42" fontId="24" numFmtId="0" xfId="0" applyBorder="1" applyFill="1" applyFont="1"/>
    <xf borderId="1" fillId="42" fontId="26" numFmtId="17" xfId="0" applyAlignment="1" applyBorder="1" applyFont="1" applyNumberFormat="1">
      <alignment horizontal="center"/>
    </xf>
    <xf borderId="7" fillId="43" fontId="26" numFmtId="17" xfId="0" applyAlignment="1" applyBorder="1" applyFill="1" applyFont="1" applyNumberFormat="1">
      <alignment horizontal="center"/>
    </xf>
    <xf borderId="1" fillId="43" fontId="26" numFmtId="17" xfId="0" applyAlignment="1" applyBorder="1" applyFont="1" applyNumberFormat="1">
      <alignment horizontal="center"/>
    </xf>
    <xf borderId="102" fillId="43" fontId="26" numFmtId="17" xfId="0" applyAlignment="1" applyBorder="1" applyFont="1" applyNumberFormat="1">
      <alignment horizontal="center"/>
    </xf>
    <xf borderId="1" fillId="17" fontId="26" numFmtId="17" xfId="0" applyAlignment="1" applyBorder="1" applyFont="1" applyNumberFormat="1">
      <alignment horizontal="center"/>
    </xf>
    <xf borderId="1" fillId="26" fontId="24" numFmtId="17" xfId="0" applyAlignment="1" applyBorder="1" applyFont="1" applyNumberFormat="1">
      <alignment horizontal="center"/>
    </xf>
    <xf borderId="102" fillId="26" fontId="24" numFmtId="17" xfId="0" applyAlignment="1" applyBorder="1" applyFont="1" applyNumberFormat="1">
      <alignment horizontal="center"/>
    </xf>
    <xf borderId="15" fillId="0" fontId="26" numFmtId="0" xfId="0" applyAlignment="1" applyBorder="1" applyFont="1">
      <alignment horizontal="right"/>
    </xf>
    <xf borderId="15" fillId="0" fontId="26" numFmtId="193" xfId="0" applyAlignment="1" applyBorder="1" applyFont="1" applyNumberFormat="1">
      <alignment horizontal="center"/>
    </xf>
    <xf borderId="12" fillId="24" fontId="26" numFmtId="193" xfId="0" applyAlignment="1" applyBorder="1" applyFont="1" applyNumberFormat="1">
      <alignment horizontal="center"/>
    </xf>
    <xf borderId="27" fillId="0" fontId="26" numFmtId="193" xfId="0" applyAlignment="1" applyBorder="1" applyFont="1" applyNumberFormat="1">
      <alignment horizontal="center"/>
    </xf>
    <xf borderId="28" fillId="0" fontId="26" numFmtId="193" xfId="0" applyAlignment="1" applyBorder="1" applyFont="1" applyNumberFormat="1">
      <alignment horizontal="center"/>
    </xf>
    <xf borderId="35" fillId="27" fontId="26" numFmtId="193" xfId="0" applyAlignment="1" applyBorder="1" applyFont="1" applyNumberFormat="1">
      <alignment horizontal="center"/>
    </xf>
    <xf borderId="35" fillId="24" fontId="26" numFmtId="193" xfId="0" applyAlignment="1" applyBorder="1" applyFont="1" applyNumberFormat="1">
      <alignment horizontal="center"/>
    </xf>
    <xf borderId="0" fillId="0" fontId="26" numFmtId="0" xfId="0" applyFont="1"/>
    <xf borderId="15" fillId="0" fontId="24" numFmtId="0" xfId="0" applyAlignment="1" applyBorder="1" applyFont="1">
      <alignment horizontal="right"/>
    </xf>
    <xf borderId="15" fillId="0" fontId="24" numFmtId="0" xfId="0" applyBorder="1" applyFont="1"/>
    <xf borderId="27" fillId="0" fontId="24" numFmtId="3" xfId="0" applyAlignment="1" applyBorder="1" applyFont="1" applyNumberFormat="1">
      <alignment horizontal="center"/>
    </xf>
    <xf borderId="15" fillId="0" fontId="24" numFmtId="3" xfId="0" applyAlignment="1" applyBorder="1" applyFont="1" applyNumberFormat="1">
      <alignment horizontal="center"/>
    </xf>
    <xf borderId="13" fillId="2" fontId="24" numFmtId="3" xfId="0" applyAlignment="1" applyBorder="1" applyFont="1" applyNumberFormat="1">
      <alignment horizontal="center"/>
    </xf>
    <xf borderId="28" fillId="0" fontId="24" numFmtId="3" xfId="0" applyAlignment="1" applyBorder="1" applyFont="1" applyNumberFormat="1">
      <alignment horizontal="center"/>
    </xf>
    <xf borderId="27" fillId="0" fontId="32" numFmtId="3" xfId="0" applyAlignment="1" applyBorder="1" applyFont="1" applyNumberFormat="1">
      <alignment horizontal="center"/>
    </xf>
    <xf borderId="35" fillId="2" fontId="24" numFmtId="3" xfId="0" applyAlignment="1" applyBorder="1" applyFont="1" applyNumberFormat="1">
      <alignment horizontal="center"/>
    </xf>
    <xf borderId="15" fillId="0" fontId="24" numFmtId="193" xfId="0" applyAlignment="1" applyBorder="1" applyFont="1" applyNumberFormat="1">
      <alignment horizontal="center"/>
    </xf>
    <xf borderId="12" fillId="24" fontId="24" numFmtId="193" xfId="0" applyAlignment="1" applyBorder="1" applyFont="1" applyNumberFormat="1">
      <alignment horizontal="center"/>
    </xf>
    <xf borderId="27" fillId="0" fontId="24" numFmtId="193" xfId="0" applyAlignment="1" applyBorder="1" applyFont="1" applyNumberFormat="1">
      <alignment horizontal="center"/>
    </xf>
    <xf borderId="26" fillId="0" fontId="24" numFmtId="193" xfId="0" applyAlignment="1" applyBorder="1" applyFont="1" applyNumberFormat="1">
      <alignment horizontal="center"/>
    </xf>
    <xf borderId="28" fillId="0" fontId="24" numFmtId="193" xfId="0" applyAlignment="1" applyBorder="1" applyFont="1" applyNumberFormat="1">
      <alignment horizontal="center"/>
    </xf>
    <xf borderId="15" fillId="0" fontId="26" numFmtId="0" xfId="0" applyBorder="1" applyFont="1"/>
    <xf borderId="27" fillId="0" fontId="26" numFmtId="3" xfId="0" applyAlignment="1" applyBorder="1" applyFont="1" applyNumberFormat="1">
      <alignment horizontal="center"/>
    </xf>
    <xf borderId="15" fillId="0" fontId="26" numFmtId="3" xfId="0" applyAlignment="1" applyBorder="1" applyFont="1" applyNumberFormat="1">
      <alignment horizontal="center"/>
    </xf>
    <xf borderId="26" fillId="0" fontId="26" numFmtId="193" xfId="0" applyAlignment="1" applyBorder="1" applyFont="1" applyNumberFormat="1">
      <alignment horizontal="center"/>
    </xf>
    <xf borderId="13" fillId="43" fontId="26" numFmtId="0" xfId="0" applyAlignment="1" applyBorder="1" applyFont="1">
      <alignment horizontal="right"/>
    </xf>
    <xf borderId="13" fillId="43" fontId="26" numFmtId="0" xfId="0" applyBorder="1" applyFont="1"/>
    <xf borderId="12" fillId="43" fontId="26" numFmtId="193" xfId="0" applyAlignment="1" applyBorder="1" applyFont="1" applyNumberFormat="1">
      <alignment horizontal="center"/>
    </xf>
    <xf borderId="13" fillId="43" fontId="26" numFmtId="193" xfId="0" applyAlignment="1" applyBorder="1" applyFont="1" applyNumberFormat="1">
      <alignment horizontal="center"/>
    </xf>
    <xf borderId="26" fillId="43" fontId="26" numFmtId="193" xfId="0" applyAlignment="1" applyBorder="1" applyFont="1" applyNumberFormat="1">
      <alignment horizontal="center"/>
    </xf>
    <xf borderId="26" fillId="11" fontId="26" numFmtId="193" xfId="0" applyAlignment="1" applyBorder="1" applyFont="1" applyNumberFormat="1">
      <alignment horizontal="center"/>
    </xf>
    <xf borderId="0" fillId="0" fontId="24" numFmtId="193" xfId="0" applyFont="1" applyNumberFormat="1"/>
    <xf borderId="0" fillId="0" fontId="24" numFmtId="0" xfId="0" applyAlignment="1" applyFont="1">
      <alignment horizontal="center"/>
    </xf>
    <xf borderId="0" fillId="0" fontId="24" numFmtId="170" xfId="0" applyFont="1" applyNumberFormat="1"/>
    <xf borderId="0" fillId="0" fontId="24" numFmtId="10" xfId="0" applyFont="1" applyNumberFormat="1"/>
    <xf borderId="26" fillId="7" fontId="26" numFmtId="0" xfId="0" applyAlignment="1" applyBorder="1" applyFont="1">
      <alignment horizontal="center"/>
    </xf>
    <xf borderId="26" fillId="0" fontId="24" numFmtId="193" xfId="0" applyBorder="1" applyFont="1" applyNumberFormat="1"/>
    <xf borderId="0" fillId="0" fontId="24" numFmtId="194" xfId="0" applyFont="1" applyNumberFormat="1"/>
    <xf borderId="101" fillId="24" fontId="24" numFmtId="170" xfId="0" applyBorder="1" applyFont="1" applyNumberFormat="1"/>
    <xf borderId="101" fillId="37" fontId="24" numFmtId="170" xfId="0" applyBorder="1" applyFont="1" applyNumberFormat="1"/>
    <xf borderId="27" fillId="30" fontId="39" numFmtId="0" xfId="0" applyAlignment="1" applyBorder="1" applyFont="1">
      <alignment horizontal="center" vertical="center"/>
    </xf>
    <xf borderId="30" fillId="30" fontId="22" numFmtId="0" xfId="0" applyAlignment="1" applyBorder="1" applyFont="1">
      <alignment horizontal="center" shrinkToFit="0" vertical="center" wrapText="1"/>
    </xf>
    <xf borderId="26" fillId="0" fontId="3" numFmtId="169" xfId="0" applyAlignment="1" applyBorder="1" applyFont="1" applyNumberFormat="1">
      <alignment horizontal="center"/>
    </xf>
    <xf borderId="26" fillId="0" fontId="47" numFmtId="169" xfId="0" applyAlignment="1" applyBorder="1" applyFont="1" applyNumberFormat="1">
      <alignment horizontal="center"/>
    </xf>
    <xf borderId="1" fillId="28" fontId="24" numFmtId="0" xfId="0" applyAlignment="1" applyBorder="1" applyFont="1">
      <alignment horizontal="right"/>
    </xf>
    <xf borderId="1" fillId="28" fontId="3" numFmtId="10" xfId="0" applyBorder="1" applyFont="1" applyNumberFormat="1"/>
    <xf quotePrefix="1" borderId="0" fillId="0" fontId="21" numFmtId="0" xfId="0" applyFont="1"/>
    <xf borderId="27" fillId="31" fontId="20" numFmtId="0" xfId="0" applyAlignment="1" applyBorder="1" applyFont="1">
      <alignment horizontal="center"/>
    </xf>
    <xf borderId="26" fillId="0" fontId="20" numFmtId="3" xfId="0" applyAlignment="1" applyBorder="1" applyFont="1" applyNumberFormat="1">
      <alignment horizontal="center"/>
    </xf>
    <xf borderId="26" fillId="0" fontId="21" numFmtId="182" xfId="0" applyAlignment="1" applyBorder="1" applyFont="1" applyNumberFormat="1">
      <alignment horizontal="center"/>
    </xf>
    <xf borderId="26" fillId="0" fontId="21" numFmtId="165" xfId="0" applyAlignment="1" applyBorder="1" applyFont="1" applyNumberFormat="1">
      <alignment horizontal="right"/>
    </xf>
    <xf borderId="27" fillId="0" fontId="21" numFmtId="0" xfId="0" applyAlignment="1" applyBorder="1" applyFont="1">
      <alignment horizontal="center"/>
    </xf>
    <xf borderId="26" fillId="38" fontId="20" numFmtId="181" xfId="0" applyAlignment="1" applyBorder="1" applyFont="1" applyNumberFormat="1">
      <alignment horizontal="center"/>
    </xf>
    <xf borderId="0" fillId="0" fontId="21" numFmtId="0" xfId="0" applyAlignment="1" applyFont="1">
      <alignment horizontal="center"/>
    </xf>
    <xf borderId="1" fillId="28" fontId="21" numFmtId="0" xfId="0" applyAlignment="1" applyBorder="1" applyFont="1">
      <alignment horizontal="right"/>
    </xf>
    <xf borderId="1" fillId="28" fontId="21" numFmtId="10" xfId="0" applyBorder="1" applyFont="1" applyNumberFormat="1"/>
    <xf borderId="26" fillId="0" fontId="21" numFmtId="0" xfId="0" applyAlignment="1" applyBorder="1" applyFont="1">
      <alignment shrinkToFit="0" wrapText="1"/>
    </xf>
    <xf borderId="26" fillId="0" fontId="26" numFmtId="3" xfId="0" applyAlignment="1" applyBorder="1" applyFont="1" applyNumberFormat="1">
      <alignment horizontal="center"/>
    </xf>
    <xf borderId="26" fillId="0" fontId="24" numFmtId="165" xfId="0" applyAlignment="1" applyBorder="1" applyFont="1" applyNumberFormat="1">
      <alignment horizontal="right"/>
    </xf>
    <xf borderId="0" fillId="0" fontId="29" numFmtId="165" xfId="0" applyFont="1" applyNumberFormat="1"/>
    <xf borderId="1" fillId="28" fontId="24" numFmtId="10" xfId="0" applyBorder="1" applyFont="1" applyNumberFormat="1"/>
    <xf borderId="27" fillId="44" fontId="36" numFmtId="0" xfId="0" applyAlignment="1" applyBorder="1" applyFill="1" applyFont="1">
      <alignment horizontal="center" shrinkToFit="0" vertical="center" wrapText="1"/>
    </xf>
    <xf borderId="25" fillId="45" fontId="36" numFmtId="0" xfId="0" applyAlignment="1" applyBorder="1" applyFill="1" applyFont="1">
      <alignment horizontal="center" shrinkToFit="0" vertical="center" wrapText="1"/>
    </xf>
    <xf borderId="27" fillId="44" fontId="36" numFmtId="0" xfId="0" applyAlignment="1" applyBorder="1" applyFont="1">
      <alignment horizontal="center" shrinkToFit="0" wrapText="1"/>
    </xf>
    <xf borderId="27" fillId="35" fontId="36" numFmtId="16" xfId="0" applyAlignment="1" applyBorder="1" applyFont="1" applyNumberFormat="1">
      <alignment horizontal="center" shrinkToFit="0" wrapText="1"/>
    </xf>
    <xf borderId="103" fillId="45" fontId="36" numFmtId="0" xfId="0" applyAlignment="1" applyBorder="1" applyFont="1">
      <alignment horizontal="center" shrinkToFit="0" wrapText="1"/>
    </xf>
    <xf borderId="30" fillId="7" fontId="37" numFmtId="0" xfId="0" applyAlignment="1" applyBorder="1" applyFont="1">
      <alignment horizontal="center" shrinkToFit="0" wrapText="1"/>
    </xf>
    <xf borderId="103" fillId="7" fontId="37" numFmtId="0" xfId="0" applyAlignment="1" applyBorder="1" applyFont="1">
      <alignment shrinkToFit="0" wrapText="1"/>
    </xf>
    <xf borderId="103" fillId="7" fontId="37" numFmtId="0" xfId="0" applyAlignment="1" applyBorder="1" applyFont="1">
      <alignment horizontal="center" shrinkToFit="0" vertical="center" wrapText="1"/>
    </xf>
    <xf borderId="103" fillId="7" fontId="37" numFmtId="184" xfId="0" applyAlignment="1" applyBorder="1" applyFont="1" applyNumberFormat="1">
      <alignment horizontal="center" shrinkToFit="0" wrapText="1"/>
    </xf>
    <xf borderId="27" fillId="7" fontId="37" numFmtId="0" xfId="0" applyAlignment="1" applyBorder="1" applyFont="1">
      <alignment horizontal="center" shrinkToFit="0" wrapText="1"/>
    </xf>
    <xf borderId="103" fillId="30" fontId="36" numFmtId="184" xfId="0" applyAlignment="1" applyBorder="1" applyFont="1" applyNumberFormat="1">
      <alignment horizontal="center" shrinkToFit="0" wrapText="1"/>
    </xf>
    <xf borderId="27" fillId="35" fontId="36" numFmtId="0" xfId="0" applyAlignment="1" applyBorder="1" applyFont="1">
      <alignment horizontal="center" shrinkToFit="0" wrapText="1"/>
    </xf>
    <xf borderId="27" fillId="21" fontId="36" numFmtId="0" xfId="0" applyAlignment="1" applyBorder="1" applyFont="1">
      <alignment horizontal="center" shrinkToFit="0" vertical="center" wrapText="1"/>
    </xf>
    <xf quotePrefix="1" borderId="0" fillId="0" fontId="24" numFmtId="0" xfId="0" applyFont="1"/>
    <xf borderId="26" fillId="0" fontId="24" numFmtId="0" xfId="0" applyAlignment="1" applyBorder="1" applyFont="1">
      <alignment horizontal="center"/>
    </xf>
    <xf borderId="25" fillId="0" fontId="24" numFmtId="0" xfId="0" applyAlignment="1" applyBorder="1" applyFont="1">
      <alignment horizontal="center"/>
    </xf>
    <xf borderId="26" fillId="0" fontId="24" numFmtId="184" xfId="0" applyBorder="1" applyFont="1" applyNumberFormat="1"/>
    <xf borderId="52" fillId="0" fontId="24" numFmtId="195" xfId="0" applyAlignment="1" applyBorder="1" applyFont="1" applyNumberFormat="1">
      <alignment horizontal="center"/>
    </xf>
    <xf borderId="0" fillId="0" fontId="24" numFmtId="184" xfId="0" applyFont="1" applyNumberFormat="1"/>
    <xf borderId="31" fillId="0" fontId="24" numFmtId="0" xfId="0" applyAlignment="1" applyBorder="1" applyFont="1">
      <alignment horizontal="center"/>
    </xf>
    <xf borderId="0" fillId="0" fontId="24" numFmtId="165" xfId="0" applyAlignment="1" applyFont="1" applyNumberFormat="1">
      <alignment horizontal="right"/>
    </xf>
    <xf borderId="26" fillId="2" fontId="20" numFmtId="10" xfId="0" applyAlignment="1" applyBorder="1" applyFont="1" applyNumberFormat="1">
      <alignment horizontal="center"/>
    </xf>
    <xf borderId="27" fillId="21" fontId="36" numFmtId="0" xfId="0" applyAlignment="1" applyBorder="1" applyFont="1">
      <alignment horizontal="center" vertical="center"/>
    </xf>
    <xf borderId="0" fillId="0" fontId="36" numFmtId="0" xfId="0" applyAlignment="1" applyFont="1">
      <alignment vertical="center"/>
    </xf>
    <xf borderId="27" fillId="33" fontId="24" numFmtId="0" xfId="0" applyAlignment="1" applyBorder="1" applyFont="1">
      <alignment horizontal="center"/>
    </xf>
    <xf borderId="26" fillId="33" fontId="21" numFmtId="0" xfId="0" applyAlignment="1" applyBorder="1" applyFont="1">
      <alignment horizontal="center" vertical="center"/>
    </xf>
    <xf borderId="26" fillId="33" fontId="21" numFmtId="3" xfId="0" applyAlignment="1" applyBorder="1" applyFont="1" applyNumberFormat="1">
      <alignment horizontal="center" vertical="center"/>
    </xf>
    <xf borderId="26" fillId="45" fontId="37" numFmtId="183" xfId="0" applyAlignment="1" applyBorder="1" applyFont="1" applyNumberFormat="1">
      <alignment horizontal="center" vertical="center"/>
    </xf>
    <xf borderId="26" fillId="36" fontId="20" numFmtId="0" xfId="0" applyAlignment="1" applyBorder="1" applyFont="1">
      <alignment horizontal="center"/>
    </xf>
    <xf borderId="26" fillId="46" fontId="36" numFmtId="0" xfId="0" applyAlignment="1" applyBorder="1" applyFill="1" applyFont="1">
      <alignment horizontal="center" vertical="center"/>
    </xf>
    <xf borderId="26" fillId="45" fontId="36" numFmtId="0" xfId="0" applyAlignment="1" applyBorder="1" applyFont="1">
      <alignment horizontal="center" vertical="center"/>
    </xf>
    <xf borderId="26" fillId="0" fontId="24" numFmtId="0" xfId="0" applyBorder="1" applyFont="1"/>
    <xf borderId="26" fillId="0" fontId="21" numFmtId="186" xfId="0" applyAlignment="1" applyBorder="1" applyFont="1" applyNumberFormat="1">
      <alignment horizontal="center" vertical="center"/>
    </xf>
    <xf borderId="26" fillId="0" fontId="21" numFmtId="183" xfId="0" applyAlignment="1" applyBorder="1" applyFont="1" applyNumberFormat="1">
      <alignment horizontal="center" vertical="center"/>
    </xf>
    <xf borderId="26" fillId="0" fontId="24" numFmtId="183" xfId="0" applyBorder="1" applyFont="1" applyNumberFormat="1"/>
    <xf borderId="0" fillId="0" fontId="24" numFmtId="183" xfId="0" applyFont="1" applyNumberFormat="1"/>
    <xf borderId="0" fillId="0" fontId="21" numFmtId="186" xfId="0" applyAlignment="1" applyFont="1" applyNumberFormat="1">
      <alignment horizontal="center" vertical="center"/>
    </xf>
    <xf borderId="30" fillId="45" fontId="36" numFmtId="0" xfId="0" applyAlignment="1" applyBorder="1" applyFont="1">
      <alignment horizontal="center" vertical="center"/>
    </xf>
    <xf borderId="30" fillId="38" fontId="20" numFmtId="181" xfId="0" applyAlignment="1" applyBorder="1" applyFont="1" applyNumberFormat="1">
      <alignment horizontal="center"/>
    </xf>
    <xf borderId="104" fillId="44" fontId="49" numFmtId="0" xfId="0" applyAlignment="1" applyBorder="1" applyFont="1">
      <alignment horizontal="right" vertical="center"/>
    </xf>
    <xf borderId="27" fillId="45" fontId="50" numFmtId="0" xfId="0" applyAlignment="1" applyBorder="1" applyFont="1">
      <alignment horizontal="center" vertical="center"/>
    </xf>
    <xf borderId="26" fillId="45" fontId="50" numFmtId="0" xfId="0" applyAlignment="1" applyBorder="1" applyFont="1">
      <alignment horizontal="center" vertical="center"/>
    </xf>
    <xf borderId="26" fillId="45" fontId="50" numFmtId="3" xfId="0" applyAlignment="1" applyBorder="1" applyFont="1" applyNumberFormat="1">
      <alignment horizontal="center" vertical="center"/>
    </xf>
    <xf borderId="105" fillId="45" fontId="49" numFmtId="0" xfId="0" applyAlignment="1" applyBorder="1" applyFont="1">
      <alignment horizontal="center" vertical="center"/>
    </xf>
    <xf borderId="26" fillId="45" fontId="50" numFmtId="183" xfId="0" applyAlignment="1" applyBorder="1" applyFont="1" applyNumberFormat="1">
      <alignment horizontal="center" vertical="center"/>
    </xf>
    <xf borderId="106" fillId="0" fontId="18" numFmtId="0" xfId="0" applyBorder="1" applyFont="1"/>
    <xf borderId="29" fillId="45" fontId="50" numFmtId="183" xfId="0" applyAlignment="1" applyBorder="1" applyFont="1" applyNumberFormat="1">
      <alignment horizontal="center" vertical="center"/>
    </xf>
    <xf borderId="26" fillId="46" fontId="49" numFmtId="0" xfId="0" applyAlignment="1" applyBorder="1" applyFont="1">
      <alignment horizontal="center" vertical="center"/>
    </xf>
    <xf borderId="12" fillId="46" fontId="49" numFmtId="0" xfId="0" applyAlignment="1" applyBorder="1" applyFont="1">
      <alignment horizontal="center" vertical="center"/>
    </xf>
    <xf borderId="107" fillId="0" fontId="18" numFmtId="0" xfId="0" applyBorder="1" applyFont="1"/>
    <xf borderId="26" fillId="11" fontId="29" numFmtId="2" xfId="0" applyAlignment="1" applyBorder="1" applyFont="1" applyNumberFormat="1">
      <alignment horizontal="center"/>
    </xf>
    <xf borderId="26" fillId="11" fontId="29" numFmtId="0" xfId="0" applyBorder="1" applyFont="1"/>
    <xf borderId="26" fillId="0" fontId="50" numFmtId="0" xfId="0" applyAlignment="1" applyBorder="1" applyFont="1">
      <alignment horizontal="center" vertical="center"/>
    </xf>
    <xf borderId="26" fillId="0" fontId="50" numFmtId="0" xfId="0" applyAlignment="1" applyBorder="1" applyFont="1">
      <alignment vertical="center"/>
    </xf>
    <xf borderId="26" fillId="0" fontId="50" numFmtId="3" xfId="0" applyAlignment="1" applyBorder="1" applyFont="1" applyNumberFormat="1">
      <alignment horizontal="center" vertical="center"/>
    </xf>
    <xf borderId="27" fillId="0" fontId="29" numFmtId="164" xfId="0" applyAlignment="1" applyBorder="1" applyFont="1" applyNumberFormat="1">
      <alignment horizontal="right"/>
    </xf>
    <xf borderId="21" fillId="0" fontId="29" numFmtId="165" xfId="0" applyBorder="1" applyFont="1" applyNumberFormat="1"/>
    <xf borderId="46" fillId="0" fontId="29" numFmtId="165" xfId="0" applyBorder="1" applyFont="1" applyNumberFormat="1"/>
    <xf borderId="27" fillId="0" fontId="29" numFmtId="164" xfId="0" applyAlignment="1" applyBorder="1" applyFont="1" applyNumberFormat="1">
      <alignment horizontal="right" vertical="center"/>
    </xf>
    <xf borderId="8" fillId="0" fontId="29" numFmtId="165" xfId="0" applyBorder="1" applyFont="1" applyNumberFormat="1"/>
    <xf borderId="77" fillId="0" fontId="29" numFmtId="165" xfId="0" applyBorder="1" applyFont="1" applyNumberFormat="1"/>
    <xf borderId="26" fillId="0" fontId="29" numFmtId="0" xfId="0" applyBorder="1" applyFont="1"/>
    <xf borderId="9" fillId="0" fontId="29" numFmtId="165" xfId="0" applyBorder="1" applyFont="1" applyNumberFormat="1"/>
    <xf borderId="53" fillId="0" fontId="29" numFmtId="165" xfId="0" applyBorder="1" applyFont="1" applyNumberFormat="1"/>
    <xf borderId="108" fillId="45" fontId="49" numFmtId="0" xfId="0" applyAlignment="1" applyBorder="1" applyFont="1">
      <alignment horizontal="center" vertical="center"/>
    </xf>
    <xf borderId="109" fillId="0" fontId="18" numFmtId="0" xfId="0" applyBorder="1" applyFont="1"/>
    <xf borderId="110" fillId="0" fontId="18" numFmtId="0" xfId="0" applyBorder="1" applyFont="1"/>
    <xf borderId="30" fillId="38" fontId="49" numFmtId="164" xfId="0" applyAlignment="1" applyBorder="1" applyFont="1" applyNumberFormat="1">
      <alignment horizontal="right" vertical="center"/>
    </xf>
    <xf borderId="27" fillId="26" fontId="20" numFmtId="17" xfId="0" applyAlignment="1" applyBorder="1" applyFont="1" applyNumberFormat="1">
      <alignment horizontal="center" vertical="center"/>
    </xf>
    <xf borderId="0" fillId="0" fontId="29" numFmtId="0" xfId="0" applyAlignment="1" applyFont="1">
      <alignment horizontal="center"/>
    </xf>
    <xf borderId="26" fillId="0" fontId="29" numFmtId="173" xfId="0" applyBorder="1" applyFont="1" applyNumberFormat="1"/>
    <xf borderId="21" fillId="0" fontId="29" numFmtId="173" xfId="0" applyBorder="1" applyFont="1" applyNumberFormat="1"/>
    <xf borderId="20" fillId="0" fontId="29" numFmtId="0" xfId="0" applyBorder="1" applyFont="1"/>
    <xf borderId="46" fillId="0" fontId="29" numFmtId="0" xfId="0" applyBorder="1" applyFont="1"/>
    <xf borderId="8" fillId="0" fontId="29" numFmtId="173" xfId="0" applyBorder="1" applyFont="1" applyNumberFormat="1"/>
    <xf borderId="77" fillId="0" fontId="29" numFmtId="0" xfId="0" applyBorder="1" applyFont="1"/>
    <xf borderId="7" fillId="11" fontId="29" numFmtId="173" xfId="0" applyBorder="1" applyFont="1" applyNumberFormat="1"/>
    <xf borderId="0" fillId="0" fontId="29" numFmtId="173" xfId="0" applyFont="1" applyNumberFormat="1"/>
    <xf borderId="77" fillId="0" fontId="29" numFmtId="173" xfId="0" applyBorder="1" applyFont="1" applyNumberFormat="1"/>
    <xf borderId="52" fillId="0" fontId="50" numFmtId="3" xfId="0" applyAlignment="1" applyBorder="1" applyFont="1" applyNumberFormat="1">
      <alignment horizontal="center" vertical="center"/>
    </xf>
    <xf borderId="25" fillId="0" fontId="29" numFmtId="0" xfId="0" applyBorder="1" applyFont="1"/>
    <xf borderId="25" fillId="0" fontId="29" numFmtId="0" xfId="0" applyAlignment="1" applyBorder="1" applyFont="1">
      <alignment horizontal="center"/>
    </xf>
    <xf borderId="25" fillId="0" fontId="50" numFmtId="3" xfId="0" applyAlignment="1" applyBorder="1" applyFont="1" applyNumberFormat="1">
      <alignment horizontal="center" vertical="center"/>
    </xf>
    <xf borderId="9" fillId="0" fontId="29" numFmtId="173" xfId="0" applyBorder="1" applyFont="1" applyNumberFormat="1"/>
    <xf borderId="10" fillId="0" fontId="29" numFmtId="0" xfId="0" applyBorder="1" applyFont="1"/>
    <xf borderId="9" fillId="0" fontId="29" numFmtId="0" xfId="0" applyBorder="1" applyFont="1"/>
    <xf borderId="53" fillId="0" fontId="29" numFmtId="0" xfId="0" applyBorder="1" applyFont="1"/>
    <xf borderId="20" fillId="0" fontId="50" numFmtId="3" xfId="0" applyAlignment="1" applyBorder="1" applyFont="1" applyNumberFormat="1">
      <alignment horizontal="center" vertical="center"/>
    </xf>
    <xf borderId="0" fillId="0" fontId="29" numFmtId="183" xfId="0" applyFont="1" applyNumberFormat="1"/>
    <xf borderId="26" fillId="45" fontId="49" numFmtId="0" xfId="0" applyAlignment="1" applyBorder="1" applyFont="1">
      <alignment horizontal="center" vertical="center"/>
    </xf>
    <xf borderId="26" fillId="38" fontId="49" numFmtId="164" xfId="0" applyAlignment="1" applyBorder="1" applyFont="1" applyNumberFormat="1">
      <alignment horizontal="right" vertical="center"/>
    </xf>
    <xf borderId="0" fillId="0" fontId="50" numFmtId="3" xfId="0" applyAlignment="1" applyFont="1" applyNumberFormat="1">
      <alignment horizontal="center" vertical="center"/>
    </xf>
    <xf borderId="0" fillId="0" fontId="49" numFmtId="0" xfId="0" applyAlignment="1" applyFont="1">
      <alignment horizontal="center" vertical="center"/>
    </xf>
    <xf borderId="0" fillId="0" fontId="49" numFmtId="183" xfId="0" applyAlignment="1" applyFont="1" applyNumberFormat="1">
      <alignment horizontal="center" vertical="center"/>
    </xf>
    <xf borderId="78" fillId="44" fontId="49" numFmtId="0" xfId="0" applyAlignment="1" applyBorder="1" applyFont="1">
      <alignment horizontal="right" vertical="center"/>
    </xf>
    <xf borderId="25" fillId="33" fontId="28" numFmtId="4" xfId="0" applyAlignment="1" applyBorder="1" applyFont="1" applyNumberFormat="1">
      <alignment horizontal="center" vertical="center"/>
    </xf>
    <xf borderId="25" fillId="33" fontId="28" numFmtId="4" xfId="0" applyAlignment="1" applyBorder="1" applyFont="1" applyNumberFormat="1">
      <alignment horizontal="center" shrinkToFit="0" vertical="center" wrapText="1"/>
    </xf>
    <xf borderId="29" fillId="33" fontId="28" numFmtId="4" xfId="0" applyAlignment="1" applyBorder="1" applyFont="1" applyNumberFormat="1">
      <alignment horizontal="center" shrinkToFit="0" vertical="center" wrapText="1"/>
    </xf>
    <xf borderId="111" fillId="33" fontId="28" numFmtId="4" xfId="0" applyAlignment="1" applyBorder="1" applyFont="1" applyNumberFormat="1">
      <alignment horizontal="center" shrinkToFit="0" vertical="center" wrapText="1"/>
    </xf>
    <xf borderId="30" fillId="33" fontId="28" numFmtId="4" xfId="0" applyAlignment="1" applyBorder="1" applyFont="1" applyNumberFormat="1">
      <alignment horizontal="center" shrinkToFit="0" vertical="center" wrapText="1"/>
    </xf>
    <xf borderId="26" fillId="0" fontId="29" numFmtId="1" xfId="0" applyAlignment="1" applyBorder="1" applyFont="1" applyNumberFormat="1">
      <alignment horizontal="center"/>
    </xf>
    <xf borderId="26" fillId="0" fontId="29" numFmtId="4" xfId="0" applyBorder="1" applyFont="1" applyNumberFormat="1"/>
    <xf borderId="26" fillId="0" fontId="29" numFmtId="3" xfId="0" applyAlignment="1" applyBorder="1" applyFont="1" applyNumberFormat="1">
      <alignment horizontal="center"/>
    </xf>
    <xf borderId="26" fillId="0" fontId="29" numFmtId="164" xfId="0" applyAlignment="1" applyBorder="1" applyFont="1" applyNumberFormat="1">
      <alignment horizontal="center"/>
    </xf>
    <xf borderId="26" fillId="0" fontId="29" numFmtId="4" xfId="0" applyAlignment="1" applyBorder="1" applyFont="1" applyNumberFormat="1">
      <alignment horizontal="center"/>
    </xf>
    <xf borderId="25" fillId="0" fontId="51" numFmtId="3" xfId="0" applyAlignment="1" applyBorder="1" applyFont="1" applyNumberFormat="1">
      <alignment horizontal="center" vertical="center"/>
    </xf>
    <xf borderId="25" fillId="38" fontId="28" numFmtId="164" xfId="0" applyAlignment="1" applyBorder="1" applyFont="1" applyNumberFormat="1">
      <alignment horizontal="right" vertical="center"/>
    </xf>
    <xf borderId="21" fillId="2" fontId="28" numFmtId="164" xfId="0" applyAlignment="1" applyBorder="1" applyFont="1" applyNumberFormat="1">
      <alignment horizontal="center" vertical="center"/>
    </xf>
    <xf borderId="52" fillId="0" fontId="51" numFmtId="3" xfId="0" applyAlignment="1" applyBorder="1" applyFont="1" applyNumberFormat="1">
      <alignment horizontal="center" vertical="center"/>
    </xf>
    <xf borderId="8" fillId="0" fontId="18" numFmtId="0" xfId="0" applyBorder="1" applyFont="1"/>
    <xf borderId="77" fillId="0" fontId="18" numFmtId="0" xfId="0" applyBorder="1" applyFont="1"/>
    <xf borderId="26" fillId="0" fontId="29" numFmtId="0" xfId="0" applyAlignment="1" applyBorder="1" applyFont="1">
      <alignment horizontal="center"/>
    </xf>
    <xf borderId="31" fillId="0" fontId="51" numFmtId="3" xfId="0" applyAlignment="1" applyBorder="1" applyFont="1" applyNumberFormat="1">
      <alignment horizontal="center" vertical="center"/>
    </xf>
    <xf borderId="27" fillId="45" fontId="49" numFmtId="0" xfId="0" applyAlignment="1" applyBorder="1" applyFont="1">
      <alignment horizontal="right" vertical="center"/>
    </xf>
    <xf borderId="26" fillId="45" fontId="49" numFmtId="164" xfId="0" applyAlignment="1" applyBorder="1" applyFont="1" applyNumberFormat="1">
      <alignment horizontal="center" vertical="center"/>
    </xf>
    <xf borderId="0" fillId="0" fontId="28" numFmtId="16" xfId="0" applyAlignment="1" applyFont="1" applyNumberFormat="1">
      <alignment horizontal="center"/>
    </xf>
    <xf borderId="1" fillId="21" fontId="21" numFmtId="2" xfId="0" applyAlignment="1" applyBorder="1" applyFont="1" applyNumberFormat="1">
      <alignment horizontal="center"/>
    </xf>
    <xf borderId="27" fillId="28" fontId="20" numFmtId="0" xfId="0" applyAlignment="1" applyBorder="1" applyFont="1">
      <alignment horizontal="right"/>
    </xf>
    <xf borderId="0" fillId="0" fontId="52" numFmtId="0" xfId="0" applyFont="1"/>
    <xf borderId="0" fillId="0" fontId="29" numFmtId="4" xfId="0" applyFont="1" applyNumberFormat="1"/>
    <xf borderId="0" fillId="0" fontId="29" numFmtId="0" xfId="0" applyAlignment="1" applyFont="1">
      <alignment horizontal="right"/>
    </xf>
    <xf borderId="0" fillId="0" fontId="53" numFmtId="0" xfId="0" applyFont="1"/>
    <xf borderId="0" fillId="0" fontId="29" numFmtId="9" xfId="0" applyAlignment="1" applyFont="1" applyNumberFormat="1">
      <alignment horizontal="center"/>
    </xf>
    <xf quotePrefix="1" borderId="0" fillId="0" fontId="29" numFmtId="9" xfId="0" applyAlignment="1" applyFont="1" applyNumberFormat="1">
      <alignment horizontal="center"/>
    </xf>
    <xf borderId="26" fillId="0" fontId="28" numFmtId="171" xfId="0" applyBorder="1" applyFont="1" applyNumberFormat="1"/>
    <xf borderId="26" fillId="0" fontId="28" numFmtId="0" xfId="0" applyBorder="1" applyFont="1"/>
    <xf borderId="0" fillId="0" fontId="29" numFmtId="0" xfId="0" applyAlignment="1" applyFont="1">
      <alignment horizontal="left"/>
    </xf>
    <xf borderId="0" fillId="0" fontId="28" numFmtId="0" xfId="0" applyAlignment="1" applyFont="1">
      <alignment horizontal="right"/>
    </xf>
    <xf borderId="26" fillId="0" fontId="28" numFmtId="2" xfId="0" applyBorder="1" applyFont="1" applyNumberFormat="1"/>
    <xf borderId="0" fillId="0" fontId="28" numFmtId="0" xfId="0" applyAlignment="1" applyFont="1">
      <alignment horizontal="center" vertical="center"/>
    </xf>
    <xf borderId="21" fillId="17" fontId="20" numFmtId="17" xfId="0" applyAlignment="1" applyBorder="1" applyFont="1" applyNumberFormat="1">
      <alignment horizontal="center" vertical="center"/>
    </xf>
    <xf borderId="31" fillId="0" fontId="29" numFmtId="0" xfId="0" applyAlignment="1" applyBorder="1" applyFont="1">
      <alignment horizontal="center"/>
    </xf>
    <xf borderId="26" fillId="0" fontId="28" numFmtId="3" xfId="0" applyAlignment="1" applyBorder="1" applyFont="1" applyNumberFormat="1">
      <alignment horizontal="center"/>
    </xf>
    <xf borderId="1" fillId="22" fontId="29" numFmtId="0" xfId="0" applyBorder="1" applyFont="1"/>
    <xf borderId="26" fillId="0" fontId="29" numFmtId="196" xfId="0" applyBorder="1" applyFont="1" applyNumberFormat="1"/>
    <xf borderId="27" fillId="11" fontId="28" numFmtId="196" xfId="0" applyAlignment="1" applyBorder="1" applyFont="1" applyNumberFormat="1">
      <alignment horizontal="center"/>
    </xf>
    <xf borderId="26" fillId="11" fontId="28" numFmtId="196" xfId="0" applyAlignment="1" applyBorder="1" applyFont="1" applyNumberFormat="1">
      <alignment horizontal="center"/>
    </xf>
    <xf borderId="26" fillId="24" fontId="29" numFmtId="3" xfId="0" applyAlignment="1" applyBorder="1" applyFont="1" applyNumberFormat="1">
      <alignment horizontal="center"/>
    </xf>
    <xf borderId="0" fillId="0" fontId="29" numFmtId="3" xfId="0" applyFont="1" applyNumberFormat="1"/>
    <xf borderId="0" fillId="0" fontId="29" numFmtId="2" xfId="0" applyFont="1" applyNumberFormat="1"/>
    <xf borderId="0" fillId="0" fontId="29" numFmtId="10" xfId="0" applyFont="1" applyNumberFormat="1"/>
    <xf borderId="27" fillId="0" fontId="29" numFmtId="0" xfId="0" applyBorder="1" applyFont="1"/>
    <xf borderId="28" fillId="0" fontId="29" numFmtId="0" xfId="0" applyAlignment="1" applyBorder="1" applyFont="1">
      <alignment horizontal="right"/>
    </xf>
    <xf borderId="26" fillId="0" fontId="29" numFmtId="2" xfId="0" applyBorder="1" applyFont="1" applyNumberFormat="1"/>
    <xf borderId="26" fillId="29" fontId="16" numFmtId="0" xfId="0" applyAlignment="1" applyBorder="1" applyFont="1">
      <alignment horizontal="center"/>
    </xf>
    <xf borderId="26" fillId="39" fontId="16" numFmtId="17" xfId="0" applyAlignment="1" applyBorder="1" applyFont="1" applyNumberFormat="1">
      <alignment horizontal="center"/>
    </xf>
    <xf borderId="1" fillId="39" fontId="16" numFmtId="0" xfId="0" applyAlignment="1" applyBorder="1" applyFont="1">
      <alignment horizontal="center"/>
    </xf>
    <xf borderId="26" fillId="17" fontId="3" numFmtId="0" xfId="0" applyBorder="1" applyFont="1"/>
    <xf borderId="26" fillId="0" fontId="3" numFmtId="164" xfId="0" applyAlignment="1" applyBorder="1" applyFont="1" applyNumberFormat="1">
      <alignment horizontal="center"/>
    </xf>
    <xf borderId="27" fillId="0" fontId="3" numFmtId="164" xfId="0" applyAlignment="1" applyBorder="1" applyFont="1" applyNumberFormat="1">
      <alignment horizontal="center"/>
    </xf>
    <xf borderId="26" fillId="8" fontId="3" numFmtId="169" xfId="0" applyAlignment="1" applyBorder="1" applyFont="1" applyNumberFormat="1">
      <alignment horizontal="center"/>
    </xf>
    <xf borderId="26" fillId="37" fontId="3" numFmtId="0" xfId="0" applyBorder="1" applyFont="1"/>
    <xf borderId="26" fillId="39" fontId="3" numFmtId="0" xfId="0" applyBorder="1" applyFont="1"/>
    <xf borderId="26" fillId="38" fontId="3" numFmtId="0" xfId="0" applyAlignment="1" applyBorder="1" applyFont="1">
      <alignment horizontal="center"/>
    </xf>
    <xf borderId="27" fillId="29" fontId="16" numFmtId="0" xfId="0" applyAlignment="1" applyBorder="1" applyFont="1">
      <alignment horizontal="center"/>
    </xf>
    <xf borderId="26" fillId="39" fontId="16" numFmtId="165" xfId="0" applyAlignment="1" applyBorder="1" applyFont="1" applyNumberFormat="1">
      <alignment horizontal="center"/>
    </xf>
    <xf borderId="12" fillId="39" fontId="16" numFmtId="165" xfId="0" applyAlignment="1" applyBorder="1" applyFont="1" applyNumberFormat="1">
      <alignment horizontal="center"/>
    </xf>
    <xf borderId="101" fillId="25" fontId="16" numFmtId="165" xfId="0" applyAlignment="1" applyBorder="1" applyFont="1" applyNumberFormat="1">
      <alignment horizontal="center"/>
    </xf>
    <xf borderId="0" fillId="0" fontId="3" numFmtId="169" xfId="0" applyFont="1" applyNumberFormat="1"/>
    <xf borderId="12" fillId="39" fontId="16" numFmtId="17" xfId="0" applyAlignment="1" applyBorder="1" applyFont="1" applyNumberFormat="1">
      <alignment horizontal="center"/>
    </xf>
    <xf borderId="26" fillId="22" fontId="3" numFmtId="3" xfId="0" applyAlignment="1" applyBorder="1" applyFont="1" applyNumberFormat="1">
      <alignment horizontal="center"/>
    </xf>
    <xf borderId="26" fillId="22" fontId="3" numFmtId="0" xfId="0" applyAlignment="1" applyBorder="1" applyFont="1">
      <alignment horizontal="center"/>
    </xf>
    <xf borderId="26" fillId="38" fontId="3" numFmtId="0" xfId="0" applyBorder="1" applyFont="1"/>
    <xf borderId="1" fillId="22" fontId="16" numFmtId="0" xfId="0" applyBorder="1" applyFont="1"/>
    <xf borderId="0" fillId="0" fontId="16" numFmtId="197" xfId="0" applyFont="1" applyNumberFormat="1"/>
    <xf borderId="1" fillId="22" fontId="3" numFmtId="0" xfId="0" applyBorder="1" applyFont="1"/>
    <xf borderId="0" fillId="0" fontId="16" numFmtId="9" xfId="0" applyFont="1" applyNumberFormat="1"/>
    <xf borderId="1" fillId="22" fontId="16" numFmtId="197" xfId="0" applyBorder="1" applyFont="1" applyNumberFormat="1"/>
    <xf borderId="0" fillId="0" fontId="3" numFmtId="197" xfId="0" applyFont="1" applyNumberFormat="1"/>
    <xf borderId="26" fillId="47" fontId="46" numFmtId="0" xfId="0" applyAlignment="1" applyBorder="1" applyFill="1" applyFont="1">
      <alignment horizontal="center"/>
    </xf>
    <xf borderId="26" fillId="47" fontId="46" numFmtId="17" xfId="0" applyAlignment="1" applyBorder="1" applyFont="1" applyNumberFormat="1">
      <alignment horizontal="center"/>
    </xf>
    <xf borderId="0" fillId="0" fontId="54" numFmtId="0" xfId="0" applyFont="1"/>
    <xf borderId="0" fillId="0" fontId="12" numFmtId="3" xfId="0" applyFont="1" applyNumberFormat="1"/>
    <xf borderId="1" fillId="41" fontId="55" numFmtId="0" xfId="0" applyBorder="1" applyFont="1"/>
    <xf borderId="1" fillId="41" fontId="12" numFmtId="0" xfId="0" applyBorder="1" applyFont="1"/>
    <xf borderId="1" fillId="41" fontId="12" numFmtId="3" xfId="0" applyBorder="1" applyFont="1" applyNumberFormat="1"/>
    <xf borderId="1" fillId="48" fontId="12" numFmtId="0" xfId="0" applyBorder="1" applyFill="1" applyFont="1"/>
    <xf borderId="0" fillId="0" fontId="46" numFmtId="188" xfId="0" applyFont="1" applyNumberFormat="1"/>
    <xf borderId="1" fillId="48" fontId="12" numFmtId="188" xfId="0" applyBorder="1" applyFont="1" applyNumberFormat="1"/>
    <xf borderId="0" fillId="0" fontId="12" numFmtId="188" xfId="0" applyAlignment="1" applyFont="1" applyNumberFormat="1">
      <alignment horizontal="center"/>
    </xf>
    <xf borderId="26" fillId="0" fontId="46" numFmtId="188" xfId="0" applyBorder="1" applyFont="1" applyNumberFormat="1"/>
    <xf borderId="12" fillId="25" fontId="28" numFmtId="0" xfId="0" applyBorder="1" applyFont="1"/>
    <xf borderId="13" fillId="25" fontId="28" numFmtId="3" xfId="0" applyBorder="1" applyFont="1" applyNumberFormat="1"/>
    <xf borderId="35" fillId="25" fontId="28" numFmtId="3" xfId="0" applyBorder="1" applyFont="1" applyNumberFormat="1"/>
  </cellXfs>
  <cellStyles count="1">
    <cellStyle xfId="0" name="Normal" builtinId="0"/>
  </cellStyles>
  <dxfs count="3">
    <dxf>
      <font>
        <color rgb="FFFF0000"/>
      </font>
      <fill>
        <patternFill patternType="none"/>
      </fill>
      <border/>
    </dxf>
    <dxf>
      <font>
        <color theme="6"/>
      </font>
      <fill>
        <patternFill patternType="none"/>
      </fill>
      <border/>
    </dxf>
    <dxf>
      <font>
        <color rgb="FF9C0006"/>
      </font>
      <fill>
        <patternFill patternType="solid">
          <fgColor rgb="FFFFC7CE"/>
          <bgColor rgb="FFFFC7CE"/>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externalLink" Target="externalLinks/externalLink2.xml"/><Relationship Id="rId10" Type="http://schemas.openxmlformats.org/officeDocument/2006/relationships/worksheet" Target="worksheets/sheet7.xml"/><Relationship Id="rId32" Type="http://schemas.openxmlformats.org/officeDocument/2006/relationships/externalLink" Target="externalLinks/externalLink1.xml"/><Relationship Id="rId13" Type="http://schemas.openxmlformats.org/officeDocument/2006/relationships/worksheet" Target="worksheets/sheet10.xml"/><Relationship Id="rId12" Type="http://schemas.openxmlformats.org/officeDocument/2006/relationships/worksheet" Target="worksheets/sheet9.xml"/><Relationship Id="rId34" Type="http://customschemas.google.com/relationships/workbookmetadata" Target="metadata"/><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333333"/>
                </a:solidFill>
                <a:latin typeface="+mn-lt"/>
              </a:defRPr>
            </a:pPr>
            <a:r>
              <a:rPr b="0" i="0" sz="1400">
                <a:solidFill>
                  <a:srgbClr val="333333"/>
                </a:solidFill>
                <a:latin typeface="+mn-lt"/>
              </a:rPr>
              <a:t>Ingresos reales vs presupuestados</a:t>
            </a:r>
          </a:p>
        </c:rich>
      </c:tx>
      <c:overlay val="0"/>
    </c:title>
    <c:plotArea>
      <c:layout/>
      <c:barChart>
        <c:barDir val="bar"/>
        <c:ser>
          <c:idx val="0"/>
          <c:order val="0"/>
          <c:tx>
            <c:strRef>
              <c:f>'Info para Gráficos'!$A$2</c:f>
            </c:strRef>
          </c:tx>
          <c:spPr>
            <a:solidFill>
              <a:srgbClr val="99CCFF"/>
            </a:solidFill>
            <a:ln cmpd="sng">
              <a:solidFill>
                <a:srgbClr val="000000"/>
              </a:solidFill>
            </a:ln>
          </c:spPr>
          <c:cat>
            <c:strRef>
              <c:f>'Info para Gráficos'!$B$1:$C$1</c:f>
            </c:strRef>
          </c:cat>
          <c:val>
            <c:numRef>
              <c:f>'Info para Gráficos'!$B$2:$C$2</c:f>
              <c:numCache/>
            </c:numRef>
          </c:val>
        </c:ser>
        <c:ser>
          <c:idx val="1"/>
          <c:order val="1"/>
          <c:tx>
            <c:strRef>
              <c:f>'Info para Gráficos'!$A$5</c:f>
            </c:strRef>
          </c:tx>
          <c:cat>
            <c:strRef>
              <c:f>'Info para Gráficos'!$B$1:$C$1</c:f>
            </c:strRef>
          </c:cat>
          <c:val>
            <c:numRef>
              <c:f>'Info para Gráficos'!$B$5:$C$5</c:f>
              <c:numCache/>
            </c:numRef>
          </c:val>
        </c:ser>
        <c:axId val="168003610"/>
        <c:axId val="2122111417"/>
      </c:barChart>
      <c:catAx>
        <c:axId val="168003610"/>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spPr/>
        <c:txPr>
          <a:bodyPr/>
          <a:lstStyle/>
          <a:p>
            <a:pPr lvl="0">
              <a:defRPr b="0" i="0">
                <a:solidFill>
                  <a:srgbClr val="000000"/>
                </a:solidFill>
                <a:latin typeface="+mn-lt"/>
              </a:defRPr>
            </a:pPr>
          </a:p>
        </c:txPr>
        <c:crossAx val="2122111417"/>
      </c:catAx>
      <c:valAx>
        <c:axId val="2122111417"/>
        <c:scaling>
          <c:orientation val="minMax"/>
        </c:scaling>
        <c:delete val="0"/>
        <c:axPos val="b"/>
        <c:majorGridlines>
          <c:spPr>
            <a:ln>
              <a:solidFill>
                <a:srgbClr val="B7B7B7"/>
              </a:solidFill>
            </a:ln>
          </c:spPr>
        </c:maj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68003610"/>
        <c:crosses val="max"/>
      </c:valAx>
    </c:plotArea>
    <c:legend>
      <c:legendPos val="b"/>
      <c:overlay val="0"/>
      <c:txPr>
        <a:bodyPr/>
        <a:lstStyle/>
        <a:p>
          <a:pPr lvl="0">
            <a:defRPr b="0" i="0">
              <a:solidFill>
                <a:srgbClr val="1A1A1A"/>
              </a:solidFill>
              <a:latin typeface="+mn-lt"/>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333333"/>
                </a:solidFill>
                <a:latin typeface="+mn-lt"/>
              </a:defRPr>
            </a:pPr>
            <a:r>
              <a:rPr b="0" i="0" sz="1400">
                <a:solidFill>
                  <a:srgbClr val="333333"/>
                </a:solidFill>
                <a:latin typeface="+mn-lt"/>
              </a:rPr>
              <a:t>Costos reales vs presupuestados</a:t>
            </a:r>
          </a:p>
        </c:rich>
      </c:tx>
      <c:overlay val="0"/>
    </c:title>
    <c:plotArea>
      <c:layout/>
      <c:barChart>
        <c:barDir val="bar"/>
        <c:ser>
          <c:idx val="0"/>
          <c:order val="0"/>
          <c:spPr>
            <a:solidFill>
              <a:srgbClr val="99CCFF"/>
            </a:solidFill>
            <a:ln cmpd="sng">
              <a:solidFill>
                <a:srgbClr val="000000"/>
              </a:solidFill>
            </a:ln>
          </c:spPr>
          <c:cat>
            <c:strRef>
              <c:f>'Info para Gráficos'!$A$9:$A$19</c:f>
            </c:strRef>
          </c:cat>
          <c:val>
            <c:numRef>
              <c:f>'Info para Gráficos'!$B$9:$B$19</c:f>
              <c:numCache/>
            </c:numRef>
          </c:val>
        </c:ser>
        <c:ser>
          <c:idx val="1"/>
          <c:order val="1"/>
          <c:spPr>
            <a:solidFill>
              <a:srgbClr val="CCCCFF"/>
            </a:solidFill>
            <a:ln cmpd="sng">
              <a:solidFill>
                <a:srgbClr val="000000"/>
              </a:solidFill>
            </a:ln>
          </c:spPr>
          <c:cat>
            <c:strRef>
              <c:f>'Info para Gráficos'!$A$9:$A$19</c:f>
            </c:strRef>
          </c:cat>
          <c:val>
            <c:numRef>
              <c:f>'Info para Gráficos'!$C$9:$C$19</c:f>
              <c:numCache/>
            </c:numRef>
          </c:val>
        </c:ser>
        <c:axId val="1864523470"/>
        <c:axId val="377974484"/>
      </c:barChart>
      <c:catAx>
        <c:axId val="1864523470"/>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spPr/>
        <c:txPr>
          <a:bodyPr/>
          <a:lstStyle/>
          <a:p>
            <a:pPr lvl="0">
              <a:defRPr b="0" i="0">
                <a:solidFill>
                  <a:srgbClr val="000000"/>
                </a:solidFill>
                <a:latin typeface="+mn-lt"/>
              </a:defRPr>
            </a:pPr>
          </a:p>
        </c:txPr>
        <c:crossAx val="377974484"/>
      </c:catAx>
      <c:valAx>
        <c:axId val="377974484"/>
        <c:scaling>
          <c:orientation val="minMax"/>
        </c:scaling>
        <c:delete val="0"/>
        <c:axPos val="b"/>
        <c:majorGridlines>
          <c:spPr>
            <a:ln>
              <a:solidFill>
                <a:srgbClr val="B7B7B7"/>
              </a:solidFill>
            </a:ln>
          </c:spPr>
        </c:maj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864523470"/>
        <c:crosses val="max"/>
      </c:valAx>
    </c:plotArea>
    <c:legend>
      <c:legendPos val="b"/>
      <c:overlay val="0"/>
      <c:txPr>
        <a:bodyPr/>
        <a:lstStyle/>
        <a:p>
          <a:pPr lvl="0">
            <a:defRPr b="0" i="0">
              <a:solidFill>
                <a:srgbClr val="1A1A1A"/>
              </a:solidFill>
              <a:latin typeface="+mn-lt"/>
            </a:defRPr>
          </a:pPr>
        </a:p>
      </c:txPr>
    </c:legend>
    <c:plotVisOnly val="1"/>
  </c:chart>
  <c:spPr>
    <a:solidFill>
      <a:srgbClr val="FFFFFF"/>
    </a:solidFill>
  </c:spPr>
</c:chartSpace>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10</xdr:row>
      <xdr:rowOff>123825</xdr:rowOff>
    </xdr:from>
    <xdr:ext cx="7134225" cy="2209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104775</xdr:colOff>
      <xdr:row>11</xdr:row>
      <xdr:rowOff>9525</xdr:rowOff>
    </xdr:from>
    <xdr:ext cx="4981575" cy="28479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1</xdr:row>
      <xdr:rowOff>19050</xdr:rowOff>
    </xdr:from>
    <xdr:ext cx="4886325" cy="36385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219075</xdr:colOff>
      <xdr:row>0</xdr:row>
      <xdr:rowOff>28575</xdr:rowOff>
    </xdr:from>
    <xdr:ext cx="3829050" cy="2266950"/>
    <xdr:graphicFrame>
      <xdr:nvGraphicFramePr>
        <xdr:cNvPr id="1607469816"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171450</xdr:colOff>
      <xdr:row>13</xdr:row>
      <xdr:rowOff>28575</xdr:rowOff>
    </xdr:from>
    <xdr:ext cx="4572000" cy="2714625"/>
    <xdr:graphicFrame>
      <xdr:nvGraphicFramePr>
        <xdr:cNvPr id="1724060344"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V&#237;nculoExternoRecuperado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V&#237;nculoExternoRecuperado1"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ice"/>
      <sheetName val="B2_2023_Real"/>
      <sheetName val="B 2021"/>
      <sheetName val="B2 2021"/>
      <sheetName val="B2_2023"/>
      <sheetName val="Galo"/>
      <sheetName val="PPT B2"/>
      <sheetName val="CeCos"/>
      <sheetName val="B2023"/>
      <sheetName val="Facturacion B2 final FLK"/>
      <sheetName val="Facturacion B2"/>
      <sheetName val="Facturacion"/>
      <sheetName val="Laboratorio B2"/>
      <sheetName val="Laboratorio"/>
      <sheetName val="B2022"/>
      <sheetName val="AR200013"/>
      <sheetName val="AR200015"/>
      <sheetName val="AR200016"/>
      <sheetName val="AR200017-18"/>
      <sheetName val="AR.E51711.200"/>
      <sheetName val="AR200014"/>
      <sheetName val="AR000052 al 58"/>
      <sheetName val="AR.701562 Tkts (Pos009)"/>
      <sheetName val="Hoja de Trabajo PAMI"/>
      <sheetName val="AR000011"/>
      <sheetName val="AR000010"/>
      <sheetName val="AR000012-13"/>
      <sheetName val="AR000014"/>
      <sheetName val="AR000015-16"/>
      <sheetName val="AR000017"/>
      <sheetName val="AR000061"/>
      <sheetName val="AR000063-98"/>
      <sheetName val="AR000065"/>
      <sheetName val="Provis Asientos del Mes vf"/>
      <sheetName val="AR000067"/>
      <sheetName val="AR000066"/>
      <sheetName val="AR000074"/>
      <sheetName val="AR000068"/>
      <sheetName val="AR000078"/>
      <sheetName val="AR000096"/>
      <sheetName val="AR.700976.002 CMU"/>
      <sheetName val="Provis Asientos del Mes"/>
      <sheetName val="Transf IMED a Labo"/>
      <sheetName val="AR.1230AI.102"/>
      <sheetName val="Chequeos"/>
      <sheetName val="Otras Colectoras a Validar"/>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udget 2026"/>
      <sheetName val="nuevos proyectos"/>
      <sheetName val="Ajuste"/>
      <sheetName val="Ingresos RRHH"/>
      <sheetName val="Versión P&amp;L"/>
      <sheetName val="Cuentas"/>
      <sheetName val="Info para Gráficos"/>
      <sheetName val="Carátula"/>
      <sheetName val="Soporte Transaccional"/>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3.xml"/><Relationship Id="rId3"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5.xml"/><Relationship Id="rId3"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6.xml"/><Relationship Id="rId3"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7.xml"/><Relationship Id="rId3"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2.xml"/><Relationship Id="rId3" Type="http://schemas.openxmlformats.org/officeDocument/2006/relationships/vmlDrawing" Target="../drawings/vmlDrawing9.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3.xml"/><Relationship Id="rId3" Type="http://schemas.openxmlformats.org/officeDocument/2006/relationships/vmlDrawing" Target="../drawings/vmlDrawing10.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0" outlineLevelCol="1" outlineLevelRow="1"/>
  <cols>
    <col customWidth="1" min="1" max="1" width="1.5"/>
    <col customWidth="1" min="2" max="2" width="2.88"/>
    <col customWidth="1" min="3" max="3" width="19.13"/>
    <col customWidth="1" min="4" max="4" width="16.38"/>
    <col customWidth="1" min="5" max="5" width="0.38" outlineLevel="1"/>
    <col collapsed="1" customWidth="1" min="6" max="6" width="29.38"/>
    <col customWidth="1" min="7" max="7" width="33.0"/>
    <col customWidth="1" min="8" max="8" width="8.5" outlineLevel="1"/>
    <col customWidth="1" min="9" max="10" width="12.38"/>
    <col customWidth="1" min="11" max="12" width="13.0"/>
    <col customWidth="1" hidden="1" min="13" max="13" width="12.38" outlineLevel="1"/>
    <col customWidth="1" hidden="1" min="14" max="20" width="13.0" outlineLevel="1"/>
    <col collapsed="1" customWidth="1" min="21" max="21" width="3.0"/>
    <col customWidth="1" min="22" max="22" width="13.63"/>
    <col customWidth="1" min="23" max="23" width="4.25"/>
    <col customWidth="1" min="24" max="24" width="12.38"/>
    <col customWidth="1" min="25" max="27" width="13.0"/>
    <col customWidth="1" hidden="1" min="28" max="28" width="12.38" outlineLevel="1"/>
    <col customWidth="1" hidden="1" min="29" max="35" width="13.0" outlineLevel="1"/>
    <col collapsed="1" customWidth="1" min="36" max="36" width="5.63"/>
    <col customWidth="1" min="37" max="37" width="12.38"/>
    <col customWidth="1" min="38" max="38" width="1.88"/>
    <col customWidth="1" min="39" max="39" width="10.75"/>
    <col customWidth="1" min="40" max="40" width="8.0"/>
    <col customWidth="1" min="41" max="41" width="13.88"/>
    <col customWidth="1" min="42" max="45" width="8.0"/>
  </cols>
  <sheetData>
    <row r="1" ht="15.0" customHeight="1">
      <c r="A1" s="1"/>
      <c r="B1" s="2"/>
      <c r="C1" s="2"/>
      <c r="D1" s="3"/>
      <c r="E1" s="4"/>
      <c r="F1" s="5"/>
      <c r="G1" s="2"/>
      <c r="H1" s="2"/>
      <c r="I1" s="6"/>
      <c r="J1" s="6"/>
      <c r="K1" s="6"/>
      <c r="L1" s="6"/>
      <c r="M1" s="6"/>
      <c r="N1" s="6"/>
      <c r="O1" s="6"/>
      <c r="P1" s="6"/>
      <c r="Q1" s="6"/>
      <c r="R1" s="6"/>
      <c r="S1" s="6"/>
      <c r="T1" s="6"/>
      <c r="U1" s="7"/>
      <c r="V1" s="8">
        <f>(+V40-V14-V15)-((+V40-V14-V15)*5%)</f>
        <v>2335761067</v>
      </c>
      <c r="W1" s="9"/>
      <c r="X1" s="6"/>
      <c r="Y1" s="6"/>
      <c r="Z1" s="6"/>
      <c r="AA1" s="6"/>
      <c r="AB1" s="6"/>
      <c r="AC1" s="6"/>
      <c r="AD1" s="6"/>
      <c r="AE1" s="6"/>
      <c r="AF1" s="6"/>
      <c r="AG1" s="6"/>
      <c r="AH1" s="6"/>
      <c r="AI1" s="6"/>
      <c r="AJ1" s="9"/>
      <c r="AK1" s="8"/>
      <c r="AL1" s="10"/>
      <c r="AM1" s="11"/>
      <c r="AN1" s="7"/>
      <c r="AO1" s="7"/>
      <c r="AP1" s="7"/>
      <c r="AQ1" s="7"/>
      <c r="AR1" s="7"/>
      <c r="AS1" s="7"/>
    </row>
    <row r="2" ht="12.0" customHeight="1">
      <c r="A2" s="1"/>
      <c r="B2" s="12"/>
      <c r="C2" s="12"/>
      <c r="D2" s="3"/>
      <c r="E2" s="13"/>
      <c r="F2" s="14"/>
      <c r="G2" s="12"/>
      <c r="H2" s="12"/>
      <c r="I2" s="15" t="s">
        <v>0</v>
      </c>
      <c r="J2" s="15" t="s">
        <v>0</v>
      </c>
      <c r="K2" s="15" t="s">
        <v>0</v>
      </c>
      <c r="L2" s="15" t="s">
        <v>0</v>
      </c>
      <c r="M2" s="15" t="s">
        <v>0</v>
      </c>
      <c r="N2" s="15" t="s">
        <v>0</v>
      </c>
      <c r="O2" s="15" t="s">
        <v>0</v>
      </c>
      <c r="P2" s="15" t="s">
        <v>0</v>
      </c>
      <c r="Q2" s="15" t="s">
        <v>0</v>
      </c>
      <c r="R2" s="15" t="s">
        <v>0</v>
      </c>
      <c r="S2" s="15" t="s">
        <v>0</v>
      </c>
      <c r="T2" s="15" t="s">
        <v>0</v>
      </c>
      <c r="U2" s="7"/>
      <c r="V2" s="16" t="s">
        <v>0</v>
      </c>
      <c r="W2" s="9"/>
      <c r="X2" s="15" t="s">
        <v>1</v>
      </c>
      <c r="Y2" s="15" t="s">
        <v>1</v>
      </c>
      <c r="Z2" s="15" t="s">
        <v>1</v>
      </c>
      <c r="AA2" s="15" t="s">
        <v>1</v>
      </c>
      <c r="AB2" s="15" t="s">
        <v>1</v>
      </c>
      <c r="AC2" s="15" t="s">
        <v>1</v>
      </c>
      <c r="AD2" s="15" t="s">
        <v>1</v>
      </c>
      <c r="AE2" s="15" t="s">
        <v>1</v>
      </c>
      <c r="AF2" s="15" t="s">
        <v>1</v>
      </c>
      <c r="AG2" s="15" t="s">
        <v>1</v>
      </c>
      <c r="AH2" s="15" t="s">
        <v>1</v>
      </c>
      <c r="AI2" s="15" t="s">
        <v>1</v>
      </c>
      <c r="AJ2" s="9"/>
      <c r="AK2" s="16" t="s">
        <v>1</v>
      </c>
      <c r="AL2" s="10"/>
      <c r="AM2" s="16" t="s">
        <v>2</v>
      </c>
      <c r="AN2" s="7"/>
      <c r="AO2" s="7"/>
      <c r="AP2" s="7"/>
      <c r="AQ2" s="7"/>
      <c r="AR2" s="7"/>
      <c r="AS2" s="7"/>
    </row>
    <row r="3" ht="12.0" customHeight="1">
      <c r="A3" s="1"/>
      <c r="B3" s="17"/>
      <c r="C3" s="17"/>
      <c r="D3" s="18"/>
      <c r="E3" s="4"/>
      <c r="F3" s="17"/>
      <c r="G3" s="18"/>
      <c r="H3" s="18"/>
      <c r="I3" s="19"/>
      <c r="J3" s="19"/>
      <c r="K3" s="19"/>
      <c r="L3" s="19"/>
      <c r="M3" s="19"/>
      <c r="N3" s="19"/>
      <c r="O3" s="19"/>
      <c r="P3" s="19"/>
      <c r="Q3" s="19"/>
      <c r="R3" s="19"/>
      <c r="S3" s="19"/>
      <c r="T3" s="19"/>
      <c r="U3" s="7"/>
      <c r="V3" s="20" t="s">
        <v>3</v>
      </c>
      <c r="W3" s="9"/>
      <c r="X3" s="19"/>
      <c r="Y3" s="19"/>
      <c r="Z3" s="19"/>
      <c r="AA3" s="19"/>
      <c r="AB3" s="19"/>
      <c r="AC3" s="19"/>
      <c r="AD3" s="19"/>
      <c r="AE3" s="19"/>
      <c r="AF3" s="19"/>
      <c r="AG3" s="19"/>
      <c r="AH3" s="19"/>
      <c r="AI3" s="19"/>
      <c r="AJ3" s="9"/>
      <c r="AK3" s="20" t="str">
        <f>+V3</f>
        <v>Acum Abr</v>
      </c>
      <c r="AL3" s="10"/>
      <c r="AM3" s="20" t="str">
        <f>+AK3</f>
        <v>Acum Abr</v>
      </c>
      <c r="AN3" s="7"/>
      <c r="AO3" s="7"/>
      <c r="AP3" s="7"/>
      <c r="AQ3" s="7"/>
      <c r="AR3" s="7"/>
      <c r="AS3" s="7"/>
    </row>
    <row r="4" ht="12.0" customHeight="1">
      <c r="A4" s="1"/>
      <c r="B4" s="17"/>
      <c r="C4" s="17"/>
      <c r="D4" s="18"/>
      <c r="E4" s="18"/>
      <c r="F4" s="17"/>
      <c r="G4" s="18"/>
      <c r="H4" s="21"/>
      <c r="I4" s="19" t="s">
        <v>4</v>
      </c>
      <c r="J4" s="19">
        <v>46078.0</v>
      </c>
      <c r="K4" s="19">
        <v>46106.0</v>
      </c>
      <c r="L4" s="19" t="s">
        <v>5</v>
      </c>
      <c r="M4" s="19">
        <v>46167.0</v>
      </c>
      <c r="N4" s="19">
        <v>46198.0</v>
      </c>
      <c r="O4" s="19">
        <v>46228.0</v>
      </c>
      <c r="P4" s="19">
        <v>46259.0</v>
      </c>
      <c r="Q4" s="19">
        <v>46290.0</v>
      </c>
      <c r="R4" s="19">
        <v>46320.0</v>
      </c>
      <c r="S4" s="19">
        <v>46351.0</v>
      </c>
      <c r="T4" s="19">
        <v>46381.0</v>
      </c>
      <c r="U4" s="7"/>
      <c r="V4" s="20" t="s">
        <v>6</v>
      </c>
      <c r="W4" s="9"/>
      <c r="X4" s="19" t="str">
        <f t="shared" ref="X4:AI4" si="1">+I4</f>
        <v>Ene-26</v>
      </c>
      <c r="Y4" s="19">
        <f t="shared" si="1"/>
        <v>46078</v>
      </c>
      <c r="Z4" s="19">
        <f t="shared" si="1"/>
        <v>46106</v>
      </c>
      <c r="AA4" s="19" t="str">
        <f t="shared" si="1"/>
        <v>Abr-26</v>
      </c>
      <c r="AB4" s="19">
        <f t="shared" si="1"/>
        <v>46167</v>
      </c>
      <c r="AC4" s="19">
        <f t="shared" si="1"/>
        <v>46198</v>
      </c>
      <c r="AD4" s="19">
        <f t="shared" si="1"/>
        <v>46228</v>
      </c>
      <c r="AE4" s="19">
        <f t="shared" si="1"/>
        <v>46259</v>
      </c>
      <c r="AF4" s="19">
        <f t="shared" si="1"/>
        <v>46290</v>
      </c>
      <c r="AG4" s="19">
        <f t="shared" si="1"/>
        <v>46320</v>
      </c>
      <c r="AH4" s="19">
        <f t="shared" si="1"/>
        <v>46351</v>
      </c>
      <c r="AI4" s="19">
        <f t="shared" si="1"/>
        <v>46381</v>
      </c>
      <c r="AJ4" s="9"/>
      <c r="AK4" s="20" t="s">
        <v>6</v>
      </c>
      <c r="AL4" s="10"/>
      <c r="AM4" s="20" t="s">
        <v>6</v>
      </c>
      <c r="AN4" s="7"/>
      <c r="AO4" s="7"/>
      <c r="AP4" s="7"/>
      <c r="AQ4" s="7"/>
      <c r="AR4" s="7"/>
      <c r="AS4" s="7"/>
    </row>
    <row r="5" ht="17.25" customHeight="1">
      <c r="A5" s="22"/>
      <c r="B5" s="23" t="s">
        <v>7</v>
      </c>
      <c r="C5" s="24"/>
      <c r="D5" s="25"/>
      <c r="E5" s="25"/>
      <c r="F5" s="26"/>
      <c r="G5" s="25"/>
      <c r="H5" s="27"/>
      <c r="I5" s="28"/>
      <c r="J5" s="28"/>
      <c r="K5" s="28"/>
      <c r="L5" s="28"/>
      <c r="M5" s="28"/>
      <c r="N5" s="28"/>
      <c r="O5" s="28"/>
      <c r="P5" s="28"/>
      <c r="Q5" s="28"/>
      <c r="R5" s="28"/>
      <c r="S5" s="28"/>
      <c r="T5" s="28"/>
      <c r="U5" s="7"/>
      <c r="V5" s="29"/>
      <c r="W5" s="9"/>
      <c r="X5" s="28"/>
      <c r="Y5" s="28"/>
      <c r="Z5" s="28"/>
      <c r="AA5" s="28"/>
      <c r="AB5" s="28"/>
      <c r="AC5" s="28"/>
      <c r="AD5" s="28"/>
      <c r="AE5" s="28"/>
      <c r="AF5" s="28"/>
      <c r="AG5" s="28"/>
      <c r="AH5" s="28"/>
      <c r="AI5" s="28"/>
      <c r="AJ5" s="9"/>
      <c r="AK5" s="29"/>
      <c r="AL5" s="10"/>
      <c r="AM5" s="30"/>
      <c r="AN5" s="7"/>
      <c r="AO5" s="7"/>
      <c r="AP5" s="7"/>
      <c r="AQ5" s="7"/>
      <c r="AR5" s="7"/>
      <c r="AS5" s="7"/>
    </row>
    <row r="6" ht="17.25" customHeight="1">
      <c r="A6" s="22"/>
      <c r="B6" s="31"/>
      <c r="C6" s="32" t="s">
        <v>8</v>
      </c>
      <c r="D6" s="27"/>
      <c r="E6" s="33"/>
      <c r="F6" s="34"/>
      <c r="G6" s="35"/>
      <c r="H6" s="36"/>
      <c r="I6" s="37"/>
      <c r="J6" s="37"/>
      <c r="K6" s="37"/>
      <c r="L6" s="37">
        <v>0.05</v>
      </c>
      <c r="M6" s="37">
        <v>0.05</v>
      </c>
      <c r="N6" s="37">
        <v>0.05</v>
      </c>
      <c r="O6" s="37">
        <v>0.05</v>
      </c>
      <c r="P6" s="37">
        <v>0.05</v>
      </c>
      <c r="Q6" s="37">
        <v>0.05</v>
      </c>
      <c r="R6" s="37">
        <v>0.05</v>
      </c>
      <c r="S6" s="37">
        <v>0.05</v>
      </c>
      <c r="T6" s="37">
        <v>0.05</v>
      </c>
      <c r="U6" s="38"/>
      <c r="V6" s="39"/>
      <c r="W6" s="40"/>
      <c r="X6" s="37"/>
      <c r="Y6" s="37"/>
      <c r="Z6" s="37"/>
      <c r="AA6" s="37"/>
      <c r="AB6" s="37"/>
      <c r="AC6" s="37"/>
      <c r="AD6" s="37"/>
      <c r="AE6" s="37"/>
      <c r="AF6" s="37"/>
      <c r="AG6" s="37"/>
      <c r="AH6" s="37"/>
      <c r="AI6" s="37"/>
      <c r="AJ6" s="40"/>
      <c r="AK6" s="39"/>
      <c r="AL6" s="10"/>
      <c r="AM6" s="30"/>
      <c r="AN6" s="7"/>
      <c r="AO6" s="7"/>
      <c r="AP6" s="7"/>
      <c r="AQ6" s="7"/>
      <c r="AR6" s="7"/>
      <c r="AS6" s="7"/>
    </row>
    <row r="7" ht="15.75" customHeight="1">
      <c r="A7" s="22"/>
      <c r="B7" s="41"/>
      <c r="C7" s="42"/>
      <c r="D7" s="42" t="s">
        <v>9</v>
      </c>
      <c r="E7" s="42"/>
      <c r="F7" s="42"/>
      <c r="G7" s="43"/>
      <c r="H7" s="43"/>
      <c r="I7" s="44">
        <f t="shared" ref="I7:T7" si="2">SUM(I8:I19)</f>
        <v>1891706468</v>
      </c>
      <c r="J7" s="44">
        <f t="shared" si="2"/>
        <v>1791176322</v>
      </c>
      <c r="K7" s="44">
        <f t="shared" si="2"/>
        <v>2036545616</v>
      </c>
      <c r="L7" s="44">
        <f t="shared" si="2"/>
        <v>2086424382</v>
      </c>
      <c r="M7" s="44">
        <f t="shared" si="2"/>
        <v>0</v>
      </c>
      <c r="N7" s="44">
        <f t="shared" si="2"/>
        <v>0</v>
      </c>
      <c r="O7" s="44">
        <f t="shared" si="2"/>
        <v>0</v>
      </c>
      <c r="P7" s="44">
        <f t="shared" si="2"/>
        <v>0</v>
      </c>
      <c r="Q7" s="44">
        <f t="shared" si="2"/>
        <v>0</v>
      </c>
      <c r="R7" s="44">
        <f t="shared" si="2"/>
        <v>0</v>
      </c>
      <c r="S7" s="44">
        <f t="shared" si="2"/>
        <v>0</v>
      </c>
      <c r="T7" s="44">
        <f t="shared" si="2"/>
        <v>0</v>
      </c>
      <c r="U7" s="7"/>
      <c r="V7" s="45">
        <f t="shared" ref="V7:V35" si="3">SUM(I7:L7)</f>
        <v>7805852787</v>
      </c>
      <c r="W7" s="46"/>
      <c r="X7" s="44">
        <v>1.813160191251708E9</v>
      </c>
      <c r="Y7" s="44">
        <v>1.690467926181184E9</v>
      </c>
      <c r="Z7" s="44">
        <v>1.851024083120921E9</v>
      </c>
      <c r="AA7" s="44">
        <v>1.944348108428231E9</v>
      </c>
      <c r="AB7" s="44">
        <v>2.062614131400222E9</v>
      </c>
      <c r="AC7" s="44">
        <v>2.072375616501622E9</v>
      </c>
      <c r="AD7" s="44">
        <v>2.296254841086898E9</v>
      </c>
      <c r="AE7" s="44">
        <v>2.264501834012505E9</v>
      </c>
      <c r="AF7" s="44">
        <v>2.385708182727264E9</v>
      </c>
      <c r="AG7" s="44">
        <v>2.496210475560131E9</v>
      </c>
      <c r="AH7" s="44">
        <v>2.433157531193593E9</v>
      </c>
      <c r="AI7" s="44">
        <v>2.509545390163829E9</v>
      </c>
      <c r="AJ7" s="46"/>
      <c r="AK7" s="45">
        <f t="shared" ref="AK7:AK37" si="4">SUM(X7:AA7)</f>
        <v>7299000309</v>
      </c>
      <c r="AL7" s="10"/>
      <c r="AM7" s="30">
        <f>+V7-AK7</f>
        <v>506852478.3</v>
      </c>
      <c r="AN7" s="47">
        <f>+AM7/AK7</f>
        <v>0.06944135591</v>
      </c>
      <c r="AO7" s="7"/>
      <c r="AP7" s="7"/>
      <c r="AQ7" s="7"/>
      <c r="AR7" s="7"/>
      <c r="AS7" s="7"/>
    </row>
    <row r="8" ht="15.75" customHeight="1" outlineLevel="1">
      <c r="A8" s="48">
        <v>2.0</v>
      </c>
      <c r="B8" s="49"/>
      <c r="C8" s="5" t="s">
        <v>10</v>
      </c>
      <c r="D8" s="50"/>
      <c r="E8" s="50">
        <v>5111.0</v>
      </c>
      <c r="F8" s="51"/>
      <c r="G8" s="50"/>
      <c r="H8" s="50"/>
      <c r="I8" s="52">
        <v>2.5482213579E8</v>
      </c>
      <c r="J8" s="52">
        <v>2.2033021644E8</v>
      </c>
      <c r="K8" s="52">
        <v>2.826086704E8</v>
      </c>
      <c r="L8" s="52">
        <v>2.8869870428E8</v>
      </c>
      <c r="M8" s="52"/>
      <c r="N8" s="52"/>
      <c r="O8" s="52"/>
      <c r="P8" s="52"/>
      <c r="Q8" s="52"/>
      <c r="R8" s="52"/>
      <c r="S8" s="52"/>
      <c r="T8" s="52"/>
      <c r="U8" s="53"/>
      <c r="V8" s="54">
        <f t="shared" si="3"/>
        <v>1046459727</v>
      </c>
      <c r="W8" s="55"/>
      <c r="X8" s="52">
        <v>2.267158114328853E8</v>
      </c>
      <c r="Y8" s="52">
        <v>2.093346512781494E8</v>
      </c>
      <c r="Z8" s="52">
        <v>2.383404181764983E8</v>
      </c>
      <c r="AA8" s="52">
        <v>2.548900759088623E8</v>
      </c>
      <c r="AB8" s="52">
        <v>2.716324920254935E8</v>
      </c>
      <c r="AC8" s="52">
        <v>2.730507474405596E8</v>
      </c>
      <c r="AD8" s="52">
        <v>2.91267636284178E8</v>
      </c>
      <c r="AE8" s="52">
        <v>2.875810808076832E8</v>
      </c>
      <c r="AF8" s="52">
        <v>2.972831826981418E8</v>
      </c>
      <c r="AG8" s="52">
        <v>3.043958929223455E8</v>
      </c>
      <c r="AH8" s="52">
        <v>2.828884540965992E8</v>
      </c>
      <c r="AI8" s="52">
        <v>2.871317809080482E8</v>
      </c>
      <c r="AJ8" s="55"/>
      <c r="AK8" s="54">
        <f t="shared" si="4"/>
        <v>929280956.8</v>
      </c>
      <c r="AL8" s="56"/>
      <c r="AM8" s="30"/>
      <c r="AN8" s="53"/>
      <c r="AO8" s="53"/>
      <c r="AP8" s="53"/>
      <c r="AQ8" s="53"/>
      <c r="AR8" s="53"/>
      <c r="AS8" s="53"/>
      <c r="AT8" s="53"/>
      <c r="AU8" s="53"/>
      <c r="AV8" s="53"/>
      <c r="AW8" s="53"/>
      <c r="AX8" s="53"/>
      <c r="AY8" s="53"/>
    </row>
    <row r="9" ht="15.75" customHeight="1" outlineLevel="1">
      <c r="A9" s="48">
        <v>2.0</v>
      </c>
      <c r="B9" s="49"/>
      <c r="C9" s="5" t="s">
        <v>11</v>
      </c>
      <c r="D9" s="50"/>
      <c r="E9" s="50">
        <v>5111.0</v>
      </c>
      <c r="F9" s="51"/>
      <c r="G9" s="50"/>
      <c r="H9" s="50"/>
      <c r="I9" s="52">
        <v>3.431946511E7</v>
      </c>
      <c r="J9" s="52">
        <v>3.372049182124999E7</v>
      </c>
      <c r="K9" s="52">
        <v>3.375878863875001E7</v>
      </c>
      <c r="L9" s="52">
        <v>4.209126376000001E7</v>
      </c>
      <c r="M9" s="52"/>
      <c r="N9" s="52"/>
      <c r="O9" s="52"/>
      <c r="P9" s="52"/>
      <c r="Q9" s="52"/>
      <c r="R9" s="52"/>
      <c r="S9" s="52"/>
      <c r="T9" s="52"/>
      <c r="U9" s="53"/>
      <c r="V9" s="54">
        <f t="shared" si="3"/>
        <v>143890009.3</v>
      </c>
      <c r="W9" s="55"/>
      <c r="X9" s="52">
        <v>3.250482834602637E7</v>
      </c>
      <c r="Y9" s="52">
        <v>2.934001203985021E7</v>
      </c>
      <c r="Z9" s="52">
        <v>3.265962174246616E7</v>
      </c>
      <c r="AA9" s="52">
        <v>3.399707265350016E7</v>
      </c>
      <c r="AB9" s="52">
        <v>3.640356227199885E7</v>
      </c>
      <c r="AC9" s="52">
        <v>3.785425541785976E7</v>
      </c>
      <c r="AD9" s="52">
        <v>4.009347633632594E7</v>
      </c>
      <c r="AE9" s="52">
        <v>3.934721835591631E7</v>
      </c>
      <c r="AF9" s="52">
        <v>3.993228553243018E7</v>
      </c>
      <c r="AG9" s="52">
        <v>4.348512756033507E7</v>
      </c>
      <c r="AH9" s="52">
        <v>3.773147813803936E7</v>
      </c>
      <c r="AI9" s="52">
        <v>3.829745031010994E7</v>
      </c>
      <c r="AJ9" s="55"/>
      <c r="AK9" s="54">
        <f t="shared" si="4"/>
        <v>128501534.8</v>
      </c>
      <c r="AL9" s="56"/>
      <c r="AM9" s="30"/>
      <c r="AN9" s="53"/>
      <c r="AO9" s="53"/>
      <c r="AP9" s="53"/>
      <c r="AQ9" s="53"/>
      <c r="AR9" s="53"/>
      <c r="AS9" s="53"/>
      <c r="AT9" s="53"/>
      <c r="AU9" s="53"/>
      <c r="AV9" s="53"/>
      <c r="AW9" s="53"/>
      <c r="AX9" s="53"/>
      <c r="AY9" s="53"/>
    </row>
    <row r="10" ht="15.75" customHeight="1" outlineLevel="1">
      <c r="A10" s="48">
        <v>2.0</v>
      </c>
      <c r="B10" s="49"/>
      <c r="C10" s="5" t="s">
        <v>12</v>
      </c>
      <c r="D10" s="50"/>
      <c r="E10" s="50">
        <v>5111.0</v>
      </c>
      <c r="F10" s="51"/>
      <c r="G10" s="50"/>
      <c r="H10" s="50"/>
      <c r="I10" s="52">
        <v>1.2932563903E8</v>
      </c>
      <c r="J10" s="52">
        <v>1.4204880466E8</v>
      </c>
      <c r="K10" s="52">
        <v>1.514541693300001E8</v>
      </c>
      <c r="L10" s="52">
        <v>1.5695356396E8</v>
      </c>
      <c r="M10" s="52"/>
      <c r="N10" s="52"/>
      <c r="O10" s="52"/>
      <c r="P10" s="52"/>
      <c r="Q10" s="52"/>
      <c r="R10" s="52"/>
      <c r="S10" s="52"/>
      <c r="T10" s="52"/>
      <c r="U10" s="53"/>
      <c r="V10" s="54">
        <f t="shared" si="3"/>
        <v>579782177</v>
      </c>
      <c r="W10" s="55"/>
      <c r="X10" s="52">
        <v>1.253717342549678E8</v>
      </c>
      <c r="Y10" s="52">
        <v>1.20201749865466E8</v>
      </c>
      <c r="Z10" s="52">
        <v>1.321318880443666E8</v>
      </c>
      <c r="AA10" s="52">
        <v>1.405428016902364E8</v>
      </c>
      <c r="AB10" s="52">
        <v>1.484562470818712E8</v>
      </c>
      <c r="AC10" s="52">
        <v>1.498952823221398E8</v>
      </c>
      <c r="AD10" s="52">
        <v>1.642131220500492E8</v>
      </c>
      <c r="AE10" s="52">
        <v>1.589645627371933E8</v>
      </c>
      <c r="AF10" s="52">
        <v>1.643958680567742E8</v>
      </c>
      <c r="AG10" s="52">
        <v>1.707963150359765E8</v>
      </c>
      <c r="AH10" s="52">
        <v>1.559807135008725E8</v>
      </c>
      <c r="AI10" s="52">
        <v>1.583204242033856E8</v>
      </c>
      <c r="AJ10" s="55"/>
      <c r="AK10" s="54">
        <f t="shared" si="4"/>
        <v>518248173.9</v>
      </c>
      <c r="AL10" s="56"/>
      <c r="AM10" s="30"/>
      <c r="AN10" s="53"/>
      <c r="AO10" s="53"/>
      <c r="AP10" s="53"/>
      <c r="AQ10" s="53"/>
      <c r="AR10" s="53"/>
      <c r="AS10" s="53"/>
      <c r="AT10" s="53"/>
      <c r="AU10" s="53"/>
      <c r="AV10" s="53"/>
      <c r="AW10" s="53"/>
      <c r="AX10" s="53"/>
      <c r="AY10" s="53"/>
    </row>
    <row r="11" ht="15.75" customHeight="1" outlineLevel="1">
      <c r="A11" s="48">
        <v>2.0</v>
      </c>
      <c r="B11" s="49"/>
      <c r="C11" s="5" t="s">
        <v>13</v>
      </c>
      <c r="D11" s="50"/>
      <c r="E11" s="50">
        <v>5111.0</v>
      </c>
      <c r="F11" s="51"/>
      <c r="G11" s="50"/>
      <c r="H11" s="50"/>
      <c r="I11" s="52">
        <v>1.18238974063E7</v>
      </c>
      <c r="J11" s="52">
        <v>1.44008076487E7</v>
      </c>
      <c r="K11" s="52">
        <v>1.595590474084E7</v>
      </c>
      <c r="L11" s="52">
        <v>1.662657668E7</v>
      </c>
      <c r="M11" s="52"/>
      <c r="N11" s="52"/>
      <c r="O11" s="52"/>
      <c r="P11" s="52"/>
      <c r="Q11" s="52"/>
      <c r="R11" s="52"/>
      <c r="S11" s="52"/>
      <c r="T11" s="52"/>
      <c r="U11" s="53"/>
      <c r="V11" s="54">
        <f t="shared" si="3"/>
        <v>58807186.48</v>
      </c>
      <c r="W11" s="55"/>
      <c r="X11" s="52">
        <v>9929897.145942861</v>
      </c>
      <c r="Y11" s="52">
        <v>9851405.10410779</v>
      </c>
      <c r="Z11" s="52">
        <v>1.153495415541787E7</v>
      </c>
      <c r="AA11" s="52">
        <v>1.242170632741047E7</v>
      </c>
      <c r="AB11" s="52">
        <v>1.341109613647361E7</v>
      </c>
      <c r="AC11" s="52">
        <v>1.360775072917942E7</v>
      </c>
      <c r="AD11" s="52">
        <v>1.498132378079651E7</v>
      </c>
      <c r="AE11" s="52">
        <v>1.523114943034864E7</v>
      </c>
      <c r="AF11" s="52">
        <v>1.586823993432193E7</v>
      </c>
      <c r="AG11" s="52">
        <v>1.610626353333676E7</v>
      </c>
      <c r="AH11" s="52">
        <v>1.378616757703636E7</v>
      </c>
      <c r="AI11" s="52">
        <v>1.39929600906919E7</v>
      </c>
      <c r="AJ11" s="55"/>
      <c r="AK11" s="54">
        <f t="shared" si="4"/>
        <v>43737962.73</v>
      </c>
      <c r="AL11" s="56"/>
      <c r="AM11" s="30"/>
      <c r="AN11" s="53"/>
      <c r="AO11" s="53"/>
      <c r="AP11" s="53"/>
      <c r="AQ11" s="53"/>
      <c r="AR11" s="53"/>
      <c r="AS11" s="53"/>
      <c r="AT11" s="53"/>
      <c r="AU11" s="53"/>
      <c r="AV11" s="53"/>
      <c r="AW11" s="53"/>
      <c r="AX11" s="53"/>
      <c r="AY11" s="53"/>
    </row>
    <row r="12" ht="15.75" customHeight="1" outlineLevel="1">
      <c r="A12" s="48">
        <v>2.0</v>
      </c>
      <c r="B12" s="49"/>
      <c r="C12" s="5" t="s">
        <v>14</v>
      </c>
      <c r="D12" s="50"/>
      <c r="E12" s="50">
        <v>5111.0</v>
      </c>
      <c r="F12" s="51"/>
      <c r="G12" s="50"/>
      <c r="H12" s="50"/>
      <c r="I12" s="52">
        <v>2973743.1355</v>
      </c>
      <c r="J12" s="52">
        <v>2532284.224499999</v>
      </c>
      <c r="K12" s="52">
        <v>2619109.941439999</v>
      </c>
      <c r="L12" s="52">
        <v>3360763.12</v>
      </c>
      <c r="M12" s="52"/>
      <c r="N12" s="52"/>
      <c r="O12" s="52"/>
      <c r="P12" s="52"/>
      <c r="Q12" s="52"/>
      <c r="R12" s="52"/>
      <c r="S12" s="52"/>
      <c r="T12" s="52"/>
      <c r="U12" s="53"/>
      <c r="V12" s="54">
        <f t="shared" si="3"/>
        <v>11485900.42</v>
      </c>
      <c r="W12" s="55"/>
      <c r="X12" s="52">
        <v>2601231.450492975</v>
      </c>
      <c r="Y12" s="52">
        <v>2347932.34526489</v>
      </c>
      <c r="Z12" s="52">
        <v>2614041.065658656</v>
      </c>
      <c r="AA12" s="52">
        <v>2720038.745105121</v>
      </c>
      <c r="AB12" s="52">
        <v>2914236.518200829</v>
      </c>
      <c r="AC12" s="52">
        <v>3029667.485154619</v>
      </c>
      <c r="AD12" s="52">
        <v>3209236.728086662</v>
      </c>
      <c r="AE12" s="52">
        <v>3149912.216328758</v>
      </c>
      <c r="AF12" s="52">
        <v>3195899.124043325</v>
      </c>
      <c r="AG12" s="52">
        <v>3243837.610903974</v>
      </c>
      <c r="AH12" s="52">
        <v>3018821.164150659</v>
      </c>
      <c r="AI12" s="52">
        <v>3064103.481612918</v>
      </c>
      <c r="AJ12" s="55"/>
      <c r="AK12" s="54">
        <f t="shared" si="4"/>
        <v>10283243.61</v>
      </c>
      <c r="AL12" s="56"/>
      <c r="AM12" s="30"/>
      <c r="AN12" s="53"/>
      <c r="AO12" s="53"/>
      <c r="AP12" s="53"/>
      <c r="AQ12" s="53"/>
      <c r="AR12" s="53"/>
      <c r="AS12" s="53"/>
      <c r="AT12" s="53"/>
      <c r="AU12" s="53"/>
      <c r="AV12" s="53"/>
      <c r="AW12" s="53"/>
      <c r="AX12" s="53"/>
      <c r="AY12" s="53"/>
    </row>
    <row r="13" ht="15.75" customHeight="1" outlineLevel="1">
      <c r="A13" s="48">
        <v>2.0</v>
      </c>
      <c r="B13" s="49"/>
      <c r="C13" s="5" t="s">
        <v>15</v>
      </c>
      <c r="D13" s="50"/>
      <c r="E13" s="50">
        <v>5111.0</v>
      </c>
      <c r="F13" s="51"/>
      <c r="G13" s="50"/>
      <c r="H13" s="50"/>
      <c r="I13" s="52">
        <v>3753069.917099999</v>
      </c>
      <c r="J13" s="52">
        <v>4916448.028900001</v>
      </c>
      <c r="K13" s="52">
        <v>5834881.872760001</v>
      </c>
      <c r="L13" s="52">
        <v>4463788.43</v>
      </c>
      <c r="M13" s="52"/>
      <c r="N13" s="52"/>
      <c r="O13" s="52"/>
      <c r="P13" s="52"/>
      <c r="Q13" s="52"/>
      <c r="R13" s="52"/>
      <c r="S13" s="52"/>
      <c r="T13" s="52"/>
      <c r="U13" s="53"/>
      <c r="V13" s="54">
        <f t="shared" si="3"/>
        <v>18968188.25</v>
      </c>
      <c r="W13" s="55"/>
      <c r="X13" s="52">
        <v>2894915.882870162</v>
      </c>
      <c r="Y13" s="52">
        <v>3065993.806872595</v>
      </c>
      <c r="Z13" s="52">
        <v>3447950.957437016</v>
      </c>
      <c r="AA13" s="52">
        <v>3581827.78008213</v>
      </c>
      <c r="AB13" s="52">
        <v>3984423.717051174</v>
      </c>
      <c r="AC13" s="52">
        <v>4087578.904490589</v>
      </c>
      <c r="AD13" s="52">
        <v>4662027.931310598</v>
      </c>
      <c r="AE13" s="52">
        <v>4743490.608912004</v>
      </c>
      <c r="AF13" s="52">
        <v>4965834.450646404</v>
      </c>
      <c r="AG13" s="52">
        <v>5040321.967406101</v>
      </c>
      <c r="AH13" s="52">
        <v>3975273.340614425</v>
      </c>
      <c r="AI13" s="52">
        <v>4034902.440723642</v>
      </c>
      <c r="AJ13" s="55"/>
      <c r="AK13" s="54">
        <f t="shared" si="4"/>
        <v>12990688.43</v>
      </c>
      <c r="AL13" s="56"/>
      <c r="AM13" s="30"/>
      <c r="AN13" s="53"/>
      <c r="AO13" s="53"/>
      <c r="AP13" s="53"/>
      <c r="AQ13" s="53"/>
      <c r="AR13" s="53"/>
      <c r="AS13" s="53"/>
      <c r="AT13" s="53"/>
      <c r="AU13" s="53"/>
      <c r="AV13" s="53"/>
      <c r="AW13" s="53"/>
      <c r="AX13" s="53"/>
      <c r="AY13" s="53"/>
    </row>
    <row r="14" ht="15.75" customHeight="1" outlineLevel="1">
      <c r="A14" s="48">
        <v>2.0</v>
      </c>
      <c r="B14" s="49"/>
      <c r="C14" s="5" t="s">
        <v>16</v>
      </c>
      <c r="D14" s="50"/>
      <c r="E14" s="50">
        <v>5111.0</v>
      </c>
      <c r="F14" s="51"/>
      <c r="G14" s="50"/>
      <c r="H14" s="57"/>
      <c r="I14" s="52">
        <v>1.41150594096E9</v>
      </c>
      <c r="J14" s="52">
        <v>1.32934949861E9</v>
      </c>
      <c r="K14" s="52">
        <v>1.50182302721E9</v>
      </c>
      <c r="L14" s="52">
        <v>1.5255241686E9</v>
      </c>
      <c r="M14" s="52"/>
      <c r="N14" s="52"/>
      <c r="O14" s="52"/>
      <c r="P14" s="52"/>
      <c r="Q14" s="52"/>
      <c r="R14" s="52"/>
      <c r="S14" s="52"/>
      <c r="T14" s="52"/>
      <c r="U14" s="53"/>
      <c r="V14" s="54">
        <f t="shared" si="3"/>
        <v>5768202635</v>
      </c>
      <c r="W14" s="55"/>
      <c r="X14" s="52">
        <v>1.37199305184685E9</v>
      </c>
      <c r="Y14" s="52">
        <v>1.276744401841064E9</v>
      </c>
      <c r="Z14" s="52">
        <v>1.387789480506722E9</v>
      </c>
      <c r="AA14" s="52">
        <v>1.41720706752041E9</v>
      </c>
      <c r="AB14" s="52">
        <v>1.467890466293904E9</v>
      </c>
      <c r="AC14" s="52">
        <v>1.440578750759945E9</v>
      </c>
      <c r="AD14" s="52">
        <v>1.574274968579644E9</v>
      </c>
      <c r="AE14" s="52">
        <v>1.520736792699845E9</v>
      </c>
      <c r="AF14" s="52">
        <v>1.576652603827916E9</v>
      </c>
      <c r="AG14" s="52">
        <v>1.621685841029789E9</v>
      </c>
      <c r="AH14" s="52">
        <v>1.572880054415976E9</v>
      </c>
      <c r="AI14" s="52">
        <v>1.596473255232215E9</v>
      </c>
      <c r="AJ14" s="55"/>
      <c r="AK14" s="54">
        <f t="shared" si="4"/>
        <v>5453734002</v>
      </c>
      <c r="AL14" s="56"/>
      <c r="AM14" s="30"/>
      <c r="AN14" s="53"/>
      <c r="AO14" s="53"/>
      <c r="AP14" s="53"/>
      <c r="AQ14" s="53"/>
      <c r="AR14" s="53"/>
      <c r="AS14" s="53"/>
      <c r="AT14" s="53"/>
      <c r="AU14" s="53"/>
      <c r="AV14" s="53"/>
      <c r="AW14" s="53"/>
      <c r="AX14" s="53"/>
      <c r="AY14" s="53"/>
    </row>
    <row r="15" ht="15.75" customHeight="1" outlineLevel="1">
      <c r="A15" s="48">
        <v>2.0</v>
      </c>
      <c r="B15" s="49"/>
      <c r="C15" s="5" t="s">
        <v>17</v>
      </c>
      <c r="D15" s="50"/>
      <c r="E15" s="50">
        <v>5111.0</v>
      </c>
      <c r="F15" s="51"/>
      <c r="G15" s="50"/>
      <c r="H15" s="57"/>
      <c r="I15" s="52">
        <v>4.196714375999999E7</v>
      </c>
      <c r="J15" s="52">
        <v>4.280426136000001E7</v>
      </c>
      <c r="K15" s="52">
        <v>4.106251516416001E7</v>
      </c>
      <c r="L15" s="52">
        <v>4.736186708000001E7</v>
      </c>
      <c r="M15" s="52"/>
      <c r="N15" s="52"/>
      <c r="O15" s="52"/>
      <c r="P15" s="52"/>
      <c r="Q15" s="52"/>
      <c r="R15" s="52"/>
      <c r="S15" s="52"/>
      <c r="T15" s="52"/>
      <c r="U15" s="53"/>
      <c r="V15" s="54">
        <f t="shared" si="3"/>
        <v>173195787.4</v>
      </c>
      <c r="W15" s="55"/>
      <c r="X15" s="52">
        <v>3.990473712804791E7</v>
      </c>
      <c r="Y15" s="52">
        <v>3.833779613678438E7</v>
      </c>
      <c r="Z15" s="52">
        <v>4.126174470872948E7</v>
      </c>
      <c r="AA15" s="52">
        <v>4.225653419414096E7</v>
      </c>
      <c r="AB15" s="52">
        <v>4.322627712005965E7</v>
      </c>
      <c r="AC15" s="52">
        <v>4.092737021482366E7</v>
      </c>
      <c r="AD15" s="52">
        <v>4.476532687175261E7</v>
      </c>
      <c r="AE15" s="52">
        <v>4.329530240200708E7</v>
      </c>
      <c r="AF15" s="52">
        <v>4.555615286201264E7</v>
      </c>
      <c r="AG15" s="52">
        <v>4.623949515494282E7</v>
      </c>
      <c r="AH15" s="52">
        <v>4.689819951222745E7</v>
      </c>
      <c r="AI15" s="52">
        <v>4.760167250491086E7</v>
      </c>
      <c r="AJ15" s="55"/>
      <c r="AK15" s="54">
        <f t="shared" si="4"/>
        <v>161760812.2</v>
      </c>
      <c r="AL15" s="56"/>
      <c r="AM15" s="30"/>
      <c r="AN15" s="53"/>
      <c r="AO15" s="53"/>
      <c r="AP15" s="53"/>
      <c r="AQ15" s="53"/>
      <c r="AR15" s="53"/>
      <c r="AS15" s="53"/>
      <c r="AT15" s="53"/>
      <c r="AU15" s="53"/>
      <c r="AV15" s="53"/>
      <c r="AW15" s="53"/>
      <c r="AX15" s="53"/>
      <c r="AY15" s="53"/>
    </row>
    <row r="16" ht="15.75" customHeight="1" outlineLevel="1">
      <c r="A16" s="48">
        <v>2.0</v>
      </c>
      <c r="B16" s="49"/>
      <c r="C16" s="5" t="s">
        <v>18</v>
      </c>
      <c r="D16" s="50"/>
      <c r="E16" s="50">
        <v>5111.0</v>
      </c>
      <c r="F16" s="51"/>
      <c r="G16" s="50"/>
      <c r="H16" s="50"/>
      <c r="I16" s="52">
        <v>0.0</v>
      </c>
      <c r="J16" s="52">
        <v>0.0</v>
      </c>
      <c r="K16" s="52">
        <v>0.0</v>
      </c>
      <c r="L16" s="52">
        <v>0.0</v>
      </c>
      <c r="M16" s="52"/>
      <c r="N16" s="52"/>
      <c r="O16" s="52"/>
      <c r="P16" s="52"/>
      <c r="Q16" s="52"/>
      <c r="R16" s="52"/>
      <c r="S16" s="52"/>
      <c r="T16" s="52"/>
      <c r="U16" s="53"/>
      <c r="V16" s="54">
        <f t="shared" si="3"/>
        <v>0</v>
      </c>
      <c r="W16" s="55"/>
      <c r="X16" s="52">
        <v>0.0</v>
      </c>
      <c r="Y16" s="52">
        <v>0.0</v>
      </c>
      <c r="Z16" s="52">
        <v>0.0</v>
      </c>
      <c r="AA16" s="52">
        <v>3.543017668801025E7</v>
      </c>
      <c r="AB16" s="52">
        <v>7.339452331469522E7</v>
      </c>
      <c r="AC16" s="52">
        <v>1.080434063069959E8</v>
      </c>
      <c r="AD16" s="52">
        <v>1.574274968579644E8</v>
      </c>
      <c r="AE16" s="52">
        <v>1.900920990874806E8</v>
      </c>
      <c r="AF16" s="52">
        <v>2.364978905741875E8</v>
      </c>
      <c r="AG16" s="52">
        <v>2.83795022180213E8</v>
      </c>
      <c r="AH16" s="52">
        <v>3.14576010883195E8</v>
      </c>
      <c r="AI16" s="52">
        <v>3.592064824272484E8</v>
      </c>
      <c r="AJ16" s="55"/>
      <c r="AK16" s="54">
        <f t="shared" si="4"/>
        <v>35430176.69</v>
      </c>
      <c r="AL16" s="56"/>
      <c r="AM16" s="30"/>
      <c r="AN16" s="53"/>
      <c r="AO16" s="53"/>
      <c r="AP16" s="53"/>
      <c r="AQ16" s="53"/>
      <c r="AR16" s="53"/>
      <c r="AS16" s="53"/>
      <c r="AT16" s="53"/>
      <c r="AU16" s="53"/>
      <c r="AV16" s="53"/>
      <c r="AW16" s="53"/>
      <c r="AX16" s="53"/>
      <c r="AY16" s="53"/>
    </row>
    <row r="17" ht="15.75" customHeight="1" outlineLevel="1">
      <c r="A17" s="18">
        <v>1.0</v>
      </c>
      <c r="B17" s="58"/>
      <c r="C17" s="5" t="s">
        <v>19</v>
      </c>
      <c r="D17" s="50"/>
      <c r="E17" s="50">
        <v>5111.0</v>
      </c>
      <c r="F17" s="51"/>
      <c r="G17" s="50"/>
      <c r="H17" s="50"/>
      <c r="I17" s="52">
        <v>1215432.5</v>
      </c>
      <c r="J17" s="52">
        <v>1073509.3</v>
      </c>
      <c r="K17" s="52">
        <v>1428548.38</v>
      </c>
      <c r="L17" s="52">
        <v>1343685.97</v>
      </c>
      <c r="M17" s="52"/>
      <c r="N17" s="52"/>
      <c r="O17" s="52"/>
      <c r="P17" s="52"/>
      <c r="Q17" s="52"/>
      <c r="R17" s="52"/>
      <c r="S17" s="52"/>
      <c r="T17" s="52"/>
      <c r="U17" s="53"/>
      <c r="V17" s="54">
        <f t="shared" si="3"/>
        <v>5061176.15</v>
      </c>
      <c r="W17" s="55"/>
      <c r="X17" s="52">
        <v>1243983.763625038</v>
      </c>
      <c r="Y17" s="52">
        <v>1243983.763625038</v>
      </c>
      <c r="Z17" s="52">
        <v>1243983.763625038</v>
      </c>
      <c r="AA17" s="52">
        <v>1300806.920473813</v>
      </c>
      <c r="AB17" s="52">
        <v>1300806.920473813</v>
      </c>
      <c r="AC17" s="52">
        <v>1300806.920473813</v>
      </c>
      <c r="AD17" s="52">
        <v>1360225.66678981</v>
      </c>
      <c r="AE17" s="52">
        <v>1360225.66678981</v>
      </c>
      <c r="AF17" s="52">
        <v>1360225.66678981</v>
      </c>
      <c r="AG17" s="52">
        <v>1422358.56488206</v>
      </c>
      <c r="AH17" s="52">
        <v>1422358.56488206</v>
      </c>
      <c r="AI17" s="52">
        <v>1422358.56488206</v>
      </c>
      <c r="AJ17" s="55"/>
      <c r="AK17" s="54">
        <f t="shared" si="4"/>
        <v>5032758.211</v>
      </c>
      <c r="AL17" s="56"/>
      <c r="AM17" s="30"/>
      <c r="AN17" s="53"/>
      <c r="AO17" s="53"/>
      <c r="AP17" s="53"/>
      <c r="AQ17" s="53"/>
      <c r="AR17" s="53"/>
      <c r="AS17" s="53"/>
      <c r="AT17" s="53"/>
      <c r="AU17" s="53"/>
      <c r="AV17" s="53"/>
      <c r="AW17" s="53"/>
      <c r="AX17" s="53"/>
      <c r="AY17" s="53"/>
    </row>
    <row r="18" ht="15.75" customHeight="1" outlineLevel="1">
      <c r="A18" s="1"/>
      <c r="B18" s="59"/>
      <c r="C18" s="5"/>
      <c r="D18" s="60"/>
      <c r="E18" s="60"/>
      <c r="F18" s="61"/>
      <c r="G18" s="60"/>
      <c r="H18" s="60"/>
      <c r="I18" s="52"/>
      <c r="J18" s="52"/>
      <c r="K18" s="52"/>
      <c r="L18" s="52"/>
      <c r="M18" s="52"/>
      <c r="N18" s="52"/>
      <c r="O18" s="52"/>
      <c r="P18" s="52"/>
      <c r="Q18" s="52"/>
      <c r="R18" s="52"/>
      <c r="S18" s="52"/>
      <c r="T18" s="52"/>
      <c r="U18" s="7"/>
      <c r="V18" s="54">
        <f t="shared" si="3"/>
        <v>0</v>
      </c>
      <c r="W18" s="9"/>
      <c r="X18" s="52"/>
      <c r="Y18" s="52"/>
      <c r="Z18" s="52"/>
      <c r="AA18" s="52"/>
      <c r="AB18" s="52"/>
      <c r="AC18" s="52"/>
      <c r="AD18" s="52"/>
      <c r="AE18" s="52"/>
      <c r="AF18" s="52"/>
      <c r="AG18" s="52"/>
      <c r="AH18" s="52"/>
      <c r="AI18" s="52"/>
      <c r="AJ18" s="9"/>
      <c r="AK18" s="54">
        <f t="shared" si="4"/>
        <v>0</v>
      </c>
      <c r="AL18" s="10"/>
      <c r="AM18" s="30"/>
      <c r="AN18" s="7"/>
      <c r="AO18" s="7"/>
      <c r="AP18" s="7"/>
      <c r="AQ18" s="7"/>
      <c r="AR18" s="7"/>
      <c r="AS18" s="7"/>
    </row>
    <row r="19" ht="15.75" customHeight="1" outlineLevel="1">
      <c r="A19" s="1"/>
      <c r="B19" s="59"/>
      <c r="C19" s="5"/>
      <c r="D19" s="60"/>
      <c r="E19" s="60"/>
      <c r="F19" s="61"/>
      <c r="G19" s="60"/>
      <c r="H19" s="60"/>
      <c r="I19" s="52"/>
      <c r="J19" s="52"/>
      <c r="K19" s="52"/>
      <c r="L19" s="52"/>
      <c r="M19" s="52"/>
      <c r="N19" s="52"/>
      <c r="O19" s="52"/>
      <c r="P19" s="52"/>
      <c r="Q19" s="52"/>
      <c r="R19" s="52"/>
      <c r="S19" s="52"/>
      <c r="T19" s="52"/>
      <c r="U19" s="7"/>
      <c r="V19" s="54">
        <f t="shared" si="3"/>
        <v>0</v>
      </c>
      <c r="W19" s="9"/>
      <c r="X19" s="52"/>
      <c r="Y19" s="52"/>
      <c r="Z19" s="52"/>
      <c r="AA19" s="52"/>
      <c r="AB19" s="52"/>
      <c r="AC19" s="52"/>
      <c r="AD19" s="52"/>
      <c r="AE19" s="52"/>
      <c r="AF19" s="52"/>
      <c r="AG19" s="52"/>
      <c r="AH19" s="52"/>
      <c r="AI19" s="52"/>
      <c r="AJ19" s="9"/>
      <c r="AK19" s="54">
        <f t="shared" si="4"/>
        <v>0</v>
      </c>
      <c r="AL19" s="10"/>
      <c r="AM19" s="30"/>
      <c r="AN19" s="7"/>
      <c r="AO19" s="7"/>
      <c r="AP19" s="7"/>
      <c r="AQ19" s="7"/>
      <c r="AR19" s="7"/>
      <c r="AS19" s="7"/>
    </row>
    <row r="20" ht="15.75" customHeight="1">
      <c r="A20" s="22"/>
      <c r="B20" s="41"/>
      <c r="C20" s="62"/>
      <c r="D20" s="42" t="s">
        <v>20</v>
      </c>
      <c r="E20" s="42"/>
      <c r="F20" s="42"/>
      <c r="G20" s="43"/>
      <c r="H20" s="43"/>
      <c r="I20" s="44">
        <f t="shared" ref="I20:T20" si="5">SUM(I21:I36)</f>
        <v>130487816.9</v>
      </c>
      <c r="J20" s="44">
        <f t="shared" si="5"/>
        <v>154488228.4</v>
      </c>
      <c r="K20" s="44">
        <f t="shared" si="5"/>
        <v>121457584.1</v>
      </c>
      <c r="L20" s="44">
        <f t="shared" si="5"/>
        <v>139669304.5</v>
      </c>
      <c r="M20" s="44">
        <f t="shared" si="5"/>
        <v>0</v>
      </c>
      <c r="N20" s="44">
        <f t="shared" si="5"/>
        <v>0</v>
      </c>
      <c r="O20" s="44">
        <f t="shared" si="5"/>
        <v>0</v>
      </c>
      <c r="P20" s="44">
        <f t="shared" si="5"/>
        <v>0</v>
      </c>
      <c r="Q20" s="44">
        <f t="shared" si="5"/>
        <v>0</v>
      </c>
      <c r="R20" s="44">
        <f t="shared" si="5"/>
        <v>0</v>
      </c>
      <c r="S20" s="44">
        <f t="shared" si="5"/>
        <v>0</v>
      </c>
      <c r="T20" s="44">
        <f t="shared" si="5"/>
        <v>0</v>
      </c>
      <c r="U20" s="7"/>
      <c r="V20" s="45">
        <f t="shared" si="3"/>
        <v>546102933.9</v>
      </c>
      <c r="W20" s="40"/>
      <c r="X20" s="44">
        <v>1.326132064649609E8</v>
      </c>
      <c r="Y20" s="44">
        <v>1.298152439476979E8</v>
      </c>
      <c r="Z20" s="44">
        <v>1.268877894283865E8</v>
      </c>
      <c r="AA20" s="44">
        <v>1.362631529524742E8</v>
      </c>
      <c r="AB20" s="44">
        <v>1.373198816569855E8</v>
      </c>
      <c r="AC20" s="44">
        <v>1.384152387840136E8</v>
      </c>
      <c r="AD20" s="44">
        <v>1.475225722930558E8</v>
      </c>
      <c r="AE20" s="44">
        <v>1.490539390567987E8</v>
      </c>
      <c r="AF20" s="44">
        <v>1.507231197529237E8</v>
      </c>
      <c r="AG20" s="44">
        <v>1.614384389498636E8</v>
      </c>
      <c r="AH20" s="44">
        <v>1.662618407796397E8</v>
      </c>
      <c r="AI20" s="44">
        <v>1.738784959772711E8</v>
      </c>
      <c r="AJ20" s="40"/>
      <c r="AK20" s="45">
        <f t="shared" si="4"/>
        <v>525579392.8</v>
      </c>
      <c r="AL20" s="10"/>
      <c r="AM20" s="30">
        <f>+V20-AK20</f>
        <v>20523541.09</v>
      </c>
      <c r="AN20" s="47">
        <f>+AM20/AK20</f>
        <v>0.03904936413</v>
      </c>
      <c r="AO20" s="7"/>
      <c r="AP20" s="7"/>
      <c r="AQ20" s="7"/>
      <c r="AR20" s="7"/>
      <c r="AS20" s="7"/>
    </row>
    <row r="21" ht="15.75" hidden="1" customHeight="1" outlineLevel="1">
      <c r="A21" s="48">
        <v>1.0</v>
      </c>
      <c r="B21" s="49"/>
      <c r="C21" s="5" t="s">
        <v>21</v>
      </c>
      <c r="D21" s="50"/>
      <c r="E21" s="50">
        <v>5111.0</v>
      </c>
      <c r="F21" s="63"/>
      <c r="G21" s="64"/>
      <c r="H21" s="50"/>
      <c r="I21" s="52">
        <v>2.216671743E7</v>
      </c>
      <c r="J21" s="52">
        <v>2.092974355E7</v>
      </c>
      <c r="K21" s="52">
        <v>1.968947625E7</v>
      </c>
      <c r="L21" s="52">
        <v>2.261262937E7</v>
      </c>
      <c r="M21" s="52"/>
      <c r="N21" s="52"/>
      <c r="O21" s="52"/>
      <c r="P21" s="52"/>
      <c r="Q21" s="52"/>
      <c r="R21" s="52"/>
      <c r="S21" s="52"/>
      <c r="T21" s="52"/>
      <c r="U21" s="53"/>
      <c r="V21" s="54">
        <f t="shared" si="3"/>
        <v>85398566.6</v>
      </c>
      <c r="W21" s="55"/>
      <c r="X21" s="52">
        <v>2.12639223425418E7</v>
      </c>
      <c r="Y21" s="52">
        <v>2.154307025114043E7</v>
      </c>
      <c r="Z21" s="52">
        <v>2.182600726910264E7</v>
      </c>
      <c r="AA21" s="52">
        <v>2.211278625197623E7</v>
      </c>
      <c r="AB21" s="52">
        <v>2.24034608083313E7</v>
      </c>
      <c r="AC21" s="52">
        <v>2.269808531065745E7</v>
      </c>
      <c r="AD21" s="52">
        <v>2.29967149064205E7</v>
      </c>
      <c r="AE21" s="52">
        <v>2.329940552928103E7</v>
      </c>
      <c r="AF21" s="52">
        <v>2.360621391047711E7</v>
      </c>
      <c r="AG21" s="52">
        <v>2.39171975903737E7</v>
      </c>
      <c r="AH21" s="52">
        <v>2.423241493018114E7</v>
      </c>
      <c r="AI21" s="52">
        <v>2.45519251238452E7</v>
      </c>
      <c r="AJ21" s="55"/>
      <c r="AK21" s="54">
        <f t="shared" si="4"/>
        <v>86745786.11</v>
      </c>
      <c r="AL21" s="56"/>
      <c r="AM21" s="30"/>
      <c r="AN21" s="53"/>
      <c r="AO21" s="53"/>
      <c r="AP21" s="53"/>
      <c r="AQ21" s="53"/>
      <c r="AR21" s="53"/>
      <c r="AS21" s="53"/>
      <c r="AT21" s="53"/>
      <c r="AU21" s="53"/>
      <c r="AV21" s="53"/>
      <c r="AW21" s="53"/>
      <c r="AX21" s="53"/>
      <c r="AY21" s="53"/>
    </row>
    <row r="22" ht="15.75" hidden="1" customHeight="1" outlineLevel="1">
      <c r="A22" s="48">
        <v>1.0</v>
      </c>
      <c r="B22" s="49"/>
      <c r="C22" s="5" t="s">
        <v>22</v>
      </c>
      <c r="D22" s="50" t="s">
        <v>23</v>
      </c>
      <c r="E22" s="50">
        <v>5111.0</v>
      </c>
      <c r="F22" s="65"/>
      <c r="G22" s="50"/>
      <c r="H22" s="50"/>
      <c r="I22" s="52">
        <v>6.213012835E7</v>
      </c>
      <c r="J22" s="52">
        <v>4.8199032E7</v>
      </c>
      <c r="K22" s="52">
        <v>3.9454206E7</v>
      </c>
      <c r="L22" s="52">
        <v>4.502873E7</v>
      </c>
      <c r="M22" s="52"/>
      <c r="N22" s="52"/>
      <c r="O22" s="52"/>
      <c r="P22" s="52"/>
      <c r="Q22" s="52"/>
      <c r="R22" s="52"/>
      <c r="S22" s="52"/>
      <c r="T22" s="52"/>
      <c r="U22" s="53"/>
      <c r="V22" s="54">
        <f t="shared" si="3"/>
        <v>194812096.4</v>
      </c>
      <c r="W22" s="55"/>
      <c r="X22" s="52">
        <v>4.313937744E7</v>
      </c>
      <c r="Y22" s="52">
        <v>3.954442932E7</v>
      </c>
      <c r="Z22" s="52">
        <v>3.59494812E7</v>
      </c>
      <c r="AA22" s="52">
        <v>4.323033434580538E7</v>
      </c>
      <c r="AB22" s="52">
        <v>4.323033434580538E7</v>
      </c>
      <c r="AC22" s="52">
        <v>4.323033434580538E7</v>
      </c>
      <c r="AD22" s="52">
        <v>5.017757860406558E7</v>
      </c>
      <c r="AE22" s="52">
        <v>5.017757860406558E7</v>
      </c>
      <c r="AF22" s="52">
        <v>5.017757860406558E7</v>
      </c>
      <c r="AG22" s="52">
        <v>5.83986746568772E7</v>
      </c>
      <c r="AH22" s="52">
        <v>6.117956392625231E7</v>
      </c>
      <c r="AI22" s="52">
        <v>6.674134246500251E7</v>
      </c>
      <c r="AJ22" s="55"/>
      <c r="AK22" s="54">
        <f t="shared" si="4"/>
        <v>161863622.3</v>
      </c>
      <c r="AL22" s="56"/>
      <c r="AM22" s="30"/>
      <c r="AN22" s="53"/>
      <c r="AO22" s="53"/>
      <c r="AP22" s="53"/>
      <c r="AQ22" s="53"/>
      <c r="AR22" s="53"/>
      <c r="AS22" s="53"/>
      <c r="AT22" s="53"/>
      <c r="AU22" s="53"/>
      <c r="AV22" s="53"/>
      <c r="AW22" s="53"/>
      <c r="AX22" s="53"/>
      <c r="AY22" s="53"/>
    </row>
    <row r="23" ht="15.75" hidden="1" customHeight="1" outlineLevel="1">
      <c r="A23" s="48">
        <v>1.0</v>
      </c>
      <c r="B23" s="49"/>
      <c r="C23" s="5" t="s">
        <v>22</v>
      </c>
      <c r="D23" s="50" t="s">
        <v>24</v>
      </c>
      <c r="E23" s="50">
        <v>5111.0</v>
      </c>
      <c r="F23" s="65"/>
      <c r="G23" s="50"/>
      <c r="H23" s="50"/>
      <c r="I23" s="52">
        <v>0.0</v>
      </c>
      <c r="J23" s="52">
        <v>0.0</v>
      </c>
      <c r="K23" s="52">
        <v>0.0</v>
      </c>
      <c r="L23" s="52">
        <v>0.0</v>
      </c>
      <c r="M23" s="52"/>
      <c r="N23" s="52"/>
      <c r="O23" s="52"/>
      <c r="P23" s="52"/>
      <c r="Q23" s="52"/>
      <c r="R23" s="52"/>
      <c r="S23" s="52"/>
      <c r="T23" s="52"/>
      <c r="U23" s="53"/>
      <c r="V23" s="54">
        <f t="shared" si="3"/>
        <v>0</v>
      </c>
      <c r="W23" s="55"/>
      <c r="X23" s="52">
        <v>270600.0</v>
      </c>
      <c r="Y23" s="52">
        <v>369600.0</v>
      </c>
      <c r="Z23" s="52">
        <v>379500.0</v>
      </c>
      <c r="AA23" s="52">
        <v>435600.0</v>
      </c>
      <c r="AB23" s="52">
        <v>471900.0</v>
      </c>
      <c r="AC23" s="52">
        <v>471900.0</v>
      </c>
      <c r="AD23" s="52">
        <v>495000.0</v>
      </c>
      <c r="AE23" s="52">
        <v>495000.0</v>
      </c>
      <c r="AF23" s="52">
        <v>495000.0</v>
      </c>
      <c r="AG23" s="52">
        <v>518100.0</v>
      </c>
      <c r="AH23" s="52">
        <v>518100.0</v>
      </c>
      <c r="AI23" s="52">
        <v>518100.0</v>
      </c>
      <c r="AJ23" s="55"/>
      <c r="AK23" s="54">
        <f t="shared" si="4"/>
        <v>1455300</v>
      </c>
      <c r="AL23" s="56"/>
      <c r="AM23" s="30"/>
      <c r="AN23" s="53"/>
      <c r="AO23" s="53"/>
      <c r="AP23" s="53"/>
      <c r="AQ23" s="53"/>
      <c r="AR23" s="53"/>
      <c r="AS23" s="53"/>
      <c r="AT23" s="53"/>
      <c r="AU23" s="53"/>
      <c r="AV23" s="53"/>
      <c r="AW23" s="53"/>
      <c r="AX23" s="53"/>
      <c r="AY23" s="53"/>
    </row>
    <row r="24" ht="15.75" hidden="1" customHeight="1" outlineLevel="1">
      <c r="A24" s="48">
        <v>1.0</v>
      </c>
      <c r="B24" s="49"/>
      <c r="C24" s="5" t="s">
        <v>25</v>
      </c>
      <c r="D24" s="50"/>
      <c r="E24" s="50">
        <v>5111.0</v>
      </c>
      <c r="F24" s="50"/>
      <c r="G24" s="50"/>
      <c r="H24" s="50"/>
      <c r="I24" s="52">
        <v>987716.02</v>
      </c>
      <c r="J24" s="52">
        <v>972221.92</v>
      </c>
      <c r="K24" s="52">
        <v>954267.72</v>
      </c>
      <c r="L24" s="52">
        <v>1044493.17</v>
      </c>
      <c r="M24" s="52"/>
      <c r="N24" s="52"/>
      <c r="O24" s="52"/>
      <c r="P24" s="52"/>
      <c r="Q24" s="52"/>
      <c r="R24" s="52"/>
      <c r="S24" s="52"/>
      <c r="T24" s="52"/>
      <c r="U24" s="52"/>
      <c r="V24" s="54">
        <f t="shared" si="3"/>
        <v>3958698.83</v>
      </c>
      <c r="W24" s="55"/>
      <c r="X24" s="52">
        <v>893794.903259138</v>
      </c>
      <c r="Y24" s="52">
        <v>907201.826808025</v>
      </c>
      <c r="Z24" s="52">
        <v>920809.8542101453</v>
      </c>
      <c r="AA24" s="52">
        <v>934622.0020232974</v>
      </c>
      <c r="AB24" s="52">
        <v>948641.3320536467</v>
      </c>
      <c r="AC24" s="52">
        <v>962870.9520344513</v>
      </c>
      <c r="AD24" s="52">
        <v>977314.016314968</v>
      </c>
      <c r="AE24" s="52">
        <v>991973.7265596924</v>
      </c>
      <c r="AF24" s="52">
        <v>1006853.332458088</v>
      </c>
      <c r="AG24" s="52">
        <v>1021956.132444959</v>
      </c>
      <c r="AH24" s="52">
        <v>1037285.474431633</v>
      </c>
      <c r="AI24" s="52">
        <v>1052844.756548108</v>
      </c>
      <c r="AJ24" s="55"/>
      <c r="AK24" s="54">
        <f t="shared" si="4"/>
        <v>3656428.586</v>
      </c>
      <c r="AL24" s="56"/>
      <c r="AM24" s="30"/>
      <c r="AN24" s="53"/>
      <c r="AO24" s="53"/>
      <c r="AP24" s="53"/>
      <c r="AQ24" s="53"/>
      <c r="AR24" s="53"/>
      <c r="AS24" s="53"/>
      <c r="AT24" s="53"/>
      <c r="AU24" s="53"/>
      <c r="AV24" s="53"/>
      <c r="AW24" s="53"/>
      <c r="AX24" s="53"/>
      <c r="AY24" s="53"/>
    </row>
    <row r="25" ht="15.75" hidden="1" customHeight="1" outlineLevel="1">
      <c r="A25" s="48">
        <v>1.0</v>
      </c>
      <c r="B25" s="49"/>
      <c r="C25" s="5" t="s">
        <v>26</v>
      </c>
      <c r="D25" s="50"/>
      <c r="E25" s="50">
        <v>5111.0</v>
      </c>
      <c r="F25" s="50"/>
      <c r="G25" s="50"/>
      <c r="H25" s="50"/>
      <c r="I25" s="52">
        <v>567084.6</v>
      </c>
      <c r="J25" s="52">
        <v>-407194.8</v>
      </c>
      <c r="K25" s="52">
        <v>0.0</v>
      </c>
      <c r="L25" s="52">
        <v>0.0</v>
      </c>
      <c r="M25" s="52"/>
      <c r="N25" s="52"/>
      <c r="O25" s="52"/>
      <c r="P25" s="52"/>
      <c r="Q25" s="52"/>
      <c r="R25" s="52"/>
      <c r="S25" s="52"/>
      <c r="T25" s="52"/>
      <c r="U25" s="53"/>
      <c r="V25" s="54">
        <f t="shared" si="3"/>
        <v>159889.8</v>
      </c>
      <c r="W25" s="55"/>
      <c r="X25" s="52">
        <v>564624.9376732799</v>
      </c>
      <c r="Y25" s="52">
        <v>564624.9376732799</v>
      </c>
      <c r="Z25" s="52">
        <v>564624.9376732799</v>
      </c>
      <c r="AA25" s="52">
        <v>590416.0873106713</v>
      </c>
      <c r="AB25" s="52">
        <v>590416.0873106713</v>
      </c>
      <c r="AC25" s="52">
        <v>590416.0873106713</v>
      </c>
      <c r="AD25" s="52">
        <v>617385.3347528807</v>
      </c>
      <c r="AE25" s="52">
        <v>617385.3347528807</v>
      </c>
      <c r="AF25" s="52">
        <v>617385.3347528807</v>
      </c>
      <c r="AG25" s="52">
        <v>645586.4935932232</v>
      </c>
      <c r="AH25" s="52">
        <v>645586.4935932232</v>
      </c>
      <c r="AI25" s="52">
        <v>645586.4935932232</v>
      </c>
      <c r="AJ25" s="55"/>
      <c r="AK25" s="54">
        <f t="shared" si="4"/>
        <v>2284290.9</v>
      </c>
      <c r="AL25" s="56"/>
      <c r="AM25" s="30"/>
      <c r="AN25" s="53"/>
      <c r="AO25" s="53"/>
      <c r="AP25" s="53"/>
      <c r="AQ25" s="53"/>
      <c r="AR25" s="53"/>
      <c r="AS25" s="53"/>
      <c r="AT25" s="53"/>
      <c r="AU25" s="53"/>
      <c r="AV25" s="53"/>
      <c r="AW25" s="53"/>
      <c r="AX25" s="53"/>
      <c r="AY25" s="53"/>
    </row>
    <row r="26" ht="15.75" hidden="1" customHeight="1" outlineLevel="1">
      <c r="A26" s="48">
        <v>1.0</v>
      </c>
      <c r="B26" s="49"/>
      <c r="C26" s="5" t="s">
        <v>27</v>
      </c>
      <c r="D26" s="50"/>
      <c r="E26" s="50">
        <v>5111.0</v>
      </c>
      <c r="F26" s="21"/>
      <c r="G26" s="50"/>
      <c r="H26" s="50"/>
      <c r="I26" s="52">
        <v>0.0</v>
      </c>
      <c r="J26" s="52">
        <v>4.033683866666669E7</v>
      </c>
      <c r="K26" s="52">
        <f>+J26/2</f>
        <v>20168419.33</v>
      </c>
      <c r="L26" s="52">
        <v>2.01684193E7</v>
      </c>
      <c r="M26" s="52"/>
      <c r="N26" s="52"/>
      <c r="O26" s="52"/>
      <c r="P26" s="52"/>
      <c r="Q26" s="52"/>
      <c r="R26" s="52"/>
      <c r="S26" s="52"/>
      <c r="T26" s="52"/>
      <c r="U26" s="53"/>
      <c r="V26" s="54">
        <f t="shared" si="3"/>
        <v>80673677.3</v>
      </c>
      <c r="W26" s="55"/>
      <c r="X26" s="52">
        <v>2.125674600833334E7</v>
      </c>
      <c r="Y26" s="52">
        <v>2.125674600833334E7</v>
      </c>
      <c r="Z26" s="52">
        <v>2.125674600833334E7</v>
      </c>
      <c r="AA26" s="52">
        <v>2.125674600833334E7</v>
      </c>
      <c r="AB26" s="52">
        <v>2.125674600833334E7</v>
      </c>
      <c r="AC26" s="52">
        <v>2.125674600833334E7</v>
      </c>
      <c r="AD26" s="52">
        <v>2.125674600833334E7</v>
      </c>
      <c r="AE26" s="52">
        <v>2.125674600833334E7</v>
      </c>
      <c r="AF26" s="52">
        <v>2.125674600833334E7</v>
      </c>
      <c r="AG26" s="52">
        <v>2.125674600833334E7</v>
      </c>
      <c r="AH26" s="52">
        <v>2.125674600833334E7</v>
      </c>
      <c r="AI26" s="52">
        <v>2.125674600833334E7</v>
      </c>
      <c r="AJ26" s="55"/>
      <c r="AK26" s="54">
        <f t="shared" si="4"/>
        <v>85026984.03</v>
      </c>
      <c r="AL26" s="56"/>
      <c r="AM26" s="30"/>
      <c r="AN26" s="53"/>
      <c r="AO26" s="53"/>
      <c r="AP26" s="53"/>
      <c r="AQ26" s="53"/>
      <c r="AR26" s="53"/>
      <c r="AS26" s="53"/>
      <c r="AT26" s="53"/>
      <c r="AU26" s="53"/>
      <c r="AV26" s="53"/>
      <c r="AW26" s="53"/>
      <c r="AX26" s="53"/>
      <c r="AY26" s="53"/>
    </row>
    <row r="27" ht="15.75" hidden="1" customHeight="1" outlineLevel="1">
      <c r="A27" s="48">
        <v>1.0</v>
      </c>
      <c r="B27" s="49"/>
      <c r="C27" s="5" t="s">
        <v>28</v>
      </c>
      <c r="D27" s="50"/>
      <c r="E27" s="50">
        <v>5111.0</v>
      </c>
      <c r="F27" s="50"/>
      <c r="G27" s="50"/>
      <c r="H27" s="50"/>
      <c r="I27" s="52">
        <v>1170304.46</v>
      </c>
      <c r="J27" s="52">
        <v>1313290.74</v>
      </c>
      <c r="K27" s="52">
        <v>1488814.85</v>
      </c>
      <c r="L27" s="52">
        <v>1368036.9</v>
      </c>
      <c r="M27" s="52"/>
      <c r="N27" s="52"/>
      <c r="O27" s="52"/>
      <c r="P27" s="52"/>
      <c r="Q27" s="52"/>
      <c r="R27" s="52"/>
      <c r="S27" s="52"/>
      <c r="T27" s="52"/>
      <c r="U27" s="53"/>
      <c r="V27" s="54">
        <f t="shared" si="3"/>
        <v>5340446.95</v>
      </c>
      <c r="W27" s="55"/>
      <c r="X27" s="52">
        <v>1213256.185138063</v>
      </c>
      <c r="Y27" s="52">
        <v>1213256.185138063</v>
      </c>
      <c r="Z27" s="52">
        <v>1213256.185138063</v>
      </c>
      <c r="AA27" s="52">
        <v>1268675.756133868</v>
      </c>
      <c r="AB27" s="52">
        <v>1268675.756133868</v>
      </c>
      <c r="AC27" s="52">
        <v>1268675.756133868</v>
      </c>
      <c r="AD27" s="52">
        <v>1326626.803075959</v>
      </c>
      <c r="AE27" s="52">
        <v>1326626.803075959</v>
      </c>
      <c r="AF27" s="52">
        <v>1326626.803075959</v>
      </c>
      <c r="AG27" s="52">
        <v>1387224.959671913</v>
      </c>
      <c r="AH27" s="52">
        <v>1387224.959671913</v>
      </c>
      <c r="AI27" s="52">
        <v>1387224.959671913</v>
      </c>
      <c r="AJ27" s="55"/>
      <c r="AK27" s="54">
        <f t="shared" si="4"/>
        <v>4908444.312</v>
      </c>
      <c r="AL27" s="56"/>
      <c r="AM27" s="30"/>
      <c r="AN27" s="53"/>
      <c r="AO27" s="53"/>
      <c r="AP27" s="53"/>
      <c r="AQ27" s="53"/>
      <c r="AR27" s="53"/>
      <c r="AS27" s="53"/>
      <c r="AT27" s="53"/>
      <c r="AU27" s="53"/>
      <c r="AV27" s="53"/>
      <c r="AW27" s="53"/>
      <c r="AX27" s="53"/>
      <c r="AY27" s="53"/>
    </row>
    <row r="28" ht="17.25" hidden="1" customHeight="1" outlineLevel="1">
      <c r="A28" s="48">
        <v>1.0</v>
      </c>
      <c r="B28" s="49"/>
      <c r="C28" s="5" t="s">
        <v>29</v>
      </c>
      <c r="D28" s="50" t="s">
        <v>30</v>
      </c>
      <c r="E28" s="50">
        <v>5111.0</v>
      </c>
      <c r="F28" s="65"/>
      <c r="G28" s="66"/>
      <c r="H28" s="51"/>
      <c r="I28" s="52">
        <v>1.104418332E7</v>
      </c>
      <c r="J28" s="52">
        <v>8443666.51</v>
      </c>
      <c r="K28" s="52">
        <v>9320434.77</v>
      </c>
      <c r="L28" s="52">
        <v>9289060.32</v>
      </c>
      <c r="M28" s="52"/>
      <c r="N28" s="52"/>
      <c r="O28" s="52"/>
      <c r="P28" s="52"/>
      <c r="Q28" s="52"/>
      <c r="R28" s="52"/>
      <c r="S28" s="52"/>
      <c r="T28" s="52"/>
      <c r="U28" s="53"/>
      <c r="V28" s="54">
        <f t="shared" si="3"/>
        <v>38097344.92</v>
      </c>
      <c r="W28" s="55"/>
      <c r="X28" s="52">
        <v>1.094452985965423E7</v>
      </c>
      <c r="Y28" s="52">
        <v>9997828.026794143</v>
      </c>
      <c r="Z28" s="52">
        <v>9133015.902476449</v>
      </c>
      <c r="AA28" s="52">
        <v>8343010.026912237</v>
      </c>
      <c r="AB28" s="52">
        <v>7621339.659584327</v>
      </c>
      <c r="AC28" s="52">
        <v>6962093.779030282</v>
      </c>
      <c r="AD28" s="52">
        <v>6359872.667144163</v>
      </c>
      <c r="AE28" s="52">
        <v>5809743.681436192</v>
      </c>
      <c r="AF28" s="52">
        <v>5307200.852991961</v>
      </c>
      <c r="AG28" s="52">
        <v>4848127.979208156</v>
      </c>
      <c r="AH28" s="52">
        <v>4428764.909006651</v>
      </c>
      <c r="AI28" s="52">
        <v>4045676.744377576</v>
      </c>
      <c r="AJ28" s="55"/>
      <c r="AK28" s="54">
        <f t="shared" si="4"/>
        <v>38418383.82</v>
      </c>
      <c r="AL28" s="56"/>
      <c r="AM28" s="30"/>
      <c r="AN28" s="53"/>
      <c r="AO28" s="53"/>
      <c r="AP28" s="53"/>
      <c r="AQ28" s="53"/>
      <c r="AR28" s="53"/>
      <c r="AS28" s="53"/>
      <c r="AT28" s="53"/>
      <c r="AU28" s="53"/>
      <c r="AV28" s="53"/>
      <c r="AW28" s="53"/>
      <c r="AX28" s="53"/>
      <c r="AY28" s="53"/>
    </row>
    <row r="29" ht="15.75" hidden="1" customHeight="1" outlineLevel="1">
      <c r="A29" s="48">
        <v>1.0</v>
      </c>
      <c r="B29" s="49"/>
      <c r="C29" s="5" t="s">
        <v>29</v>
      </c>
      <c r="D29" s="50" t="s">
        <v>31</v>
      </c>
      <c r="E29" s="50">
        <v>5111.0</v>
      </c>
      <c r="F29" s="65"/>
      <c r="G29" s="50"/>
      <c r="H29" s="51"/>
      <c r="I29" s="52">
        <v>2.601262983E7</v>
      </c>
      <c r="J29" s="52">
        <v>2.724844804E7</v>
      </c>
      <c r="K29" s="52">
        <v>3.051469239E7</v>
      </c>
      <c r="L29" s="52">
        <v>3.170951951E7</v>
      </c>
      <c r="M29" s="52"/>
      <c r="N29" s="52"/>
      <c r="O29" s="52"/>
      <c r="P29" s="52"/>
      <c r="Q29" s="52"/>
      <c r="R29" s="52"/>
      <c r="S29" s="52"/>
      <c r="T29" s="52"/>
      <c r="U29" s="53"/>
      <c r="V29" s="54">
        <f t="shared" si="3"/>
        <v>115485289.8</v>
      </c>
      <c r="W29" s="55"/>
      <c r="X29" s="52">
        <v>2.492865076019866E7</v>
      </c>
      <c r="Y29" s="52">
        <v>2.602430032127566E7</v>
      </c>
      <c r="Z29" s="52">
        <v>2.718379114913917E7</v>
      </c>
      <c r="AA29" s="52">
        <v>2.846377483249892E7</v>
      </c>
      <c r="AB29" s="52">
        <v>2.976337210716859E7</v>
      </c>
      <c r="AC29" s="52">
        <v>3.113977978996351E7</v>
      </c>
      <c r="AD29" s="52">
        <v>3.265289701793523E7</v>
      </c>
      <c r="AE29" s="52">
        <v>3.419793968207002E7</v>
      </c>
      <c r="AF29" s="52">
        <v>3.583546662361461E7</v>
      </c>
      <c r="AG29" s="52">
        <v>3.762891169036653E7</v>
      </c>
      <c r="AH29" s="52">
        <v>3.946955550741009E7</v>
      </c>
      <c r="AI29" s="52">
        <v>4.142163018437406E7</v>
      </c>
      <c r="AJ29" s="55"/>
      <c r="AK29" s="54">
        <f t="shared" si="4"/>
        <v>106600517.1</v>
      </c>
      <c r="AL29" s="56"/>
      <c r="AM29" s="30"/>
      <c r="AN29" s="53"/>
      <c r="AO29" s="53"/>
      <c r="AP29" s="53"/>
      <c r="AQ29" s="53"/>
      <c r="AR29" s="53"/>
      <c r="AS29" s="53"/>
      <c r="AT29" s="53"/>
      <c r="AU29" s="53"/>
      <c r="AV29" s="53"/>
      <c r="AW29" s="53"/>
      <c r="AX29" s="53"/>
      <c r="AY29" s="53"/>
    </row>
    <row r="30" ht="15.75" hidden="1" customHeight="1" outlineLevel="1">
      <c r="A30" s="18">
        <v>1.0</v>
      </c>
      <c r="B30" s="58"/>
      <c r="C30" s="5" t="s">
        <v>32</v>
      </c>
      <c r="D30" s="50"/>
      <c r="E30" s="50">
        <v>5111.0</v>
      </c>
      <c r="F30" s="50"/>
      <c r="G30" s="50"/>
      <c r="H30" s="50"/>
      <c r="I30" s="52">
        <v>2732192.76</v>
      </c>
      <c r="J30" s="52">
        <v>2975325.0</v>
      </c>
      <c r="K30" s="52">
        <v>-4664299.449999999</v>
      </c>
      <c r="L30" s="52">
        <v>2929705.4</v>
      </c>
      <c r="M30" s="52"/>
      <c r="N30" s="52"/>
      <c r="O30" s="52"/>
      <c r="P30" s="52"/>
      <c r="Q30" s="52"/>
      <c r="R30" s="52"/>
      <c r="S30" s="52"/>
      <c r="T30" s="52"/>
      <c r="U30" s="53"/>
      <c r="V30" s="54">
        <f t="shared" si="3"/>
        <v>3972923.71</v>
      </c>
      <c r="W30" s="55"/>
      <c r="X30" s="52">
        <v>4272538.193715956</v>
      </c>
      <c r="Y30" s="52">
        <v>4317548.326088551</v>
      </c>
      <c r="Z30" s="52">
        <v>4363233.610446734</v>
      </c>
      <c r="AA30" s="52">
        <v>4467700.795530334</v>
      </c>
      <c r="AB30" s="52">
        <v>4514766.917608244</v>
      </c>
      <c r="AC30" s="52">
        <v>4562539.031517323</v>
      </c>
      <c r="AD30" s="52">
        <v>4671778.107856366</v>
      </c>
      <c r="AE30" s="52">
        <v>4720994.133908346</v>
      </c>
      <c r="AF30" s="52">
        <v>4770948.400351106</v>
      </c>
      <c r="AG30" s="52">
        <v>4885177.340183817</v>
      </c>
      <c r="AH30" s="52">
        <v>4936641.47432981</v>
      </c>
      <c r="AI30" s="52">
        <v>4988877.570487993</v>
      </c>
      <c r="AJ30" s="55"/>
      <c r="AK30" s="54">
        <f t="shared" si="4"/>
        <v>17421020.93</v>
      </c>
      <c r="AL30" s="56"/>
      <c r="AM30" s="30"/>
      <c r="AN30" s="53"/>
      <c r="AO30" s="53"/>
      <c r="AP30" s="53"/>
      <c r="AQ30" s="53"/>
      <c r="AR30" s="53"/>
      <c r="AS30" s="53"/>
      <c r="AT30" s="53"/>
      <c r="AU30" s="53"/>
      <c r="AV30" s="53"/>
      <c r="AW30" s="53"/>
      <c r="AX30" s="53"/>
      <c r="AY30" s="53"/>
    </row>
    <row r="31" ht="15.75" hidden="1" customHeight="1" outlineLevel="1">
      <c r="A31" s="18">
        <v>1.0</v>
      </c>
      <c r="B31" s="58"/>
      <c r="C31" s="5" t="s">
        <v>33</v>
      </c>
      <c r="D31" s="50"/>
      <c r="E31" s="50">
        <v>5111.0</v>
      </c>
      <c r="F31" s="65"/>
      <c r="G31" s="50"/>
      <c r="H31" s="50"/>
      <c r="I31" s="52">
        <v>1233443.67</v>
      </c>
      <c r="J31" s="52">
        <v>766721.67</v>
      </c>
      <c r="K31" s="52">
        <v>131940.99</v>
      </c>
      <c r="L31" s="52">
        <v>1766721.67</v>
      </c>
      <c r="M31" s="52"/>
      <c r="N31" s="52"/>
      <c r="O31" s="52"/>
      <c r="P31" s="52"/>
      <c r="Q31" s="52"/>
      <c r="R31" s="52"/>
      <c r="S31" s="52"/>
      <c r="T31" s="52"/>
      <c r="U31" s="53"/>
      <c r="V31" s="54">
        <f t="shared" si="3"/>
        <v>3898828</v>
      </c>
      <c r="W31" s="55"/>
      <c r="X31" s="52">
        <v>1341762.92</v>
      </c>
      <c r="Y31" s="52">
        <v>1533443.33</v>
      </c>
      <c r="Z31" s="52">
        <v>1533443.33</v>
      </c>
      <c r="AA31" s="52">
        <v>1533443.33</v>
      </c>
      <c r="AB31" s="52">
        <v>1603488.529468988</v>
      </c>
      <c r="AC31" s="52">
        <v>1603488.529468988</v>
      </c>
      <c r="AD31" s="52">
        <v>1603488.529468988</v>
      </c>
      <c r="AE31" s="52">
        <v>1676733.279826271</v>
      </c>
      <c r="AF31" s="52">
        <v>1676733.279826271</v>
      </c>
      <c r="AG31" s="52">
        <v>1676733.279826271</v>
      </c>
      <c r="AH31" s="52">
        <v>1753323.731357154</v>
      </c>
      <c r="AI31" s="52">
        <v>1753323.731357154</v>
      </c>
      <c r="AJ31" s="55"/>
      <c r="AK31" s="54">
        <f t="shared" si="4"/>
        <v>5942092.91</v>
      </c>
      <c r="AL31" s="56"/>
      <c r="AM31" s="30"/>
      <c r="AN31" s="53"/>
      <c r="AO31" s="53"/>
      <c r="AP31" s="53"/>
      <c r="AQ31" s="53"/>
      <c r="AR31" s="53"/>
      <c r="AS31" s="53"/>
      <c r="AT31" s="53"/>
      <c r="AU31" s="53"/>
      <c r="AV31" s="53"/>
      <c r="AW31" s="53"/>
      <c r="AX31" s="53"/>
      <c r="AY31" s="53"/>
    </row>
    <row r="32" ht="15.75" hidden="1" customHeight="1" outlineLevel="1">
      <c r="A32" s="18">
        <v>1.0</v>
      </c>
      <c r="B32" s="58"/>
      <c r="C32" s="5" t="s">
        <v>34</v>
      </c>
      <c r="D32" s="50"/>
      <c r="E32" s="50">
        <v>5111.0</v>
      </c>
      <c r="F32" s="5"/>
      <c r="G32" s="50"/>
      <c r="H32" s="50"/>
      <c r="I32" s="52">
        <v>7990.89</v>
      </c>
      <c r="J32" s="52">
        <v>8033.18</v>
      </c>
      <c r="K32" s="52">
        <v>7296.03</v>
      </c>
      <c r="L32" s="52">
        <v>8321.72</v>
      </c>
      <c r="M32" s="52"/>
      <c r="N32" s="52"/>
      <c r="O32" s="52"/>
      <c r="P32" s="52"/>
      <c r="Q32" s="52"/>
      <c r="R32" s="52"/>
      <c r="S32" s="52"/>
      <c r="T32" s="52"/>
      <c r="U32" s="53"/>
      <c r="V32" s="54">
        <f t="shared" si="3"/>
        <v>31641.82</v>
      </c>
      <c r="W32" s="55"/>
      <c r="X32" s="52">
        <v>11709.3404464344</v>
      </c>
      <c r="Y32" s="52">
        <v>11709.3404464344</v>
      </c>
      <c r="Z32" s="52">
        <v>12304.52036665643</v>
      </c>
      <c r="AA32" s="52">
        <v>12304.52036665643</v>
      </c>
      <c r="AB32" s="52">
        <v>12304.52036665643</v>
      </c>
      <c r="AC32" s="52">
        <v>12866.5708621597</v>
      </c>
      <c r="AD32" s="52">
        <v>12866.5708621597</v>
      </c>
      <c r="AE32" s="52">
        <v>12866.5708621597</v>
      </c>
      <c r="AF32" s="52">
        <v>13454.2949109655</v>
      </c>
      <c r="AG32" s="52">
        <v>13454.2949109655</v>
      </c>
      <c r="AH32" s="52">
        <v>13454.2949109655</v>
      </c>
      <c r="AI32" s="52">
        <v>14068.86523926916</v>
      </c>
      <c r="AJ32" s="55"/>
      <c r="AK32" s="54">
        <f t="shared" si="4"/>
        <v>48027.72163</v>
      </c>
      <c r="AL32" s="56"/>
      <c r="AM32" s="30"/>
      <c r="AN32" s="53"/>
      <c r="AO32" s="67">
        <f>+L40*0.21</f>
        <v>470006948.6</v>
      </c>
      <c r="AP32" s="53"/>
      <c r="AQ32" s="53"/>
      <c r="AR32" s="53"/>
      <c r="AS32" s="53"/>
      <c r="AT32" s="53"/>
      <c r="AU32" s="53"/>
      <c r="AV32" s="53"/>
      <c r="AW32" s="53"/>
      <c r="AX32" s="53"/>
      <c r="AY32" s="53"/>
    </row>
    <row r="33" ht="15.75" hidden="1" customHeight="1" outlineLevel="1">
      <c r="A33" s="18">
        <v>1.0</v>
      </c>
      <c r="B33" s="58"/>
      <c r="C33" s="5" t="s">
        <v>35</v>
      </c>
      <c r="D33" s="50"/>
      <c r="E33" s="50">
        <v>5111.0</v>
      </c>
      <c r="F33" s="5"/>
      <c r="G33" s="50"/>
      <c r="H33" s="50"/>
      <c r="I33" s="52">
        <v>396875.5</v>
      </c>
      <c r="J33" s="52">
        <v>971875.5</v>
      </c>
      <c r="K33" s="52">
        <v>1351875.5</v>
      </c>
      <c r="L33" s="52">
        <v>904782.22</v>
      </c>
      <c r="M33" s="52"/>
      <c r="N33" s="52"/>
      <c r="O33" s="52"/>
      <c r="P33" s="52"/>
      <c r="Q33" s="52"/>
      <c r="R33" s="52"/>
      <c r="S33" s="52"/>
      <c r="T33" s="52"/>
      <c r="U33" s="53"/>
      <c r="V33" s="54">
        <f t="shared" si="3"/>
        <v>3625408.72</v>
      </c>
      <c r="W33" s="55"/>
      <c r="X33" s="52">
        <v>367193.5739999999</v>
      </c>
      <c r="Y33" s="52">
        <v>367193.5739999999</v>
      </c>
      <c r="Z33" s="52">
        <v>367193.5739999999</v>
      </c>
      <c r="AA33" s="52">
        <v>383966.379770762</v>
      </c>
      <c r="AB33" s="52">
        <v>383966.379770762</v>
      </c>
      <c r="AC33" s="52">
        <v>383966.379770762</v>
      </c>
      <c r="AD33" s="52">
        <v>401505.3400533231</v>
      </c>
      <c r="AE33" s="52">
        <v>401505.3400533231</v>
      </c>
      <c r="AF33" s="52">
        <v>401505.3400533231</v>
      </c>
      <c r="AG33" s="52">
        <v>419845.4515407812</v>
      </c>
      <c r="AH33" s="52">
        <v>419845.4515407812</v>
      </c>
      <c r="AI33" s="52">
        <v>419845.4515407812</v>
      </c>
      <c r="AJ33" s="55"/>
      <c r="AK33" s="54">
        <f t="shared" si="4"/>
        <v>1485547.102</v>
      </c>
      <c r="AL33" s="56"/>
      <c r="AM33" s="68"/>
      <c r="AN33" s="53"/>
      <c r="AO33" s="53"/>
      <c r="AP33" s="53"/>
      <c r="AQ33" s="53"/>
      <c r="AR33" s="53"/>
      <c r="AS33" s="53"/>
      <c r="AT33" s="53"/>
      <c r="AU33" s="53"/>
      <c r="AV33" s="53"/>
      <c r="AW33" s="53"/>
      <c r="AX33" s="53"/>
      <c r="AY33" s="53"/>
    </row>
    <row r="34" ht="15.75" hidden="1" customHeight="1" outlineLevel="1">
      <c r="A34" s="18">
        <v>1.0</v>
      </c>
      <c r="B34" s="58"/>
      <c r="C34" s="5" t="s">
        <v>36</v>
      </c>
      <c r="D34" s="50"/>
      <c r="E34" s="50">
        <v>5111.0</v>
      </c>
      <c r="F34" s="5"/>
      <c r="G34" s="50"/>
      <c r="H34" s="50"/>
      <c r="I34" s="52">
        <v>2038550.05</v>
      </c>
      <c r="J34" s="52">
        <v>1730226.41</v>
      </c>
      <c r="K34" s="52">
        <v>2540459.71</v>
      </c>
      <c r="L34" s="52">
        <v>2338884.94</v>
      </c>
      <c r="M34" s="52"/>
      <c r="N34" s="52"/>
      <c r="O34" s="52"/>
      <c r="P34" s="52"/>
      <c r="Q34" s="52"/>
      <c r="R34" s="52"/>
      <c r="S34" s="52"/>
      <c r="T34" s="52"/>
      <c r="U34" s="53"/>
      <c r="V34" s="54">
        <f t="shared" si="3"/>
        <v>8648121.11</v>
      </c>
      <c r="W34" s="55"/>
      <c r="X34" s="52">
        <v>1319500.0</v>
      </c>
      <c r="Y34" s="52">
        <v>1339292.5</v>
      </c>
      <c r="Z34" s="52">
        <v>1359381.887499999</v>
      </c>
      <c r="AA34" s="52">
        <v>1379772.615812499</v>
      </c>
      <c r="AB34" s="52">
        <v>1400469.205049687</v>
      </c>
      <c r="AC34" s="52">
        <v>1421476.243125432</v>
      </c>
      <c r="AD34" s="52">
        <v>1442798.386772313</v>
      </c>
      <c r="AE34" s="52">
        <v>1464440.362573898</v>
      </c>
      <c r="AF34" s="52">
        <v>1486406.968012506</v>
      </c>
      <c r="AG34" s="52">
        <v>1508703.072532693</v>
      </c>
      <c r="AH34" s="52">
        <v>1531333.618620684</v>
      </c>
      <c r="AI34" s="52">
        <v>1554303.622899994</v>
      </c>
      <c r="AJ34" s="55"/>
      <c r="AK34" s="54">
        <f t="shared" si="4"/>
        <v>5397947.003</v>
      </c>
      <c r="AL34" s="56"/>
      <c r="AM34" s="68"/>
      <c r="AN34" s="53"/>
      <c r="AO34" s="53"/>
      <c r="AP34" s="53"/>
      <c r="AQ34" s="53"/>
      <c r="AR34" s="53"/>
      <c r="AS34" s="53"/>
      <c r="AT34" s="53"/>
      <c r="AU34" s="53"/>
      <c r="AV34" s="53"/>
      <c r="AW34" s="53"/>
      <c r="AX34" s="53"/>
      <c r="AY34" s="53"/>
    </row>
    <row r="35" ht="15.75" hidden="1" customHeight="1" outlineLevel="1">
      <c r="A35" s="18">
        <v>1.0</v>
      </c>
      <c r="B35" s="58"/>
      <c r="C35" s="5" t="s">
        <v>37</v>
      </c>
      <c r="D35" s="50"/>
      <c r="E35" s="50">
        <v>5111.0</v>
      </c>
      <c r="F35" s="5"/>
      <c r="G35" s="50"/>
      <c r="H35" s="50"/>
      <c r="I35" s="52">
        <f>500000*0</f>
        <v>0</v>
      </c>
      <c r="J35" s="52">
        <v>1000000.0</v>
      </c>
      <c r="K35" s="52">
        <v>500000.0</v>
      </c>
      <c r="L35" s="52">
        <v>500000.0</v>
      </c>
      <c r="M35" s="52"/>
      <c r="N35" s="52"/>
      <c r="O35" s="52"/>
      <c r="P35" s="52"/>
      <c r="Q35" s="52"/>
      <c r="R35" s="52"/>
      <c r="S35" s="52"/>
      <c r="T35" s="52"/>
      <c r="U35" s="53"/>
      <c r="V35" s="54">
        <f t="shared" si="3"/>
        <v>2000000</v>
      </c>
      <c r="W35" s="55"/>
      <c r="X35" s="52">
        <v>825000.0</v>
      </c>
      <c r="Y35" s="52">
        <v>825000.0</v>
      </c>
      <c r="Z35" s="52">
        <v>825000.0</v>
      </c>
      <c r="AA35" s="52">
        <v>1850000.0</v>
      </c>
      <c r="AB35" s="52">
        <v>1850000.0</v>
      </c>
      <c r="AC35" s="52">
        <v>1850000.0</v>
      </c>
      <c r="AD35" s="52">
        <v>2530000.0</v>
      </c>
      <c r="AE35" s="52">
        <v>2605000.0</v>
      </c>
      <c r="AF35" s="52">
        <v>2745000.0</v>
      </c>
      <c r="AG35" s="52">
        <v>3312000.0</v>
      </c>
      <c r="AH35" s="52">
        <v>3452000.0</v>
      </c>
      <c r="AI35" s="52">
        <v>3527000.0</v>
      </c>
      <c r="AJ35" s="55"/>
      <c r="AK35" s="54">
        <f t="shared" si="4"/>
        <v>4325000</v>
      </c>
      <c r="AL35" s="56"/>
      <c r="AM35" s="68"/>
      <c r="AN35" s="53"/>
      <c r="AO35" s="53"/>
      <c r="AP35" s="53"/>
      <c r="AQ35" s="53"/>
      <c r="AR35" s="53"/>
      <c r="AS35" s="53"/>
      <c r="AT35" s="53"/>
      <c r="AU35" s="53"/>
      <c r="AV35" s="53"/>
      <c r="AW35" s="53"/>
      <c r="AX35" s="53"/>
      <c r="AY35" s="53"/>
    </row>
    <row r="36" ht="15.75" hidden="1" customHeight="1" outlineLevel="1">
      <c r="A36" s="18">
        <v>1.0</v>
      </c>
      <c r="B36" s="58"/>
      <c r="C36" s="5"/>
      <c r="D36" s="50"/>
      <c r="E36" s="50">
        <v>5111.0</v>
      </c>
      <c r="F36" s="5"/>
      <c r="G36" s="50"/>
      <c r="H36" s="50"/>
      <c r="I36" s="52"/>
      <c r="J36" s="52"/>
      <c r="K36" s="52"/>
      <c r="L36" s="52"/>
      <c r="M36" s="52"/>
      <c r="N36" s="52"/>
      <c r="O36" s="52"/>
      <c r="P36" s="52"/>
      <c r="Q36" s="52"/>
      <c r="R36" s="52"/>
      <c r="S36" s="52"/>
      <c r="T36" s="52"/>
      <c r="U36" s="53"/>
      <c r="V36" s="54"/>
      <c r="W36" s="55"/>
      <c r="X36" s="52"/>
      <c r="Y36" s="52"/>
      <c r="Z36" s="52"/>
      <c r="AA36" s="52"/>
      <c r="AB36" s="52"/>
      <c r="AC36" s="52"/>
      <c r="AD36" s="52"/>
      <c r="AE36" s="52"/>
      <c r="AF36" s="52"/>
      <c r="AG36" s="52"/>
      <c r="AH36" s="52"/>
      <c r="AI36" s="52"/>
      <c r="AJ36" s="55"/>
      <c r="AK36" s="54">
        <f t="shared" si="4"/>
        <v>0</v>
      </c>
      <c r="AL36" s="56"/>
      <c r="AM36" s="30"/>
      <c r="AN36" s="53"/>
      <c r="AO36" s="53"/>
      <c r="AP36" s="53"/>
      <c r="AQ36" s="53"/>
      <c r="AR36" s="53"/>
      <c r="AS36" s="53"/>
      <c r="AT36" s="53"/>
      <c r="AU36" s="53"/>
      <c r="AV36" s="53"/>
      <c r="AW36" s="53"/>
      <c r="AX36" s="53"/>
      <c r="AY36" s="53"/>
    </row>
    <row r="37" ht="15.75" customHeight="1" collapsed="1">
      <c r="A37" s="22"/>
      <c r="B37" s="41"/>
      <c r="C37" s="62"/>
      <c r="D37" s="42" t="s">
        <v>38</v>
      </c>
      <c r="E37" s="42"/>
      <c r="F37" s="42"/>
      <c r="G37" s="43"/>
      <c r="H37" s="43"/>
      <c r="I37" s="44">
        <f t="shared" ref="I37:T37" si="6">SUM(I38:I39)</f>
        <v>11164532.2</v>
      </c>
      <c r="J37" s="44">
        <f t="shared" si="6"/>
        <v>36974028.89</v>
      </c>
      <c r="K37" s="44">
        <f t="shared" si="6"/>
        <v>-12034640</v>
      </c>
      <c r="L37" s="44">
        <f t="shared" si="6"/>
        <v>12034640.49</v>
      </c>
      <c r="M37" s="44">
        <f t="shared" si="6"/>
        <v>0</v>
      </c>
      <c r="N37" s="44">
        <f t="shared" si="6"/>
        <v>0</v>
      </c>
      <c r="O37" s="44">
        <f t="shared" si="6"/>
        <v>0</v>
      </c>
      <c r="P37" s="44">
        <f t="shared" si="6"/>
        <v>0</v>
      </c>
      <c r="Q37" s="44">
        <f t="shared" si="6"/>
        <v>0</v>
      </c>
      <c r="R37" s="44">
        <f t="shared" si="6"/>
        <v>0</v>
      </c>
      <c r="S37" s="44">
        <f t="shared" si="6"/>
        <v>0</v>
      </c>
      <c r="T37" s="44">
        <f t="shared" si="6"/>
        <v>0</v>
      </c>
      <c r="U37" s="7"/>
      <c r="V37" s="45">
        <f>SUM(I37:L37)</f>
        <v>48138561.58</v>
      </c>
      <c r="W37" s="9"/>
      <c r="X37" s="44">
        <v>1.188273698152832E7</v>
      </c>
      <c r="Y37" s="44">
        <v>1.188273698152832E7</v>
      </c>
      <c r="Z37" s="44">
        <v>1.188273698152832E7</v>
      </c>
      <c r="AA37" s="44">
        <v>1.242552109739693E7</v>
      </c>
      <c r="AB37" s="44">
        <v>1.242552109739693E7</v>
      </c>
      <c r="AC37" s="44">
        <v>1.242552109739693E7</v>
      </c>
      <c r="AD37" s="44">
        <v>1.299309870965424E7</v>
      </c>
      <c r="AE37" s="44">
        <v>1.299309870965424E7</v>
      </c>
      <c r="AF37" s="44">
        <v>1.299309870965424E7</v>
      </c>
      <c r="AG37" s="44">
        <v>1.358660234492583E7</v>
      </c>
      <c r="AH37" s="44">
        <v>1.358660234492583E7</v>
      </c>
      <c r="AI37" s="44">
        <v>1.358660234492583E7</v>
      </c>
      <c r="AJ37" s="9"/>
      <c r="AK37" s="45">
        <f t="shared" si="4"/>
        <v>48073732.04</v>
      </c>
      <c r="AL37" s="10"/>
      <c r="AM37" s="30">
        <f>+V37-AK37</f>
        <v>64829.53802</v>
      </c>
      <c r="AN37" s="47">
        <f>+AM37/AK37</f>
        <v>0.001348543898</v>
      </c>
      <c r="AO37" s="7"/>
      <c r="AP37" s="7"/>
      <c r="AQ37" s="7"/>
      <c r="AR37" s="7"/>
      <c r="AS37" s="7"/>
    </row>
    <row r="38" ht="15.75" customHeight="1" outlineLevel="1">
      <c r="A38" s="18">
        <v>1.0</v>
      </c>
      <c r="B38" s="58"/>
      <c r="C38" s="5" t="s">
        <v>39</v>
      </c>
      <c r="D38" s="50"/>
      <c r="E38" s="50">
        <v>5111.0</v>
      </c>
      <c r="F38" s="5"/>
      <c r="G38" s="50"/>
      <c r="H38" s="50"/>
      <c r="I38" s="52">
        <v>1.11645322E7</v>
      </c>
      <c r="J38" s="52">
        <f>12904748.89+(12034640*2)</f>
        <v>36974028.89</v>
      </c>
      <c r="K38" s="52">
        <v>-1.203464E7</v>
      </c>
      <c r="L38" s="52">
        <v>1.203464049E7</v>
      </c>
      <c r="M38" s="52"/>
      <c r="N38" s="52"/>
      <c r="O38" s="52"/>
      <c r="P38" s="52"/>
      <c r="Q38" s="52"/>
      <c r="R38" s="52"/>
      <c r="S38" s="52"/>
      <c r="T38" s="52"/>
      <c r="U38" s="53"/>
      <c r="V38" s="54">
        <f>SUM(I38:K38)</f>
        <v>36103921.09</v>
      </c>
      <c r="W38" s="52"/>
      <c r="X38" s="52">
        <v>1.188273698152832E7</v>
      </c>
      <c r="Y38" s="52">
        <v>1.188273698152832E7</v>
      </c>
      <c r="Z38" s="52">
        <v>1.188273698152832E7</v>
      </c>
      <c r="AA38" s="52">
        <v>1.242552109739693E7</v>
      </c>
      <c r="AB38" s="52">
        <v>1.242552109739693E7</v>
      </c>
      <c r="AC38" s="52">
        <v>1.242552109739693E7</v>
      </c>
      <c r="AD38" s="52">
        <v>1.299309870965424E7</v>
      </c>
      <c r="AE38" s="52">
        <v>1.299309870965424E7</v>
      </c>
      <c r="AF38" s="52">
        <v>1.299309870965424E7</v>
      </c>
      <c r="AG38" s="52">
        <v>1.358660234492583E7</v>
      </c>
      <c r="AH38" s="52">
        <v>1.358660234492583E7</v>
      </c>
      <c r="AI38" s="52">
        <v>1.358660234492583E7</v>
      </c>
      <c r="AJ38" s="55"/>
      <c r="AK38" s="54">
        <f>SUM(X38:Z38)</f>
        <v>35648210.94</v>
      </c>
      <c r="AL38" s="56"/>
      <c r="AM38" s="30"/>
      <c r="AN38" s="53"/>
      <c r="AO38" s="53"/>
      <c r="AP38" s="53"/>
      <c r="AQ38" s="53"/>
      <c r="AR38" s="53"/>
      <c r="AS38" s="53"/>
      <c r="AT38" s="53"/>
      <c r="AU38" s="53"/>
      <c r="AV38" s="53"/>
      <c r="AW38" s="53"/>
      <c r="AX38" s="53"/>
      <c r="AY38" s="53"/>
    </row>
    <row r="39" ht="14.25" customHeight="1">
      <c r="A39" s="18"/>
      <c r="B39" s="58"/>
      <c r="C39" s="5"/>
      <c r="D39" s="50"/>
      <c r="E39" s="50"/>
      <c r="F39" s="69"/>
      <c r="G39" s="50"/>
      <c r="H39" s="50"/>
      <c r="I39" s="52"/>
      <c r="J39" s="52"/>
      <c r="K39" s="52"/>
      <c r="L39" s="52"/>
      <c r="M39" s="52"/>
      <c r="N39" s="52"/>
      <c r="O39" s="52"/>
      <c r="P39" s="52"/>
      <c r="Q39" s="52"/>
      <c r="R39" s="52"/>
      <c r="S39" s="52"/>
      <c r="T39" s="52"/>
      <c r="U39" s="7"/>
      <c r="V39" s="54"/>
      <c r="W39" s="9"/>
      <c r="X39" s="52"/>
      <c r="Y39" s="52"/>
      <c r="Z39" s="52"/>
      <c r="AA39" s="52"/>
      <c r="AB39" s="52"/>
      <c r="AC39" s="52"/>
      <c r="AD39" s="52"/>
      <c r="AE39" s="52"/>
      <c r="AF39" s="52"/>
      <c r="AG39" s="52"/>
      <c r="AH39" s="52"/>
      <c r="AI39" s="52"/>
      <c r="AJ39" s="9"/>
      <c r="AK39" s="54"/>
      <c r="AL39" s="10"/>
      <c r="AM39" s="30"/>
      <c r="AN39" s="7"/>
      <c r="AO39" s="7"/>
      <c r="AP39" s="7"/>
      <c r="AQ39" s="7"/>
      <c r="AR39" s="7"/>
      <c r="AS39" s="7"/>
    </row>
    <row r="40" ht="18.0" customHeight="1">
      <c r="A40" s="22"/>
      <c r="B40" s="70"/>
      <c r="C40" s="32" t="s">
        <v>40</v>
      </c>
      <c r="D40" s="33"/>
      <c r="E40" s="27"/>
      <c r="F40" s="34"/>
      <c r="G40" s="33"/>
      <c r="H40" s="33"/>
      <c r="I40" s="71">
        <f t="shared" ref="I40:T40" si="7">+I37+I20+I7</f>
        <v>2033358817</v>
      </c>
      <c r="J40" s="71">
        <f t="shared" si="7"/>
        <v>1982638579</v>
      </c>
      <c r="K40" s="71">
        <f t="shared" si="7"/>
        <v>2145968560</v>
      </c>
      <c r="L40" s="71">
        <f t="shared" si="7"/>
        <v>2238128327</v>
      </c>
      <c r="M40" s="71">
        <f t="shared" si="7"/>
        <v>0</v>
      </c>
      <c r="N40" s="71">
        <f t="shared" si="7"/>
        <v>0</v>
      </c>
      <c r="O40" s="71">
        <f t="shared" si="7"/>
        <v>0</v>
      </c>
      <c r="P40" s="71">
        <f t="shared" si="7"/>
        <v>0</v>
      </c>
      <c r="Q40" s="71">
        <f t="shared" si="7"/>
        <v>0</v>
      </c>
      <c r="R40" s="71">
        <f t="shared" si="7"/>
        <v>0</v>
      </c>
      <c r="S40" s="71">
        <f t="shared" si="7"/>
        <v>0</v>
      </c>
      <c r="T40" s="71">
        <f t="shared" si="7"/>
        <v>0</v>
      </c>
      <c r="U40" s="7"/>
      <c r="V40" s="72">
        <f t="shared" ref="V40:V41" si="9">SUM(I40:L40)</f>
        <v>8400094283</v>
      </c>
      <c r="W40" s="9"/>
      <c r="X40" s="71">
        <v>1.957656134698197E9</v>
      </c>
      <c r="Y40" s="71">
        <v>1.83216590711041E9</v>
      </c>
      <c r="Z40" s="71">
        <v>1.989794609530836E9</v>
      </c>
      <c r="AA40" s="71">
        <v>2.093036782478103E9</v>
      </c>
      <c r="AB40" s="71">
        <v>2.212359534154604E9</v>
      </c>
      <c r="AC40" s="71">
        <v>2.223216376383032E9</v>
      </c>
      <c r="AD40" s="71">
        <v>2.456770512089608E9</v>
      </c>
      <c r="AE40" s="71">
        <v>2.426548871778958E9</v>
      </c>
      <c r="AF40" s="71">
        <v>2.549424401189842E9</v>
      </c>
      <c r="AG40" s="71">
        <v>2.67123551685492E9</v>
      </c>
      <c r="AH40" s="71">
        <v>2.613005974318159E9</v>
      </c>
      <c r="AI40" s="71">
        <v>2.697010488486026E9</v>
      </c>
      <c r="AJ40" s="9"/>
      <c r="AK40" s="72">
        <f t="shared" ref="AK40:AK42" si="10">SUM(X40:AA40)</f>
        <v>7872653434</v>
      </c>
      <c r="AL40" s="10"/>
      <c r="AM40" s="30">
        <f>+V40-AK40</f>
        <v>527440848.9</v>
      </c>
      <c r="AN40" s="47">
        <f>+AM40/AK40</f>
        <v>0.06699657915</v>
      </c>
      <c r="AO40" s="67">
        <f>+L40-AA40</f>
        <v>145091544.4</v>
      </c>
      <c r="AP40" s="7"/>
      <c r="AQ40" s="7"/>
      <c r="AR40" s="7"/>
      <c r="AS40" s="7"/>
    </row>
    <row r="41" ht="16.5" customHeight="1">
      <c r="A41" s="73"/>
      <c r="B41" s="74"/>
      <c r="C41" s="75" t="s">
        <v>41</v>
      </c>
      <c r="D41" s="75"/>
      <c r="E41" s="60">
        <v>5612.0</v>
      </c>
      <c r="F41" s="75"/>
      <c r="G41" s="76"/>
      <c r="H41" s="77"/>
      <c r="I41" s="78">
        <v>-1.2061954686E8</v>
      </c>
      <c r="J41" s="78">
        <v>-1.24410617E8</v>
      </c>
      <c r="K41" s="78">
        <v>-1.2598474811E8</v>
      </c>
      <c r="L41" s="78">
        <v>-1.1082338406E8</v>
      </c>
      <c r="M41" s="78">
        <f t="shared" ref="M41:T41" si="8">-M40*M6</f>
        <v>0</v>
      </c>
      <c r="N41" s="78">
        <f t="shared" si="8"/>
        <v>0</v>
      </c>
      <c r="O41" s="78">
        <f t="shared" si="8"/>
        <v>0</v>
      </c>
      <c r="P41" s="79">
        <f t="shared" si="8"/>
        <v>0</v>
      </c>
      <c r="Q41" s="78">
        <f t="shared" si="8"/>
        <v>0</v>
      </c>
      <c r="R41" s="78">
        <f t="shared" si="8"/>
        <v>0</v>
      </c>
      <c r="S41" s="78">
        <f t="shared" si="8"/>
        <v>0</v>
      </c>
      <c r="T41" s="78">
        <f t="shared" si="8"/>
        <v>0</v>
      </c>
      <c r="U41" s="80"/>
      <c r="V41" s="81">
        <f t="shared" si="9"/>
        <v>-481838296</v>
      </c>
      <c r="W41" s="82"/>
      <c r="X41" s="78">
        <v>-9.788280673490988E7</v>
      </c>
      <c r="Y41" s="78">
        <v>-9.160829535552053E7</v>
      </c>
      <c r="Z41" s="78">
        <v>-9.948973047654182E7</v>
      </c>
      <c r="AA41" s="78">
        <v>-1.046518391239051E8</v>
      </c>
      <c r="AB41" s="78">
        <v>-1.106179767077302E8</v>
      </c>
      <c r="AC41" s="78">
        <v>-1.111608188191516E8</v>
      </c>
      <c r="AD41" s="78">
        <v>-1.228385256044804E8</v>
      </c>
      <c r="AE41" s="78">
        <v>-1.213274435889479E8</v>
      </c>
      <c r="AF41" s="78">
        <v>-1.274712200594921E8</v>
      </c>
      <c r="AG41" s="78">
        <v>-1.33561775842746E8</v>
      </c>
      <c r="AH41" s="78">
        <v>-1.306502987159079E8</v>
      </c>
      <c r="AI41" s="78">
        <v>-1.348505244243013E8</v>
      </c>
      <c r="AJ41" s="82"/>
      <c r="AK41" s="81">
        <f t="shared" si="10"/>
        <v>-393632671.7</v>
      </c>
      <c r="AL41" s="10"/>
      <c r="AM41" s="30"/>
      <c r="AN41" s="80"/>
      <c r="AO41" s="80"/>
      <c r="AP41" s="80"/>
      <c r="AQ41" s="80"/>
      <c r="AR41" s="80"/>
      <c r="AS41" s="80"/>
    </row>
    <row r="42" ht="18.0" customHeight="1">
      <c r="A42" s="22"/>
      <c r="B42" s="83" t="s">
        <v>42</v>
      </c>
      <c r="C42" s="84"/>
      <c r="D42" s="85"/>
      <c r="E42" s="85"/>
      <c r="F42" s="84"/>
      <c r="G42" s="84"/>
      <c r="H42" s="84"/>
      <c r="I42" s="86">
        <f t="shared" ref="I42:T42" si="11">SUM(I40:I41)</f>
        <v>1912739270</v>
      </c>
      <c r="J42" s="86">
        <f t="shared" si="11"/>
        <v>1858227962</v>
      </c>
      <c r="K42" s="86">
        <f t="shared" si="11"/>
        <v>2019983812</v>
      </c>
      <c r="L42" s="86">
        <f t="shared" si="11"/>
        <v>2127304943</v>
      </c>
      <c r="M42" s="86">
        <f t="shared" si="11"/>
        <v>0</v>
      </c>
      <c r="N42" s="86">
        <f t="shared" si="11"/>
        <v>0</v>
      </c>
      <c r="O42" s="86">
        <f t="shared" si="11"/>
        <v>0</v>
      </c>
      <c r="P42" s="87">
        <f t="shared" si="11"/>
        <v>0</v>
      </c>
      <c r="Q42" s="86">
        <f t="shared" si="11"/>
        <v>0</v>
      </c>
      <c r="R42" s="86">
        <f t="shared" si="11"/>
        <v>0</v>
      </c>
      <c r="S42" s="86">
        <f t="shared" si="11"/>
        <v>0</v>
      </c>
      <c r="T42" s="86">
        <f t="shared" si="11"/>
        <v>0</v>
      </c>
      <c r="U42" s="7"/>
      <c r="V42" s="88">
        <f>SUM(V40:V41)</f>
        <v>7918255987</v>
      </c>
      <c r="W42" s="89"/>
      <c r="X42" s="86">
        <v>1.859773327963288E9</v>
      </c>
      <c r="Y42" s="86">
        <v>1.74055761175489E9</v>
      </c>
      <c r="Z42" s="86">
        <v>1.890304879054294E9</v>
      </c>
      <c r="AA42" s="86">
        <v>1.988384943354198E9</v>
      </c>
      <c r="AB42" s="86">
        <v>2.101741557446874E9</v>
      </c>
      <c r="AC42" s="86">
        <v>2.112055557563881E9</v>
      </c>
      <c r="AD42" s="86">
        <v>2.333931986485127E9</v>
      </c>
      <c r="AE42" s="86">
        <v>2.30522142819001E9</v>
      </c>
      <c r="AF42" s="86">
        <v>2.42195318113035E9</v>
      </c>
      <c r="AG42" s="86">
        <v>2.537673741012175E9</v>
      </c>
      <c r="AH42" s="86">
        <v>2.482355675602251E9</v>
      </c>
      <c r="AI42" s="86">
        <v>2.562159964061725E9</v>
      </c>
      <c r="AJ42" s="89"/>
      <c r="AK42" s="88">
        <f t="shared" si="10"/>
        <v>7479020762</v>
      </c>
      <c r="AL42" s="10"/>
      <c r="AM42" s="30">
        <f>+V42-AK42</f>
        <v>439235224.6</v>
      </c>
      <c r="AN42" s="47">
        <f>+AM42/AK42</f>
        <v>0.05872897516</v>
      </c>
      <c r="AO42" s="90" t="s">
        <v>43</v>
      </c>
      <c r="AP42" s="7"/>
      <c r="AQ42" s="7"/>
      <c r="AR42" s="7"/>
      <c r="AS42" s="7"/>
    </row>
    <row r="43" ht="13.5" customHeight="1">
      <c r="A43" s="1"/>
      <c r="B43" s="2"/>
      <c r="C43" s="2"/>
      <c r="D43" s="60"/>
      <c r="E43" s="60"/>
      <c r="F43" s="2"/>
      <c r="G43" s="91" t="s">
        <v>44</v>
      </c>
      <c r="H43" s="91"/>
      <c r="I43" s="92"/>
      <c r="J43" s="92"/>
      <c r="K43" s="92"/>
      <c r="L43" s="92"/>
      <c r="M43" s="92"/>
      <c r="N43" s="92"/>
      <c r="O43" s="92"/>
      <c r="P43" s="93"/>
      <c r="Q43" s="93"/>
      <c r="R43" s="93"/>
      <c r="S43" s="93"/>
      <c r="T43" s="94"/>
      <c r="U43" s="7"/>
      <c r="V43" s="95"/>
      <c r="W43" s="9"/>
      <c r="X43" s="93"/>
      <c r="Y43" s="93"/>
      <c r="Z43" s="93"/>
      <c r="AA43" s="93"/>
      <c r="AB43" s="93"/>
      <c r="AC43" s="93"/>
      <c r="AD43" s="93"/>
      <c r="AE43" s="93"/>
      <c r="AF43" s="93"/>
      <c r="AG43" s="93"/>
      <c r="AH43" s="93"/>
      <c r="AI43" s="93"/>
      <c r="AJ43" s="9"/>
      <c r="AK43" s="96"/>
      <c r="AL43" s="10"/>
      <c r="AM43" s="30"/>
      <c r="AN43" s="7"/>
      <c r="AO43" s="7"/>
      <c r="AP43" s="7"/>
      <c r="AQ43" s="7"/>
      <c r="AR43" s="7"/>
      <c r="AS43" s="7"/>
    </row>
    <row r="44" ht="12.0" customHeight="1">
      <c r="A44" s="22"/>
      <c r="B44" s="97" t="s">
        <v>45</v>
      </c>
      <c r="C44" s="98"/>
      <c r="D44" s="25"/>
      <c r="E44" s="25"/>
      <c r="F44" s="98"/>
      <c r="G44" s="99"/>
      <c r="H44" s="99"/>
      <c r="I44" s="28"/>
      <c r="J44" s="28"/>
      <c r="K44" s="28"/>
      <c r="L44" s="28"/>
      <c r="M44" s="28"/>
      <c r="N44" s="28"/>
      <c r="O44" s="28"/>
      <c r="P44" s="28"/>
      <c r="Q44" s="28"/>
      <c r="R44" s="28"/>
      <c r="S44" s="28"/>
      <c r="T44" s="28"/>
      <c r="U44" s="7"/>
      <c r="V44" s="29"/>
      <c r="W44" s="9"/>
      <c r="X44" s="28"/>
      <c r="Y44" s="28"/>
      <c r="Z44" s="28"/>
      <c r="AA44" s="28"/>
      <c r="AB44" s="28"/>
      <c r="AC44" s="28"/>
      <c r="AD44" s="28"/>
      <c r="AE44" s="28"/>
      <c r="AF44" s="28"/>
      <c r="AG44" s="28"/>
      <c r="AH44" s="28"/>
      <c r="AI44" s="28"/>
      <c r="AJ44" s="9"/>
      <c r="AK44" s="29"/>
      <c r="AL44" s="10"/>
      <c r="AM44" s="30"/>
      <c r="AN44" s="7"/>
      <c r="AO44" s="7"/>
      <c r="AP44" s="7"/>
      <c r="AQ44" s="7"/>
      <c r="AR44" s="7"/>
      <c r="AS44" s="7"/>
    </row>
    <row r="45" ht="16.5" customHeight="1">
      <c r="A45" s="22"/>
      <c r="B45" s="100"/>
      <c r="C45" s="101" t="s">
        <v>46</v>
      </c>
      <c r="D45" s="33" t="s">
        <v>47</v>
      </c>
      <c r="E45" s="33"/>
      <c r="F45" s="33" t="s">
        <v>48</v>
      </c>
      <c r="G45" s="102"/>
      <c r="H45" s="102"/>
      <c r="I45" s="28"/>
      <c r="J45" s="28"/>
      <c r="K45" s="28"/>
      <c r="L45" s="28"/>
      <c r="M45" s="28"/>
      <c r="N45" s="28"/>
      <c r="O45" s="28"/>
      <c r="P45" s="28"/>
      <c r="Q45" s="28"/>
      <c r="R45" s="28"/>
      <c r="S45" s="28"/>
      <c r="T45" s="28"/>
      <c r="U45" s="7"/>
      <c r="V45" s="29"/>
      <c r="W45" s="9"/>
      <c r="X45" s="28"/>
      <c r="Y45" s="28"/>
      <c r="Z45" s="28"/>
      <c r="AA45" s="28"/>
      <c r="AB45" s="28"/>
      <c r="AC45" s="28"/>
      <c r="AD45" s="28"/>
      <c r="AE45" s="28"/>
      <c r="AF45" s="28"/>
      <c r="AG45" s="28"/>
      <c r="AH45" s="28"/>
      <c r="AI45" s="28"/>
      <c r="AJ45" s="9"/>
      <c r="AK45" s="29"/>
      <c r="AL45" s="10"/>
      <c r="AM45" s="30"/>
      <c r="AN45" s="7"/>
      <c r="AO45" s="7"/>
      <c r="AP45" s="7"/>
      <c r="AQ45" s="7"/>
      <c r="AR45" s="7"/>
      <c r="AS45" s="7"/>
    </row>
    <row r="46" ht="15.75" customHeight="1">
      <c r="A46" s="22"/>
      <c r="B46" s="41"/>
      <c r="C46" s="62"/>
      <c r="D46" s="42" t="s">
        <v>49</v>
      </c>
      <c r="E46" s="42"/>
      <c r="F46" s="42"/>
      <c r="G46" s="43"/>
      <c r="H46" s="43"/>
      <c r="I46" s="44">
        <f t="shared" ref="I46:P46" si="12">SUM(I47:I56)</f>
        <v>37117400.52</v>
      </c>
      <c r="J46" s="44">
        <f t="shared" si="12"/>
        <v>36667763.89</v>
      </c>
      <c r="K46" s="44">
        <f t="shared" si="12"/>
        <v>35858134.89</v>
      </c>
      <c r="L46" s="44">
        <f t="shared" si="12"/>
        <v>39124931.49</v>
      </c>
      <c r="M46" s="44">
        <f t="shared" si="12"/>
        <v>0</v>
      </c>
      <c r="N46" s="44">
        <f t="shared" si="12"/>
        <v>0</v>
      </c>
      <c r="O46" s="44">
        <f t="shared" si="12"/>
        <v>0</v>
      </c>
      <c r="P46" s="44">
        <f t="shared" si="12"/>
        <v>0</v>
      </c>
      <c r="Q46" s="44">
        <f t="shared" ref="Q46:T46" si="13">SUM(Q47:Q57)</f>
        <v>0</v>
      </c>
      <c r="R46" s="44">
        <f t="shared" si="13"/>
        <v>0</v>
      </c>
      <c r="S46" s="44">
        <f t="shared" si="13"/>
        <v>0</v>
      </c>
      <c r="T46" s="44">
        <f t="shared" si="13"/>
        <v>0</v>
      </c>
      <c r="U46" s="7"/>
      <c r="V46" s="45">
        <f t="shared" ref="V46:V91" si="14">SUM(I46:L46)</f>
        <v>148768230.8</v>
      </c>
      <c r="W46" s="89">
        <f>+V46/$V$169</f>
        <v>0.04653336878</v>
      </c>
      <c r="X46" s="44">
        <v>4.142438265701929E7</v>
      </c>
      <c r="Y46" s="44">
        <v>4.153581390701929E7</v>
      </c>
      <c r="Z46" s="44">
        <v>4.164891662576929E7</v>
      </c>
      <c r="AA46" s="44">
        <v>4.341226798111133E7</v>
      </c>
      <c r="AB46" s="44">
        <v>4.352878922953555E7</v>
      </c>
      <c r="AC46" s="44">
        <v>4.364705829668613E7</v>
      </c>
      <c r="AD46" s="44">
        <v>3.204096650299486E7</v>
      </c>
      <c r="AE46" s="44">
        <v>3.216281025270007E7</v>
      </c>
      <c r="AF46" s="44">
        <v>3.228648165865086E7</v>
      </c>
      <c r="AG46" s="44">
        <v>3.345657887901522E7</v>
      </c>
      <c r="AH46" s="44">
        <v>3.358398825321087E7</v>
      </c>
      <c r="AI46" s="44">
        <v>3.371330876801945E7</v>
      </c>
      <c r="AJ46" s="89"/>
      <c r="AK46" s="103">
        <f t="shared" ref="AK46:AK55" si="15">SUM(X46:AA46)</f>
        <v>168021381.2</v>
      </c>
      <c r="AL46" s="10"/>
      <c r="AM46" s="30">
        <f>+V46-AK46</f>
        <v>-19253150.38</v>
      </c>
      <c r="AN46" s="47">
        <f>+AM46/AK46</f>
        <v>-0.1145875022</v>
      </c>
      <c r="AO46" s="90"/>
      <c r="AP46" s="7"/>
      <c r="AQ46" s="7"/>
      <c r="AR46" s="7"/>
      <c r="AS46" s="7"/>
    </row>
    <row r="47" ht="12.0" customHeight="1" outlineLevel="1">
      <c r="A47" s="18"/>
      <c r="B47" s="58"/>
      <c r="C47" s="5" t="s">
        <v>50</v>
      </c>
      <c r="D47" s="50" t="s">
        <v>49</v>
      </c>
      <c r="E47" s="50">
        <v>5215.0</v>
      </c>
      <c r="F47" s="5" t="s">
        <v>51</v>
      </c>
      <c r="G47" s="50" t="s">
        <v>52</v>
      </c>
      <c r="H47" s="104"/>
      <c r="I47" s="52">
        <v>5783495.63</v>
      </c>
      <c r="J47" s="52">
        <v>5560417.0</v>
      </c>
      <c r="K47" s="52">
        <v>5554330.0</v>
      </c>
      <c r="L47" s="52">
        <v>5748397.42</v>
      </c>
      <c r="M47" s="52"/>
      <c r="N47" s="52"/>
      <c r="O47" s="52"/>
      <c r="P47" s="52"/>
      <c r="Q47" s="52"/>
      <c r="R47" s="52"/>
      <c r="S47" s="52"/>
      <c r="T47" s="52"/>
      <c r="U47" s="53"/>
      <c r="V47" s="54">
        <f t="shared" si="14"/>
        <v>22646640.05</v>
      </c>
      <c r="W47" s="105"/>
      <c r="X47" s="52">
        <v>5928750.0</v>
      </c>
      <c r="Y47" s="52">
        <v>6017681.249999999</v>
      </c>
      <c r="Z47" s="52">
        <v>6107946.468749998</v>
      </c>
      <c r="AA47" s="52">
        <v>6199565.665781248</v>
      </c>
      <c r="AB47" s="52">
        <v>6292559.150767965</v>
      </c>
      <c r="AC47" s="52">
        <v>6386947.538029484</v>
      </c>
      <c r="AD47" s="52">
        <v>6482751.751099925</v>
      </c>
      <c r="AE47" s="52">
        <v>6579993.027366424</v>
      </c>
      <c r="AF47" s="52">
        <v>6678692.92277692</v>
      </c>
      <c r="AG47" s="52">
        <v>6778873.316618573</v>
      </c>
      <c r="AH47" s="52">
        <v>6880556.416367851</v>
      </c>
      <c r="AI47" s="52">
        <v>6983764.762613368</v>
      </c>
      <c r="AJ47" s="105"/>
      <c r="AK47" s="54">
        <f t="shared" si="15"/>
        <v>24253943.38</v>
      </c>
      <c r="AL47" s="56"/>
      <c r="AM47" s="30"/>
      <c r="AN47" s="53"/>
      <c r="AO47" s="53"/>
      <c r="AP47" s="53"/>
      <c r="AQ47" s="53"/>
      <c r="AR47" s="53"/>
      <c r="AS47" s="53"/>
      <c r="AT47" s="53"/>
      <c r="AU47" s="53"/>
      <c r="AV47" s="53"/>
      <c r="AW47" s="53"/>
      <c r="AX47" s="53"/>
      <c r="AY47" s="53"/>
    </row>
    <row r="48" ht="12.0" customHeight="1" outlineLevel="1">
      <c r="A48" s="18"/>
      <c r="B48" s="58"/>
      <c r="C48" s="5" t="s">
        <v>50</v>
      </c>
      <c r="D48" s="50" t="s">
        <v>49</v>
      </c>
      <c r="E48" s="50">
        <v>5214.0</v>
      </c>
      <c r="F48" s="5" t="s">
        <v>53</v>
      </c>
      <c r="G48" s="50" t="s">
        <v>54</v>
      </c>
      <c r="H48" s="106"/>
      <c r="I48" s="52">
        <v>5130000.0</v>
      </c>
      <c r="J48" s="52">
        <v>5130000.0</v>
      </c>
      <c r="K48" s="52">
        <v>5130000.0</v>
      </c>
      <c r="L48" s="52">
        <v>5581440.0</v>
      </c>
      <c r="M48" s="52"/>
      <c r="N48" s="52"/>
      <c r="O48" s="52"/>
      <c r="P48" s="52"/>
      <c r="Q48" s="52"/>
      <c r="R48" s="52"/>
      <c r="S48" s="52"/>
      <c r="T48" s="52"/>
      <c r="U48" s="53"/>
      <c r="V48" s="54">
        <f t="shared" si="14"/>
        <v>20971440</v>
      </c>
      <c r="W48" s="105"/>
      <c r="X48" s="52">
        <v>5057692.358399998</v>
      </c>
      <c r="Y48" s="52">
        <v>5057692.358399998</v>
      </c>
      <c r="Z48" s="52">
        <v>5057692.358399998</v>
      </c>
      <c r="AA48" s="52">
        <v>5288719.526581626</v>
      </c>
      <c r="AB48" s="52">
        <v>5288719.526581626</v>
      </c>
      <c r="AC48" s="52">
        <v>5288719.526581626</v>
      </c>
      <c r="AD48" s="52">
        <v>5530299.640386642</v>
      </c>
      <c r="AE48" s="52">
        <v>5530299.640386642</v>
      </c>
      <c r="AF48" s="52">
        <v>5530299.640386642</v>
      </c>
      <c r="AG48" s="52">
        <v>5782914.741222586</v>
      </c>
      <c r="AH48" s="52">
        <v>5782914.741222586</v>
      </c>
      <c r="AI48" s="52">
        <v>5782914.741222586</v>
      </c>
      <c r="AJ48" s="105"/>
      <c r="AK48" s="54">
        <f t="shared" si="15"/>
        <v>20461796.6</v>
      </c>
      <c r="AL48" s="56"/>
      <c r="AM48" s="30"/>
      <c r="AN48" s="53"/>
      <c r="AO48" s="53"/>
      <c r="AP48" s="53"/>
      <c r="AQ48" s="53"/>
      <c r="AR48" s="53"/>
      <c r="AS48" s="53"/>
      <c r="AT48" s="53"/>
      <c r="AU48" s="53"/>
      <c r="AV48" s="53"/>
      <c r="AW48" s="53"/>
      <c r="AX48" s="53"/>
      <c r="AY48" s="53"/>
    </row>
    <row r="49" ht="12.0" customHeight="1" outlineLevel="1">
      <c r="A49" s="18"/>
      <c r="B49" s="58"/>
      <c r="C49" s="2" t="s">
        <v>55</v>
      </c>
      <c r="D49" s="60" t="s">
        <v>49</v>
      </c>
      <c r="E49" s="60">
        <v>5214.0</v>
      </c>
      <c r="F49" s="2" t="s">
        <v>56</v>
      </c>
      <c r="G49" s="60" t="s">
        <v>54</v>
      </c>
      <c r="H49" s="107"/>
      <c r="I49" s="6">
        <v>9756908.9</v>
      </c>
      <c r="J49" s="6">
        <v>9756908.9</v>
      </c>
      <c r="K49" s="6">
        <v>9756908.9</v>
      </c>
      <c r="L49" s="108">
        <v>1.06155174E7</v>
      </c>
      <c r="M49" s="52"/>
      <c r="N49" s="52"/>
      <c r="O49" s="52"/>
      <c r="P49" s="52"/>
      <c r="Q49" s="52"/>
      <c r="R49" s="52"/>
      <c r="S49" s="52"/>
      <c r="T49" s="52"/>
      <c r="U49" s="53"/>
      <c r="V49" s="54">
        <f t="shared" si="14"/>
        <v>39886244.1</v>
      </c>
      <c r="W49" s="105"/>
      <c r="X49" s="52">
        <v>1.039474366855887E7</v>
      </c>
      <c r="Y49" s="52">
        <v>1.039474366855887E7</v>
      </c>
      <c r="Z49" s="52">
        <v>1.039474366855887E7</v>
      </c>
      <c r="AA49" s="52">
        <v>1.092310329185989E7</v>
      </c>
      <c r="AB49" s="52">
        <v>1.092310329185989E7</v>
      </c>
      <c r="AC49" s="52">
        <v>1.092310329185989E7</v>
      </c>
      <c r="AD49" s="52">
        <v>5711026.450094596</v>
      </c>
      <c r="AE49" s="52">
        <v>5711026.450094596</v>
      </c>
      <c r="AF49" s="52">
        <v>5711026.450094596</v>
      </c>
      <c r="AG49" s="52">
        <v>5971896.857916933</v>
      </c>
      <c r="AH49" s="52">
        <v>5971896.857916933</v>
      </c>
      <c r="AI49" s="52">
        <v>5971896.857916933</v>
      </c>
      <c r="AJ49" s="105"/>
      <c r="AK49" s="54">
        <f t="shared" si="15"/>
        <v>42107334.3</v>
      </c>
      <c r="AL49" s="56"/>
      <c r="AM49" s="30"/>
      <c r="AN49" s="53"/>
      <c r="AO49" s="53"/>
      <c r="AP49" s="53"/>
      <c r="AQ49" s="53"/>
      <c r="AR49" s="53"/>
      <c r="AS49" s="53"/>
      <c r="AT49" s="53"/>
      <c r="AU49" s="53"/>
      <c r="AV49" s="53"/>
      <c r="AW49" s="53"/>
      <c r="AX49" s="53"/>
      <c r="AY49" s="53"/>
    </row>
    <row r="50" ht="12.0" customHeight="1" outlineLevel="1">
      <c r="A50" s="18"/>
      <c r="B50" s="58"/>
      <c r="C50" s="2" t="s">
        <v>55</v>
      </c>
      <c r="D50" s="60" t="s">
        <v>49</v>
      </c>
      <c r="E50" s="60">
        <v>5214.0</v>
      </c>
      <c r="F50" s="2" t="s">
        <v>57</v>
      </c>
      <c r="G50" s="60" t="s">
        <v>54</v>
      </c>
      <c r="H50" s="107"/>
      <c r="I50" s="6">
        <v>9756908.9</v>
      </c>
      <c r="J50" s="6">
        <v>9756908.9</v>
      </c>
      <c r="K50" s="6">
        <v>9756908.9</v>
      </c>
      <c r="L50" s="108">
        <v>1.06155174E7</v>
      </c>
      <c r="M50" s="52"/>
      <c r="N50" s="52"/>
      <c r="O50" s="52"/>
      <c r="P50" s="52"/>
      <c r="Q50" s="52"/>
      <c r="R50" s="52"/>
      <c r="S50" s="52"/>
      <c r="T50" s="52"/>
      <c r="U50" s="53"/>
      <c r="V50" s="54">
        <f t="shared" si="14"/>
        <v>39886244.1</v>
      </c>
      <c r="W50" s="105"/>
      <c r="X50" s="52">
        <v>1.039474366855887E7</v>
      </c>
      <c r="Y50" s="52">
        <v>1.039474366855887E7</v>
      </c>
      <c r="Z50" s="52">
        <v>1.039474366855887E7</v>
      </c>
      <c r="AA50" s="52">
        <v>1.092310329185989E7</v>
      </c>
      <c r="AB50" s="52">
        <v>1.092310329185989E7</v>
      </c>
      <c r="AC50" s="52">
        <v>1.092310329185989E7</v>
      </c>
      <c r="AD50" s="52">
        <v>5711026.450094596</v>
      </c>
      <c r="AE50" s="52">
        <v>5711026.450094596</v>
      </c>
      <c r="AF50" s="52">
        <v>5711026.450094596</v>
      </c>
      <c r="AG50" s="52">
        <v>5971896.857916933</v>
      </c>
      <c r="AH50" s="52">
        <v>5971896.857916933</v>
      </c>
      <c r="AI50" s="52">
        <v>5971896.857916933</v>
      </c>
      <c r="AJ50" s="105"/>
      <c r="AK50" s="54">
        <f t="shared" si="15"/>
        <v>42107334.3</v>
      </c>
      <c r="AL50" s="56"/>
      <c r="AM50" s="30"/>
      <c r="AN50" s="53"/>
      <c r="AO50" s="53"/>
      <c r="AP50" s="53"/>
      <c r="AQ50" s="53"/>
      <c r="AR50" s="53"/>
      <c r="AS50" s="53"/>
      <c r="AT50" s="53"/>
      <c r="AU50" s="53"/>
      <c r="AV50" s="53"/>
      <c r="AW50" s="53"/>
      <c r="AX50" s="53"/>
      <c r="AY50" s="53"/>
    </row>
    <row r="51" ht="12.0" customHeight="1" outlineLevel="1">
      <c r="A51" s="18"/>
      <c r="B51" s="58"/>
      <c r="C51" s="2" t="s">
        <v>55</v>
      </c>
      <c r="D51" s="60" t="s">
        <v>49</v>
      </c>
      <c r="E51" s="60">
        <v>5214.0</v>
      </c>
      <c r="F51" s="2" t="s">
        <v>58</v>
      </c>
      <c r="G51" s="60" t="s">
        <v>54</v>
      </c>
      <c r="H51" s="107"/>
      <c r="I51" s="6">
        <v>1999151.88</v>
      </c>
      <c r="J51" s="6">
        <v>1999151.88</v>
      </c>
      <c r="K51" s="6">
        <v>1999151.88</v>
      </c>
      <c r="L51" s="108">
        <v>2175077.2</v>
      </c>
      <c r="M51" s="52"/>
      <c r="N51" s="52"/>
      <c r="O51" s="52"/>
      <c r="P51" s="52"/>
      <c r="Q51" s="52"/>
      <c r="R51" s="52"/>
      <c r="S51" s="52"/>
      <c r="T51" s="52"/>
      <c r="U51" s="53"/>
      <c r="V51" s="54">
        <f t="shared" si="14"/>
        <v>8172532.84</v>
      </c>
      <c r="W51" s="105"/>
      <c r="X51" s="52">
        <v>2129841.883984319</v>
      </c>
      <c r="Y51" s="52">
        <v>2129841.883984319</v>
      </c>
      <c r="Z51" s="52">
        <v>2129841.883984319</v>
      </c>
      <c r="AA51" s="52">
        <v>2238100.6820263</v>
      </c>
      <c r="AB51" s="52">
        <v>2238100.6820263</v>
      </c>
      <c r="AC51" s="52">
        <v>2238100.6820263</v>
      </c>
      <c r="AD51" s="52">
        <v>1170166.742133826</v>
      </c>
      <c r="AE51" s="52">
        <v>1170166.742133826</v>
      </c>
      <c r="AF51" s="52">
        <v>1170166.742133826</v>
      </c>
      <c r="AG51" s="52">
        <v>1223618.057393543</v>
      </c>
      <c r="AH51" s="52">
        <v>1223618.057393543</v>
      </c>
      <c r="AI51" s="52">
        <v>1223618.057393543</v>
      </c>
      <c r="AJ51" s="105"/>
      <c r="AK51" s="54">
        <f t="shared" si="15"/>
        <v>8627626.334</v>
      </c>
      <c r="AL51" s="56"/>
      <c r="AM51" s="30"/>
      <c r="AN51" s="53"/>
      <c r="AO51" s="53"/>
      <c r="AP51" s="53"/>
      <c r="AQ51" s="53"/>
      <c r="AR51" s="53"/>
      <c r="AS51" s="53"/>
      <c r="AT51" s="53"/>
      <c r="AU51" s="53"/>
      <c r="AV51" s="53"/>
      <c r="AW51" s="53"/>
      <c r="AX51" s="53"/>
      <c r="AY51" s="53"/>
    </row>
    <row r="52" ht="12.0" customHeight="1" outlineLevel="1">
      <c r="A52" s="18"/>
      <c r="B52" s="58"/>
      <c r="C52" s="2" t="s">
        <v>55</v>
      </c>
      <c r="D52" s="60" t="s">
        <v>49</v>
      </c>
      <c r="E52" s="60">
        <v>5214.0</v>
      </c>
      <c r="F52" s="2" t="s">
        <v>59</v>
      </c>
      <c r="G52" s="60" t="s">
        <v>54</v>
      </c>
      <c r="H52" s="107"/>
      <c r="I52" s="6">
        <f t="shared" ref="I52:K52" si="16">1220020.94-3000</f>
        <v>1217020.94</v>
      </c>
      <c r="J52" s="6">
        <f t="shared" si="16"/>
        <v>1217020.94</v>
      </c>
      <c r="K52" s="6">
        <f t="shared" si="16"/>
        <v>1217020.94</v>
      </c>
      <c r="L52" s="108">
        <v>1327382.8</v>
      </c>
      <c r="M52" s="52"/>
      <c r="N52" s="52"/>
      <c r="O52" s="52"/>
      <c r="P52" s="52"/>
      <c r="Q52" s="52"/>
      <c r="R52" s="52"/>
      <c r="S52" s="52"/>
      <c r="T52" s="52"/>
      <c r="U52" s="53"/>
      <c r="V52" s="54">
        <f t="shared" si="14"/>
        <v>4978445.62</v>
      </c>
      <c r="W52" s="105"/>
      <c r="X52" s="52">
        <v>1299777.01802586</v>
      </c>
      <c r="Y52" s="52">
        <v>1299777.01802586</v>
      </c>
      <c r="Z52" s="52">
        <v>1299777.01802586</v>
      </c>
      <c r="AA52" s="52">
        <v>1365844.033963605</v>
      </c>
      <c r="AB52" s="52">
        <v>1365844.033963605</v>
      </c>
      <c r="AC52" s="52">
        <v>1365844.033963605</v>
      </c>
      <c r="AD52" s="52">
        <v>714116.7849692533</v>
      </c>
      <c r="AE52" s="52">
        <v>714116.7849692533</v>
      </c>
      <c r="AF52" s="52">
        <v>714116.7849692533</v>
      </c>
      <c r="AG52" s="52">
        <v>746736.479266873</v>
      </c>
      <c r="AH52" s="52">
        <v>746736.479266873</v>
      </c>
      <c r="AI52" s="52">
        <v>746736.479266873</v>
      </c>
      <c r="AJ52" s="105"/>
      <c r="AK52" s="54">
        <f t="shared" si="15"/>
        <v>5265175.088</v>
      </c>
      <c r="AL52" s="56"/>
      <c r="AM52" s="30"/>
      <c r="AN52" s="53"/>
      <c r="AO52" s="53"/>
      <c r="AP52" s="53"/>
      <c r="AQ52" s="53"/>
      <c r="AR52" s="53"/>
      <c r="AS52" s="53"/>
      <c r="AT52" s="53"/>
      <c r="AU52" s="53"/>
      <c r="AV52" s="53"/>
      <c r="AW52" s="53"/>
      <c r="AX52" s="53"/>
      <c r="AY52" s="53"/>
    </row>
    <row r="53" ht="12.0" customHeight="1" outlineLevel="1">
      <c r="A53" s="18"/>
      <c r="B53" s="58"/>
      <c r="C53" s="5" t="s">
        <v>60</v>
      </c>
      <c r="D53" s="50" t="s">
        <v>49</v>
      </c>
      <c r="E53" s="50">
        <v>5214.0</v>
      </c>
      <c r="F53" s="5" t="s">
        <v>61</v>
      </c>
      <c r="G53" s="50" t="s">
        <v>54</v>
      </c>
      <c r="H53" s="106"/>
      <c r="I53" s="52">
        <v>2410530.0</v>
      </c>
      <c r="J53" s="52">
        <v>2183972.0</v>
      </c>
      <c r="K53" s="52">
        <f>1377430+3000</f>
        <v>1380430</v>
      </c>
      <c r="L53" s="109">
        <v>1998215.0</v>
      </c>
      <c r="M53" s="52"/>
      <c r="N53" s="52"/>
      <c r="O53" s="52"/>
      <c r="P53" s="52"/>
      <c r="Q53" s="52"/>
      <c r="R53" s="52"/>
      <c r="S53" s="52"/>
      <c r="T53" s="52"/>
      <c r="U53" s="53"/>
      <c r="V53" s="54">
        <f t="shared" si="14"/>
        <v>7973147</v>
      </c>
      <c r="W53" s="105"/>
      <c r="X53" s="52">
        <v>3668733.059491368</v>
      </c>
      <c r="Y53" s="52">
        <v>3668733.059491368</v>
      </c>
      <c r="Z53" s="52">
        <v>3668733.059491368</v>
      </c>
      <c r="AA53" s="52">
        <v>3855212.926538784</v>
      </c>
      <c r="AB53" s="52">
        <v>3855212.926538784</v>
      </c>
      <c r="AC53" s="52">
        <v>3855212.926538784</v>
      </c>
      <c r="AD53" s="52">
        <v>4031312.788302068</v>
      </c>
      <c r="AE53" s="52">
        <v>4031312.788302068</v>
      </c>
      <c r="AF53" s="52">
        <v>4031312.788302068</v>
      </c>
      <c r="AG53" s="52">
        <v>4215456.605588424</v>
      </c>
      <c r="AH53" s="52">
        <v>4215456.605588424</v>
      </c>
      <c r="AI53" s="52">
        <v>4215456.605588424</v>
      </c>
      <c r="AJ53" s="105"/>
      <c r="AK53" s="54">
        <f t="shared" si="15"/>
        <v>14861412.11</v>
      </c>
      <c r="AL53" s="56"/>
      <c r="AM53" s="30"/>
      <c r="AN53" s="53"/>
      <c r="AO53" s="53"/>
      <c r="AP53" s="53"/>
      <c r="AQ53" s="53"/>
      <c r="AR53" s="53"/>
      <c r="AS53" s="53"/>
      <c r="AT53" s="53"/>
      <c r="AU53" s="53"/>
      <c r="AV53" s="53"/>
      <c r="AW53" s="53"/>
      <c r="AX53" s="53"/>
      <c r="AY53" s="53"/>
    </row>
    <row r="54" ht="12.0" customHeight="1" outlineLevel="1">
      <c r="A54" s="18"/>
      <c r="B54" s="58"/>
      <c r="C54" s="110" t="s">
        <v>50</v>
      </c>
      <c r="D54" s="111" t="s">
        <v>49</v>
      </c>
      <c r="E54" s="111">
        <v>5514.0</v>
      </c>
      <c r="F54" s="110" t="s">
        <v>62</v>
      </c>
      <c r="G54" s="111" t="s">
        <v>63</v>
      </c>
      <c r="H54" s="112"/>
      <c r="I54" s="113">
        <v>1063384.27</v>
      </c>
      <c r="J54" s="113">
        <v>1063384.27</v>
      </c>
      <c r="K54" s="113">
        <v>1063384.27</v>
      </c>
      <c r="L54" s="113">
        <v>1063384.27</v>
      </c>
      <c r="M54" s="113"/>
      <c r="N54" s="113"/>
      <c r="O54" s="113"/>
      <c r="P54" s="113"/>
      <c r="Q54" s="113"/>
      <c r="R54" s="113"/>
      <c r="S54" s="113"/>
      <c r="T54" s="113"/>
      <c r="U54" s="53"/>
      <c r="V54" s="54">
        <f t="shared" si="14"/>
        <v>4253537.08</v>
      </c>
      <c r="W54" s="105"/>
      <c r="X54" s="113">
        <v>1050101.0</v>
      </c>
      <c r="Y54" s="113">
        <v>1050101.0</v>
      </c>
      <c r="Z54" s="113">
        <v>1050101.0</v>
      </c>
      <c r="AA54" s="113">
        <v>1050101.0</v>
      </c>
      <c r="AB54" s="113">
        <v>1050101.0</v>
      </c>
      <c r="AC54" s="113">
        <v>1050101.0</v>
      </c>
      <c r="AD54" s="113">
        <v>1050101.0</v>
      </c>
      <c r="AE54" s="113">
        <v>1050101.0</v>
      </c>
      <c r="AF54" s="113">
        <v>1050101.0</v>
      </c>
      <c r="AG54" s="113">
        <v>1050101.0</v>
      </c>
      <c r="AH54" s="113">
        <v>1050101.0</v>
      </c>
      <c r="AI54" s="113">
        <v>1050101.0</v>
      </c>
      <c r="AJ54" s="105"/>
      <c r="AK54" s="54">
        <f t="shared" si="15"/>
        <v>4200404</v>
      </c>
      <c r="AL54" s="56"/>
      <c r="AM54" s="30"/>
      <c r="AN54" s="53"/>
      <c r="AO54" s="53"/>
      <c r="AP54" s="53"/>
      <c r="AQ54" s="53"/>
      <c r="AR54" s="53"/>
      <c r="AS54" s="53"/>
      <c r="AT54" s="53"/>
      <c r="AU54" s="53"/>
      <c r="AV54" s="53"/>
      <c r="AW54" s="53"/>
      <c r="AX54" s="53"/>
      <c r="AY54" s="53"/>
    </row>
    <row r="55" ht="12.0" customHeight="1" outlineLevel="1">
      <c r="A55" s="18"/>
      <c r="B55" s="58"/>
      <c r="C55" s="5" t="s">
        <v>50</v>
      </c>
      <c r="D55" s="50" t="s">
        <v>49</v>
      </c>
      <c r="E55" s="50"/>
      <c r="F55" s="5" t="s">
        <v>64</v>
      </c>
      <c r="G55" s="50" t="s">
        <v>52</v>
      </c>
      <c r="H55" s="104"/>
      <c r="I55" s="52">
        <v>0.0</v>
      </c>
      <c r="J55" s="52">
        <v>0.0</v>
      </c>
      <c r="K55" s="52">
        <v>0.0</v>
      </c>
      <c r="L55" s="52"/>
      <c r="M55" s="52"/>
      <c r="N55" s="52"/>
      <c r="O55" s="52"/>
      <c r="P55" s="52"/>
      <c r="Q55" s="52"/>
      <c r="R55" s="52"/>
      <c r="S55" s="52"/>
      <c r="T55" s="52"/>
      <c r="U55" s="53"/>
      <c r="V55" s="54">
        <f t="shared" si="14"/>
        <v>0</v>
      </c>
      <c r="W55" s="105"/>
      <c r="X55" s="52">
        <v>1500000.0</v>
      </c>
      <c r="Y55" s="52">
        <v>1522500.0</v>
      </c>
      <c r="Z55" s="52">
        <v>1545337.5</v>
      </c>
      <c r="AA55" s="52">
        <v>1568517.5625</v>
      </c>
      <c r="AB55" s="52">
        <v>1592045.325937499</v>
      </c>
      <c r="AC55" s="52">
        <v>1615926.005826561</v>
      </c>
      <c r="AD55" s="52">
        <v>1640164.89591396</v>
      </c>
      <c r="AE55" s="52">
        <v>1664767.369352669</v>
      </c>
      <c r="AF55" s="52">
        <v>1689738.879892959</v>
      </c>
      <c r="AG55" s="52">
        <v>1715084.963091353</v>
      </c>
      <c r="AH55" s="52">
        <v>1740811.237537723</v>
      </c>
      <c r="AI55" s="52">
        <v>1766923.406100789</v>
      </c>
      <c r="AJ55" s="105"/>
      <c r="AK55" s="54">
        <f t="shared" si="15"/>
        <v>6136355.063</v>
      </c>
      <c r="AL55" s="56"/>
      <c r="AM55" s="30"/>
      <c r="AN55" s="53"/>
      <c r="AO55" s="53"/>
      <c r="AP55" s="53"/>
      <c r="AQ55" s="53"/>
      <c r="AR55" s="53"/>
      <c r="AS55" s="53"/>
      <c r="AT55" s="53"/>
      <c r="AU55" s="53"/>
      <c r="AV55" s="53"/>
      <c r="AW55" s="53"/>
      <c r="AX55" s="53"/>
      <c r="AY55" s="53"/>
    </row>
    <row r="56" ht="12.0" customHeight="1" outlineLevel="1">
      <c r="A56" s="18"/>
      <c r="B56" s="58"/>
      <c r="C56" s="53"/>
      <c r="D56" s="53"/>
      <c r="E56" s="53"/>
      <c r="F56" s="53"/>
      <c r="G56" s="53"/>
      <c r="H56" s="53"/>
      <c r="I56" s="52"/>
      <c r="J56" s="52"/>
      <c r="K56" s="52"/>
      <c r="L56" s="52"/>
      <c r="M56" s="52"/>
      <c r="N56" s="52"/>
      <c r="O56" s="52"/>
      <c r="P56" s="52"/>
      <c r="Q56" s="52"/>
      <c r="R56" s="52"/>
      <c r="S56" s="52"/>
      <c r="T56" s="52"/>
      <c r="U56" s="53"/>
      <c r="V56" s="54">
        <f t="shared" si="14"/>
        <v>0</v>
      </c>
      <c r="W56" s="105"/>
      <c r="X56" s="52"/>
      <c r="Y56" s="52"/>
      <c r="Z56" s="52"/>
      <c r="AA56" s="52"/>
      <c r="AB56" s="52"/>
      <c r="AC56" s="52"/>
      <c r="AD56" s="52"/>
      <c r="AE56" s="52"/>
      <c r="AF56" s="52"/>
      <c r="AG56" s="52"/>
      <c r="AH56" s="52"/>
      <c r="AI56" s="52"/>
      <c r="AJ56" s="105"/>
      <c r="AK56" s="54"/>
      <c r="AL56" s="56"/>
      <c r="AM56" s="30"/>
      <c r="AN56" s="53"/>
      <c r="AO56" s="53"/>
      <c r="AP56" s="53"/>
      <c r="AQ56" s="53"/>
      <c r="AR56" s="53"/>
      <c r="AS56" s="53"/>
      <c r="AT56" s="53"/>
      <c r="AU56" s="53"/>
      <c r="AV56" s="53"/>
      <c r="AW56" s="53"/>
      <c r="AX56" s="53"/>
      <c r="AY56" s="53"/>
    </row>
    <row r="57" ht="12.0" customHeight="1" outlineLevel="1">
      <c r="A57" s="18"/>
      <c r="B57" s="58"/>
      <c r="C57" s="7"/>
      <c r="D57" s="7"/>
      <c r="E57" s="7"/>
      <c r="F57" s="7"/>
      <c r="G57" s="7"/>
      <c r="H57" s="53"/>
      <c r="I57" s="52"/>
      <c r="J57" s="52"/>
      <c r="K57" s="52"/>
      <c r="L57" s="52"/>
      <c r="M57" s="52"/>
      <c r="N57" s="52"/>
      <c r="O57" s="52"/>
      <c r="P57" s="52"/>
      <c r="Q57" s="52"/>
      <c r="R57" s="52"/>
      <c r="S57" s="52"/>
      <c r="T57" s="52"/>
      <c r="U57" s="7"/>
      <c r="V57" s="54">
        <f t="shared" si="14"/>
        <v>0</v>
      </c>
      <c r="W57" s="40"/>
      <c r="X57" s="52"/>
      <c r="Y57" s="52"/>
      <c r="Z57" s="52"/>
      <c r="AA57" s="52"/>
      <c r="AB57" s="52"/>
      <c r="AC57" s="52"/>
      <c r="AD57" s="52"/>
      <c r="AE57" s="52"/>
      <c r="AF57" s="52"/>
      <c r="AG57" s="52"/>
      <c r="AH57" s="52"/>
      <c r="AI57" s="52"/>
      <c r="AJ57" s="40"/>
      <c r="AK57" s="54"/>
      <c r="AL57" s="10"/>
      <c r="AM57" s="30"/>
      <c r="AN57" s="7"/>
      <c r="AO57" s="7"/>
      <c r="AP57" s="7"/>
      <c r="AQ57" s="7"/>
      <c r="AR57" s="7"/>
      <c r="AS57" s="7"/>
    </row>
    <row r="58" ht="15.75" customHeight="1">
      <c r="A58" s="22"/>
      <c r="B58" s="41"/>
      <c r="C58" s="62"/>
      <c r="D58" s="42" t="s">
        <v>65</v>
      </c>
      <c r="E58" s="42"/>
      <c r="F58" s="42"/>
      <c r="G58" s="43"/>
      <c r="H58" s="43"/>
      <c r="I58" s="44">
        <f t="shared" ref="I58:L58" si="17">SUM(I59:I69)</f>
        <v>3054636.7</v>
      </c>
      <c r="J58" s="44">
        <f t="shared" si="17"/>
        <v>2301096.58</v>
      </c>
      <c r="K58" s="44">
        <f t="shared" si="17"/>
        <v>3274903.32</v>
      </c>
      <c r="L58" s="44">
        <f t="shared" si="17"/>
        <v>3924224.39</v>
      </c>
      <c r="M58" s="44">
        <f t="shared" ref="M58:T58" si="18">SUM(M59:M68)</f>
        <v>0</v>
      </c>
      <c r="N58" s="44">
        <f t="shared" si="18"/>
        <v>0</v>
      </c>
      <c r="O58" s="44">
        <f t="shared" si="18"/>
        <v>0</v>
      </c>
      <c r="P58" s="44">
        <f t="shared" si="18"/>
        <v>0</v>
      </c>
      <c r="Q58" s="44">
        <f t="shared" si="18"/>
        <v>0</v>
      </c>
      <c r="R58" s="44">
        <f t="shared" si="18"/>
        <v>0</v>
      </c>
      <c r="S58" s="44">
        <f t="shared" si="18"/>
        <v>0</v>
      </c>
      <c r="T58" s="44">
        <f t="shared" si="18"/>
        <v>0</v>
      </c>
      <c r="U58" s="53"/>
      <c r="V58" s="45">
        <f t="shared" si="14"/>
        <v>12554860.99</v>
      </c>
      <c r="W58" s="89">
        <f>+V58/$V$169</f>
        <v>0.003927047954</v>
      </c>
      <c r="X58" s="44">
        <v>1.222594844E7</v>
      </c>
      <c r="Y58" s="44">
        <v>3965594.149999999</v>
      </c>
      <c r="Z58" s="44">
        <v>4017901.068649999</v>
      </c>
      <c r="AA58" s="44">
        <v>3.063995664305219E7</v>
      </c>
      <c r="AB58" s="44">
        <v>4.090451647931196E7</v>
      </c>
      <c r="AC58" s="44">
        <v>5.828488980419174E7</v>
      </c>
      <c r="AD58" s="44">
        <v>3.156507638850415E8</v>
      </c>
      <c r="AE58" s="44">
        <v>9.947350595193249E7</v>
      </c>
      <c r="AF58" s="44">
        <v>1.227348883990625E8</v>
      </c>
      <c r="AG58" s="44">
        <v>1.560352884049785E8</v>
      </c>
      <c r="AH58" s="44">
        <v>1.618935670222978E8</v>
      </c>
      <c r="AI58" s="44">
        <v>1.842699610756887E8</v>
      </c>
      <c r="AJ58" s="89"/>
      <c r="AK58" s="103">
        <f t="shared" ref="AK58:AK71" si="19">SUM(X58:AA58)</f>
        <v>50849400.3</v>
      </c>
      <c r="AL58" s="10"/>
      <c r="AM58" s="30">
        <f>+V58-AK58</f>
        <v>-38294539.31</v>
      </c>
      <c r="AN58" s="47">
        <f>+AM58/AK58</f>
        <v>-0.753097167</v>
      </c>
      <c r="AO58" s="7"/>
      <c r="AP58" s="7"/>
      <c r="AQ58" s="7"/>
      <c r="AR58" s="7"/>
      <c r="AS58" s="7"/>
    </row>
    <row r="59" ht="12.0" customHeight="1" outlineLevel="1">
      <c r="A59" s="18"/>
      <c r="B59" s="58"/>
      <c r="C59" s="5" t="s">
        <v>66</v>
      </c>
      <c r="D59" s="50" t="s">
        <v>65</v>
      </c>
      <c r="E59" s="50">
        <v>5218.0</v>
      </c>
      <c r="F59" s="5" t="s">
        <v>67</v>
      </c>
      <c r="G59" s="50" t="s">
        <v>52</v>
      </c>
      <c r="H59" s="106"/>
      <c r="I59" s="52">
        <v>477797.0</v>
      </c>
      <c r="J59" s="52">
        <v>477797.0</v>
      </c>
      <c r="K59" s="52">
        <v>477797.0</v>
      </c>
      <c r="L59" s="52">
        <v>477797.0</v>
      </c>
      <c r="M59" s="52"/>
      <c r="N59" s="52"/>
      <c r="O59" s="52"/>
      <c r="P59" s="52"/>
      <c r="Q59" s="52"/>
      <c r="R59" s="52"/>
      <c r="S59" s="52"/>
      <c r="T59" s="52"/>
      <c r="U59" s="53"/>
      <c r="V59" s="54">
        <f t="shared" si="14"/>
        <v>1911188</v>
      </c>
      <c r="W59" s="105"/>
      <c r="X59" s="52">
        <v>478466.24</v>
      </c>
      <c r="Y59" s="52">
        <v>478466.24</v>
      </c>
      <c r="Z59" s="52">
        <v>478466.24</v>
      </c>
      <c r="AA59" s="52">
        <v>478466.24</v>
      </c>
      <c r="AB59" s="52">
        <v>478466.24</v>
      </c>
      <c r="AC59" s="52">
        <v>478466.24</v>
      </c>
      <c r="AD59" s="52">
        <v>528342.8230851532</v>
      </c>
      <c r="AE59" s="52">
        <v>528342.8230851532</v>
      </c>
      <c r="AF59" s="52">
        <v>528342.8230851532</v>
      </c>
      <c r="AG59" s="52">
        <v>528342.8230851532</v>
      </c>
      <c r="AH59" s="52">
        <v>528342.8230851532</v>
      </c>
      <c r="AI59" s="52">
        <v>528342.8230851532</v>
      </c>
      <c r="AJ59" s="105"/>
      <c r="AK59" s="54">
        <f t="shared" si="19"/>
        <v>1913864.96</v>
      </c>
      <c r="AL59" s="56"/>
      <c r="AM59" s="30"/>
      <c r="AN59" s="53"/>
      <c r="AO59" s="53"/>
      <c r="AP59" s="53"/>
      <c r="AQ59" s="53"/>
      <c r="AR59" s="53"/>
      <c r="AS59" s="53"/>
      <c r="AT59" s="53"/>
      <c r="AU59" s="53"/>
      <c r="AV59" s="53"/>
      <c r="AW59" s="53"/>
      <c r="AX59" s="53"/>
      <c r="AY59" s="53"/>
    </row>
    <row r="60" ht="12.0" customHeight="1" outlineLevel="1">
      <c r="A60" s="18"/>
      <c r="B60" s="58"/>
      <c r="C60" s="5" t="s">
        <v>68</v>
      </c>
      <c r="D60" s="50" t="s">
        <v>65</v>
      </c>
      <c r="E60" s="50">
        <v>5213.0</v>
      </c>
      <c r="F60" s="5" t="s">
        <v>69</v>
      </c>
      <c r="G60" s="50" t="s">
        <v>52</v>
      </c>
      <c r="H60" s="104"/>
      <c r="I60" s="52">
        <v>879000.0</v>
      </c>
      <c r="J60" s="52">
        <v>801180.0</v>
      </c>
      <c r="K60" s="52">
        <v>849000.0</v>
      </c>
      <c r="L60" s="52">
        <v>855000.0</v>
      </c>
      <c r="M60" s="52"/>
      <c r="N60" s="52"/>
      <c r="O60" s="52"/>
      <c r="P60" s="52"/>
      <c r="Q60" s="52"/>
      <c r="R60" s="52"/>
      <c r="S60" s="52"/>
      <c r="T60" s="52"/>
      <c r="U60" s="53"/>
      <c r="V60" s="54">
        <f t="shared" si="14"/>
        <v>3384180</v>
      </c>
      <c r="W60" s="105"/>
      <c r="X60" s="52">
        <v>900000.0</v>
      </c>
      <c r="Y60" s="52">
        <v>913499.9999999999</v>
      </c>
      <c r="Z60" s="52">
        <v>927202.4999999998</v>
      </c>
      <c r="AA60" s="52">
        <v>941110.5374999997</v>
      </c>
      <c r="AB60" s="52">
        <v>955227.1955624996</v>
      </c>
      <c r="AC60" s="52">
        <v>969555.603495937</v>
      </c>
      <c r="AD60" s="52">
        <v>984098.9375483758</v>
      </c>
      <c r="AE60" s="52">
        <v>998860.4216116014</v>
      </c>
      <c r="AF60" s="52">
        <v>1013843.327935775</v>
      </c>
      <c r="AG60" s="52">
        <v>1029050.977854812</v>
      </c>
      <c r="AH60" s="52">
        <v>1044486.742522634</v>
      </c>
      <c r="AI60" s="52">
        <v>1060154.043660473</v>
      </c>
      <c r="AJ60" s="105"/>
      <c r="AK60" s="54">
        <f t="shared" si="19"/>
        <v>3681813.038</v>
      </c>
      <c r="AL60" s="56"/>
      <c r="AM60" s="30"/>
      <c r="AN60" s="53"/>
      <c r="AO60" s="53"/>
      <c r="AP60" s="53"/>
      <c r="AQ60" s="53"/>
      <c r="AR60" s="53"/>
      <c r="AS60" s="53"/>
      <c r="AT60" s="53"/>
      <c r="AU60" s="53"/>
      <c r="AV60" s="53"/>
      <c r="AW60" s="53"/>
      <c r="AX60" s="53"/>
      <c r="AY60" s="53"/>
    </row>
    <row r="61" ht="12.0" customHeight="1" outlineLevel="1">
      <c r="A61" s="18"/>
      <c r="B61" s="58"/>
      <c r="C61" s="5" t="s">
        <v>70</v>
      </c>
      <c r="D61" s="50" t="s">
        <v>65</v>
      </c>
      <c r="E61" s="50">
        <v>5215.0</v>
      </c>
      <c r="F61" s="5" t="s">
        <v>71</v>
      </c>
      <c r="G61" s="50" t="s">
        <v>52</v>
      </c>
      <c r="H61" s="104"/>
      <c r="I61" s="52">
        <v>568260.0</v>
      </c>
      <c r="J61" s="52">
        <v>-30636.0</v>
      </c>
      <c r="K61" s="52">
        <v>698328.0</v>
      </c>
      <c r="L61" s="52">
        <v>679896.0</v>
      </c>
      <c r="M61" s="52"/>
      <c r="N61" s="52"/>
      <c r="O61" s="52"/>
      <c r="P61" s="52"/>
      <c r="Q61" s="52"/>
      <c r="R61" s="52"/>
      <c r="S61" s="52"/>
      <c r="T61" s="52"/>
      <c r="U61" s="53"/>
      <c r="V61" s="54">
        <f t="shared" si="14"/>
        <v>1915848</v>
      </c>
      <c r="W61" s="105"/>
      <c r="X61" s="52">
        <v>653400.0</v>
      </c>
      <c r="Y61" s="52">
        <v>683297.9999999999</v>
      </c>
      <c r="Z61" s="52">
        <v>693547.4699999997</v>
      </c>
      <c r="AA61" s="52">
        <v>724655.1138749998</v>
      </c>
      <c r="AB61" s="52">
        <v>735524.9405831246</v>
      </c>
      <c r="AC61" s="52">
        <v>746557.8146918714</v>
      </c>
      <c r="AD61" s="52">
        <v>757756.1819122494</v>
      </c>
      <c r="AE61" s="52">
        <v>769122.524640933</v>
      </c>
      <c r="AF61" s="52">
        <v>780659.362510547</v>
      </c>
      <c r="AG61" s="52">
        <v>792369.2529482051</v>
      </c>
      <c r="AH61" s="52">
        <v>804254.7917424281</v>
      </c>
      <c r="AI61" s="52">
        <v>816318.6136185644</v>
      </c>
      <c r="AJ61" s="105"/>
      <c r="AK61" s="54">
        <f t="shared" si="19"/>
        <v>2754900.584</v>
      </c>
      <c r="AL61" s="56"/>
      <c r="AM61" s="30"/>
      <c r="AN61" s="53"/>
      <c r="AO61" s="53"/>
      <c r="AP61" s="53"/>
      <c r="AQ61" s="53"/>
      <c r="AR61" s="53"/>
      <c r="AS61" s="53"/>
      <c r="AT61" s="53"/>
      <c r="AU61" s="53"/>
      <c r="AV61" s="53"/>
      <c r="AW61" s="53"/>
      <c r="AX61" s="53"/>
      <c r="AY61" s="53"/>
    </row>
    <row r="62" ht="12.0" customHeight="1" outlineLevel="1">
      <c r="A62" s="18"/>
      <c r="B62" s="58"/>
      <c r="C62" s="5" t="s">
        <v>72</v>
      </c>
      <c r="D62" s="50" t="s">
        <v>65</v>
      </c>
      <c r="E62" s="50">
        <v>5213.0</v>
      </c>
      <c r="F62" s="5" t="s">
        <v>73</v>
      </c>
      <c r="G62" s="50" t="s">
        <v>52</v>
      </c>
      <c r="H62" s="104"/>
      <c r="I62" s="52"/>
      <c r="J62" s="52"/>
      <c r="K62" s="52"/>
      <c r="L62" s="52"/>
      <c r="M62" s="52"/>
      <c r="N62" s="52"/>
      <c r="O62" s="52"/>
      <c r="P62" s="52"/>
      <c r="Q62" s="52"/>
      <c r="R62" s="52"/>
      <c r="S62" s="52"/>
      <c r="T62" s="52"/>
      <c r="U62" s="53"/>
      <c r="V62" s="54">
        <f t="shared" si="14"/>
        <v>0</v>
      </c>
      <c r="W62" s="105"/>
      <c r="X62" s="52">
        <v>8389500.0</v>
      </c>
      <c r="Y62" s="52"/>
      <c r="Z62" s="52"/>
      <c r="AA62" s="52">
        <v>8772718.727062497</v>
      </c>
      <c r="AB62" s="52"/>
      <c r="AC62" s="52"/>
      <c r="AD62" s="52">
        <v>9173442.262846777</v>
      </c>
      <c r="AE62" s="52"/>
      <c r="AF62" s="52"/>
      <c r="AG62" s="52">
        <v>9592470.198569939</v>
      </c>
      <c r="AH62" s="52"/>
      <c r="AI62" s="52"/>
      <c r="AJ62" s="105"/>
      <c r="AK62" s="54">
        <f t="shared" si="19"/>
        <v>17162218.73</v>
      </c>
      <c r="AL62" s="56"/>
      <c r="AM62" s="30"/>
      <c r="AN62" s="53"/>
      <c r="AO62" s="53"/>
      <c r="AP62" s="53"/>
      <c r="AQ62" s="53"/>
      <c r="AR62" s="53"/>
      <c r="AS62" s="53"/>
      <c r="AT62" s="53"/>
      <c r="AU62" s="53"/>
      <c r="AV62" s="53"/>
      <c r="AW62" s="53"/>
      <c r="AX62" s="53"/>
      <c r="AY62" s="53"/>
    </row>
    <row r="63" ht="12.0" customHeight="1" outlineLevel="1">
      <c r="A63" s="18"/>
      <c r="B63" s="58"/>
      <c r="C63" s="5" t="s">
        <v>74</v>
      </c>
      <c r="D63" s="50" t="s">
        <v>65</v>
      </c>
      <c r="E63" s="50">
        <v>5213.0</v>
      </c>
      <c r="F63" s="64" t="s">
        <v>75</v>
      </c>
      <c r="G63" s="50" t="s">
        <v>52</v>
      </c>
      <c r="H63" s="104"/>
      <c r="I63" s="52"/>
      <c r="J63" s="52"/>
      <c r="K63" s="52"/>
      <c r="L63" s="52"/>
      <c r="M63" s="52"/>
      <c r="N63" s="52"/>
      <c r="O63" s="52"/>
      <c r="P63" s="52"/>
      <c r="Q63" s="52"/>
      <c r="R63" s="52"/>
      <c r="S63" s="52"/>
      <c r="T63" s="52"/>
      <c r="U63" s="53"/>
      <c r="V63" s="54">
        <f t="shared" si="14"/>
        <v>0</v>
      </c>
      <c r="W63" s="105"/>
      <c r="X63" s="52"/>
      <c r="Y63" s="52"/>
      <c r="Z63" s="52"/>
      <c r="AA63" s="52"/>
      <c r="AB63" s="52"/>
      <c r="AC63" s="52"/>
      <c r="AD63" s="52">
        <v>7.869839203574362E7</v>
      </c>
      <c r="AE63" s="52"/>
      <c r="AF63" s="52"/>
      <c r="AG63" s="52"/>
      <c r="AH63" s="52"/>
      <c r="AI63" s="52"/>
      <c r="AJ63" s="105"/>
      <c r="AK63" s="54">
        <f t="shared" si="19"/>
        <v>0</v>
      </c>
      <c r="AL63" s="56"/>
      <c r="AM63" s="30"/>
      <c r="AN63" s="53"/>
      <c r="AO63" s="53"/>
      <c r="AP63" s="53"/>
      <c r="AQ63" s="53"/>
      <c r="AR63" s="53"/>
      <c r="AS63" s="53"/>
      <c r="AT63" s="53"/>
      <c r="AU63" s="53"/>
      <c r="AV63" s="53"/>
      <c r="AW63" s="53"/>
      <c r="AX63" s="53"/>
      <c r="AY63" s="53"/>
    </row>
    <row r="64" ht="12.0" customHeight="1" outlineLevel="1">
      <c r="A64" s="18"/>
      <c r="B64" s="58"/>
      <c r="C64" s="5" t="s">
        <v>76</v>
      </c>
      <c r="D64" s="50" t="s">
        <v>65</v>
      </c>
      <c r="E64" s="50">
        <v>5215.0</v>
      </c>
      <c r="F64" s="5" t="s">
        <v>77</v>
      </c>
      <c r="G64" s="50" t="s">
        <v>52</v>
      </c>
      <c r="H64" s="104"/>
      <c r="I64" s="52">
        <v>633623.6</v>
      </c>
      <c r="J64" s="52">
        <v>579624.48</v>
      </c>
      <c r="K64" s="52">
        <v>599002.0</v>
      </c>
      <c r="L64" s="52">
        <v>614032.87</v>
      </c>
      <c r="M64" s="52"/>
      <c r="N64" s="52"/>
      <c r="O64" s="52"/>
      <c r="P64" s="52"/>
      <c r="Q64" s="52"/>
      <c r="R64" s="52"/>
      <c r="S64" s="52"/>
      <c r="T64" s="52"/>
      <c r="U64" s="53"/>
      <c r="V64" s="54">
        <f t="shared" si="14"/>
        <v>2426282.95</v>
      </c>
      <c r="W64" s="105"/>
      <c r="X64" s="52">
        <v>717082.2</v>
      </c>
      <c r="Y64" s="52">
        <v>748454.9099999999</v>
      </c>
      <c r="Z64" s="52">
        <v>759681.7336499998</v>
      </c>
      <c r="AA64" s="52">
        <v>792316.5696720748</v>
      </c>
      <c r="AB64" s="52">
        <v>804201.3182171558</v>
      </c>
      <c r="AC64" s="52">
        <v>816264.337990413</v>
      </c>
      <c r="AD64" s="52">
        <v>828508.3030602691</v>
      </c>
      <c r="AE64" s="52">
        <v>840935.9276061731</v>
      </c>
      <c r="AF64" s="52">
        <v>853549.9665202656</v>
      </c>
      <c r="AG64" s="52">
        <v>866353.2160180694</v>
      </c>
      <c r="AH64" s="52">
        <v>879348.5142583404</v>
      </c>
      <c r="AI64" s="52">
        <v>892538.7419722155</v>
      </c>
      <c r="AJ64" s="105"/>
      <c r="AK64" s="54">
        <f t="shared" si="19"/>
        <v>3017535.413</v>
      </c>
      <c r="AL64" s="56"/>
      <c r="AM64" s="30"/>
      <c r="AN64" s="53"/>
      <c r="AO64" s="53"/>
      <c r="AP64" s="53"/>
      <c r="AQ64" s="53"/>
      <c r="AR64" s="53"/>
      <c r="AS64" s="53"/>
      <c r="AT64" s="53"/>
      <c r="AU64" s="53"/>
      <c r="AV64" s="53"/>
      <c r="AW64" s="53"/>
      <c r="AX64" s="53"/>
      <c r="AY64" s="53"/>
    </row>
    <row r="65" ht="12.0" customHeight="1" outlineLevel="1">
      <c r="A65" s="21"/>
      <c r="B65" s="114"/>
      <c r="C65" s="5" t="s">
        <v>78</v>
      </c>
      <c r="D65" s="50" t="s">
        <v>65</v>
      </c>
      <c r="E65" s="50">
        <v>5213.0</v>
      </c>
      <c r="F65" s="5" t="s">
        <v>79</v>
      </c>
      <c r="G65" s="50" t="s">
        <v>52</v>
      </c>
      <c r="H65" s="104"/>
      <c r="I65" s="115"/>
      <c r="J65" s="115"/>
      <c r="K65" s="115"/>
      <c r="L65" s="115"/>
      <c r="M65" s="115"/>
      <c r="N65" s="115"/>
      <c r="O65" s="115"/>
      <c r="P65" s="115"/>
      <c r="Q65" s="115"/>
      <c r="R65" s="115"/>
      <c r="S65" s="115"/>
      <c r="T65" s="115"/>
      <c r="U65" s="53"/>
      <c r="V65" s="54">
        <f t="shared" si="14"/>
        <v>0</v>
      </c>
      <c r="W65" s="116"/>
      <c r="X65" s="115"/>
      <c r="Y65" s="115"/>
      <c r="Z65" s="115"/>
      <c r="AA65" s="115"/>
      <c r="AB65" s="115"/>
      <c r="AC65" s="115"/>
      <c r="AD65" s="115">
        <v>1.446953471175295E8</v>
      </c>
      <c r="AE65" s="115"/>
      <c r="AF65" s="115"/>
      <c r="AG65" s="115"/>
      <c r="AH65" s="115"/>
      <c r="AI65" s="115"/>
      <c r="AJ65" s="116"/>
      <c r="AK65" s="54">
        <f t="shared" si="19"/>
        <v>0</v>
      </c>
      <c r="AL65" s="56"/>
      <c r="AM65" s="30"/>
      <c r="AN65" s="117"/>
      <c r="AO65" s="117"/>
      <c r="AP65" s="117"/>
      <c r="AQ65" s="117"/>
      <c r="AR65" s="117"/>
      <c r="AS65" s="117"/>
      <c r="AT65" s="53"/>
      <c r="AU65" s="53"/>
      <c r="AV65" s="53"/>
      <c r="AW65" s="53"/>
      <c r="AX65" s="53"/>
      <c r="AY65" s="53"/>
    </row>
    <row r="66" ht="12.0" customHeight="1" outlineLevel="1">
      <c r="A66" s="21"/>
      <c r="B66" s="114"/>
      <c r="C66" s="5" t="s">
        <v>80</v>
      </c>
      <c r="D66" s="50" t="s">
        <v>65</v>
      </c>
      <c r="E66" s="50">
        <v>5215.0</v>
      </c>
      <c r="F66" s="5" t="s">
        <v>81</v>
      </c>
      <c r="G66" s="50" t="s">
        <v>52</v>
      </c>
      <c r="H66" s="104"/>
      <c r="I66" s="113">
        <v>484228.78</v>
      </c>
      <c r="J66" s="113">
        <v>461403.78</v>
      </c>
      <c r="K66" s="113">
        <v>639049.0</v>
      </c>
      <c r="L66" s="113">
        <v>1285771.2</v>
      </c>
      <c r="M66" s="52"/>
      <c r="N66" s="52"/>
      <c r="O66" s="52"/>
      <c r="P66" s="52"/>
      <c r="Q66" s="52"/>
      <c r="R66" s="52"/>
      <c r="S66" s="52"/>
      <c r="T66" s="52"/>
      <c r="U66" s="53"/>
      <c r="V66" s="54">
        <f t="shared" si="14"/>
        <v>2870452.76</v>
      </c>
      <c r="W66" s="116"/>
      <c r="X66" s="52">
        <v>1087500.0</v>
      </c>
      <c r="Y66" s="52">
        <v>1141875.0</v>
      </c>
      <c r="Z66" s="52">
        <v>1159003.125</v>
      </c>
      <c r="AA66" s="52">
        <v>1215601.1109375</v>
      </c>
      <c r="AB66" s="52">
        <v>1233835.127601562</v>
      </c>
      <c r="AC66" s="52">
        <v>1252342.654515585</v>
      </c>
      <c r="AD66" s="52">
        <v>1271127.794333319</v>
      </c>
      <c r="AE66" s="52">
        <v>1290194.711248318</v>
      </c>
      <c r="AF66" s="52">
        <v>1309547.631917043</v>
      </c>
      <c r="AG66" s="52">
        <v>1329190.846395799</v>
      </c>
      <c r="AH66" s="52">
        <v>1349128.709091736</v>
      </c>
      <c r="AI66" s="52">
        <v>1369365.639728111</v>
      </c>
      <c r="AJ66" s="116"/>
      <c r="AK66" s="54">
        <f t="shared" si="19"/>
        <v>4603979.236</v>
      </c>
      <c r="AL66" s="56"/>
      <c r="AM66" s="30"/>
      <c r="AN66" s="117"/>
      <c r="AO66" s="117"/>
      <c r="AP66" s="117"/>
      <c r="AQ66" s="117"/>
      <c r="AR66" s="117"/>
      <c r="AS66" s="117"/>
      <c r="AT66" s="53"/>
      <c r="AU66" s="53"/>
      <c r="AV66" s="53"/>
      <c r="AW66" s="53"/>
      <c r="AX66" s="53"/>
      <c r="AY66" s="53"/>
    </row>
    <row r="67" ht="12.0" customHeight="1" outlineLevel="1">
      <c r="A67" s="21"/>
      <c r="B67" s="114"/>
      <c r="C67" s="5" t="s">
        <v>82</v>
      </c>
      <c r="D67" s="50" t="s">
        <v>65</v>
      </c>
      <c r="E67" s="118"/>
      <c r="F67" s="5" t="s">
        <v>83</v>
      </c>
      <c r="G67" s="50" t="s">
        <v>52</v>
      </c>
      <c r="H67" s="50"/>
      <c r="I67" s="115"/>
      <c r="J67" s="115"/>
      <c r="K67" s="115"/>
      <c r="L67" s="52"/>
      <c r="M67" s="52"/>
      <c r="N67" s="52"/>
      <c r="O67" s="52"/>
      <c r="P67" s="52"/>
      <c r="Q67" s="52"/>
      <c r="R67" s="52"/>
      <c r="S67" s="52"/>
      <c r="T67" s="52"/>
      <c r="U67" s="53"/>
      <c r="V67" s="54">
        <f t="shared" si="14"/>
        <v>0</v>
      </c>
      <c r="W67" s="116"/>
      <c r="X67" s="52"/>
      <c r="Y67" s="52"/>
      <c r="Z67" s="52"/>
      <c r="AA67" s="52">
        <v>1.771508834400512E7</v>
      </c>
      <c r="AB67" s="52">
        <v>3.669726165734761E7</v>
      </c>
      <c r="AC67" s="52">
        <v>5.402170315349793E7</v>
      </c>
      <c r="AD67" s="52">
        <v>7.87137484289822E7</v>
      </c>
      <c r="AE67" s="52">
        <v>9.504604954374032E7</v>
      </c>
      <c r="AF67" s="52">
        <v>1.182489452870937E8</v>
      </c>
      <c r="AG67" s="52">
        <v>1.418975110901065E8</v>
      </c>
      <c r="AH67" s="52">
        <v>1.572880054415975E8</v>
      </c>
      <c r="AI67" s="52">
        <v>1.796032412136242E8</v>
      </c>
      <c r="AJ67" s="116"/>
      <c r="AK67" s="54">
        <f t="shared" si="19"/>
        <v>17715088.34</v>
      </c>
      <c r="AL67" s="56"/>
      <c r="AM67" s="30"/>
      <c r="AN67" s="117"/>
      <c r="AO67" s="117"/>
      <c r="AP67" s="117"/>
      <c r="AQ67" s="117"/>
      <c r="AR67" s="117"/>
      <c r="AS67" s="117"/>
      <c r="AT67" s="53"/>
      <c r="AU67" s="53"/>
      <c r="AV67" s="53"/>
      <c r="AW67" s="53"/>
      <c r="AX67" s="53"/>
      <c r="AY67" s="53"/>
    </row>
    <row r="68" ht="12.0" customHeight="1" outlineLevel="1">
      <c r="A68" s="21"/>
      <c r="B68" s="114"/>
      <c r="C68" s="5" t="s">
        <v>84</v>
      </c>
      <c r="D68" s="50" t="s">
        <v>65</v>
      </c>
      <c r="E68" s="50"/>
      <c r="F68" s="5" t="s">
        <v>85</v>
      </c>
      <c r="G68" s="50" t="s">
        <v>52</v>
      </c>
      <c r="H68" s="104"/>
      <c r="I68" s="115"/>
      <c r="J68" s="52"/>
      <c r="K68" s="52"/>
      <c r="L68" s="52"/>
      <c r="M68" s="52"/>
      <c r="N68" s="52"/>
      <c r="O68" s="52"/>
      <c r="P68" s="52"/>
      <c r="Q68" s="52"/>
      <c r="R68" s="52"/>
      <c r="S68" s="52"/>
      <c r="T68" s="52"/>
      <c r="U68" s="53"/>
      <c r="V68" s="54">
        <f t="shared" si="14"/>
        <v>0</v>
      </c>
      <c r="W68" s="116"/>
      <c r="X68" s="52"/>
      <c r="Y68" s="52"/>
      <c r="Z68" s="52"/>
      <c r="AA68" s="52">
        <v>0.0</v>
      </c>
      <c r="AB68" s="52">
        <v>0.0</v>
      </c>
      <c r="AC68" s="52">
        <v>0.0</v>
      </c>
      <c r="AD68" s="52">
        <v>0.0</v>
      </c>
      <c r="AE68" s="52">
        <v>0.0</v>
      </c>
      <c r="AF68" s="52">
        <v>0.0</v>
      </c>
      <c r="AG68" s="52">
        <v>0.0</v>
      </c>
      <c r="AH68" s="52">
        <v>0.0</v>
      </c>
      <c r="AI68" s="52">
        <v>0.0</v>
      </c>
      <c r="AJ68" s="116"/>
      <c r="AK68" s="54">
        <f t="shared" si="19"/>
        <v>0</v>
      </c>
      <c r="AL68" s="56"/>
      <c r="AM68" s="30"/>
      <c r="AN68" s="117"/>
      <c r="AO68" s="117"/>
      <c r="AP68" s="117"/>
      <c r="AQ68" s="117"/>
      <c r="AR68" s="117"/>
      <c r="AS68" s="117"/>
      <c r="AT68" s="53"/>
      <c r="AU68" s="53"/>
      <c r="AV68" s="53"/>
      <c r="AW68" s="53"/>
      <c r="AX68" s="53"/>
      <c r="AY68" s="53"/>
    </row>
    <row r="69" ht="12.0" customHeight="1" outlineLevel="1">
      <c r="A69" s="21"/>
      <c r="B69" s="114"/>
      <c r="C69" s="5" t="s">
        <v>86</v>
      </c>
      <c r="D69" s="50" t="s">
        <v>65</v>
      </c>
      <c r="E69" s="50"/>
      <c r="F69" s="5" t="s">
        <v>87</v>
      </c>
      <c r="G69" s="50" t="s">
        <v>52</v>
      </c>
      <c r="H69" s="104"/>
      <c r="I69" s="115">
        <v>11727.32</v>
      </c>
      <c r="J69" s="52">
        <v>11727.32</v>
      </c>
      <c r="K69" s="52">
        <v>11727.32</v>
      </c>
      <c r="L69" s="52">
        <v>11727.32</v>
      </c>
      <c r="M69" s="52"/>
      <c r="N69" s="52"/>
      <c r="O69" s="52"/>
      <c r="P69" s="52"/>
      <c r="Q69" s="52"/>
      <c r="R69" s="52"/>
      <c r="S69" s="52"/>
      <c r="T69" s="52"/>
      <c r="U69" s="53"/>
      <c r="V69" s="54">
        <f t="shared" si="14"/>
        <v>46909.28</v>
      </c>
      <c r="W69" s="116"/>
      <c r="X69" s="52"/>
      <c r="Y69" s="52"/>
      <c r="Z69" s="52"/>
      <c r="AA69" s="52"/>
      <c r="AB69" s="52"/>
      <c r="AC69" s="52"/>
      <c r="AD69" s="52"/>
      <c r="AE69" s="52"/>
      <c r="AF69" s="52"/>
      <c r="AG69" s="52"/>
      <c r="AH69" s="52"/>
      <c r="AI69" s="52"/>
      <c r="AJ69" s="116"/>
      <c r="AK69" s="54">
        <f t="shared" si="19"/>
        <v>0</v>
      </c>
      <c r="AL69" s="56"/>
      <c r="AM69" s="30"/>
      <c r="AN69" s="117"/>
      <c r="AO69" s="117"/>
      <c r="AP69" s="117"/>
      <c r="AQ69" s="117"/>
      <c r="AR69" s="117"/>
      <c r="AS69" s="117"/>
      <c r="AT69" s="53"/>
      <c r="AU69" s="53"/>
      <c r="AV69" s="53"/>
      <c r="AW69" s="53"/>
      <c r="AX69" s="53"/>
      <c r="AY69" s="53"/>
    </row>
    <row r="70" ht="15.75" customHeight="1">
      <c r="A70" s="22"/>
      <c r="B70" s="41"/>
      <c r="C70" s="62"/>
      <c r="D70" s="42" t="s">
        <v>88</v>
      </c>
      <c r="E70" s="42"/>
      <c r="F70" s="42"/>
      <c r="G70" s="43"/>
      <c r="H70" s="43"/>
      <c r="I70" s="44">
        <f t="shared" ref="I70:T70" si="20">SUM(I71:I72)</f>
        <v>5323120.64</v>
      </c>
      <c r="J70" s="44">
        <f t="shared" si="20"/>
        <v>5323120.64</v>
      </c>
      <c r="K70" s="44">
        <f t="shared" si="20"/>
        <v>5323120.64</v>
      </c>
      <c r="L70" s="44">
        <f t="shared" si="20"/>
        <v>5323120.64</v>
      </c>
      <c r="M70" s="44">
        <f t="shared" si="20"/>
        <v>0</v>
      </c>
      <c r="N70" s="44">
        <f t="shared" si="20"/>
        <v>0</v>
      </c>
      <c r="O70" s="44">
        <f t="shared" si="20"/>
        <v>0</v>
      </c>
      <c r="P70" s="44">
        <f t="shared" si="20"/>
        <v>0</v>
      </c>
      <c r="Q70" s="44">
        <f t="shared" si="20"/>
        <v>0</v>
      </c>
      <c r="R70" s="44">
        <f t="shared" si="20"/>
        <v>0</v>
      </c>
      <c r="S70" s="44">
        <f t="shared" si="20"/>
        <v>0</v>
      </c>
      <c r="T70" s="44">
        <f t="shared" si="20"/>
        <v>0</v>
      </c>
      <c r="U70" s="7"/>
      <c r="V70" s="45">
        <f t="shared" si="14"/>
        <v>21292482.56</v>
      </c>
      <c r="W70" s="89">
        <f>+V70/$V$169</f>
        <v>0.006660097642</v>
      </c>
      <c r="X70" s="44">
        <v>5255006.0</v>
      </c>
      <c r="Y70" s="44">
        <v>5255006.0</v>
      </c>
      <c r="Z70" s="44">
        <v>5255006.0</v>
      </c>
      <c r="AA70" s="44">
        <v>5255006.0</v>
      </c>
      <c r="AB70" s="44">
        <v>5255006.0</v>
      </c>
      <c r="AC70" s="44">
        <v>5255006.0</v>
      </c>
      <c r="AD70" s="44">
        <v>5255006.0</v>
      </c>
      <c r="AE70" s="44">
        <v>5255006.0</v>
      </c>
      <c r="AF70" s="44">
        <v>5255006.0</v>
      </c>
      <c r="AG70" s="44">
        <v>5255006.0</v>
      </c>
      <c r="AH70" s="44">
        <v>5255006.0</v>
      </c>
      <c r="AI70" s="44">
        <v>5255006.0</v>
      </c>
      <c r="AJ70" s="89"/>
      <c r="AK70" s="103">
        <f t="shared" si="19"/>
        <v>21020024</v>
      </c>
      <c r="AL70" s="10"/>
      <c r="AM70" s="30">
        <f>+V70-AK70</f>
        <v>272458.56</v>
      </c>
      <c r="AN70" s="47">
        <f>+AM70/AK70</f>
        <v>0.0129618577</v>
      </c>
      <c r="AO70" s="7"/>
      <c r="AP70" s="7"/>
      <c r="AQ70" s="7"/>
      <c r="AR70" s="7"/>
      <c r="AS70" s="7"/>
    </row>
    <row r="71" ht="12.0" customHeight="1" outlineLevel="1">
      <c r="A71" s="111"/>
      <c r="B71" s="119"/>
      <c r="C71" s="110" t="s">
        <v>89</v>
      </c>
      <c r="D71" s="111" t="s">
        <v>88</v>
      </c>
      <c r="E71" s="111">
        <v>5516.0</v>
      </c>
      <c r="F71" s="110" t="s">
        <v>90</v>
      </c>
      <c r="G71" s="111" t="s">
        <v>63</v>
      </c>
      <c r="H71" s="112"/>
      <c r="I71" s="113">
        <v>5323120.64</v>
      </c>
      <c r="J71" s="113">
        <v>5323120.64</v>
      </c>
      <c r="K71" s="113">
        <v>5323120.64</v>
      </c>
      <c r="L71" s="113">
        <v>5323120.640000001</v>
      </c>
      <c r="M71" s="113"/>
      <c r="N71" s="113"/>
      <c r="O71" s="113"/>
      <c r="P71" s="113"/>
      <c r="Q71" s="113"/>
      <c r="R71" s="113"/>
      <c r="S71" s="113"/>
      <c r="T71" s="113"/>
      <c r="U71" s="120"/>
      <c r="V71" s="54">
        <f t="shared" si="14"/>
        <v>21292482.56</v>
      </c>
      <c r="W71" s="121"/>
      <c r="X71" s="113">
        <v>5255006.0</v>
      </c>
      <c r="Y71" s="113">
        <v>5255006.0</v>
      </c>
      <c r="Z71" s="113">
        <v>5255006.0</v>
      </c>
      <c r="AA71" s="113">
        <v>5255006.0</v>
      </c>
      <c r="AB71" s="113">
        <v>5255006.0</v>
      </c>
      <c r="AC71" s="113">
        <v>5255006.0</v>
      </c>
      <c r="AD71" s="113">
        <v>5255006.0</v>
      </c>
      <c r="AE71" s="113">
        <v>5255006.0</v>
      </c>
      <c r="AF71" s="113">
        <v>5255006.0</v>
      </c>
      <c r="AG71" s="113">
        <v>5255006.0</v>
      </c>
      <c r="AH71" s="113">
        <v>5255006.0</v>
      </c>
      <c r="AI71" s="113">
        <v>5255006.0</v>
      </c>
      <c r="AJ71" s="121"/>
      <c r="AK71" s="54">
        <f t="shared" si="19"/>
        <v>21020024</v>
      </c>
      <c r="AL71" s="56"/>
      <c r="AM71" s="30"/>
      <c r="AN71" s="120"/>
      <c r="AO71" s="120"/>
      <c r="AP71" s="120"/>
      <c r="AQ71" s="120"/>
      <c r="AR71" s="120"/>
      <c r="AS71" s="120"/>
      <c r="AT71" s="53"/>
      <c r="AU71" s="53"/>
      <c r="AV71" s="53"/>
      <c r="AW71" s="53"/>
      <c r="AX71" s="53"/>
      <c r="AY71" s="53"/>
    </row>
    <row r="72" ht="12.0" customHeight="1" outlineLevel="1">
      <c r="A72" s="21"/>
      <c r="B72" s="114"/>
      <c r="C72" s="5"/>
      <c r="D72" s="50"/>
      <c r="E72" s="50"/>
      <c r="F72" s="5"/>
      <c r="G72" s="50"/>
      <c r="H72" s="50"/>
      <c r="I72" s="122"/>
      <c r="J72" s="122"/>
      <c r="K72" s="122"/>
      <c r="L72" s="122"/>
      <c r="M72" s="122"/>
      <c r="N72" s="122"/>
      <c r="O72" s="122"/>
      <c r="P72" s="122"/>
      <c r="Q72" s="122"/>
      <c r="R72" s="122"/>
      <c r="S72" s="122"/>
      <c r="T72" s="122"/>
      <c r="U72" s="123"/>
      <c r="V72" s="54">
        <f t="shared" si="14"/>
        <v>0</v>
      </c>
      <c r="W72" s="124"/>
      <c r="X72" s="122"/>
      <c r="Y72" s="122"/>
      <c r="Z72" s="122"/>
      <c r="AA72" s="122"/>
      <c r="AB72" s="122"/>
      <c r="AC72" s="122"/>
      <c r="AD72" s="122"/>
      <c r="AE72" s="122"/>
      <c r="AF72" s="122"/>
      <c r="AG72" s="122"/>
      <c r="AH72" s="122"/>
      <c r="AI72" s="122"/>
      <c r="AJ72" s="124"/>
      <c r="AK72" s="125"/>
      <c r="AL72" s="10"/>
      <c r="AM72" s="30"/>
      <c r="AN72" s="123"/>
      <c r="AO72" s="123"/>
      <c r="AP72" s="123"/>
      <c r="AQ72" s="123"/>
      <c r="AR72" s="123"/>
      <c r="AS72" s="123"/>
    </row>
    <row r="73" ht="15.75" customHeight="1">
      <c r="A73" s="22"/>
      <c r="B73" s="41"/>
      <c r="C73" s="62"/>
      <c r="D73" s="42" t="s">
        <v>91</v>
      </c>
      <c r="E73" s="42"/>
      <c r="F73" s="42"/>
      <c r="G73" s="43"/>
      <c r="H73" s="43"/>
      <c r="I73" s="44">
        <f t="shared" ref="I73:T73" si="21">SUM(I74)</f>
        <v>0</v>
      </c>
      <c r="J73" s="44">
        <f t="shared" si="21"/>
        <v>0</v>
      </c>
      <c r="K73" s="44">
        <f t="shared" si="21"/>
        <v>0</v>
      </c>
      <c r="L73" s="44">
        <f t="shared" si="21"/>
        <v>0</v>
      </c>
      <c r="M73" s="44">
        <f t="shared" si="21"/>
        <v>0</v>
      </c>
      <c r="N73" s="44">
        <f t="shared" si="21"/>
        <v>0</v>
      </c>
      <c r="O73" s="44">
        <f t="shared" si="21"/>
        <v>0</v>
      </c>
      <c r="P73" s="44">
        <f t="shared" si="21"/>
        <v>0</v>
      </c>
      <c r="Q73" s="44">
        <f t="shared" si="21"/>
        <v>0</v>
      </c>
      <c r="R73" s="44">
        <f t="shared" si="21"/>
        <v>0</v>
      </c>
      <c r="S73" s="44">
        <f t="shared" si="21"/>
        <v>0</v>
      </c>
      <c r="T73" s="44">
        <f t="shared" si="21"/>
        <v>0</v>
      </c>
      <c r="U73" s="7"/>
      <c r="V73" s="45">
        <f t="shared" si="14"/>
        <v>0</v>
      </c>
      <c r="W73" s="89">
        <f>+V73/$V$169</f>
        <v>0</v>
      </c>
      <c r="X73" s="44">
        <v>1.035E7</v>
      </c>
      <c r="Y73" s="44">
        <v>0.0</v>
      </c>
      <c r="Z73" s="44">
        <v>0.0</v>
      </c>
      <c r="AA73" s="44">
        <v>0.0</v>
      </c>
      <c r="AB73" s="44">
        <v>0.0</v>
      </c>
      <c r="AC73" s="44">
        <v>0.0</v>
      </c>
      <c r="AD73" s="44">
        <v>0.0</v>
      </c>
      <c r="AE73" s="44">
        <v>0.0</v>
      </c>
      <c r="AF73" s="44">
        <v>0.0</v>
      </c>
      <c r="AG73" s="44">
        <v>0.0</v>
      </c>
      <c r="AH73" s="44">
        <v>0.0</v>
      </c>
      <c r="AI73" s="44">
        <v>0.0</v>
      </c>
      <c r="AJ73" s="89"/>
      <c r="AK73" s="103">
        <f t="shared" ref="AK73:AK79" si="22">SUM(X73:AA73)</f>
        <v>10350000</v>
      </c>
      <c r="AL73" s="10"/>
      <c r="AM73" s="30">
        <f>+V73-AK73</f>
        <v>-10350000</v>
      </c>
      <c r="AN73" s="47">
        <f>+AM73/AK73</f>
        <v>-1</v>
      </c>
      <c r="AO73" s="7"/>
      <c r="AP73" s="7"/>
      <c r="AQ73" s="7"/>
      <c r="AR73" s="7"/>
      <c r="AS73" s="7"/>
    </row>
    <row r="74" ht="12.0" customHeight="1" outlineLevel="1">
      <c r="A74" s="18"/>
      <c r="B74" s="58"/>
      <c r="C74" s="5" t="s">
        <v>92</v>
      </c>
      <c r="D74" s="50" t="s">
        <v>93</v>
      </c>
      <c r="E74" s="50">
        <v>5213.0</v>
      </c>
      <c r="F74" s="2" t="s">
        <v>94</v>
      </c>
      <c r="G74" s="50" t="s">
        <v>52</v>
      </c>
      <c r="H74" s="104"/>
      <c r="I74" s="52">
        <v>0.0</v>
      </c>
      <c r="J74" s="52">
        <v>0.0</v>
      </c>
      <c r="K74" s="52">
        <v>0.0</v>
      </c>
      <c r="L74" s="52">
        <v>0.0</v>
      </c>
      <c r="M74" s="52"/>
      <c r="N74" s="52"/>
      <c r="O74" s="52"/>
      <c r="P74" s="52"/>
      <c r="Q74" s="52"/>
      <c r="R74" s="52"/>
      <c r="S74" s="52"/>
      <c r="T74" s="52"/>
      <c r="U74" s="7"/>
      <c r="V74" s="54">
        <f t="shared" si="14"/>
        <v>0</v>
      </c>
      <c r="W74" s="40"/>
      <c r="X74" s="52">
        <v>1.035E7</v>
      </c>
      <c r="Y74" s="52"/>
      <c r="Z74" s="52"/>
      <c r="AA74" s="52"/>
      <c r="AB74" s="52"/>
      <c r="AC74" s="52"/>
      <c r="AD74" s="52"/>
      <c r="AE74" s="52"/>
      <c r="AF74" s="52"/>
      <c r="AG74" s="52"/>
      <c r="AH74" s="52"/>
      <c r="AI74" s="52"/>
      <c r="AJ74" s="105"/>
      <c r="AK74" s="54">
        <f t="shared" si="22"/>
        <v>10350000</v>
      </c>
      <c r="AL74" s="10"/>
      <c r="AM74" s="30"/>
      <c r="AN74" s="7"/>
      <c r="AO74" s="7"/>
      <c r="AP74" s="7"/>
      <c r="AQ74" s="7"/>
      <c r="AR74" s="7"/>
      <c r="AS74" s="7"/>
    </row>
    <row r="75" ht="15.75" customHeight="1">
      <c r="A75" s="22"/>
      <c r="B75" s="41"/>
      <c r="C75" s="62"/>
      <c r="D75" s="42" t="s">
        <v>95</v>
      </c>
      <c r="E75" s="42"/>
      <c r="F75" s="42"/>
      <c r="G75" s="43"/>
      <c r="H75" s="43"/>
      <c r="I75" s="44">
        <f t="shared" ref="I75:T75" si="23">SUM(I76:I80)</f>
        <v>14752514.1</v>
      </c>
      <c r="J75" s="44">
        <f t="shared" si="23"/>
        <v>12629594.44</v>
      </c>
      <c r="K75" s="44">
        <f t="shared" si="23"/>
        <v>12792494</v>
      </c>
      <c r="L75" s="44">
        <f t="shared" si="23"/>
        <v>12762476.69</v>
      </c>
      <c r="M75" s="44">
        <f t="shared" si="23"/>
        <v>0</v>
      </c>
      <c r="N75" s="44">
        <f t="shared" si="23"/>
        <v>0</v>
      </c>
      <c r="O75" s="44">
        <f t="shared" si="23"/>
        <v>0</v>
      </c>
      <c r="P75" s="44">
        <f t="shared" si="23"/>
        <v>0</v>
      </c>
      <c r="Q75" s="44">
        <f t="shared" si="23"/>
        <v>0</v>
      </c>
      <c r="R75" s="44">
        <f t="shared" si="23"/>
        <v>0</v>
      </c>
      <c r="S75" s="44">
        <f t="shared" si="23"/>
        <v>0</v>
      </c>
      <c r="T75" s="44">
        <f t="shared" si="23"/>
        <v>0</v>
      </c>
      <c r="U75" s="7"/>
      <c r="V75" s="45">
        <f t="shared" si="14"/>
        <v>52937079.23</v>
      </c>
      <c r="W75" s="89">
        <f>+V75/$V$169</f>
        <v>0.01655824376</v>
      </c>
      <c r="X75" s="44">
        <v>1.448823E7</v>
      </c>
      <c r="Y75" s="44">
        <v>1.464621595E7</v>
      </c>
      <c r="Z75" s="44">
        <v>1.480597831425E7</v>
      </c>
      <c r="AA75" s="44">
        <v>1.830053780521375E7</v>
      </c>
      <c r="AB75" s="44">
        <v>1.849724538670445E7</v>
      </c>
      <c r="AC75" s="44">
        <v>2.066524452998172E7</v>
      </c>
      <c r="AD75" s="44">
        <v>1.889720318536976E7</v>
      </c>
      <c r="AE75" s="44">
        <v>1.910050331504902E7</v>
      </c>
      <c r="AF75" s="44">
        <v>1.930605136749246E7</v>
      </c>
      <c r="AG75" s="44">
        <v>1.951387304574972E7</v>
      </c>
      <c r="AH75" s="44">
        <v>1.972399435825829E7</v>
      </c>
      <c r="AI75" s="44">
        <v>1.993644162262272E7</v>
      </c>
      <c r="AJ75" s="89"/>
      <c r="AK75" s="103">
        <f t="shared" si="22"/>
        <v>62240962.07</v>
      </c>
      <c r="AL75" s="10"/>
      <c r="AM75" s="30">
        <f>+V75-AK75</f>
        <v>-9303882.839</v>
      </c>
      <c r="AN75" s="47">
        <f>+AM75/AK75</f>
        <v>-0.1494816682</v>
      </c>
      <c r="AO75" s="7"/>
      <c r="AP75" s="7"/>
      <c r="AQ75" s="7"/>
      <c r="AR75" s="7"/>
      <c r="AS75" s="7"/>
    </row>
    <row r="76" ht="12.0" customHeight="1" outlineLevel="1">
      <c r="A76" s="18"/>
      <c r="B76" s="58"/>
      <c r="C76" s="5" t="s">
        <v>96</v>
      </c>
      <c r="D76" s="50" t="s">
        <v>95</v>
      </c>
      <c r="E76" s="50">
        <v>5212.0</v>
      </c>
      <c r="F76" s="5" t="s">
        <v>97</v>
      </c>
      <c r="G76" s="50" t="s">
        <v>52</v>
      </c>
      <c r="H76" s="106"/>
      <c r="I76" s="52">
        <v>1.21589001E7</v>
      </c>
      <c r="J76" s="52">
        <v>1.050078144E7</v>
      </c>
      <c r="K76" s="52">
        <v>1.0612E7</v>
      </c>
      <c r="L76" s="52">
        <v>1.058198269E7</v>
      </c>
      <c r="M76" s="52"/>
      <c r="N76" s="52"/>
      <c r="O76" s="52"/>
      <c r="P76" s="52"/>
      <c r="Q76" s="52"/>
      <c r="R76" s="52"/>
      <c r="S76" s="52"/>
      <c r="T76" s="52"/>
      <c r="U76" s="53"/>
      <c r="V76" s="54">
        <f t="shared" si="14"/>
        <v>43853664.23</v>
      </c>
      <c r="W76" s="105"/>
      <c r="X76" s="52">
        <v>1.18675E7</v>
      </c>
      <c r="Y76" s="52">
        <v>1.1986175E7</v>
      </c>
      <c r="Z76" s="52">
        <v>1.210603675E7</v>
      </c>
      <c r="AA76" s="52">
        <v>1.22270971175E7</v>
      </c>
      <c r="AB76" s="52">
        <v>1.2349368088675E7</v>
      </c>
      <c r="AC76" s="52">
        <v>1.247286176956175E7</v>
      </c>
      <c r="AD76" s="52">
        <v>1.259759038725737E7</v>
      </c>
      <c r="AE76" s="52">
        <v>1.272356629112994E7</v>
      </c>
      <c r="AF76" s="52">
        <v>1.285080195404124E7</v>
      </c>
      <c r="AG76" s="52">
        <v>1.297930997358165E7</v>
      </c>
      <c r="AH76" s="52">
        <v>1.310910307331747E7</v>
      </c>
      <c r="AI76" s="52">
        <v>1.324019410405065E7</v>
      </c>
      <c r="AJ76" s="105"/>
      <c r="AK76" s="54">
        <f t="shared" si="22"/>
        <v>48186808.87</v>
      </c>
      <c r="AL76" s="56"/>
      <c r="AM76" s="30"/>
      <c r="AN76" s="53"/>
      <c r="AO76" s="53"/>
      <c r="AP76" s="53"/>
      <c r="AQ76" s="53"/>
      <c r="AR76" s="53"/>
      <c r="AS76" s="53"/>
      <c r="AT76" s="53"/>
      <c r="AU76" s="53"/>
      <c r="AV76" s="53"/>
      <c r="AW76" s="53"/>
      <c r="AX76" s="53"/>
      <c r="AY76" s="53"/>
    </row>
    <row r="77" ht="12.0" customHeight="1" outlineLevel="1">
      <c r="A77" s="18"/>
      <c r="B77" s="58"/>
      <c r="C77" s="5" t="s">
        <v>98</v>
      </c>
      <c r="D77" s="50" t="s">
        <v>95</v>
      </c>
      <c r="E77" s="50">
        <v>5215.0</v>
      </c>
      <c r="F77" s="5" t="s">
        <v>99</v>
      </c>
      <c r="G77" s="50" t="s">
        <v>52</v>
      </c>
      <c r="H77" s="104"/>
      <c r="I77" s="52">
        <v>0.0</v>
      </c>
      <c r="J77" s="52">
        <v>0.0</v>
      </c>
      <c r="K77" s="52">
        <v>0.0</v>
      </c>
      <c r="L77" s="52">
        <v>0.0</v>
      </c>
      <c r="M77" s="52"/>
      <c r="N77" s="52"/>
      <c r="O77" s="52"/>
      <c r="P77" s="52"/>
      <c r="Q77" s="52"/>
      <c r="R77" s="52"/>
      <c r="S77" s="52"/>
      <c r="T77" s="52"/>
      <c r="U77" s="53"/>
      <c r="V77" s="54">
        <f t="shared" si="14"/>
        <v>0</v>
      </c>
      <c r="W77" s="105"/>
      <c r="X77" s="52"/>
      <c r="Y77" s="52"/>
      <c r="Z77" s="52"/>
      <c r="AA77" s="52"/>
      <c r="AB77" s="52"/>
      <c r="AC77" s="52">
        <v>1969118.952920073</v>
      </c>
      <c r="AD77" s="52"/>
      <c r="AE77" s="52"/>
      <c r="AF77" s="52"/>
      <c r="AG77" s="52"/>
      <c r="AH77" s="52"/>
      <c r="AI77" s="52"/>
      <c r="AJ77" s="105"/>
      <c r="AK77" s="54">
        <f t="shared" si="22"/>
        <v>0</v>
      </c>
      <c r="AL77" s="56"/>
      <c r="AM77" s="30"/>
      <c r="AN77" s="53"/>
      <c r="AO77" s="53"/>
      <c r="AP77" s="53"/>
      <c r="AQ77" s="53"/>
      <c r="AR77" s="53"/>
      <c r="AS77" s="53"/>
      <c r="AT77" s="53"/>
      <c r="AU77" s="53"/>
      <c r="AV77" s="53"/>
      <c r="AW77" s="53"/>
      <c r="AX77" s="53"/>
      <c r="AY77" s="53"/>
    </row>
    <row r="78" ht="12.0" customHeight="1" outlineLevel="1">
      <c r="A78" s="18"/>
      <c r="B78" s="58"/>
      <c r="C78" s="5" t="s">
        <v>100</v>
      </c>
      <c r="D78" s="50" t="s">
        <v>95</v>
      </c>
      <c r="E78" s="50">
        <v>5216.0</v>
      </c>
      <c r="F78" s="5" t="s">
        <v>101</v>
      </c>
      <c r="G78" s="50" t="s">
        <v>52</v>
      </c>
      <c r="H78" s="106"/>
      <c r="I78" s="52">
        <v>2593614.0</v>
      </c>
      <c r="J78" s="52">
        <v>2128813.0</v>
      </c>
      <c r="K78" s="52">
        <v>2180494.0</v>
      </c>
      <c r="L78" s="52">
        <v>2180494.0</v>
      </c>
      <c r="M78" s="52"/>
      <c r="N78" s="52"/>
      <c r="O78" s="52"/>
      <c r="P78" s="52"/>
      <c r="Q78" s="52"/>
      <c r="R78" s="52"/>
      <c r="S78" s="52"/>
      <c r="T78" s="52"/>
      <c r="U78" s="53"/>
      <c r="V78" s="54">
        <f t="shared" si="14"/>
        <v>9083415</v>
      </c>
      <c r="W78" s="105"/>
      <c r="X78" s="52">
        <v>2620730.0</v>
      </c>
      <c r="Y78" s="52">
        <v>2660040.949999999</v>
      </c>
      <c r="Z78" s="52">
        <v>2699941.564249999</v>
      </c>
      <c r="AA78" s="52">
        <v>2740440.687713749</v>
      </c>
      <c r="AB78" s="52">
        <v>2781547.298029455</v>
      </c>
      <c r="AC78" s="52">
        <v>2823270.507499896</v>
      </c>
      <c r="AD78" s="52">
        <v>2865619.565112395</v>
      </c>
      <c r="AE78" s="52">
        <v>2908603.85858908</v>
      </c>
      <c r="AF78" s="52">
        <v>2952232.916467916</v>
      </c>
      <c r="AG78" s="52">
        <v>2996516.410214934</v>
      </c>
      <c r="AH78" s="52">
        <v>3041464.156368158</v>
      </c>
      <c r="AI78" s="52">
        <v>3087086.11871368</v>
      </c>
      <c r="AJ78" s="105"/>
      <c r="AK78" s="54">
        <f t="shared" si="22"/>
        <v>10721153.2</v>
      </c>
      <c r="AL78" s="56"/>
      <c r="AM78" s="30"/>
      <c r="AN78" s="53"/>
      <c r="AO78" s="53"/>
      <c r="AP78" s="53"/>
      <c r="AQ78" s="53"/>
      <c r="AR78" s="53"/>
      <c r="AS78" s="53"/>
      <c r="AT78" s="53"/>
      <c r="AU78" s="53"/>
      <c r="AV78" s="53"/>
      <c r="AW78" s="53"/>
      <c r="AX78" s="53"/>
      <c r="AY78" s="53"/>
    </row>
    <row r="79" ht="12.0" customHeight="1" outlineLevel="1">
      <c r="A79" s="18"/>
      <c r="B79" s="58"/>
      <c r="C79" s="5" t="s">
        <v>96</v>
      </c>
      <c r="D79" s="50" t="s">
        <v>95</v>
      </c>
      <c r="E79" s="50">
        <v>5212.0</v>
      </c>
      <c r="F79" s="5" t="s">
        <v>102</v>
      </c>
      <c r="G79" s="50" t="s">
        <v>52</v>
      </c>
      <c r="H79" s="106"/>
      <c r="I79" s="52">
        <v>0.0</v>
      </c>
      <c r="J79" s="52">
        <v>0.0</v>
      </c>
      <c r="K79" s="52">
        <v>0.0</v>
      </c>
      <c r="L79" s="52">
        <v>0.0</v>
      </c>
      <c r="M79" s="52"/>
      <c r="N79" s="52"/>
      <c r="O79" s="52"/>
      <c r="P79" s="52"/>
      <c r="Q79" s="52"/>
      <c r="R79" s="52"/>
      <c r="S79" s="52"/>
      <c r="T79" s="52"/>
      <c r="U79" s="53"/>
      <c r="V79" s="54">
        <f t="shared" si="14"/>
        <v>0</v>
      </c>
      <c r="W79" s="105"/>
      <c r="X79" s="52"/>
      <c r="Y79" s="52"/>
      <c r="Z79" s="52"/>
      <c r="AA79" s="52">
        <v>3333000.0</v>
      </c>
      <c r="AB79" s="52">
        <v>3366330.0</v>
      </c>
      <c r="AC79" s="52">
        <v>3399993.3</v>
      </c>
      <c r="AD79" s="52">
        <v>3433993.233</v>
      </c>
      <c r="AE79" s="52">
        <v>3468333.16533</v>
      </c>
      <c r="AF79" s="52">
        <v>3503016.4969833</v>
      </c>
      <c r="AG79" s="52">
        <v>3538046.661953134</v>
      </c>
      <c r="AH79" s="52">
        <v>3573427.128572665</v>
      </c>
      <c r="AI79" s="52">
        <v>3609161.399858391</v>
      </c>
      <c r="AJ79" s="105"/>
      <c r="AK79" s="54">
        <f t="shared" si="22"/>
        <v>3333000</v>
      </c>
      <c r="AL79" s="56"/>
      <c r="AM79" s="30"/>
      <c r="AN79" s="53"/>
      <c r="AO79" s="53"/>
      <c r="AP79" s="53"/>
      <c r="AQ79" s="53"/>
      <c r="AR79" s="53"/>
      <c r="AS79" s="53"/>
      <c r="AT79" s="53"/>
      <c r="AU79" s="53"/>
      <c r="AV79" s="53"/>
      <c r="AW79" s="53"/>
      <c r="AX79" s="53"/>
      <c r="AY79" s="53"/>
    </row>
    <row r="80" ht="12.0" customHeight="1" outlineLevel="1">
      <c r="A80" s="18"/>
      <c r="B80" s="58"/>
      <c r="C80" s="5"/>
      <c r="D80" s="50"/>
      <c r="E80" s="50"/>
      <c r="F80" s="5"/>
      <c r="G80" s="50"/>
      <c r="H80" s="50"/>
      <c r="I80" s="52"/>
      <c r="J80" s="52"/>
      <c r="K80" s="52"/>
      <c r="L80" s="52"/>
      <c r="M80" s="52"/>
      <c r="N80" s="52"/>
      <c r="O80" s="52"/>
      <c r="P80" s="52"/>
      <c r="Q80" s="52"/>
      <c r="R80" s="52"/>
      <c r="S80" s="52"/>
      <c r="T80" s="52"/>
      <c r="U80" s="53"/>
      <c r="V80" s="54">
        <f t="shared" si="14"/>
        <v>0</v>
      </c>
      <c r="W80" s="105"/>
      <c r="X80" s="52"/>
      <c r="Y80" s="52"/>
      <c r="Z80" s="52"/>
      <c r="AA80" s="52"/>
      <c r="AB80" s="52"/>
      <c r="AC80" s="52"/>
      <c r="AD80" s="52"/>
      <c r="AE80" s="52"/>
      <c r="AF80" s="52"/>
      <c r="AG80" s="52"/>
      <c r="AH80" s="52"/>
      <c r="AI80" s="52"/>
      <c r="AJ80" s="105"/>
      <c r="AK80" s="54"/>
      <c r="AL80" s="56"/>
      <c r="AM80" s="30"/>
      <c r="AN80" s="53"/>
      <c r="AO80" s="53"/>
      <c r="AP80" s="53"/>
      <c r="AQ80" s="53"/>
      <c r="AR80" s="53"/>
      <c r="AS80" s="53"/>
      <c r="AT80" s="53"/>
      <c r="AU80" s="53"/>
      <c r="AV80" s="53"/>
      <c r="AW80" s="53"/>
      <c r="AX80" s="53"/>
      <c r="AY80" s="53"/>
    </row>
    <row r="81" ht="15.75" customHeight="1">
      <c r="A81" s="22"/>
      <c r="B81" s="41"/>
      <c r="C81" s="62"/>
      <c r="D81" s="42" t="s">
        <v>103</v>
      </c>
      <c r="E81" s="42"/>
      <c r="F81" s="42"/>
      <c r="G81" s="43"/>
      <c r="H81" s="43"/>
      <c r="I81" s="44">
        <f t="shared" ref="I81:T81" si="24">SUM(I82:I86)</f>
        <v>28501696.07</v>
      </c>
      <c r="J81" s="44">
        <f t="shared" si="24"/>
        <v>22597866</v>
      </c>
      <c r="K81" s="44">
        <f t="shared" si="24"/>
        <v>29327200</v>
      </c>
      <c r="L81" s="44">
        <f t="shared" si="24"/>
        <v>31280749.33</v>
      </c>
      <c r="M81" s="44">
        <f t="shared" si="24"/>
        <v>0</v>
      </c>
      <c r="N81" s="44">
        <f t="shared" si="24"/>
        <v>0</v>
      </c>
      <c r="O81" s="44">
        <f t="shared" si="24"/>
        <v>0</v>
      </c>
      <c r="P81" s="44">
        <f t="shared" si="24"/>
        <v>0</v>
      </c>
      <c r="Q81" s="44">
        <f t="shared" si="24"/>
        <v>0</v>
      </c>
      <c r="R81" s="44">
        <f t="shared" si="24"/>
        <v>0</v>
      </c>
      <c r="S81" s="44">
        <f t="shared" si="24"/>
        <v>0</v>
      </c>
      <c r="T81" s="44">
        <f t="shared" si="24"/>
        <v>0</v>
      </c>
      <c r="U81" s="7"/>
      <c r="V81" s="45">
        <f t="shared" si="14"/>
        <v>111707511.4</v>
      </c>
      <c r="W81" s="89">
        <f>+V81/$V$169</f>
        <v>0.03494110803</v>
      </c>
      <c r="X81" s="44">
        <v>2.866071228754241E7</v>
      </c>
      <c r="Y81" s="44">
        <v>2.835065730709646E7</v>
      </c>
      <c r="Z81" s="44">
        <v>2.809157664494554E7</v>
      </c>
      <c r="AA81" s="44">
        <v>2.797299602961551E7</v>
      </c>
      <c r="AB81" s="44">
        <v>2.780377052253667E7</v>
      </c>
      <c r="AC81" s="44">
        <v>2.767445040770024E7</v>
      </c>
      <c r="AD81" s="44">
        <v>2.767983355726875E7</v>
      </c>
      <c r="AE81" s="44">
        <v>2.762109065882219E7</v>
      </c>
      <c r="AF81" s="44">
        <v>2.759387535597188E7</v>
      </c>
      <c r="AG81" s="44">
        <v>2.769819927137859E7</v>
      </c>
      <c r="AH81" s="44">
        <v>2.77269580331776E7</v>
      </c>
      <c r="AI81" s="44">
        <v>2.77809119400937E7</v>
      </c>
      <c r="AJ81" s="89"/>
      <c r="AK81" s="103">
        <f t="shared" ref="AK81:AK85" si="25">SUM(X81:AA81)</f>
        <v>113075942.3</v>
      </c>
      <c r="AL81" s="10"/>
      <c r="AM81" s="30">
        <f>+V81-AK81</f>
        <v>-1368430.869</v>
      </c>
      <c r="AN81" s="47">
        <f>+AM81/AK81</f>
        <v>-0.01210187456</v>
      </c>
      <c r="AO81" s="7"/>
      <c r="AP81" s="7"/>
      <c r="AQ81" s="7"/>
      <c r="AR81" s="7"/>
      <c r="AS81" s="7"/>
    </row>
    <row r="82" ht="12.0" hidden="1" customHeight="1" outlineLevel="1">
      <c r="A82" s="18"/>
      <c r="B82" s="58"/>
      <c r="C82" s="5" t="s">
        <v>104</v>
      </c>
      <c r="D82" s="50" t="s">
        <v>105</v>
      </c>
      <c r="E82" s="50">
        <v>5216.0</v>
      </c>
      <c r="F82" s="5" t="s">
        <v>106</v>
      </c>
      <c r="G82" s="50" t="s">
        <v>52</v>
      </c>
      <c r="H82" s="64"/>
      <c r="I82" s="52">
        <v>1.125462705E7</v>
      </c>
      <c r="J82" s="52">
        <v>1.1947646E7</v>
      </c>
      <c r="K82" s="52">
        <v>1.2370016E7</v>
      </c>
      <c r="L82" s="52">
        <v>1.533834E7</v>
      </c>
      <c r="M82" s="52"/>
      <c r="N82" s="52"/>
      <c r="O82" s="52"/>
      <c r="P82" s="52"/>
      <c r="Q82" s="52"/>
      <c r="R82" s="52"/>
      <c r="S82" s="52"/>
      <c r="T82" s="52"/>
      <c r="U82" s="53"/>
      <c r="V82" s="54">
        <f t="shared" si="14"/>
        <v>50910629.05</v>
      </c>
      <c r="W82" s="105"/>
      <c r="X82" s="52">
        <v>1.251912473666725E7</v>
      </c>
      <c r="Y82" s="52">
        <v>1.269512195680364E7</v>
      </c>
      <c r="Z82" s="52">
        <v>1.28742194208729E7</v>
      </c>
      <c r="AA82" s="52">
        <v>1.315002565924314E7</v>
      </c>
      <c r="AB82" s="52">
        <v>1.333512478977159E7</v>
      </c>
      <c r="AC82" s="52">
        <v>1.352347300060904E7</v>
      </c>
      <c r="AD82" s="52">
        <v>1.381297886259244E7</v>
      </c>
      <c r="AE82" s="52">
        <v>1.400765408581783E7</v>
      </c>
      <c r="AF82" s="52">
        <v>1.420574698123458E7</v>
      </c>
      <c r="AG82" s="52">
        <v>1.450963878731918E7</v>
      </c>
      <c r="AH82" s="52">
        <v>1.4714389157329E7</v>
      </c>
      <c r="AI82" s="52">
        <v>1.492273460182299E7</v>
      </c>
      <c r="AJ82" s="105"/>
      <c r="AK82" s="54">
        <f t="shared" si="25"/>
        <v>51238491.77</v>
      </c>
      <c r="AL82" s="56"/>
      <c r="AM82" s="30"/>
      <c r="AN82" s="53"/>
      <c r="AO82" s="53"/>
      <c r="AP82" s="53"/>
      <c r="AQ82" s="53"/>
      <c r="AR82" s="53"/>
      <c r="AS82" s="53"/>
      <c r="AT82" s="53"/>
      <c r="AU82" s="53"/>
      <c r="AV82" s="53"/>
      <c r="AW82" s="53"/>
      <c r="AX82" s="53"/>
      <c r="AY82" s="53"/>
    </row>
    <row r="83" ht="12.0" hidden="1" customHeight="1" outlineLevel="1">
      <c r="A83" s="18"/>
      <c r="B83" s="58"/>
      <c r="C83" s="5" t="s">
        <v>107</v>
      </c>
      <c r="D83" s="50" t="s">
        <v>108</v>
      </c>
      <c r="E83" s="50">
        <v>5212.0</v>
      </c>
      <c r="F83" s="5" t="s">
        <v>109</v>
      </c>
      <c r="G83" s="50" t="s">
        <v>52</v>
      </c>
      <c r="H83" s="64"/>
      <c r="I83" s="52">
        <v>6282208.02</v>
      </c>
      <c r="J83" s="52">
        <v>6282208.0</v>
      </c>
      <c r="K83" s="52">
        <v>6282208.0</v>
      </c>
      <c r="L83" s="52">
        <v>6461852.16</v>
      </c>
      <c r="M83" s="52"/>
      <c r="N83" s="52"/>
      <c r="O83" s="52"/>
      <c r="P83" s="52"/>
      <c r="Q83" s="52"/>
      <c r="R83" s="52"/>
      <c r="S83" s="52"/>
      <c r="T83" s="52"/>
      <c r="U83" s="53"/>
      <c r="V83" s="54">
        <f t="shared" si="14"/>
        <v>25308476.18</v>
      </c>
      <c r="W83" s="105"/>
      <c r="X83" s="52">
        <v>6042030.064007256</v>
      </c>
      <c r="Y83" s="52">
        <v>6102450.364647329</v>
      </c>
      <c r="Z83" s="52">
        <v>6163474.868293802</v>
      </c>
      <c r="AA83" s="52">
        <v>6225109.61697674</v>
      </c>
      <c r="AB83" s="52">
        <v>6287360.713146507</v>
      </c>
      <c r="AC83" s="52">
        <v>6350234.320277972</v>
      </c>
      <c r="AD83" s="52">
        <v>6413736.663480752</v>
      </c>
      <c r="AE83" s="52">
        <v>6477874.03011556</v>
      </c>
      <c r="AF83" s="52">
        <v>6542652.770416715</v>
      </c>
      <c r="AG83" s="52">
        <v>6608079.298120882</v>
      </c>
      <c r="AH83" s="52">
        <v>6674160.091102092</v>
      </c>
      <c r="AI83" s="52">
        <v>6740901.692013113</v>
      </c>
      <c r="AJ83" s="105"/>
      <c r="AK83" s="54">
        <f t="shared" si="25"/>
        <v>24533064.91</v>
      </c>
      <c r="AL83" s="56"/>
      <c r="AM83" s="30"/>
      <c r="AN83" s="53"/>
      <c r="AO83" s="53"/>
      <c r="AP83" s="53"/>
      <c r="AQ83" s="53"/>
      <c r="AR83" s="53"/>
      <c r="AS83" s="53"/>
      <c r="AT83" s="53"/>
      <c r="AU83" s="53"/>
      <c r="AV83" s="53"/>
      <c r="AW83" s="53"/>
      <c r="AX83" s="53"/>
      <c r="AY83" s="53"/>
    </row>
    <row r="84" ht="12.0" hidden="1" customHeight="1" outlineLevel="1">
      <c r="A84" s="18"/>
      <c r="B84" s="58"/>
      <c r="C84" s="5" t="s">
        <v>110</v>
      </c>
      <c r="D84" s="50" t="s">
        <v>111</v>
      </c>
      <c r="E84" s="50">
        <v>5218.0</v>
      </c>
      <c r="F84" s="5" t="s">
        <v>112</v>
      </c>
      <c r="G84" s="50" t="s">
        <v>52</v>
      </c>
      <c r="H84" s="126"/>
      <c r="I84" s="52">
        <v>4671375.8</v>
      </c>
      <c r="J84" s="52">
        <v>4285762.0</v>
      </c>
      <c r="K84" s="52">
        <v>3952439.0</v>
      </c>
      <c r="L84" s="52">
        <v>3786691.25</v>
      </c>
      <c r="M84" s="52"/>
      <c r="N84" s="52"/>
      <c r="O84" s="52"/>
      <c r="P84" s="52"/>
      <c r="Q84" s="52"/>
      <c r="R84" s="52"/>
      <c r="S84" s="52"/>
      <c r="T84" s="52"/>
      <c r="U84" s="53"/>
      <c r="V84" s="54">
        <f t="shared" si="14"/>
        <v>16696268.05</v>
      </c>
      <c r="W84" s="105"/>
      <c r="X84" s="52">
        <v>3781956.316666667</v>
      </c>
      <c r="Y84" s="52">
        <v>3781956.316666667</v>
      </c>
      <c r="Z84" s="52">
        <v>3781956.316666667</v>
      </c>
      <c r="AA84" s="52">
        <v>3781956.316666667</v>
      </c>
      <c r="AB84" s="52">
        <v>3781956.316666667</v>
      </c>
      <c r="AC84" s="52">
        <v>3781956.316666667</v>
      </c>
      <c r="AD84" s="52">
        <v>3781956.316666667</v>
      </c>
      <c r="AE84" s="52">
        <v>3781956.316666667</v>
      </c>
      <c r="AF84" s="52">
        <v>3781956.316666667</v>
      </c>
      <c r="AG84" s="52">
        <v>3781956.316666667</v>
      </c>
      <c r="AH84" s="52">
        <v>3781956.316666667</v>
      </c>
      <c r="AI84" s="52">
        <v>3781956.316666667</v>
      </c>
      <c r="AJ84" s="105"/>
      <c r="AK84" s="54">
        <f t="shared" si="25"/>
        <v>15127825.27</v>
      </c>
      <c r="AL84" s="56"/>
      <c r="AM84" s="30"/>
      <c r="AN84" s="53"/>
      <c r="AO84" s="52"/>
      <c r="AP84" s="53"/>
      <c r="AQ84" s="53"/>
      <c r="AR84" s="53"/>
      <c r="AS84" s="53"/>
      <c r="AT84" s="53"/>
      <c r="AU84" s="53"/>
      <c r="AV84" s="53"/>
      <c r="AW84" s="53"/>
      <c r="AX84" s="53"/>
      <c r="AY84" s="53"/>
    </row>
    <row r="85" ht="12.0" hidden="1" customHeight="1" outlineLevel="1">
      <c r="A85" s="18"/>
      <c r="B85" s="58"/>
      <c r="C85" s="5" t="s">
        <v>113</v>
      </c>
      <c r="D85" s="50" t="s">
        <v>114</v>
      </c>
      <c r="E85" s="50">
        <v>5219.0</v>
      </c>
      <c r="F85" s="5" t="s">
        <v>115</v>
      </c>
      <c r="G85" s="50" t="s">
        <v>52</v>
      </c>
      <c r="H85" s="64"/>
      <c r="I85" s="52">
        <v>6293485.2</v>
      </c>
      <c r="J85" s="52">
        <v>82250.0</v>
      </c>
      <c r="K85" s="52">
        <v>5922537.0</v>
      </c>
      <c r="L85" s="52">
        <v>6012295.92</v>
      </c>
      <c r="M85" s="52"/>
      <c r="N85" s="52"/>
      <c r="O85" s="52"/>
      <c r="P85" s="52"/>
      <c r="Q85" s="52"/>
      <c r="R85" s="52"/>
      <c r="S85" s="52"/>
      <c r="T85" s="52"/>
      <c r="U85" s="53"/>
      <c r="V85" s="54">
        <f t="shared" si="14"/>
        <v>18310568.12</v>
      </c>
      <c r="W85" s="105"/>
      <c r="X85" s="52">
        <v>6317601.170201243</v>
      </c>
      <c r="Y85" s="52">
        <v>5771128.66897883</v>
      </c>
      <c r="Z85" s="52">
        <v>5271926.039112165</v>
      </c>
      <c r="AA85" s="52">
        <v>4815904.436728963</v>
      </c>
      <c r="AB85" s="52">
        <v>4399328.702951906</v>
      </c>
      <c r="AC85" s="52">
        <v>4018786.770146566</v>
      </c>
      <c r="AD85" s="52">
        <v>3671161.714528888</v>
      </c>
      <c r="AE85" s="52">
        <v>3353606.226222139</v>
      </c>
      <c r="AF85" s="52">
        <v>3063519.287653924</v>
      </c>
      <c r="AG85" s="52">
        <v>2798524.86927186</v>
      </c>
      <c r="AH85" s="52">
        <v>2556452.468079844</v>
      </c>
      <c r="AI85" s="52">
        <v>2335319.329590937</v>
      </c>
      <c r="AJ85" s="105"/>
      <c r="AK85" s="54">
        <f t="shared" si="25"/>
        <v>22176560.32</v>
      </c>
      <c r="AL85" s="56"/>
      <c r="AM85" s="30"/>
      <c r="AN85" s="53"/>
      <c r="AO85" s="52"/>
      <c r="AP85" s="53"/>
      <c r="AQ85" s="53"/>
      <c r="AR85" s="53"/>
      <c r="AS85" s="53"/>
      <c r="AT85" s="53"/>
      <c r="AU85" s="53"/>
      <c r="AV85" s="53"/>
      <c r="AW85" s="53"/>
      <c r="AX85" s="53"/>
      <c r="AY85" s="53"/>
    </row>
    <row r="86" ht="12.0" hidden="1" customHeight="1" outlineLevel="1">
      <c r="A86" s="18"/>
      <c r="B86" s="58"/>
      <c r="C86" s="5" t="s">
        <v>116</v>
      </c>
      <c r="D86" s="50" t="s">
        <v>103</v>
      </c>
      <c r="E86" s="50"/>
      <c r="F86" s="5" t="s">
        <v>117</v>
      </c>
      <c r="G86" s="50" t="s">
        <v>52</v>
      </c>
      <c r="H86" s="50"/>
      <c r="I86" s="52"/>
      <c r="J86" s="52"/>
      <c r="K86" s="52">
        <v>800000.0</v>
      </c>
      <c r="L86" s="109">
        <v>-318430.0</v>
      </c>
      <c r="M86" s="52"/>
      <c r="N86" s="52"/>
      <c r="O86" s="52"/>
      <c r="P86" s="52"/>
      <c r="Q86" s="52"/>
      <c r="R86" s="52"/>
      <c r="S86" s="52"/>
      <c r="T86" s="52"/>
      <c r="U86" s="53"/>
      <c r="V86" s="54">
        <f t="shared" si="14"/>
        <v>481570</v>
      </c>
      <c r="W86" s="105"/>
      <c r="X86" s="52"/>
      <c r="Y86" s="52"/>
      <c r="Z86" s="52"/>
      <c r="AA86" s="52"/>
      <c r="AB86" s="52"/>
      <c r="AC86" s="52"/>
      <c r="AD86" s="52"/>
      <c r="AE86" s="52"/>
      <c r="AF86" s="52"/>
      <c r="AG86" s="52"/>
      <c r="AH86" s="52"/>
      <c r="AI86" s="52"/>
      <c r="AJ86" s="105"/>
      <c r="AK86" s="54"/>
      <c r="AL86" s="56"/>
      <c r="AM86" s="30"/>
      <c r="AN86" s="53"/>
      <c r="AO86" s="53"/>
      <c r="AP86" s="53"/>
      <c r="AQ86" s="53"/>
      <c r="AR86" s="53"/>
      <c r="AS86" s="53"/>
      <c r="AT86" s="53"/>
      <c r="AU86" s="53"/>
      <c r="AV86" s="53"/>
      <c r="AW86" s="53"/>
      <c r="AX86" s="53"/>
      <c r="AY86" s="53"/>
    </row>
    <row r="87" ht="15.75" customHeight="1" collapsed="1">
      <c r="A87" s="22"/>
      <c r="B87" s="41"/>
      <c r="C87" s="62"/>
      <c r="D87" s="42" t="s">
        <v>118</v>
      </c>
      <c r="E87" s="42"/>
      <c r="F87" s="42"/>
      <c r="G87" s="43"/>
      <c r="H87" s="43"/>
      <c r="I87" s="44">
        <f t="shared" ref="I87:T87" si="26">SUM(I88:I91)</f>
        <v>119766403.8</v>
      </c>
      <c r="J87" s="44">
        <f t="shared" si="26"/>
        <v>119446680</v>
      </c>
      <c r="K87" s="44">
        <f t="shared" si="26"/>
        <v>119031843</v>
      </c>
      <c r="L87" s="44">
        <f t="shared" si="26"/>
        <v>119675405.7</v>
      </c>
      <c r="M87" s="44">
        <f t="shared" si="26"/>
        <v>0</v>
      </c>
      <c r="N87" s="44">
        <f t="shared" si="26"/>
        <v>0</v>
      </c>
      <c r="O87" s="44">
        <f t="shared" si="26"/>
        <v>0</v>
      </c>
      <c r="P87" s="44">
        <f t="shared" si="26"/>
        <v>0</v>
      </c>
      <c r="Q87" s="44">
        <f t="shared" si="26"/>
        <v>0</v>
      </c>
      <c r="R87" s="44">
        <f t="shared" si="26"/>
        <v>0</v>
      </c>
      <c r="S87" s="44">
        <f t="shared" si="26"/>
        <v>0</v>
      </c>
      <c r="T87" s="44">
        <f t="shared" si="26"/>
        <v>0</v>
      </c>
      <c r="U87" s="7"/>
      <c r="V87" s="45">
        <f t="shared" si="14"/>
        <v>477920332.5</v>
      </c>
      <c r="W87" s="89">
        <f>+V87/$V$169</f>
        <v>0.1494891951</v>
      </c>
      <c r="X87" s="44">
        <v>1.29818996E8</v>
      </c>
      <c r="Y87" s="44">
        <v>1.304308E8</v>
      </c>
      <c r="Z87" s="44">
        <v>1.31053618E8</v>
      </c>
      <c r="AA87" s="44">
        <v>1.35563861E8</v>
      </c>
      <c r="AB87" s="44">
        <v>1.36284563E8</v>
      </c>
      <c r="AC87" s="44">
        <v>1.37593783E8</v>
      </c>
      <c r="AD87" s="44">
        <v>1.42332695E8</v>
      </c>
      <c r="AE87" s="44">
        <v>1.43013623E8</v>
      </c>
      <c r="AF87" s="44">
        <v>1.44879424E8</v>
      </c>
      <c r="AG87" s="44">
        <v>1.50390229E8</v>
      </c>
      <c r="AH87" s="44">
        <v>1.51594835E8</v>
      </c>
      <c r="AI87" s="44">
        <v>1.54029715E8</v>
      </c>
      <c r="AJ87" s="89"/>
      <c r="AK87" s="103">
        <f t="shared" ref="AK87:AK90" si="27">SUM(X87:AA87)</f>
        <v>526867275</v>
      </c>
      <c r="AL87" s="10"/>
      <c r="AM87" s="30">
        <f>+V87-AK87</f>
        <v>-48946942.54</v>
      </c>
      <c r="AN87" s="47">
        <f>+AM87/AK87</f>
        <v>-0.09290184618</v>
      </c>
      <c r="AO87" s="7"/>
      <c r="AP87" s="7"/>
      <c r="AQ87" s="7"/>
      <c r="AR87" s="7"/>
      <c r="AS87" s="7"/>
    </row>
    <row r="88" ht="12.0" hidden="1" customHeight="1" outlineLevel="1">
      <c r="A88" s="18"/>
      <c r="B88" s="58"/>
      <c r="C88" s="5" t="s">
        <v>119</v>
      </c>
      <c r="D88" s="50" t="s">
        <v>118</v>
      </c>
      <c r="E88" s="50">
        <v>5213.0</v>
      </c>
      <c r="F88" s="5" t="s">
        <v>120</v>
      </c>
      <c r="G88" s="50" t="s">
        <v>52</v>
      </c>
      <c r="H88" s="50"/>
      <c r="I88" s="52">
        <v>1.0593617777E8</v>
      </c>
      <c r="J88" s="52">
        <v>1.05616454E8</v>
      </c>
      <c r="K88" s="52">
        <v>1.05201617E8</v>
      </c>
      <c r="L88" s="52">
        <v>1.056451018E8</v>
      </c>
      <c r="M88" s="52"/>
      <c r="N88" s="52"/>
      <c r="O88" s="52"/>
      <c r="P88" s="52"/>
      <c r="Q88" s="52"/>
      <c r="R88" s="52"/>
      <c r="S88" s="52"/>
      <c r="T88" s="52"/>
      <c r="U88" s="52"/>
      <c r="V88" s="54">
        <f t="shared" si="14"/>
        <v>422399350.6</v>
      </c>
      <c r="W88" s="127"/>
      <c r="X88" s="52">
        <v>1.11560838E8</v>
      </c>
      <c r="Y88" s="52">
        <v>1.12172642E8</v>
      </c>
      <c r="Z88" s="52">
        <v>1.1279546E8</v>
      </c>
      <c r="AA88" s="52">
        <v>1.17305703E8</v>
      </c>
      <c r="AB88" s="52">
        <v>1.17951144E8</v>
      </c>
      <c r="AC88" s="52">
        <v>1.18608202E8</v>
      </c>
      <c r="AD88" s="52">
        <v>1.23347114E8</v>
      </c>
      <c r="AE88" s="52">
        <v>1.2402804E8</v>
      </c>
      <c r="AF88" s="52">
        <v>1.24721222E8</v>
      </c>
      <c r="AG88" s="52">
        <v>1.29700409E8</v>
      </c>
      <c r="AH88" s="52">
        <v>1.3041877E8</v>
      </c>
      <c r="AI88" s="52">
        <v>1.31150062E8</v>
      </c>
      <c r="AJ88" s="127"/>
      <c r="AK88" s="54">
        <f t="shared" si="27"/>
        <v>453834643</v>
      </c>
      <c r="AL88" s="56"/>
      <c r="AM88" s="30"/>
      <c r="AN88" s="53"/>
      <c r="AO88" s="53"/>
      <c r="AP88" s="53"/>
      <c r="AQ88" s="53"/>
      <c r="AR88" s="53"/>
      <c r="AS88" s="53"/>
      <c r="AT88" s="53"/>
      <c r="AU88" s="53"/>
      <c r="AV88" s="53"/>
      <c r="AW88" s="53"/>
      <c r="AX88" s="53"/>
      <c r="AY88" s="53"/>
    </row>
    <row r="89" ht="12.0" hidden="1" customHeight="1" outlineLevel="1">
      <c r="A89" s="18"/>
      <c r="B89" s="58"/>
      <c r="C89" s="5" t="s">
        <v>121</v>
      </c>
      <c r="D89" s="50" t="s">
        <v>118</v>
      </c>
      <c r="E89" s="50">
        <v>5213.0</v>
      </c>
      <c r="F89" s="5" t="s">
        <v>122</v>
      </c>
      <c r="G89" s="50" t="s">
        <v>52</v>
      </c>
      <c r="H89" s="50"/>
      <c r="I89" s="52">
        <v>1.3830226E7</v>
      </c>
      <c r="J89" s="52">
        <v>1.3830226E7</v>
      </c>
      <c r="K89" s="52">
        <v>1.3830226E7</v>
      </c>
      <c r="L89" s="109">
        <v>1.3830226E7</v>
      </c>
      <c r="M89" s="52"/>
      <c r="N89" s="52"/>
      <c r="O89" s="52"/>
      <c r="P89" s="52"/>
      <c r="Q89" s="52"/>
      <c r="R89" s="52"/>
      <c r="S89" s="52"/>
      <c r="T89" s="52"/>
      <c r="U89" s="53"/>
      <c r="V89" s="54">
        <f t="shared" si="14"/>
        <v>55320904</v>
      </c>
      <c r="W89" s="105"/>
      <c r="X89" s="52">
        <v>1.3587912E7</v>
      </c>
      <c r="Y89" s="52">
        <v>1.3587912E7</v>
      </c>
      <c r="Z89" s="52">
        <v>1.3587912E7</v>
      </c>
      <c r="AA89" s="52">
        <v>1.3587912E7</v>
      </c>
      <c r="AB89" s="52">
        <v>1.3416538E7</v>
      </c>
      <c r="AC89" s="52">
        <v>1.2237692E7</v>
      </c>
      <c r="AD89" s="52">
        <v>1.2237692E7</v>
      </c>
      <c r="AE89" s="52">
        <v>1.2237694E7</v>
      </c>
      <c r="AF89" s="52">
        <v>9077549.0</v>
      </c>
      <c r="AG89" s="52">
        <v>7276382.0</v>
      </c>
      <c r="AH89" s="52">
        <v>5937379.0</v>
      </c>
      <c r="AI89" s="52">
        <v>0.0</v>
      </c>
      <c r="AJ89" s="105"/>
      <c r="AK89" s="54">
        <f t="shared" si="27"/>
        <v>54351648</v>
      </c>
      <c r="AL89" s="56"/>
      <c r="AM89" s="30"/>
      <c r="AN89" s="53"/>
      <c r="AO89" s="53"/>
      <c r="AP89" s="53"/>
      <c r="AQ89" s="53"/>
      <c r="AR89" s="53"/>
      <c r="AS89" s="53"/>
      <c r="AT89" s="53"/>
      <c r="AU89" s="53"/>
      <c r="AV89" s="53"/>
      <c r="AW89" s="53"/>
      <c r="AX89" s="53"/>
      <c r="AY89" s="53"/>
    </row>
    <row r="90" ht="12.0" hidden="1" customHeight="1" outlineLevel="1">
      <c r="A90" s="18"/>
      <c r="B90" s="58"/>
      <c r="C90" s="5" t="s">
        <v>123</v>
      </c>
      <c r="D90" s="50" t="s">
        <v>118</v>
      </c>
      <c r="E90" s="50">
        <v>5213.0</v>
      </c>
      <c r="F90" s="5" t="s">
        <v>124</v>
      </c>
      <c r="G90" s="50" t="s">
        <v>52</v>
      </c>
      <c r="H90" s="50"/>
      <c r="I90" s="52">
        <v>0.0</v>
      </c>
      <c r="J90" s="52">
        <v>0.0</v>
      </c>
      <c r="K90" s="52">
        <v>0.0</v>
      </c>
      <c r="L90" s="109">
        <v>200077.89</v>
      </c>
      <c r="M90" s="52"/>
      <c r="N90" s="52"/>
      <c r="O90" s="52"/>
      <c r="P90" s="52"/>
      <c r="Q90" s="52"/>
      <c r="R90" s="52"/>
      <c r="S90" s="52"/>
      <c r="T90" s="52"/>
      <c r="U90" s="53"/>
      <c r="V90" s="54">
        <f t="shared" si="14"/>
        <v>200077.89</v>
      </c>
      <c r="W90" s="105"/>
      <c r="X90" s="52">
        <v>4670246.0</v>
      </c>
      <c r="Y90" s="52">
        <v>4670246.0</v>
      </c>
      <c r="Z90" s="52">
        <v>4670246.0</v>
      </c>
      <c r="AA90" s="52">
        <v>4670246.0</v>
      </c>
      <c r="AB90" s="52">
        <v>4916881.0</v>
      </c>
      <c r="AC90" s="52">
        <v>6747889.0</v>
      </c>
      <c r="AD90" s="52">
        <v>6747889.0</v>
      </c>
      <c r="AE90" s="52">
        <v>6747889.0</v>
      </c>
      <c r="AF90" s="52">
        <v>1.1080653E7</v>
      </c>
      <c r="AG90" s="52">
        <v>1.3413438E7</v>
      </c>
      <c r="AH90" s="52">
        <v>1.5238686E7</v>
      </c>
      <c r="AI90" s="52">
        <v>2.2879653E7</v>
      </c>
      <c r="AJ90" s="105"/>
      <c r="AK90" s="54">
        <f t="shared" si="27"/>
        <v>18680984</v>
      </c>
      <c r="AL90" s="56"/>
      <c r="AM90" s="30"/>
      <c r="AN90" s="53"/>
      <c r="AO90" s="53"/>
      <c r="AP90" s="53"/>
      <c r="AQ90" s="53"/>
      <c r="AR90" s="53"/>
      <c r="AS90" s="53"/>
      <c r="AT90" s="53"/>
      <c r="AU90" s="53"/>
      <c r="AV90" s="53"/>
      <c r="AW90" s="53"/>
      <c r="AX90" s="53"/>
      <c r="AY90" s="53"/>
    </row>
    <row r="91" ht="12.0" hidden="1" customHeight="1" outlineLevel="1">
      <c r="A91" s="18"/>
      <c r="B91" s="58"/>
      <c r="C91" s="5"/>
      <c r="D91" s="50"/>
      <c r="E91" s="50"/>
      <c r="F91" s="5"/>
      <c r="G91" s="50"/>
      <c r="H91" s="50"/>
      <c r="I91" s="52"/>
      <c r="J91" s="52"/>
      <c r="K91" s="52"/>
      <c r="L91" s="52"/>
      <c r="M91" s="52"/>
      <c r="N91" s="52"/>
      <c r="O91" s="52"/>
      <c r="P91" s="52"/>
      <c r="Q91" s="52"/>
      <c r="R91" s="52"/>
      <c r="S91" s="52"/>
      <c r="T91" s="52"/>
      <c r="U91" s="53"/>
      <c r="V91" s="54">
        <f t="shared" si="14"/>
        <v>0</v>
      </c>
      <c r="W91" s="105"/>
      <c r="X91" s="52"/>
      <c r="Y91" s="52"/>
      <c r="Z91" s="52"/>
      <c r="AA91" s="52"/>
      <c r="AB91" s="52"/>
      <c r="AC91" s="52"/>
      <c r="AD91" s="52"/>
      <c r="AE91" s="52"/>
      <c r="AF91" s="52"/>
      <c r="AG91" s="52"/>
      <c r="AH91" s="52"/>
      <c r="AI91" s="52"/>
      <c r="AJ91" s="105"/>
      <c r="AK91" s="54"/>
      <c r="AL91" s="56"/>
      <c r="AM91" s="30"/>
      <c r="AN91" s="53"/>
      <c r="AO91" s="53"/>
      <c r="AP91" s="53"/>
      <c r="AQ91" s="53"/>
      <c r="AR91" s="53"/>
      <c r="AS91" s="53"/>
      <c r="AT91" s="53"/>
      <c r="AU91" s="53"/>
      <c r="AV91" s="53"/>
      <c r="AW91" s="53"/>
      <c r="AX91" s="53"/>
      <c r="AY91" s="53"/>
    </row>
    <row r="92" ht="12.0" hidden="1" customHeight="1" outlineLevel="1">
      <c r="A92" s="18"/>
      <c r="B92" s="58"/>
      <c r="C92" s="5"/>
      <c r="D92" s="50"/>
      <c r="E92" s="50"/>
      <c r="F92" s="5"/>
      <c r="G92" s="50"/>
      <c r="H92" s="50"/>
      <c r="I92" s="52"/>
      <c r="J92" s="52"/>
      <c r="K92" s="52"/>
      <c r="L92" s="52"/>
      <c r="M92" s="52"/>
      <c r="N92" s="52"/>
      <c r="O92" s="52"/>
      <c r="P92" s="52"/>
      <c r="Q92" s="52"/>
      <c r="R92" s="52"/>
      <c r="S92" s="52"/>
      <c r="T92" s="52"/>
      <c r="U92" s="7"/>
      <c r="V92" s="54"/>
      <c r="W92" s="40"/>
      <c r="X92" s="52"/>
      <c r="Y92" s="52"/>
      <c r="Z92" s="52"/>
      <c r="AA92" s="52"/>
      <c r="AB92" s="52"/>
      <c r="AC92" s="52"/>
      <c r="AD92" s="52"/>
      <c r="AE92" s="52"/>
      <c r="AF92" s="52"/>
      <c r="AG92" s="52"/>
      <c r="AH92" s="52"/>
      <c r="AI92" s="52"/>
      <c r="AJ92" s="40"/>
      <c r="AK92" s="54"/>
      <c r="AL92" s="10"/>
      <c r="AM92" s="30"/>
      <c r="AN92" s="7"/>
      <c r="AO92" s="7"/>
      <c r="AP92" s="7"/>
      <c r="AQ92" s="7"/>
      <c r="AR92" s="7"/>
      <c r="AS92" s="7"/>
    </row>
    <row r="93" ht="15.75" customHeight="1" collapsed="1">
      <c r="A93" s="22"/>
      <c r="B93" s="41"/>
      <c r="C93" s="62"/>
      <c r="D93" s="42" t="s">
        <v>125</v>
      </c>
      <c r="E93" s="42"/>
      <c r="F93" s="42"/>
      <c r="G93" s="43"/>
      <c r="H93" s="43"/>
      <c r="I93" s="44">
        <f t="shared" ref="I93:K93" si="28">SUM(I94:I104)</f>
        <v>7371400</v>
      </c>
      <c r="J93" s="44">
        <f t="shared" si="28"/>
        <v>6523900</v>
      </c>
      <c r="K93" s="44">
        <f t="shared" si="28"/>
        <v>7686202</v>
      </c>
      <c r="L93" s="44">
        <f t="shared" ref="L93:T93" si="29">SUM(L94:L102)</f>
        <v>6978700</v>
      </c>
      <c r="M93" s="44">
        <f t="shared" si="29"/>
        <v>0</v>
      </c>
      <c r="N93" s="44">
        <f t="shared" si="29"/>
        <v>0</v>
      </c>
      <c r="O93" s="44">
        <f t="shared" si="29"/>
        <v>0</v>
      </c>
      <c r="P93" s="44">
        <f t="shared" si="29"/>
        <v>0</v>
      </c>
      <c r="Q93" s="44">
        <f t="shared" si="29"/>
        <v>0</v>
      </c>
      <c r="R93" s="44">
        <f t="shared" si="29"/>
        <v>0</v>
      </c>
      <c r="S93" s="44">
        <f t="shared" si="29"/>
        <v>0</v>
      </c>
      <c r="T93" s="44">
        <f t="shared" si="29"/>
        <v>0</v>
      </c>
      <c r="U93" s="7"/>
      <c r="V93" s="45">
        <f t="shared" ref="V93:V126" si="30">SUM(I93:L93)</f>
        <v>28560202</v>
      </c>
      <c r="W93" s="89">
        <f>+V93/$V$169</f>
        <v>0.008933375123</v>
      </c>
      <c r="X93" s="44">
        <v>6703681.019999999</v>
      </c>
      <c r="Y93" s="44">
        <v>6508219.082499999</v>
      </c>
      <c r="Z93" s="44">
        <v>6812825.215937499</v>
      </c>
      <c r="AA93" s="44">
        <v>7009894.275511938</v>
      </c>
      <c r="AB93" s="44">
        <v>6805503.954332586</v>
      </c>
      <c r="AC93" s="44">
        <v>6810320.488460544</v>
      </c>
      <c r="AD93" s="44">
        <v>7330094.854939124</v>
      </c>
      <c r="AE93" s="44">
        <v>1.064334446473314E7</v>
      </c>
      <c r="AF93" s="44">
        <v>7679018.691967302</v>
      </c>
      <c r="AG93" s="44">
        <v>7664921.676508599</v>
      </c>
      <c r="AH93" s="44">
        <v>7441432.456599965</v>
      </c>
      <c r="AI93" s="44">
        <v>7446699.063397732</v>
      </c>
      <c r="AJ93" s="89"/>
      <c r="AK93" s="103">
        <f t="shared" ref="AK93:AK104" si="31">SUM(X93:AA93)</f>
        <v>27034619.59</v>
      </c>
      <c r="AL93" s="10"/>
      <c r="AM93" s="30">
        <f>+V93-AK93</f>
        <v>1525582.406</v>
      </c>
      <c r="AN93" s="47">
        <f>+AM93/AK93</f>
        <v>0.05643069623</v>
      </c>
      <c r="AO93" s="7"/>
      <c r="AP93" s="7"/>
      <c r="AQ93" s="7"/>
      <c r="AR93" s="7"/>
      <c r="AS93" s="7"/>
    </row>
    <row r="94" ht="12.0" hidden="1" customHeight="1" outlineLevel="1">
      <c r="A94" s="18"/>
      <c r="B94" s="58"/>
      <c r="C94" s="5" t="s">
        <v>126</v>
      </c>
      <c r="D94" s="50" t="s">
        <v>127</v>
      </c>
      <c r="E94" s="50">
        <v>5420.0</v>
      </c>
      <c r="F94" s="64" t="s">
        <v>128</v>
      </c>
      <c r="G94" s="50" t="s">
        <v>54</v>
      </c>
      <c r="H94" s="104"/>
      <c r="I94" s="52"/>
      <c r="J94" s="52"/>
      <c r="K94" s="52">
        <v>188902.0</v>
      </c>
      <c r="L94" s="52"/>
      <c r="M94" s="52"/>
      <c r="N94" s="52"/>
      <c r="O94" s="52"/>
      <c r="P94" s="52"/>
      <c r="Q94" s="52"/>
      <c r="R94" s="52"/>
      <c r="S94" s="52"/>
      <c r="T94" s="52"/>
      <c r="U94" s="53"/>
      <c r="V94" s="54">
        <f t="shared" si="30"/>
        <v>188902</v>
      </c>
      <c r="W94" s="105"/>
      <c r="X94" s="52"/>
      <c r="Y94" s="52"/>
      <c r="Z94" s="52"/>
      <c r="AA94" s="52"/>
      <c r="AB94" s="52"/>
      <c r="AC94" s="52"/>
      <c r="AD94" s="52"/>
      <c r="AE94" s="52">
        <v>3526976.148710565</v>
      </c>
      <c r="AF94" s="52"/>
      <c r="AG94" s="52"/>
      <c r="AH94" s="52"/>
      <c r="AI94" s="52"/>
      <c r="AJ94" s="105"/>
      <c r="AK94" s="54">
        <f t="shared" si="31"/>
        <v>0</v>
      </c>
      <c r="AL94" s="56"/>
      <c r="AM94" s="30"/>
      <c r="AN94" s="53"/>
      <c r="AO94" s="53"/>
      <c r="AP94" s="53"/>
      <c r="AQ94" s="53"/>
      <c r="AR94" s="53"/>
      <c r="AS94" s="53"/>
      <c r="AT94" s="53"/>
      <c r="AU94" s="53"/>
      <c r="AV94" s="53"/>
      <c r="AW94" s="53"/>
      <c r="AX94" s="53"/>
      <c r="AY94" s="53"/>
    </row>
    <row r="95" ht="12.0" hidden="1" customHeight="1" outlineLevel="1">
      <c r="A95" s="18"/>
      <c r="B95" s="58"/>
      <c r="C95" s="5" t="s">
        <v>129</v>
      </c>
      <c r="D95" s="50" t="s">
        <v>130</v>
      </c>
      <c r="E95" s="50">
        <v>5415.0</v>
      </c>
      <c r="F95" s="5" t="s">
        <v>131</v>
      </c>
      <c r="G95" s="50" t="s">
        <v>54</v>
      </c>
      <c r="H95" s="106"/>
      <c r="I95" s="52">
        <v>6048000.0</v>
      </c>
      <c r="J95" s="52">
        <v>6048000.0</v>
      </c>
      <c r="K95" s="52">
        <v>7028000.0</v>
      </c>
      <c r="L95" s="52">
        <v>6620000.0</v>
      </c>
      <c r="M95" s="52"/>
      <c r="N95" s="52"/>
      <c r="O95" s="52"/>
      <c r="P95" s="52"/>
      <c r="Q95" s="52"/>
      <c r="R95" s="52"/>
      <c r="S95" s="52"/>
      <c r="T95" s="52"/>
      <c r="U95" s="52"/>
      <c r="V95" s="54">
        <f t="shared" si="30"/>
        <v>25744000</v>
      </c>
      <c r="W95" s="105"/>
      <c r="X95" s="52">
        <v>5960243.519999999</v>
      </c>
      <c r="Y95" s="52">
        <v>5960243.519999999</v>
      </c>
      <c r="Z95" s="52">
        <v>5960243.519999999</v>
      </c>
      <c r="AA95" s="52">
        <v>6232497.758597876</v>
      </c>
      <c r="AB95" s="52">
        <v>6232497.758597876</v>
      </c>
      <c r="AC95" s="52">
        <v>6232497.758597876</v>
      </c>
      <c r="AD95" s="52">
        <v>6517188.128401767</v>
      </c>
      <c r="AE95" s="52">
        <v>6517188.128401767</v>
      </c>
      <c r="AF95" s="52">
        <v>6517188.128401767</v>
      </c>
      <c r="AG95" s="52">
        <v>6814882.691676448</v>
      </c>
      <c r="AH95" s="52">
        <v>6814882.691676448</v>
      </c>
      <c r="AI95" s="52">
        <v>6814882.691676448</v>
      </c>
      <c r="AJ95" s="105"/>
      <c r="AK95" s="54">
        <f t="shared" si="31"/>
        <v>24113228.32</v>
      </c>
      <c r="AL95" s="56"/>
      <c r="AM95" s="30"/>
      <c r="AN95" s="53"/>
      <c r="AO95" s="53"/>
      <c r="AP95" s="53"/>
      <c r="AQ95" s="53"/>
      <c r="AR95" s="53"/>
      <c r="AS95" s="53"/>
      <c r="AT95" s="53"/>
      <c r="AU95" s="53"/>
      <c r="AV95" s="53"/>
      <c r="AW95" s="53"/>
      <c r="AX95" s="53"/>
      <c r="AY95" s="53"/>
    </row>
    <row r="96" ht="12.0" hidden="1" customHeight="1" outlineLevel="1">
      <c r="A96" s="18"/>
      <c r="B96" s="58"/>
      <c r="C96" s="5" t="s">
        <v>132</v>
      </c>
      <c r="D96" s="50" t="s">
        <v>127</v>
      </c>
      <c r="E96" s="50">
        <v>5415.0</v>
      </c>
      <c r="F96" s="5" t="s">
        <v>131</v>
      </c>
      <c r="G96" s="50" t="s">
        <v>54</v>
      </c>
      <c r="H96" s="106"/>
      <c r="I96" s="52">
        <v>450000.0</v>
      </c>
      <c r="J96" s="52">
        <v>200000.0</v>
      </c>
      <c r="K96" s="52">
        <v>200000.0</v>
      </c>
      <c r="L96" s="52">
        <v>90000.0</v>
      </c>
      <c r="M96" s="52"/>
      <c r="N96" s="52"/>
      <c r="O96" s="52"/>
      <c r="P96" s="52"/>
      <c r="Q96" s="52"/>
      <c r="R96" s="52"/>
      <c r="S96" s="52"/>
      <c r="T96" s="52"/>
      <c r="U96" s="53"/>
      <c r="V96" s="54">
        <f t="shared" si="30"/>
        <v>940000</v>
      </c>
      <c r="W96" s="105"/>
      <c r="X96" s="52">
        <v>300000.0</v>
      </c>
      <c r="Y96" s="52">
        <v>304499.9999999999</v>
      </c>
      <c r="Z96" s="52">
        <v>309067.4999999999</v>
      </c>
      <c r="AA96" s="52">
        <v>313703.5124999998</v>
      </c>
      <c r="AB96" s="52">
        <v>318409.0651874998</v>
      </c>
      <c r="AC96" s="52">
        <v>323185.2011653123</v>
      </c>
      <c r="AD96" s="52">
        <v>328032.9791827919</v>
      </c>
      <c r="AE96" s="52">
        <v>332953.4738705338</v>
      </c>
      <c r="AF96" s="52">
        <v>337947.7759785917</v>
      </c>
      <c r="AG96" s="52">
        <v>343016.9926182706</v>
      </c>
      <c r="AH96" s="52">
        <v>348162.2475075446</v>
      </c>
      <c r="AI96" s="52">
        <v>353384.6812201577</v>
      </c>
      <c r="AJ96" s="105"/>
      <c r="AK96" s="54">
        <f t="shared" si="31"/>
        <v>1227271.013</v>
      </c>
      <c r="AL96" s="56"/>
      <c r="AM96" s="30"/>
      <c r="AN96" s="53"/>
      <c r="AO96" s="53"/>
      <c r="AP96" s="53"/>
      <c r="AQ96" s="53"/>
      <c r="AR96" s="53"/>
      <c r="AS96" s="53"/>
      <c r="AT96" s="53"/>
      <c r="AU96" s="53"/>
      <c r="AV96" s="53"/>
      <c r="AW96" s="53"/>
      <c r="AX96" s="53"/>
      <c r="AY96" s="53"/>
    </row>
    <row r="97" ht="12.0" hidden="1" customHeight="1" outlineLevel="1">
      <c r="A97" s="18"/>
      <c r="B97" s="58"/>
      <c r="C97" s="5" t="s">
        <v>133</v>
      </c>
      <c r="D97" s="50" t="s">
        <v>130</v>
      </c>
      <c r="E97" s="50">
        <v>5415.0</v>
      </c>
      <c r="F97" s="5" t="s">
        <v>134</v>
      </c>
      <c r="G97" s="50" t="s">
        <v>54</v>
      </c>
      <c r="H97" s="106"/>
      <c r="I97" s="52">
        <v>240900.0</v>
      </c>
      <c r="J97" s="52">
        <v>240900.0</v>
      </c>
      <c r="K97" s="52">
        <v>257900.0</v>
      </c>
      <c r="L97" s="52">
        <v>257900.0</v>
      </c>
      <c r="M97" s="52"/>
      <c r="N97" s="52"/>
      <c r="O97" s="52"/>
      <c r="P97" s="52"/>
      <c r="Q97" s="52"/>
      <c r="R97" s="52"/>
      <c r="S97" s="52"/>
      <c r="T97" s="52"/>
      <c r="U97" s="52"/>
      <c r="V97" s="54">
        <f t="shared" si="30"/>
        <v>997600</v>
      </c>
      <c r="W97" s="105"/>
      <c r="X97" s="52">
        <v>240900.0</v>
      </c>
      <c r="Y97" s="52">
        <v>240900.0</v>
      </c>
      <c r="Z97" s="52">
        <v>240900.0</v>
      </c>
      <c r="AA97" s="52">
        <v>251903.9205374999</v>
      </c>
      <c r="AB97" s="52">
        <v>251903.9205374999</v>
      </c>
      <c r="AC97" s="52">
        <v>251903.9205374999</v>
      </c>
      <c r="AD97" s="52">
        <v>263410.4822837819</v>
      </c>
      <c r="AE97" s="52">
        <v>263410.4822837819</v>
      </c>
      <c r="AF97" s="52">
        <v>263410.4822837819</v>
      </c>
      <c r="AG97" s="52">
        <v>275442.6450724713</v>
      </c>
      <c r="AH97" s="52">
        <v>275442.6450724713</v>
      </c>
      <c r="AI97" s="52">
        <v>275442.6450724713</v>
      </c>
      <c r="AJ97" s="105"/>
      <c r="AK97" s="54">
        <f t="shared" si="31"/>
        <v>974603.9205</v>
      </c>
      <c r="AL97" s="56"/>
      <c r="AM97" s="30"/>
      <c r="AN97" s="53"/>
      <c r="AO97" s="53"/>
      <c r="AP97" s="53"/>
      <c r="AQ97" s="53"/>
      <c r="AR97" s="53"/>
      <c r="AS97" s="53"/>
      <c r="AT97" s="53"/>
      <c r="AU97" s="53"/>
      <c r="AV97" s="53"/>
      <c r="AW97" s="53"/>
      <c r="AX97" s="53"/>
      <c r="AY97" s="53"/>
    </row>
    <row r="98" ht="12.0" hidden="1" customHeight="1" outlineLevel="1">
      <c r="A98" s="18"/>
      <c r="B98" s="58"/>
      <c r="C98" s="5" t="s">
        <v>135</v>
      </c>
      <c r="D98" s="50" t="s">
        <v>127</v>
      </c>
      <c r="E98" s="50">
        <v>5415.0</v>
      </c>
      <c r="F98" s="5" t="s">
        <v>131</v>
      </c>
      <c r="G98" s="50" t="s">
        <v>54</v>
      </c>
      <c r="H98" s="106"/>
      <c r="I98" s="52"/>
      <c r="J98" s="52"/>
      <c r="K98" s="52"/>
      <c r="L98" s="52"/>
      <c r="M98" s="52"/>
      <c r="N98" s="52"/>
      <c r="O98" s="52"/>
      <c r="P98" s="52"/>
      <c r="Q98" s="52"/>
      <c r="R98" s="52"/>
      <c r="S98" s="52"/>
      <c r="T98" s="52"/>
      <c r="U98" s="53"/>
      <c r="V98" s="54">
        <f t="shared" si="30"/>
        <v>0</v>
      </c>
      <c r="W98" s="105"/>
      <c r="X98" s="52">
        <v>200000.0</v>
      </c>
      <c r="Y98" s="52"/>
      <c r="Z98" s="52"/>
      <c r="AA98" s="52">
        <v>209135.6749999999</v>
      </c>
      <c r="AB98" s="52"/>
      <c r="AC98" s="52"/>
      <c r="AD98" s="52">
        <v>218688.652788528</v>
      </c>
      <c r="AE98" s="52"/>
      <c r="AF98" s="52"/>
      <c r="AG98" s="52">
        <v>228677.9950788471</v>
      </c>
      <c r="AH98" s="52"/>
      <c r="AI98" s="52"/>
      <c r="AJ98" s="105"/>
      <c r="AK98" s="54">
        <f t="shared" si="31"/>
        <v>409135.675</v>
      </c>
      <c r="AL98" s="56"/>
      <c r="AM98" s="30"/>
      <c r="AN98" s="53"/>
      <c r="AO98" s="53"/>
      <c r="AP98" s="53"/>
      <c r="AQ98" s="53"/>
      <c r="AR98" s="53"/>
      <c r="AS98" s="53"/>
      <c r="AT98" s="53"/>
      <c r="AU98" s="53"/>
      <c r="AV98" s="53"/>
      <c r="AW98" s="53"/>
      <c r="AX98" s="53"/>
      <c r="AY98" s="53"/>
    </row>
    <row r="99" ht="12.0" hidden="1" customHeight="1" outlineLevel="1">
      <c r="A99" s="18"/>
      <c r="B99" s="58"/>
      <c r="C99" s="5" t="s">
        <v>84</v>
      </c>
      <c r="D99" s="50" t="s">
        <v>130</v>
      </c>
      <c r="E99" s="50">
        <v>5418.0</v>
      </c>
      <c r="F99" s="5" t="s">
        <v>136</v>
      </c>
      <c r="G99" s="50" t="s">
        <v>54</v>
      </c>
      <c r="H99" s="106"/>
      <c r="I99" s="128"/>
      <c r="J99" s="128"/>
      <c r="K99" s="128"/>
      <c r="L99" s="128"/>
      <c r="M99" s="128"/>
      <c r="N99" s="128"/>
      <c r="O99" s="128"/>
      <c r="P99" s="128"/>
      <c r="Q99" s="128"/>
      <c r="R99" s="128"/>
      <c r="S99" s="128"/>
      <c r="T99" s="128"/>
      <c r="U99" s="53"/>
      <c r="V99" s="54">
        <f t="shared" si="30"/>
        <v>0</v>
      </c>
      <c r="W99" s="105"/>
      <c r="X99" s="128"/>
      <c r="Y99" s="128"/>
      <c r="Z99" s="128">
        <v>300000.0</v>
      </c>
      <c r="AA99" s="128"/>
      <c r="AB99" s="128"/>
      <c r="AC99" s="128"/>
      <c r="AD99" s="128"/>
      <c r="AE99" s="128"/>
      <c r="AF99" s="128"/>
      <c r="AG99" s="128"/>
      <c r="AH99" s="128"/>
      <c r="AI99" s="128"/>
      <c r="AJ99" s="105"/>
      <c r="AK99" s="54">
        <f t="shared" si="31"/>
        <v>300000</v>
      </c>
      <c r="AL99" s="56"/>
      <c r="AM99" s="30"/>
      <c r="AN99" s="53"/>
      <c r="AO99" s="53"/>
      <c r="AP99" s="53"/>
      <c r="AQ99" s="53"/>
      <c r="AR99" s="53"/>
      <c r="AS99" s="53"/>
      <c r="AT99" s="53"/>
      <c r="AU99" s="53"/>
      <c r="AV99" s="53"/>
      <c r="AW99" s="53"/>
      <c r="AX99" s="53"/>
      <c r="AY99" s="53"/>
    </row>
    <row r="100" ht="12.0" hidden="1" customHeight="1" outlineLevel="1">
      <c r="A100" s="18"/>
      <c r="B100" s="58"/>
      <c r="C100" s="5" t="s">
        <v>137</v>
      </c>
      <c r="D100" s="50" t="s">
        <v>127</v>
      </c>
      <c r="E100" s="50"/>
      <c r="F100" s="5" t="s">
        <v>138</v>
      </c>
      <c r="G100" s="50" t="s">
        <v>54</v>
      </c>
      <c r="H100" s="104"/>
      <c r="I100" s="128"/>
      <c r="J100" s="128"/>
      <c r="K100" s="128"/>
      <c r="L100" s="128"/>
      <c r="M100" s="128"/>
      <c r="N100" s="128"/>
      <c r="O100" s="52"/>
      <c r="P100" s="52"/>
      <c r="Q100" s="52"/>
      <c r="R100" s="52"/>
      <c r="S100" s="52"/>
      <c r="T100" s="52"/>
      <c r="U100" s="53"/>
      <c r="V100" s="54">
        <f t="shared" si="30"/>
        <v>0</v>
      </c>
      <c r="W100" s="105"/>
      <c r="X100" s="52"/>
      <c r="Y100" s="52"/>
      <c r="Z100" s="52"/>
      <c r="AA100" s="52"/>
      <c r="AB100" s="52"/>
      <c r="AC100" s="52"/>
      <c r="AD100" s="52"/>
      <c r="AE100" s="52"/>
      <c r="AF100" s="52">
        <v>557613.8303646764</v>
      </c>
      <c r="AG100" s="52"/>
      <c r="AH100" s="52"/>
      <c r="AI100" s="52"/>
      <c r="AJ100" s="105"/>
      <c r="AK100" s="54">
        <f t="shared" si="31"/>
        <v>0</v>
      </c>
      <c r="AL100" s="56"/>
      <c r="AM100" s="30"/>
      <c r="AN100" s="53"/>
      <c r="AO100" s="53"/>
      <c r="AP100" s="53"/>
      <c r="AQ100" s="53"/>
      <c r="AR100" s="53"/>
      <c r="AS100" s="53"/>
      <c r="AT100" s="53"/>
      <c r="AU100" s="53"/>
      <c r="AV100" s="53"/>
      <c r="AW100" s="53"/>
      <c r="AX100" s="53"/>
      <c r="AY100" s="53"/>
    </row>
    <row r="101" ht="12.0" hidden="1" customHeight="1" outlineLevel="1">
      <c r="A101" s="18"/>
      <c r="B101" s="58"/>
      <c r="C101" s="5" t="s">
        <v>139</v>
      </c>
      <c r="D101" s="50" t="s">
        <v>130</v>
      </c>
      <c r="E101" s="50"/>
      <c r="F101" s="5" t="s">
        <v>140</v>
      </c>
      <c r="G101" s="50" t="s">
        <v>141</v>
      </c>
      <c r="H101" s="106"/>
      <c r="I101" s="129">
        <v>24000.0</v>
      </c>
      <c r="J101" s="129">
        <v>12000.0</v>
      </c>
      <c r="K101" s="129">
        <v>11400.0</v>
      </c>
      <c r="L101" s="129">
        <v>10800.0</v>
      </c>
      <c r="M101" s="129"/>
      <c r="N101" s="129"/>
      <c r="O101" s="129"/>
      <c r="P101" s="129"/>
      <c r="Q101" s="129"/>
      <c r="R101" s="129"/>
      <c r="S101" s="129"/>
      <c r="T101" s="129"/>
      <c r="U101" s="129"/>
      <c r="V101" s="54">
        <f t="shared" si="30"/>
        <v>58200</v>
      </c>
      <c r="W101" s="105"/>
      <c r="X101" s="129">
        <v>2537.5</v>
      </c>
      <c r="Y101" s="129">
        <v>2575.562499999999</v>
      </c>
      <c r="Z101" s="129">
        <v>2614.195937499999</v>
      </c>
      <c r="AA101" s="129">
        <v>2653.408876562498</v>
      </c>
      <c r="AB101" s="129">
        <v>2693.210009710936</v>
      </c>
      <c r="AC101" s="129">
        <v>2733.608159856599</v>
      </c>
      <c r="AD101" s="129">
        <v>2774.612282254448</v>
      </c>
      <c r="AE101" s="129">
        <v>2816.231466488265</v>
      </c>
      <c r="AF101" s="129">
        <v>2858.474938485589</v>
      </c>
      <c r="AG101" s="129">
        <v>2901.352062562872</v>
      </c>
      <c r="AH101" s="129">
        <v>2944.872343501315</v>
      </c>
      <c r="AI101" s="129">
        <v>2989.045428653834</v>
      </c>
      <c r="AJ101" s="105"/>
      <c r="AK101" s="54">
        <f t="shared" si="31"/>
        <v>10380.66731</v>
      </c>
      <c r="AL101" s="56"/>
      <c r="AM101" s="68"/>
      <c r="AN101" s="53"/>
      <c r="AO101" s="53"/>
      <c r="AP101" s="53"/>
      <c r="AQ101" s="53"/>
      <c r="AR101" s="53"/>
      <c r="AS101" s="53"/>
      <c r="AT101" s="53"/>
      <c r="AU101" s="53"/>
      <c r="AV101" s="53"/>
      <c r="AW101" s="53"/>
      <c r="AX101" s="53"/>
      <c r="AY101" s="53"/>
    </row>
    <row r="102" ht="12.0" hidden="1" customHeight="1" outlineLevel="1">
      <c r="A102" s="18"/>
      <c r="B102" s="58"/>
      <c r="C102" s="5" t="s">
        <v>142</v>
      </c>
      <c r="D102" s="50" t="s">
        <v>130</v>
      </c>
      <c r="E102" s="50"/>
      <c r="F102" s="5" t="s">
        <v>143</v>
      </c>
      <c r="G102" s="50" t="s">
        <v>54</v>
      </c>
      <c r="H102" s="50"/>
      <c r="I102" s="52">
        <v>600000.0</v>
      </c>
      <c r="J102" s="128"/>
      <c r="K102" s="128"/>
      <c r="L102" s="128"/>
      <c r="M102" s="128"/>
      <c r="N102" s="128"/>
      <c r="O102" s="52"/>
      <c r="P102" s="52"/>
      <c r="Q102" s="52"/>
      <c r="R102" s="52"/>
      <c r="S102" s="52"/>
      <c r="T102" s="52"/>
      <c r="U102" s="53"/>
      <c r="V102" s="54">
        <f t="shared" si="30"/>
        <v>600000</v>
      </c>
      <c r="W102" s="105"/>
      <c r="X102" s="52"/>
      <c r="Y102" s="52"/>
      <c r="Z102" s="52"/>
      <c r="AA102" s="52"/>
      <c r="AB102" s="52"/>
      <c r="AC102" s="52"/>
      <c r="AD102" s="52"/>
      <c r="AE102" s="52"/>
      <c r="AF102" s="52"/>
      <c r="AG102" s="52"/>
      <c r="AH102" s="52"/>
      <c r="AI102" s="52"/>
      <c r="AJ102" s="105"/>
      <c r="AK102" s="54">
        <f t="shared" si="31"/>
        <v>0</v>
      </c>
      <c r="AL102" s="56"/>
      <c r="AM102" s="30"/>
      <c r="AN102" s="53"/>
      <c r="AO102" s="53"/>
      <c r="AP102" s="53"/>
      <c r="AQ102" s="53"/>
      <c r="AR102" s="53"/>
      <c r="AS102" s="53"/>
      <c r="AT102" s="53"/>
      <c r="AU102" s="53"/>
      <c r="AV102" s="53"/>
      <c r="AW102" s="53"/>
      <c r="AX102" s="53"/>
      <c r="AY102" s="53"/>
    </row>
    <row r="103" ht="12.0" hidden="1" customHeight="1" outlineLevel="1">
      <c r="A103" s="18"/>
      <c r="B103" s="58"/>
      <c r="C103" s="5" t="s">
        <v>144</v>
      </c>
      <c r="D103" s="50" t="s">
        <v>130</v>
      </c>
      <c r="E103" s="50"/>
      <c r="F103" s="5" t="s">
        <v>145</v>
      </c>
      <c r="G103" s="50" t="s">
        <v>54</v>
      </c>
      <c r="H103" s="50"/>
      <c r="I103" s="128"/>
      <c r="J103" s="129">
        <v>14500.0</v>
      </c>
      <c r="K103" s="129"/>
      <c r="L103" s="128"/>
      <c r="M103" s="128"/>
      <c r="N103" s="128"/>
      <c r="O103" s="52"/>
      <c r="P103" s="52"/>
      <c r="Q103" s="52"/>
      <c r="R103" s="52"/>
      <c r="S103" s="52"/>
      <c r="T103" s="52"/>
      <c r="U103" s="53"/>
      <c r="V103" s="54">
        <f t="shared" si="30"/>
        <v>14500</v>
      </c>
      <c r="W103" s="105"/>
      <c r="X103" s="52"/>
      <c r="Y103" s="52"/>
      <c r="Z103" s="52"/>
      <c r="AA103" s="52"/>
      <c r="AB103" s="52"/>
      <c r="AC103" s="52"/>
      <c r="AD103" s="52"/>
      <c r="AE103" s="52"/>
      <c r="AF103" s="52"/>
      <c r="AG103" s="52"/>
      <c r="AH103" s="52"/>
      <c r="AI103" s="52"/>
      <c r="AJ103" s="105"/>
      <c r="AK103" s="54">
        <f t="shared" si="31"/>
        <v>0</v>
      </c>
      <c r="AL103" s="56"/>
      <c r="AM103" s="30"/>
      <c r="AN103" s="53"/>
      <c r="AO103" s="53"/>
      <c r="AP103" s="53"/>
      <c r="AQ103" s="53"/>
      <c r="AR103" s="53"/>
      <c r="AS103" s="53"/>
      <c r="AT103" s="53"/>
      <c r="AU103" s="53"/>
      <c r="AV103" s="53"/>
      <c r="AW103" s="53"/>
      <c r="AX103" s="53"/>
      <c r="AY103" s="53"/>
    </row>
    <row r="104" ht="12.0" hidden="1" customHeight="1" outlineLevel="1">
      <c r="A104" s="18"/>
      <c r="B104" s="58"/>
      <c r="C104" s="5" t="s">
        <v>146</v>
      </c>
      <c r="D104" s="50" t="s">
        <v>127</v>
      </c>
      <c r="E104" s="50"/>
      <c r="F104" s="5" t="s">
        <v>147</v>
      </c>
      <c r="G104" s="50" t="s">
        <v>54</v>
      </c>
      <c r="H104" s="50"/>
      <c r="I104" s="129">
        <v>8500.0</v>
      </c>
      <c r="J104" s="129">
        <v>8500.0</v>
      </c>
      <c r="K104" s="129"/>
      <c r="L104" s="128"/>
      <c r="M104" s="128"/>
      <c r="N104" s="128"/>
      <c r="O104" s="52"/>
      <c r="P104" s="52"/>
      <c r="Q104" s="52"/>
      <c r="R104" s="52"/>
      <c r="S104" s="52"/>
      <c r="T104" s="52"/>
      <c r="U104" s="53"/>
      <c r="V104" s="54">
        <f t="shared" si="30"/>
        <v>17000</v>
      </c>
      <c r="W104" s="105"/>
      <c r="X104" s="52"/>
      <c r="Y104" s="52"/>
      <c r="Z104" s="52"/>
      <c r="AA104" s="52"/>
      <c r="AB104" s="52"/>
      <c r="AC104" s="52"/>
      <c r="AD104" s="52"/>
      <c r="AE104" s="52"/>
      <c r="AF104" s="52"/>
      <c r="AG104" s="52"/>
      <c r="AH104" s="52"/>
      <c r="AI104" s="52"/>
      <c r="AJ104" s="105"/>
      <c r="AK104" s="54">
        <f t="shared" si="31"/>
        <v>0</v>
      </c>
      <c r="AL104" s="56"/>
      <c r="AM104" s="30"/>
      <c r="AN104" s="53"/>
      <c r="AO104" s="53"/>
      <c r="AP104" s="53"/>
      <c r="AQ104" s="53"/>
      <c r="AR104" s="53"/>
      <c r="AS104" s="53"/>
      <c r="AT104" s="53"/>
      <c r="AU104" s="53"/>
      <c r="AV104" s="53"/>
      <c r="AW104" s="53"/>
      <c r="AX104" s="53"/>
      <c r="AY104" s="53"/>
    </row>
    <row r="105" ht="12.0" hidden="1" customHeight="1" outlineLevel="1">
      <c r="A105" s="18"/>
      <c r="B105" s="58"/>
      <c r="C105" s="5"/>
      <c r="D105" s="50"/>
      <c r="E105" s="50"/>
      <c r="F105" s="5"/>
      <c r="G105" s="50"/>
      <c r="H105" s="50"/>
      <c r="I105" s="128"/>
      <c r="J105" s="129"/>
      <c r="K105" s="129"/>
      <c r="L105" s="128"/>
      <c r="M105" s="128"/>
      <c r="N105" s="128"/>
      <c r="O105" s="52"/>
      <c r="P105" s="52"/>
      <c r="Q105" s="52"/>
      <c r="R105" s="52"/>
      <c r="S105" s="52"/>
      <c r="T105" s="52"/>
      <c r="U105" s="53"/>
      <c r="V105" s="54">
        <f t="shared" si="30"/>
        <v>0</v>
      </c>
      <c r="W105" s="105"/>
      <c r="X105" s="52"/>
      <c r="Y105" s="52"/>
      <c r="Z105" s="52"/>
      <c r="AA105" s="52"/>
      <c r="AB105" s="52"/>
      <c r="AC105" s="52"/>
      <c r="AD105" s="52"/>
      <c r="AE105" s="52"/>
      <c r="AF105" s="52"/>
      <c r="AG105" s="52"/>
      <c r="AH105" s="52"/>
      <c r="AI105" s="52"/>
      <c r="AJ105" s="105"/>
      <c r="AK105" s="54"/>
      <c r="AL105" s="56"/>
      <c r="AM105" s="30"/>
      <c r="AN105" s="53"/>
      <c r="AO105" s="53"/>
      <c r="AP105" s="53"/>
      <c r="AQ105" s="53"/>
      <c r="AR105" s="53"/>
      <c r="AS105" s="53"/>
      <c r="AT105" s="53"/>
      <c r="AU105" s="53"/>
      <c r="AV105" s="53"/>
      <c r="AW105" s="53"/>
      <c r="AX105" s="53"/>
      <c r="AY105" s="53"/>
    </row>
    <row r="106" ht="15.75" customHeight="1" collapsed="1">
      <c r="A106" s="22"/>
      <c r="B106" s="41"/>
      <c r="C106" s="62"/>
      <c r="D106" s="42" t="s">
        <v>148</v>
      </c>
      <c r="E106" s="42"/>
      <c r="F106" s="42"/>
      <c r="G106" s="43"/>
      <c r="H106" s="43"/>
      <c r="I106" s="44">
        <f t="shared" ref="I106:L106" si="32">SUM(I107:I124)</f>
        <v>150492045.6</v>
      </c>
      <c r="J106" s="44">
        <f t="shared" si="32"/>
        <v>147873449.3</v>
      </c>
      <c r="K106" s="44">
        <f t="shared" si="32"/>
        <v>141015683</v>
      </c>
      <c r="L106" s="44">
        <f t="shared" si="32"/>
        <v>161865197.4</v>
      </c>
      <c r="M106" s="44">
        <f t="shared" ref="M106:T106" si="33">SUM(M107:M125)</f>
        <v>0</v>
      </c>
      <c r="N106" s="44">
        <f t="shared" si="33"/>
        <v>0</v>
      </c>
      <c r="O106" s="44">
        <f t="shared" si="33"/>
        <v>0</v>
      </c>
      <c r="P106" s="44">
        <f t="shared" si="33"/>
        <v>0</v>
      </c>
      <c r="Q106" s="44">
        <f t="shared" si="33"/>
        <v>0</v>
      </c>
      <c r="R106" s="44">
        <f t="shared" si="33"/>
        <v>0</v>
      </c>
      <c r="S106" s="44">
        <f t="shared" si="33"/>
        <v>0</v>
      </c>
      <c r="T106" s="44">
        <f t="shared" si="33"/>
        <v>0</v>
      </c>
      <c r="U106" s="7"/>
      <c r="V106" s="45">
        <f t="shared" si="30"/>
        <v>601246375.4</v>
      </c>
      <c r="W106" s="89">
        <f>+V106/$V$169</f>
        <v>0.1880644756</v>
      </c>
      <c r="X106" s="44">
        <v>1.812976402855539E8</v>
      </c>
      <c r="Y106" s="44">
        <v>1.844685320268039E8</v>
      </c>
      <c r="Z106" s="44">
        <v>1.805687896579226E8</v>
      </c>
      <c r="AA106" s="44">
        <v>1.974835335354072E8</v>
      </c>
      <c r="AB106" s="44">
        <v>1.919400165219703E8</v>
      </c>
      <c r="AC106" s="44">
        <v>1.921202636390318E8</v>
      </c>
      <c r="AD106" s="44">
        <v>2.002810821211626E8</v>
      </c>
      <c r="AE106" s="44">
        <v>2.004667772073373E8</v>
      </c>
      <c r="AF106" s="44">
        <v>2.006552577198046E8</v>
      </c>
      <c r="AG106" s="44">
        <v>2.081822602026097E8</v>
      </c>
      <c r="AH106" s="44">
        <v>2.083764375385664E8</v>
      </c>
      <c r="AI106" s="44">
        <v>2.085735275345623E8</v>
      </c>
      <c r="AJ106" s="89"/>
      <c r="AK106" s="103">
        <f t="shared" ref="AK106:AK126" si="34">SUM(X106:AA106)</f>
        <v>743818495.5</v>
      </c>
      <c r="AL106" s="10"/>
      <c r="AM106" s="30">
        <f>+V106-AK106</f>
        <v>-142572120.1</v>
      </c>
      <c r="AN106" s="47">
        <f>+AM106/AK106</f>
        <v>-0.1916759545</v>
      </c>
      <c r="AO106" s="7"/>
      <c r="AP106" s="7"/>
      <c r="AQ106" s="7"/>
      <c r="AR106" s="7"/>
      <c r="AS106" s="7"/>
    </row>
    <row r="107" ht="14.25" hidden="1" customHeight="1" outlineLevel="1">
      <c r="A107" s="18"/>
      <c r="B107" s="58"/>
      <c r="C107" s="5" t="s">
        <v>149</v>
      </c>
      <c r="D107" s="50" t="s">
        <v>148</v>
      </c>
      <c r="E107" s="50" t="s">
        <v>150</v>
      </c>
      <c r="F107" s="5" t="s">
        <v>151</v>
      </c>
      <c r="G107" s="50" t="s">
        <v>152</v>
      </c>
      <c r="H107" s="130"/>
      <c r="I107" s="52">
        <v>1.1649381194E8</v>
      </c>
      <c r="J107" s="52">
        <v>1.14025688E8</v>
      </c>
      <c r="K107" s="52">
        <v>1.1644988706E8</v>
      </c>
      <c r="L107" s="109">
        <v>1.1880735263E8</v>
      </c>
      <c r="M107" s="52"/>
      <c r="N107" s="52"/>
      <c r="O107" s="52"/>
      <c r="P107" s="52"/>
      <c r="Q107" s="52"/>
      <c r="R107" s="52"/>
      <c r="S107" s="52"/>
      <c r="T107" s="52"/>
      <c r="U107" s="53"/>
      <c r="V107" s="54">
        <f t="shared" si="30"/>
        <v>465776739.6</v>
      </c>
      <c r="W107" s="105"/>
      <c r="X107" s="52">
        <v>1.23552655182E8</v>
      </c>
      <c r="Y107" s="52">
        <v>1.23552655182E8</v>
      </c>
      <c r="Z107" s="52">
        <v>1.23552655182E8</v>
      </c>
      <c r="AA107" s="52">
        <v>1.29196339697649E8</v>
      </c>
      <c r="AB107" s="52">
        <v>1.29196339697649E8</v>
      </c>
      <c r="AC107" s="52">
        <v>1.29196339697649E8</v>
      </c>
      <c r="AD107" s="52">
        <v>1.350978185509855E8</v>
      </c>
      <c r="AE107" s="52">
        <v>1.350978185509855E8</v>
      </c>
      <c r="AF107" s="52">
        <v>1.350978185509855E8</v>
      </c>
      <c r="AG107" s="52">
        <v>1.412688673684394E8</v>
      </c>
      <c r="AH107" s="52">
        <v>1.412688673684394E8</v>
      </c>
      <c r="AI107" s="52">
        <v>1.412688673684394E8</v>
      </c>
      <c r="AJ107" s="105"/>
      <c r="AK107" s="54">
        <f t="shared" si="34"/>
        <v>499854305.2</v>
      </c>
      <c r="AL107" s="56"/>
      <c r="AM107" s="30"/>
      <c r="AN107" s="53"/>
      <c r="AO107" s="53"/>
      <c r="AP107" s="53"/>
      <c r="AQ107" s="53"/>
      <c r="AR107" s="53"/>
      <c r="AS107" s="53"/>
      <c r="AT107" s="53"/>
      <c r="AU107" s="53"/>
      <c r="AV107" s="53"/>
      <c r="AW107" s="53"/>
      <c r="AX107" s="53"/>
      <c r="AY107" s="53"/>
    </row>
    <row r="108" ht="12.0" hidden="1" customHeight="1" outlineLevel="1">
      <c r="A108" s="18"/>
      <c r="B108" s="58"/>
      <c r="C108" s="5" t="s">
        <v>153</v>
      </c>
      <c r="D108" s="50" t="s">
        <v>148</v>
      </c>
      <c r="E108" s="50" t="s">
        <v>150</v>
      </c>
      <c r="F108" s="5" t="str">
        <f t="shared" ref="F108:F112" si="35">+C108</f>
        <v>SAC (incl Cs Soc)</v>
      </c>
      <c r="G108" s="50" t="s">
        <v>152</v>
      </c>
      <c r="H108" s="50"/>
      <c r="I108" s="52">
        <v>9640472.86</v>
      </c>
      <c r="J108" s="52">
        <v>9286731.0</v>
      </c>
      <c r="K108" s="52">
        <v>5923398.2</v>
      </c>
      <c r="L108" s="52">
        <v>1.094018701E7</v>
      </c>
      <c r="M108" s="52"/>
      <c r="N108" s="52"/>
      <c r="O108" s="52"/>
      <c r="P108" s="52"/>
      <c r="Q108" s="52"/>
      <c r="R108" s="52"/>
      <c r="S108" s="52"/>
      <c r="T108" s="52"/>
      <c r="U108" s="53"/>
      <c r="V108" s="54">
        <f t="shared" si="30"/>
        <v>35790789.07</v>
      </c>
      <c r="W108" s="105"/>
      <c r="X108" s="52">
        <v>1.076205509681416E7</v>
      </c>
      <c r="Y108" s="52">
        <v>1.076205509681416E7</v>
      </c>
      <c r="Z108" s="52">
        <v>1.076205509681416E7</v>
      </c>
      <c r="AA108" s="52">
        <v>1.076205509681416E7</v>
      </c>
      <c r="AB108" s="52">
        <v>1.076205509681416E7</v>
      </c>
      <c r="AC108" s="52">
        <v>1.076205509681416E7</v>
      </c>
      <c r="AD108" s="52">
        <v>1.1767696651791E7</v>
      </c>
      <c r="AE108" s="52">
        <v>1.1767696651791E7</v>
      </c>
      <c r="AF108" s="52">
        <v>1.1767696651791E7</v>
      </c>
      <c r="AG108" s="52">
        <v>1.1767696651791E7</v>
      </c>
      <c r="AH108" s="52">
        <v>1.1767696651791E7</v>
      </c>
      <c r="AI108" s="52">
        <v>1.1767696651791E7</v>
      </c>
      <c r="AJ108" s="105"/>
      <c r="AK108" s="54">
        <f t="shared" si="34"/>
        <v>43048220.39</v>
      </c>
      <c r="AL108" s="56"/>
      <c r="AM108" s="30"/>
      <c r="AN108" s="53"/>
      <c r="AO108" s="53"/>
      <c r="AP108" s="53"/>
      <c r="AQ108" s="53"/>
      <c r="AR108" s="53"/>
      <c r="AS108" s="53"/>
      <c r="AT108" s="53"/>
      <c r="AU108" s="53"/>
      <c r="AV108" s="53"/>
      <c r="AW108" s="53"/>
      <c r="AX108" s="53"/>
      <c r="AY108" s="53"/>
    </row>
    <row r="109" ht="12.0" hidden="1" customHeight="1" outlineLevel="1">
      <c r="A109" s="18"/>
      <c r="B109" s="58"/>
      <c r="C109" s="5" t="s">
        <v>154</v>
      </c>
      <c r="D109" s="50" t="s">
        <v>148</v>
      </c>
      <c r="E109" s="50" t="s">
        <v>150</v>
      </c>
      <c r="F109" s="5" t="str">
        <f t="shared" si="35"/>
        <v>Bonos  (incl sac y cs soc)</v>
      </c>
      <c r="G109" s="50" t="s">
        <v>152</v>
      </c>
      <c r="H109" s="50"/>
      <c r="I109" s="52">
        <v>9739883.19</v>
      </c>
      <c r="J109" s="52">
        <v>9739883.19</v>
      </c>
      <c r="K109" s="52">
        <v>7277291.48</v>
      </c>
      <c r="L109" s="52">
        <v>7967178.53</v>
      </c>
      <c r="M109" s="52"/>
      <c r="N109" s="52"/>
      <c r="O109" s="52"/>
      <c r="P109" s="52"/>
      <c r="Q109" s="52"/>
      <c r="R109" s="52"/>
      <c r="S109" s="52"/>
      <c r="T109" s="52"/>
      <c r="U109" s="53"/>
      <c r="V109" s="54">
        <f t="shared" si="30"/>
        <v>34724236.39</v>
      </c>
      <c r="W109" s="105"/>
      <c r="X109" s="52">
        <v>1.66021993390258E7</v>
      </c>
      <c r="Y109" s="52">
        <v>1.66021993390258E7</v>
      </c>
      <c r="Z109" s="52">
        <v>1.66021993390258E7</v>
      </c>
      <c r="AA109" s="52">
        <v>1.66021993390258E7</v>
      </c>
      <c r="AB109" s="52">
        <v>1.66021993390258E7</v>
      </c>
      <c r="AC109" s="52">
        <v>1.66021993390258E7</v>
      </c>
      <c r="AD109" s="52">
        <v>1.66021993390258E7</v>
      </c>
      <c r="AE109" s="52">
        <v>1.66021993390258E7</v>
      </c>
      <c r="AF109" s="52">
        <v>1.66021993390258E7</v>
      </c>
      <c r="AG109" s="52">
        <v>1.66021993390258E7</v>
      </c>
      <c r="AH109" s="52">
        <v>1.66021993390258E7</v>
      </c>
      <c r="AI109" s="52">
        <v>1.66021993390258E7</v>
      </c>
      <c r="AJ109" s="105"/>
      <c r="AK109" s="54">
        <f t="shared" si="34"/>
        <v>66408797.36</v>
      </c>
      <c r="AL109" s="56"/>
      <c r="AM109" s="30"/>
      <c r="AN109" s="53"/>
      <c r="AO109" s="53"/>
      <c r="AP109" s="53"/>
      <c r="AQ109" s="53"/>
      <c r="AR109" s="53"/>
      <c r="AS109" s="53"/>
      <c r="AT109" s="53"/>
      <c r="AU109" s="53"/>
      <c r="AV109" s="53"/>
      <c r="AW109" s="53"/>
      <c r="AX109" s="53"/>
      <c r="AY109" s="53"/>
    </row>
    <row r="110" ht="12.0" hidden="1" customHeight="1" outlineLevel="1">
      <c r="A110" s="18"/>
      <c r="B110" s="58"/>
      <c r="C110" s="5" t="s">
        <v>155</v>
      </c>
      <c r="D110" s="50" t="s">
        <v>148</v>
      </c>
      <c r="E110" s="50" t="s">
        <v>150</v>
      </c>
      <c r="F110" s="5" t="str">
        <f t="shared" si="35"/>
        <v>Vacaciones (incl cs soc)</v>
      </c>
      <c r="G110" s="50" t="s">
        <v>152</v>
      </c>
      <c r="H110" s="50"/>
      <c r="I110" s="52">
        <v>2199603.1</v>
      </c>
      <c r="J110" s="52">
        <v>2199603.1</v>
      </c>
      <c r="K110" s="52">
        <v>-8397876.73</v>
      </c>
      <c r="L110" s="52">
        <v>4413014.71</v>
      </c>
      <c r="M110" s="52"/>
      <c r="N110" s="52"/>
      <c r="O110" s="52"/>
      <c r="P110" s="52"/>
      <c r="Q110" s="52"/>
      <c r="R110" s="52"/>
      <c r="S110" s="52"/>
      <c r="T110" s="52"/>
      <c r="U110" s="53"/>
      <c r="V110" s="54">
        <f t="shared" si="30"/>
        <v>414344.18</v>
      </c>
      <c r="W110" s="105"/>
      <c r="X110" s="52">
        <v>6026305.917713975</v>
      </c>
      <c r="Y110" s="52">
        <v>6026305.917713975</v>
      </c>
      <c r="Z110" s="52">
        <v>6026305.917713975</v>
      </c>
      <c r="AA110" s="52">
        <v>6026305.917713975</v>
      </c>
      <c r="AB110" s="52">
        <v>6026305.917713975</v>
      </c>
      <c r="AC110" s="52">
        <v>6026305.917713975</v>
      </c>
      <c r="AD110" s="52">
        <v>6026305.917713975</v>
      </c>
      <c r="AE110" s="52">
        <v>6026305.917713975</v>
      </c>
      <c r="AF110" s="52">
        <v>6026305.917713975</v>
      </c>
      <c r="AG110" s="52">
        <v>6026305.917713975</v>
      </c>
      <c r="AH110" s="52">
        <v>6026305.917713975</v>
      </c>
      <c r="AI110" s="52">
        <v>6026305.917713975</v>
      </c>
      <c r="AJ110" s="105"/>
      <c r="AK110" s="54">
        <f t="shared" si="34"/>
        <v>24105223.67</v>
      </c>
      <c r="AL110" s="56"/>
      <c r="AM110" s="30"/>
      <c r="AN110" s="53"/>
      <c r="AO110" s="53"/>
      <c r="AP110" s="53"/>
      <c r="AQ110" s="53"/>
      <c r="AR110" s="53"/>
      <c r="AS110" s="53"/>
      <c r="AT110" s="53"/>
      <c r="AU110" s="53"/>
      <c r="AV110" s="53"/>
      <c r="AW110" s="53"/>
      <c r="AX110" s="53"/>
      <c r="AY110" s="53"/>
    </row>
    <row r="111" ht="12.0" hidden="1" customHeight="1" outlineLevel="1">
      <c r="A111" s="18"/>
      <c r="B111" s="58"/>
      <c r="C111" s="5" t="s">
        <v>156</v>
      </c>
      <c r="D111" s="50" t="s">
        <v>148</v>
      </c>
      <c r="E111" s="50"/>
      <c r="F111" s="5" t="str">
        <f t="shared" si="35"/>
        <v>Swiss Medical</v>
      </c>
      <c r="G111" s="50" t="s">
        <v>152</v>
      </c>
      <c r="H111" s="106"/>
      <c r="I111" s="52">
        <v>5870491.56</v>
      </c>
      <c r="J111" s="52">
        <v>5521878.0</v>
      </c>
      <c r="K111" s="52">
        <v>6266749.0</v>
      </c>
      <c r="L111" s="52">
        <v>1158666.990000001</v>
      </c>
      <c r="M111" s="52"/>
      <c r="N111" s="52"/>
      <c r="O111" s="52"/>
      <c r="P111" s="52"/>
      <c r="Q111" s="52"/>
      <c r="R111" s="52"/>
      <c r="S111" s="52"/>
      <c r="T111" s="52"/>
      <c r="U111" s="53"/>
      <c r="V111" s="54">
        <f t="shared" si="30"/>
        <v>18817785.55</v>
      </c>
      <c r="W111" s="105"/>
      <c r="X111" s="52">
        <v>7104999.999999999</v>
      </c>
      <c r="Y111" s="52">
        <v>7211574.999999998</v>
      </c>
      <c r="Z111" s="52">
        <v>7319748.624999997</v>
      </c>
      <c r="AA111" s="52">
        <v>7429544.854374996</v>
      </c>
      <c r="AB111" s="52">
        <v>7540988.027190621</v>
      </c>
      <c r="AC111" s="52">
        <v>7654102.847598479</v>
      </c>
      <c r="AD111" s="52">
        <v>7768914.390312456</v>
      </c>
      <c r="AE111" s="52">
        <v>7885448.106167141</v>
      </c>
      <c r="AF111" s="52">
        <v>8003729.827759648</v>
      </c>
      <c r="AG111" s="52">
        <v>8123785.775176042</v>
      </c>
      <c r="AH111" s="52">
        <v>8245642.561803682</v>
      </c>
      <c r="AI111" s="52">
        <v>8369327.200230736</v>
      </c>
      <c r="AJ111" s="105"/>
      <c r="AK111" s="54">
        <f t="shared" si="34"/>
        <v>29065868.48</v>
      </c>
      <c r="AL111" s="56"/>
      <c r="AM111" s="30"/>
      <c r="AN111" s="53"/>
      <c r="AO111" s="53"/>
      <c r="AP111" s="53"/>
      <c r="AQ111" s="53"/>
      <c r="AR111" s="53"/>
      <c r="AS111" s="53"/>
      <c r="AT111" s="53"/>
      <c r="AU111" s="53"/>
      <c r="AV111" s="53"/>
      <c r="AW111" s="53"/>
      <c r="AX111" s="53"/>
      <c r="AY111" s="53"/>
    </row>
    <row r="112" ht="12.0" hidden="1" customHeight="1" outlineLevel="1">
      <c r="A112" s="18"/>
      <c r="B112" s="58"/>
      <c r="C112" s="5" t="s">
        <v>157</v>
      </c>
      <c r="D112" s="50" t="s">
        <v>148</v>
      </c>
      <c r="E112" s="50"/>
      <c r="F112" s="5" t="str">
        <f t="shared" si="35"/>
        <v>Osde</v>
      </c>
      <c r="G112" s="50" t="s">
        <v>152</v>
      </c>
      <c r="H112" s="106"/>
      <c r="I112" s="52">
        <v>1200000.0</v>
      </c>
      <c r="J112" s="52">
        <v>1302894.0</v>
      </c>
      <c r="K112" s="52">
        <v>1126442.0</v>
      </c>
      <c r="L112" s="52">
        <v>1126767.9</v>
      </c>
      <c r="M112" s="52"/>
      <c r="N112" s="52"/>
      <c r="O112" s="52"/>
      <c r="P112" s="52"/>
      <c r="Q112" s="52"/>
      <c r="R112" s="52"/>
      <c r="S112" s="52"/>
      <c r="T112" s="52"/>
      <c r="U112" s="53"/>
      <c r="V112" s="54">
        <f t="shared" si="30"/>
        <v>4756103.9</v>
      </c>
      <c r="W112" s="105"/>
      <c r="X112" s="52">
        <v>1319500.0</v>
      </c>
      <c r="Y112" s="52">
        <v>1339292.5</v>
      </c>
      <c r="Z112" s="52">
        <v>1359381.887499999</v>
      </c>
      <c r="AA112" s="52">
        <v>1379772.615812499</v>
      </c>
      <c r="AB112" s="52">
        <v>1400469.205049687</v>
      </c>
      <c r="AC112" s="52">
        <v>1421476.243125432</v>
      </c>
      <c r="AD112" s="52">
        <v>1442798.386772313</v>
      </c>
      <c r="AE112" s="52">
        <v>1464440.362573898</v>
      </c>
      <c r="AF112" s="52">
        <v>1486406.968012506</v>
      </c>
      <c r="AG112" s="52">
        <v>1508703.072532693</v>
      </c>
      <c r="AH112" s="52">
        <v>1531333.618620684</v>
      </c>
      <c r="AI112" s="52">
        <v>1554303.622899994</v>
      </c>
      <c r="AJ112" s="105"/>
      <c r="AK112" s="54">
        <f t="shared" si="34"/>
        <v>5397947.003</v>
      </c>
      <c r="AL112" s="56"/>
      <c r="AM112" s="30"/>
      <c r="AN112" s="53"/>
      <c r="AO112" s="53"/>
      <c r="AP112" s="53"/>
      <c r="AQ112" s="53"/>
      <c r="AR112" s="53"/>
      <c r="AS112" s="53"/>
      <c r="AT112" s="53"/>
      <c r="AU112" s="53"/>
      <c r="AV112" s="53"/>
      <c r="AW112" s="53"/>
      <c r="AX112" s="53"/>
      <c r="AY112" s="53"/>
    </row>
    <row r="113" ht="12.0" hidden="1" customHeight="1" outlineLevel="1">
      <c r="A113" s="18"/>
      <c r="B113" s="58"/>
      <c r="C113" s="2" t="s">
        <v>158</v>
      </c>
      <c r="D113" s="60" t="s">
        <v>148</v>
      </c>
      <c r="E113" s="60" t="s">
        <v>150</v>
      </c>
      <c r="F113" s="2" t="s">
        <v>159</v>
      </c>
      <c r="G113" s="60" t="s">
        <v>152</v>
      </c>
      <c r="H113" s="131"/>
      <c r="I113" s="6"/>
      <c r="J113" s="6"/>
      <c r="K113" s="6"/>
      <c r="L113" s="108">
        <v>0.0</v>
      </c>
      <c r="M113" s="52"/>
      <c r="N113" s="52"/>
      <c r="O113" s="52"/>
      <c r="P113" s="52"/>
      <c r="Q113" s="52"/>
      <c r="R113" s="52"/>
      <c r="S113" s="52"/>
      <c r="T113" s="52"/>
      <c r="U113" s="53"/>
      <c r="V113" s="54">
        <f t="shared" si="30"/>
        <v>0</v>
      </c>
      <c r="W113" s="105"/>
      <c r="X113" s="52">
        <v>5000000.0</v>
      </c>
      <c r="Y113" s="52">
        <v>9000000.0</v>
      </c>
      <c r="Z113" s="52">
        <v>9000000.0</v>
      </c>
      <c r="AA113" s="52">
        <v>1.4E7</v>
      </c>
      <c r="AB113" s="52">
        <v>1.4E7</v>
      </c>
      <c r="AC113" s="52">
        <v>1.4E7</v>
      </c>
      <c r="AD113" s="52">
        <v>1.463949724999999E7</v>
      </c>
      <c r="AE113" s="52">
        <v>1.463949724999999E7</v>
      </c>
      <c r="AF113" s="52">
        <v>1.463949724999999E7</v>
      </c>
      <c r="AG113" s="52">
        <v>1.530820569519696E7</v>
      </c>
      <c r="AH113" s="52">
        <v>1.530820569519696E7</v>
      </c>
      <c r="AI113" s="52">
        <v>1.530820569519696E7</v>
      </c>
      <c r="AJ113" s="105"/>
      <c r="AK113" s="54">
        <f t="shared" si="34"/>
        <v>37000000</v>
      </c>
      <c r="AL113" s="56"/>
      <c r="AM113" s="30"/>
      <c r="AN113" s="53"/>
      <c r="AO113" s="53"/>
      <c r="AP113" s="53"/>
      <c r="AQ113" s="53"/>
      <c r="AR113" s="53"/>
      <c r="AS113" s="53"/>
      <c r="AT113" s="53"/>
      <c r="AU113" s="53"/>
      <c r="AV113" s="53"/>
      <c r="AW113" s="53"/>
      <c r="AX113" s="53"/>
      <c r="AY113" s="53"/>
    </row>
    <row r="114" ht="12.0" hidden="1" customHeight="1" outlineLevel="1">
      <c r="A114" s="18"/>
      <c r="B114" s="58"/>
      <c r="C114" s="5" t="s">
        <v>160</v>
      </c>
      <c r="D114" s="50" t="s">
        <v>148</v>
      </c>
      <c r="E114" s="50">
        <v>5415.0</v>
      </c>
      <c r="F114" s="5" t="s">
        <v>161</v>
      </c>
      <c r="G114" s="50" t="s">
        <v>152</v>
      </c>
      <c r="H114" s="106"/>
      <c r="I114" s="52">
        <v>1393291.0</v>
      </c>
      <c r="J114" s="52">
        <v>1500000.0</v>
      </c>
      <c r="K114" s="52">
        <f>1360000+125000</f>
        <v>1485000</v>
      </c>
      <c r="L114" s="132">
        <v>1521520.0</v>
      </c>
      <c r="M114" s="52"/>
      <c r="N114" s="52"/>
      <c r="O114" s="52"/>
      <c r="P114" s="52"/>
      <c r="Q114" s="52"/>
      <c r="R114" s="52"/>
      <c r="S114" s="52"/>
      <c r="T114" s="52"/>
      <c r="U114" s="53"/>
      <c r="V114" s="54">
        <f t="shared" si="30"/>
        <v>5899811</v>
      </c>
      <c r="W114" s="105"/>
      <c r="X114" s="52">
        <v>1378014.75</v>
      </c>
      <c r="Y114" s="52">
        <v>1398684.97125</v>
      </c>
      <c r="Z114" s="52">
        <v>1419665.24581875</v>
      </c>
      <c r="AA114" s="52">
        <v>1440960.224506031</v>
      </c>
      <c r="AB114" s="52">
        <v>1462574.627873621</v>
      </c>
      <c r="AC114" s="52">
        <v>1484513.247291725</v>
      </c>
      <c r="AD114" s="52">
        <v>1506780.946001101</v>
      </c>
      <c r="AE114" s="52">
        <v>1529382.660191117</v>
      </c>
      <c r="AF114" s="52">
        <v>1552323.400093984</v>
      </c>
      <c r="AG114" s="52">
        <v>1575608.251095393</v>
      </c>
      <c r="AH114" s="52">
        <v>1599242.374861824</v>
      </c>
      <c r="AI114" s="52">
        <v>1623231.010484751</v>
      </c>
      <c r="AJ114" s="105"/>
      <c r="AK114" s="54">
        <f t="shared" si="34"/>
        <v>5637325.192</v>
      </c>
      <c r="AL114" s="56"/>
      <c r="AM114" s="30"/>
      <c r="AN114" s="53"/>
      <c r="AO114" s="53"/>
      <c r="AP114" s="53"/>
      <c r="AQ114" s="53"/>
      <c r="AR114" s="53"/>
      <c r="AS114" s="53"/>
      <c r="AT114" s="53"/>
      <c r="AU114" s="53"/>
      <c r="AV114" s="53"/>
      <c r="AW114" s="53"/>
      <c r="AX114" s="53"/>
      <c r="AY114" s="53"/>
    </row>
    <row r="115" ht="12.0" hidden="1" customHeight="1" outlineLevel="1">
      <c r="A115" s="18"/>
      <c r="B115" s="58"/>
      <c r="C115" s="5" t="s">
        <v>162</v>
      </c>
      <c r="D115" s="50" t="s">
        <v>148</v>
      </c>
      <c r="E115" s="50">
        <v>5611.0</v>
      </c>
      <c r="F115" s="5" t="s">
        <v>163</v>
      </c>
      <c r="G115" s="50" t="s">
        <v>152</v>
      </c>
      <c r="H115" s="106"/>
      <c r="I115" s="52">
        <f>582071.98+24460</f>
        <v>606531.98</v>
      </c>
      <c r="J115" s="52">
        <v>1113006.0</v>
      </c>
      <c r="K115" s="52">
        <v>1004554.0</v>
      </c>
      <c r="L115" s="52">
        <v>1205452.27</v>
      </c>
      <c r="M115" s="52"/>
      <c r="N115" s="52"/>
      <c r="O115" s="52"/>
      <c r="P115" s="52"/>
      <c r="Q115" s="52"/>
      <c r="R115" s="52"/>
      <c r="S115" s="52"/>
      <c r="T115" s="52"/>
      <c r="U115" s="53"/>
      <c r="V115" s="54">
        <f t="shared" si="30"/>
        <v>3929544.25</v>
      </c>
      <c r="W115" s="105"/>
      <c r="X115" s="52">
        <v>1219218.0</v>
      </c>
      <c r="Y115" s="52">
        <v>1237506.27</v>
      </c>
      <c r="Z115" s="52">
        <v>1256068.86405</v>
      </c>
      <c r="AA115" s="52">
        <v>1274909.897010749</v>
      </c>
      <c r="AB115" s="52">
        <v>1294033.545465911</v>
      </c>
      <c r="AC115" s="52">
        <v>1313444.048647899</v>
      </c>
      <c r="AD115" s="52">
        <v>1333145.709377618</v>
      </c>
      <c r="AE115" s="52">
        <v>1353142.895018282</v>
      </c>
      <c r="AF115" s="52">
        <v>1373440.038443556</v>
      </c>
      <c r="AG115" s="52">
        <v>1394041.639020209</v>
      </c>
      <c r="AH115" s="52">
        <v>1414952.263605512</v>
      </c>
      <c r="AI115" s="52">
        <v>1436176.547559595</v>
      </c>
      <c r="AJ115" s="105"/>
      <c r="AK115" s="54">
        <f t="shared" si="34"/>
        <v>4987703.031</v>
      </c>
      <c r="AL115" s="56"/>
      <c r="AM115" s="30"/>
      <c r="AN115" s="53"/>
      <c r="AO115" s="53"/>
      <c r="AP115" s="53"/>
      <c r="AQ115" s="53"/>
      <c r="AR115" s="53"/>
      <c r="AS115" s="53"/>
      <c r="AT115" s="53"/>
      <c r="AU115" s="53"/>
      <c r="AV115" s="53"/>
      <c r="AW115" s="53"/>
      <c r="AX115" s="53"/>
      <c r="AY115" s="53"/>
    </row>
    <row r="116" ht="12.0" hidden="1" customHeight="1" outlineLevel="1">
      <c r="A116" s="18"/>
      <c r="B116" s="58"/>
      <c r="C116" s="5" t="s">
        <v>164</v>
      </c>
      <c r="D116" s="50" t="s">
        <v>148</v>
      </c>
      <c r="E116" s="50">
        <v>5415.0</v>
      </c>
      <c r="F116" s="5" t="s">
        <v>161</v>
      </c>
      <c r="G116" s="50" t="s">
        <v>152</v>
      </c>
      <c r="H116" s="106"/>
      <c r="I116" s="52"/>
      <c r="J116" s="52"/>
      <c r="K116" s="52"/>
      <c r="L116" s="109">
        <v>660524.16</v>
      </c>
      <c r="M116" s="52"/>
      <c r="N116" s="52"/>
      <c r="O116" s="52"/>
      <c r="P116" s="52"/>
      <c r="Q116" s="52"/>
      <c r="R116" s="52"/>
      <c r="S116" s="52"/>
      <c r="T116" s="52"/>
      <c r="U116" s="53"/>
      <c r="V116" s="54">
        <f t="shared" si="30"/>
        <v>660524.16</v>
      </c>
      <c r="W116" s="105"/>
      <c r="X116" s="52"/>
      <c r="Y116" s="52"/>
      <c r="Z116" s="52"/>
      <c r="AA116" s="52">
        <v>646100.0</v>
      </c>
      <c r="AB116" s="52"/>
      <c r="AC116" s="52"/>
      <c r="AD116" s="52"/>
      <c r="AE116" s="52"/>
      <c r="AF116" s="52"/>
      <c r="AG116" s="52"/>
      <c r="AH116" s="52"/>
      <c r="AI116" s="52"/>
      <c r="AJ116" s="105"/>
      <c r="AK116" s="54">
        <f t="shared" si="34"/>
        <v>646100</v>
      </c>
      <c r="AL116" s="56"/>
      <c r="AM116" s="30"/>
      <c r="AN116" s="53"/>
      <c r="AO116" s="53"/>
      <c r="AP116" s="53"/>
      <c r="AQ116" s="53"/>
      <c r="AR116" s="53"/>
      <c r="AS116" s="53"/>
      <c r="AT116" s="53"/>
      <c r="AU116" s="53"/>
      <c r="AV116" s="53"/>
      <c r="AW116" s="53"/>
      <c r="AX116" s="53"/>
      <c r="AY116" s="53"/>
    </row>
    <row r="117" ht="12.0" hidden="1" customHeight="1" outlineLevel="1">
      <c r="A117" s="18"/>
      <c r="B117" s="58"/>
      <c r="C117" s="5" t="s">
        <v>165</v>
      </c>
      <c r="D117" s="50" t="s">
        <v>148</v>
      </c>
      <c r="E117" s="50"/>
      <c r="F117" s="5" t="s">
        <v>166</v>
      </c>
      <c r="G117" s="50" t="s">
        <v>54</v>
      </c>
      <c r="H117" s="104"/>
      <c r="I117" s="52">
        <v>354000.0</v>
      </c>
      <c r="J117" s="52">
        <v>217060.0</v>
      </c>
      <c r="K117" s="52">
        <v>284000.0</v>
      </c>
      <c r="L117" s="52">
        <v>281000.0</v>
      </c>
      <c r="M117" s="52"/>
      <c r="N117" s="52"/>
      <c r="O117" s="52"/>
      <c r="P117" s="52"/>
      <c r="Q117" s="52"/>
      <c r="R117" s="52"/>
      <c r="S117" s="52"/>
      <c r="T117" s="52"/>
      <c r="U117" s="53"/>
      <c r="V117" s="54">
        <f t="shared" si="30"/>
        <v>1136060</v>
      </c>
      <c r="W117" s="105"/>
      <c r="X117" s="52">
        <v>300000.0</v>
      </c>
      <c r="Y117" s="52">
        <v>304499.9999999999</v>
      </c>
      <c r="Z117" s="52">
        <v>309067.4999999999</v>
      </c>
      <c r="AA117" s="52">
        <v>313703.5124999999</v>
      </c>
      <c r="AB117" s="52">
        <v>318409.0651874999</v>
      </c>
      <c r="AC117" s="52">
        <v>323185.2011653123</v>
      </c>
      <c r="AD117" s="52">
        <v>328032.979182792</v>
      </c>
      <c r="AE117" s="52">
        <v>332953.4738705338</v>
      </c>
      <c r="AF117" s="52">
        <v>337947.7759785918</v>
      </c>
      <c r="AG117" s="52">
        <v>343016.9926182706</v>
      </c>
      <c r="AH117" s="52">
        <v>348162.2475075446</v>
      </c>
      <c r="AI117" s="52">
        <v>353384.6812201578</v>
      </c>
      <c r="AJ117" s="105"/>
      <c r="AK117" s="54">
        <f t="shared" si="34"/>
        <v>1227271.013</v>
      </c>
      <c r="AL117" s="56"/>
      <c r="AM117" s="30"/>
      <c r="AN117" s="53"/>
      <c r="AO117" s="53"/>
      <c r="AP117" s="53"/>
      <c r="AQ117" s="53"/>
      <c r="AR117" s="53"/>
      <c r="AS117" s="53"/>
      <c r="AT117" s="53"/>
      <c r="AU117" s="53"/>
      <c r="AV117" s="53"/>
      <c r="AW117" s="53"/>
      <c r="AX117" s="53"/>
      <c r="AY117" s="53"/>
    </row>
    <row r="118" ht="12.0" hidden="1" customHeight="1" outlineLevel="1">
      <c r="A118" s="18"/>
      <c r="B118" s="58"/>
      <c r="C118" s="5" t="s">
        <v>167</v>
      </c>
      <c r="D118" s="50" t="s">
        <v>148</v>
      </c>
      <c r="E118" s="50"/>
      <c r="F118" s="5" t="s">
        <v>168</v>
      </c>
      <c r="G118" s="50" t="s">
        <v>152</v>
      </c>
      <c r="H118" s="106"/>
      <c r="I118" s="52">
        <v>676878.0</v>
      </c>
      <c r="J118" s="133"/>
      <c r="K118" s="133">
        <f>1676270+339230-3</f>
        <v>2015497</v>
      </c>
      <c r="L118" s="133">
        <v>634616.66</v>
      </c>
      <c r="M118" s="52"/>
      <c r="N118" s="52"/>
      <c r="O118" s="52"/>
      <c r="P118" s="52"/>
      <c r="Q118" s="52"/>
      <c r="R118" s="52"/>
      <c r="S118" s="52"/>
      <c r="T118" s="52"/>
      <c r="U118" s="52"/>
      <c r="V118" s="54">
        <f t="shared" si="30"/>
        <v>3326991.66</v>
      </c>
      <c r="W118" s="105"/>
      <c r="X118" s="52">
        <v>1300000.0</v>
      </c>
      <c r="Y118" s="52">
        <v>1300000.0</v>
      </c>
      <c r="Z118" s="52">
        <v>1300000.0</v>
      </c>
      <c r="AA118" s="52">
        <v>1495000.0</v>
      </c>
      <c r="AB118" s="52">
        <v>1495000.0</v>
      </c>
      <c r="AC118" s="52">
        <v>1495000.0</v>
      </c>
      <c r="AD118" s="52">
        <v>1719250.0</v>
      </c>
      <c r="AE118" s="52">
        <v>1719250.0</v>
      </c>
      <c r="AF118" s="52">
        <v>1719250.0</v>
      </c>
      <c r="AG118" s="52">
        <v>1977137.5</v>
      </c>
      <c r="AH118" s="52">
        <v>1977137.5</v>
      </c>
      <c r="AI118" s="52">
        <v>1977137.5</v>
      </c>
      <c r="AJ118" s="105"/>
      <c r="AK118" s="54">
        <f t="shared" si="34"/>
        <v>5395000</v>
      </c>
      <c r="AL118" s="56"/>
      <c r="AM118" s="30"/>
      <c r="AN118" s="53"/>
      <c r="AO118" s="53"/>
      <c r="AP118" s="53"/>
      <c r="AQ118" s="53"/>
      <c r="AR118" s="53"/>
      <c r="AS118" s="53"/>
      <c r="AT118" s="53"/>
      <c r="AU118" s="53"/>
      <c r="AV118" s="53"/>
      <c r="AW118" s="53"/>
      <c r="AX118" s="53"/>
      <c r="AY118" s="53"/>
    </row>
    <row r="119" ht="12.0" hidden="1" customHeight="1" outlineLevel="1">
      <c r="A119" s="18"/>
      <c r="B119" s="58"/>
      <c r="C119" s="5" t="s">
        <v>169</v>
      </c>
      <c r="D119" s="50" t="s">
        <v>148</v>
      </c>
      <c r="E119" s="50">
        <v>5422.0</v>
      </c>
      <c r="F119" s="5" t="s">
        <v>170</v>
      </c>
      <c r="G119" s="50" t="s">
        <v>152</v>
      </c>
      <c r="H119" s="106"/>
      <c r="I119" s="52">
        <v>76005.0</v>
      </c>
      <c r="J119" s="52">
        <v>725629.0</v>
      </c>
      <c r="K119" s="52">
        <v>326000.0</v>
      </c>
      <c r="L119" s="52">
        <v>402939.93</v>
      </c>
      <c r="M119" s="52"/>
      <c r="N119" s="52"/>
      <c r="O119" s="52"/>
      <c r="P119" s="52"/>
      <c r="Q119" s="52"/>
      <c r="R119" s="52"/>
      <c r="S119" s="52"/>
      <c r="T119" s="52"/>
      <c r="U119" s="53"/>
      <c r="V119" s="54">
        <f t="shared" si="30"/>
        <v>1530573.93</v>
      </c>
      <c r="W119" s="105"/>
      <c r="X119" s="52">
        <v>1200000.0</v>
      </c>
      <c r="Y119" s="52">
        <v>1200000.0</v>
      </c>
      <c r="Z119" s="52">
        <v>1200000.0</v>
      </c>
      <c r="AA119" s="52">
        <v>1380000.0</v>
      </c>
      <c r="AB119" s="52">
        <v>1380000.0</v>
      </c>
      <c r="AC119" s="52">
        <v>1380000.0</v>
      </c>
      <c r="AD119" s="52">
        <v>1587000.0</v>
      </c>
      <c r="AE119" s="52">
        <v>1587000.0</v>
      </c>
      <c r="AF119" s="52">
        <v>1587000.0</v>
      </c>
      <c r="AG119" s="52">
        <v>1825050.0</v>
      </c>
      <c r="AH119" s="52">
        <v>1825050.0</v>
      </c>
      <c r="AI119" s="52">
        <v>1825050.0</v>
      </c>
      <c r="AJ119" s="105"/>
      <c r="AK119" s="54">
        <f t="shared" si="34"/>
        <v>4980000</v>
      </c>
      <c r="AL119" s="56"/>
      <c r="AM119" s="30"/>
      <c r="AN119" s="53"/>
      <c r="AO119" s="53"/>
      <c r="AP119" s="53"/>
      <c r="AQ119" s="53"/>
      <c r="AR119" s="53"/>
      <c r="AS119" s="53"/>
      <c r="AT119" s="53"/>
      <c r="AU119" s="53"/>
      <c r="AV119" s="53"/>
      <c r="AW119" s="53"/>
      <c r="AX119" s="53"/>
      <c r="AY119" s="53"/>
    </row>
    <row r="120" ht="12.0" hidden="1" customHeight="1" outlineLevel="1">
      <c r="A120" s="18"/>
      <c r="B120" s="58"/>
      <c r="C120" s="110" t="s">
        <v>171</v>
      </c>
      <c r="D120" s="50" t="s">
        <v>148</v>
      </c>
      <c r="E120" s="50">
        <v>5415.0</v>
      </c>
      <c r="F120" s="5" t="s">
        <v>172</v>
      </c>
      <c r="G120" s="50" t="s">
        <v>54</v>
      </c>
      <c r="H120" s="106"/>
      <c r="I120" s="52"/>
      <c r="J120" s="52"/>
      <c r="K120" s="52">
        <v>134860.0</v>
      </c>
      <c r="L120" s="52"/>
      <c r="M120" s="52"/>
      <c r="N120" s="52"/>
      <c r="O120" s="52"/>
      <c r="P120" s="52"/>
      <c r="Q120" s="52"/>
      <c r="R120" s="52"/>
      <c r="S120" s="52"/>
      <c r="T120" s="52"/>
      <c r="U120" s="53"/>
      <c r="V120" s="54">
        <f t="shared" si="30"/>
        <v>134860</v>
      </c>
      <c r="W120" s="105"/>
      <c r="X120" s="52">
        <v>71050.0</v>
      </c>
      <c r="Y120" s="52">
        <v>72115.75</v>
      </c>
      <c r="Z120" s="52"/>
      <c r="AA120" s="52">
        <v>75000.38</v>
      </c>
      <c r="AB120" s="52"/>
      <c r="AC120" s="52"/>
      <c r="AD120" s="52"/>
      <c r="AE120" s="52"/>
      <c r="AF120" s="52"/>
      <c r="AG120" s="52"/>
      <c r="AH120" s="52"/>
      <c r="AI120" s="52"/>
      <c r="AJ120" s="105"/>
      <c r="AK120" s="54">
        <f t="shared" si="34"/>
        <v>218166.13</v>
      </c>
      <c r="AL120" s="56"/>
      <c r="AM120" s="30"/>
      <c r="AN120" s="53"/>
      <c r="AO120" s="53"/>
      <c r="AP120" s="53"/>
      <c r="AQ120" s="53"/>
      <c r="AR120" s="53"/>
      <c r="AS120" s="53"/>
      <c r="AT120" s="53"/>
      <c r="AU120" s="53"/>
      <c r="AV120" s="53"/>
      <c r="AW120" s="53"/>
      <c r="AX120" s="53"/>
      <c r="AY120" s="53"/>
    </row>
    <row r="121" ht="12.0" hidden="1" customHeight="1" outlineLevel="1">
      <c r="A121" s="18"/>
      <c r="B121" s="58"/>
      <c r="C121" s="2" t="s">
        <v>173</v>
      </c>
      <c r="D121" s="60" t="s">
        <v>148</v>
      </c>
      <c r="E121" s="60">
        <v>5415.0</v>
      </c>
      <c r="F121" s="2" t="s">
        <v>174</v>
      </c>
      <c r="G121" s="60" t="s">
        <v>54</v>
      </c>
      <c r="H121" s="134"/>
      <c r="I121" s="6"/>
      <c r="J121" s="6"/>
      <c r="K121" s="6">
        <v>4500000.0</v>
      </c>
      <c r="L121" s="6">
        <v>4500000.0</v>
      </c>
      <c r="M121" s="52"/>
      <c r="N121" s="52"/>
      <c r="O121" s="52"/>
      <c r="P121" s="52"/>
      <c r="Q121" s="52"/>
      <c r="R121" s="52"/>
      <c r="S121" s="52"/>
      <c r="T121" s="52"/>
      <c r="U121" s="53"/>
      <c r="V121" s="54">
        <f t="shared" si="30"/>
        <v>9000000</v>
      </c>
      <c r="W121" s="105"/>
      <c r="X121" s="52">
        <v>5000000.0</v>
      </c>
      <c r="Y121" s="52">
        <v>4000000.0</v>
      </c>
      <c r="Z121" s="52"/>
      <c r="AA121" s="52">
        <v>5000000.0</v>
      </c>
      <c r="AB121" s="52"/>
      <c r="AC121" s="52"/>
      <c r="AD121" s="52"/>
      <c r="AE121" s="52"/>
      <c r="AF121" s="52"/>
      <c r="AG121" s="52"/>
      <c r="AH121" s="52"/>
      <c r="AI121" s="52"/>
      <c r="AJ121" s="105"/>
      <c r="AK121" s="54">
        <f t="shared" si="34"/>
        <v>14000000</v>
      </c>
      <c r="AL121" s="56"/>
      <c r="AM121" s="30"/>
      <c r="AN121" s="53"/>
      <c r="AO121" s="53"/>
      <c r="AP121" s="53"/>
      <c r="AQ121" s="53"/>
      <c r="AR121" s="53"/>
      <c r="AS121" s="53"/>
      <c r="AT121" s="53"/>
      <c r="AU121" s="53"/>
      <c r="AV121" s="53"/>
      <c r="AW121" s="53"/>
      <c r="AX121" s="53"/>
      <c r="AY121" s="53"/>
    </row>
    <row r="122" ht="12.0" hidden="1" customHeight="1" outlineLevel="1">
      <c r="A122" s="18"/>
      <c r="B122" s="58"/>
      <c r="C122" s="5" t="s">
        <v>175</v>
      </c>
      <c r="D122" s="50" t="s">
        <v>148</v>
      </c>
      <c r="E122" s="50">
        <v>5615.0</v>
      </c>
      <c r="F122" s="5" t="s">
        <v>176</v>
      </c>
      <c r="G122" s="50" t="s">
        <v>152</v>
      </c>
      <c r="H122" s="106"/>
      <c r="I122" s="52">
        <v>432412.0</v>
      </c>
      <c r="J122" s="52">
        <v>432412.0</v>
      </c>
      <c r="K122" s="52">
        <v>432412.0</v>
      </c>
      <c r="L122" s="52">
        <v>432412.0</v>
      </c>
      <c r="M122" s="52"/>
      <c r="N122" s="52"/>
      <c r="O122" s="52"/>
      <c r="P122" s="52"/>
      <c r="Q122" s="52"/>
      <c r="R122" s="52"/>
      <c r="S122" s="52"/>
      <c r="T122" s="52"/>
      <c r="U122" s="53"/>
      <c r="V122" s="54">
        <f t="shared" si="30"/>
        <v>1729648</v>
      </c>
      <c r="W122" s="105"/>
      <c r="X122" s="52">
        <v>461642.0</v>
      </c>
      <c r="Y122" s="52">
        <v>461642.0</v>
      </c>
      <c r="Z122" s="52">
        <v>461642.0</v>
      </c>
      <c r="AA122" s="52">
        <v>461642.0</v>
      </c>
      <c r="AB122" s="52">
        <v>461642.0</v>
      </c>
      <c r="AC122" s="52">
        <v>461642.0</v>
      </c>
      <c r="AD122" s="52">
        <v>461642.0</v>
      </c>
      <c r="AE122" s="52">
        <v>461642.0</v>
      </c>
      <c r="AF122" s="52">
        <v>461642.0</v>
      </c>
      <c r="AG122" s="52">
        <v>461642.0</v>
      </c>
      <c r="AH122" s="52">
        <v>461642.0</v>
      </c>
      <c r="AI122" s="52">
        <v>461642.0</v>
      </c>
      <c r="AJ122" s="105"/>
      <c r="AK122" s="54">
        <f t="shared" si="34"/>
        <v>1846568</v>
      </c>
      <c r="AL122" s="56"/>
      <c r="AM122" s="30"/>
      <c r="AN122" s="53"/>
      <c r="AO122" s="53"/>
      <c r="AP122" s="53"/>
      <c r="AQ122" s="53"/>
      <c r="AR122" s="53"/>
      <c r="AS122" s="53"/>
      <c r="AT122" s="53"/>
      <c r="AU122" s="53"/>
      <c r="AV122" s="53"/>
      <c r="AW122" s="53"/>
      <c r="AX122" s="53"/>
      <c r="AY122" s="53"/>
    </row>
    <row r="123" ht="12.0" hidden="1" customHeight="1" outlineLevel="1">
      <c r="A123" s="18"/>
      <c r="B123" s="58"/>
      <c r="C123" s="2" t="s">
        <v>177</v>
      </c>
      <c r="D123" s="60" t="s">
        <v>148</v>
      </c>
      <c r="E123" s="60"/>
      <c r="F123" s="2" t="s">
        <v>178</v>
      </c>
      <c r="G123" s="60" t="s">
        <v>54</v>
      </c>
      <c r="H123" s="60"/>
      <c r="I123" s="6">
        <v>1808665.0</v>
      </c>
      <c r="J123" s="6">
        <v>1808665.0</v>
      </c>
      <c r="K123" s="6">
        <v>2187469.0</v>
      </c>
      <c r="L123" s="108">
        <v>2118364.65</v>
      </c>
      <c r="M123" s="52"/>
      <c r="N123" s="52"/>
      <c r="O123" s="52"/>
      <c r="P123" s="52"/>
      <c r="Q123" s="52"/>
      <c r="R123" s="52"/>
      <c r="S123" s="52"/>
      <c r="T123" s="52"/>
      <c r="U123" s="53"/>
      <c r="V123" s="54">
        <f t="shared" si="30"/>
        <v>7923163.65</v>
      </c>
      <c r="W123" s="105"/>
      <c r="X123" s="52"/>
      <c r="Y123" s="52"/>
      <c r="Z123" s="52"/>
      <c r="AA123" s="52"/>
      <c r="AB123" s="52"/>
      <c r="AC123" s="52"/>
      <c r="AD123" s="52"/>
      <c r="AE123" s="52"/>
      <c r="AF123" s="52"/>
      <c r="AG123" s="52"/>
      <c r="AH123" s="52"/>
      <c r="AI123" s="52"/>
      <c r="AJ123" s="105"/>
      <c r="AK123" s="54">
        <f t="shared" si="34"/>
        <v>0</v>
      </c>
      <c r="AL123" s="56"/>
      <c r="AM123" s="30"/>
      <c r="AN123" s="53"/>
      <c r="AO123" s="53"/>
      <c r="AP123" s="53"/>
      <c r="AQ123" s="53"/>
      <c r="AR123" s="53"/>
      <c r="AS123" s="53"/>
      <c r="AT123" s="53"/>
      <c r="AU123" s="53"/>
      <c r="AV123" s="53"/>
      <c r="AW123" s="53"/>
      <c r="AX123" s="53"/>
      <c r="AY123" s="53"/>
    </row>
    <row r="124" ht="12.0" hidden="1" customHeight="1" outlineLevel="1">
      <c r="A124" s="18"/>
      <c r="B124" s="58"/>
      <c r="C124" s="2" t="s">
        <v>179</v>
      </c>
      <c r="D124" s="60" t="s">
        <v>148</v>
      </c>
      <c r="E124" s="60"/>
      <c r="F124" s="2" t="s">
        <v>178</v>
      </c>
      <c r="G124" s="60" t="s">
        <v>54</v>
      </c>
      <c r="H124" s="60"/>
      <c r="I124" s="6"/>
      <c r="J124" s="6"/>
      <c r="K124" s="6"/>
      <c r="L124" s="108">
        <v>5695200.0</v>
      </c>
      <c r="M124" s="52"/>
      <c r="N124" s="52"/>
      <c r="O124" s="52"/>
      <c r="P124" s="52"/>
      <c r="Q124" s="52"/>
      <c r="R124" s="52"/>
      <c r="S124" s="52"/>
      <c r="T124" s="52"/>
      <c r="U124" s="7"/>
      <c r="V124" s="54">
        <f t="shared" si="30"/>
        <v>5695200</v>
      </c>
      <c r="W124" s="40"/>
      <c r="X124" s="52"/>
      <c r="Y124" s="52"/>
      <c r="Z124" s="52"/>
      <c r="AA124" s="52"/>
      <c r="AB124" s="52"/>
      <c r="AC124" s="52"/>
      <c r="AD124" s="52"/>
      <c r="AE124" s="52"/>
      <c r="AF124" s="52"/>
      <c r="AG124" s="52"/>
      <c r="AH124" s="52"/>
      <c r="AI124" s="52"/>
      <c r="AJ124" s="40"/>
      <c r="AK124" s="54">
        <f t="shared" si="34"/>
        <v>0</v>
      </c>
      <c r="AL124" s="10"/>
      <c r="AM124" s="30"/>
      <c r="AN124" s="7"/>
      <c r="AO124" s="7"/>
      <c r="AP124" s="7"/>
      <c r="AQ124" s="7"/>
      <c r="AR124" s="7"/>
      <c r="AS124" s="7"/>
    </row>
    <row r="125" ht="15.75" customHeight="1" collapsed="1">
      <c r="A125" s="22"/>
      <c r="B125" s="41"/>
      <c r="C125" s="62"/>
      <c r="D125" s="42" t="s">
        <v>180</v>
      </c>
      <c r="E125" s="42"/>
      <c r="F125" s="42"/>
      <c r="G125" s="43"/>
      <c r="H125" s="43"/>
      <c r="I125" s="44">
        <f t="shared" ref="I125:L125" si="36">SUM(I126:I127)</f>
        <v>0</v>
      </c>
      <c r="J125" s="44">
        <f t="shared" si="36"/>
        <v>0</v>
      </c>
      <c r="K125" s="44">
        <f t="shared" si="36"/>
        <v>184262268.4</v>
      </c>
      <c r="L125" s="44">
        <f t="shared" si="36"/>
        <v>0</v>
      </c>
      <c r="M125" s="44">
        <f t="shared" ref="M125:T125" si="37">SUM(M126:M144)</f>
        <v>0</v>
      </c>
      <c r="N125" s="44">
        <f t="shared" si="37"/>
        <v>0</v>
      </c>
      <c r="O125" s="44">
        <f t="shared" si="37"/>
        <v>0</v>
      </c>
      <c r="P125" s="44">
        <f t="shared" si="37"/>
        <v>0</v>
      </c>
      <c r="Q125" s="44">
        <f t="shared" si="37"/>
        <v>0</v>
      </c>
      <c r="R125" s="44">
        <f t="shared" si="37"/>
        <v>0</v>
      </c>
      <c r="S125" s="44">
        <f t="shared" si="37"/>
        <v>0</v>
      </c>
      <c r="T125" s="44">
        <f t="shared" si="37"/>
        <v>0</v>
      </c>
      <c r="U125" s="7"/>
      <c r="V125" s="45">
        <f t="shared" si="30"/>
        <v>184262268.4</v>
      </c>
      <c r="W125" s="89">
        <f>+V125/$V$169</f>
        <v>0.05763558552</v>
      </c>
      <c r="X125" s="44"/>
      <c r="Y125" s="44"/>
      <c r="Z125" s="44"/>
      <c r="AA125" s="44"/>
      <c r="AB125" s="44"/>
      <c r="AC125" s="44"/>
      <c r="AD125" s="44"/>
      <c r="AE125" s="44"/>
      <c r="AF125" s="44"/>
      <c r="AG125" s="44"/>
      <c r="AH125" s="44"/>
      <c r="AI125" s="44"/>
      <c r="AJ125" s="89"/>
      <c r="AK125" s="103">
        <f t="shared" si="34"/>
        <v>0</v>
      </c>
      <c r="AL125" s="10"/>
      <c r="AM125" s="30">
        <f>+V125-AK125</f>
        <v>184262268.4</v>
      </c>
      <c r="AN125" s="47"/>
      <c r="AO125" s="7"/>
      <c r="AP125" s="7"/>
      <c r="AQ125" s="7"/>
      <c r="AR125" s="7"/>
      <c r="AS125" s="7"/>
    </row>
    <row r="126" ht="12.0" hidden="1" customHeight="1" outlineLevel="1">
      <c r="A126" s="18"/>
      <c r="B126" s="58"/>
      <c r="C126" s="2" t="s">
        <v>181</v>
      </c>
      <c r="D126" s="60" t="s">
        <v>180</v>
      </c>
      <c r="E126" s="60">
        <v>5419.0</v>
      </c>
      <c r="F126" s="2"/>
      <c r="G126" s="60" t="s">
        <v>152</v>
      </c>
      <c r="H126" s="135"/>
      <c r="I126" s="6"/>
      <c r="J126" s="6"/>
      <c r="K126" s="6">
        <v>1.8426226841E8</v>
      </c>
      <c r="L126" s="6"/>
      <c r="M126" s="52"/>
      <c r="N126" s="52"/>
      <c r="O126" s="52"/>
      <c r="P126" s="52"/>
      <c r="Q126" s="52"/>
      <c r="R126" s="52"/>
      <c r="S126" s="52"/>
      <c r="T126" s="52"/>
      <c r="U126" s="53"/>
      <c r="V126" s="54">
        <f t="shared" si="30"/>
        <v>184262268.4</v>
      </c>
      <c r="W126" s="105"/>
      <c r="X126" s="52"/>
      <c r="Y126" s="52"/>
      <c r="Z126" s="52"/>
      <c r="AA126" s="52"/>
      <c r="AB126" s="52"/>
      <c r="AC126" s="52"/>
      <c r="AD126" s="52"/>
      <c r="AE126" s="52"/>
      <c r="AF126" s="52"/>
      <c r="AG126" s="52"/>
      <c r="AH126" s="52"/>
      <c r="AI126" s="52"/>
      <c r="AJ126" s="105"/>
      <c r="AK126" s="54">
        <f t="shared" si="34"/>
        <v>0</v>
      </c>
      <c r="AL126" s="56"/>
      <c r="AM126" s="30"/>
      <c r="AN126" s="53"/>
      <c r="AO126" s="53"/>
      <c r="AP126" s="53"/>
      <c r="AQ126" s="53"/>
      <c r="AR126" s="53"/>
      <c r="AS126" s="53"/>
      <c r="AT126" s="53"/>
      <c r="AU126" s="53"/>
      <c r="AV126" s="53"/>
      <c r="AW126" s="53"/>
      <c r="AX126" s="53"/>
      <c r="AY126" s="53"/>
    </row>
    <row r="127" ht="12.0" hidden="1" customHeight="1" outlineLevel="1">
      <c r="A127" s="1"/>
      <c r="B127" s="59"/>
      <c r="C127" s="2"/>
      <c r="D127" s="60"/>
      <c r="E127" s="60"/>
      <c r="F127" s="2"/>
      <c r="G127" s="60"/>
      <c r="H127" s="60"/>
      <c r="I127" s="6"/>
      <c r="J127" s="6"/>
      <c r="K127" s="6"/>
      <c r="L127" s="6"/>
      <c r="M127" s="52"/>
      <c r="N127" s="52"/>
      <c r="O127" s="52"/>
      <c r="P127" s="52"/>
      <c r="Q127" s="52"/>
      <c r="R127" s="52"/>
      <c r="S127" s="52"/>
      <c r="T127" s="52"/>
      <c r="U127" s="7"/>
      <c r="V127" s="54"/>
      <c r="W127" s="40"/>
      <c r="X127" s="52"/>
      <c r="Y127" s="52"/>
      <c r="Z127" s="52"/>
      <c r="AA127" s="52"/>
      <c r="AB127" s="52"/>
      <c r="AC127" s="52"/>
      <c r="AD127" s="52"/>
      <c r="AE127" s="52"/>
      <c r="AF127" s="52"/>
      <c r="AG127" s="52"/>
      <c r="AH127" s="52"/>
      <c r="AI127" s="52"/>
      <c r="AJ127" s="40"/>
      <c r="AK127" s="54"/>
      <c r="AL127" s="10"/>
      <c r="AM127" s="30"/>
      <c r="AN127" s="7"/>
      <c r="AO127" s="7"/>
      <c r="AP127" s="7"/>
      <c r="AQ127" s="7"/>
      <c r="AR127" s="7"/>
      <c r="AS127" s="7"/>
    </row>
    <row r="128" ht="15.75" customHeight="1" collapsed="1">
      <c r="A128" s="22"/>
      <c r="B128" s="41"/>
      <c r="C128" s="62"/>
      <c r="D128" s="42" t="s">
        <v>182</v>
      </c>
      <c r="E128" s="42"/>
      <c r="F128" s="42"/>
      <c r="G128" s="43"/>
      <c r="H128" s="43"/>
      <c r="I128" s="44">
        <f t="shared" ref="I128:L128" si="38">SUM(I129:I150)</f>
        <v>9810957.04</v>
      </c>
      <c r="J128" s="44">
        <f t="shared" si="38"/>
        <v>11075861.07</v>
      </c>
      <c r="K128" s="44">
        <f t="shared" si="38"/>
        <v>10995637</v>
      </c>
      <c r="L128" s="136">
        <f t="shared" si="38"/>
        <v>11519388</v>
      </c>
      <c r="M128" s="44">
        <f t="shared" ref="M128:T128" si="39">SUM(M129:M147)</f>
        <v>0</v>
      </c>
      <c r="N128" s="44">
        <f t="shared" si="39"/>
        <v>0</v>
      </c>
      <c r="O128" s="44">
        <f t="shared" si="39"/>
        <v>0</v>
      </c>
      <c r="P128" s="44">
        <f t="shared" si="39"/>
        <v>0</v>
      </c>
      <c r="Q128" s="44">
        <f t="shared" si="39"/>
        <v>0</v>
      </c>
      <c r="R128" s="44">
        <f t="shared" si="39"/>
        <v>0</v>
      </c>
      <c r="S128" s="44">
        <f t="shared" si="39"/>
        <v>0</v>
      </c>
      <c r="T128" s="44">
        <f t="shared" si="39"/>
        <v>0</v>
      </c>
      <c r="U128" s="7"/>
      <c r="V128" s="45">
        <f t="shared" ref="V128:V152" si="40">SUM(I128:L128)</f>
        <v>43401843.11</v>
      </c>
      <c r="W128" s="89">
        <f>+V128/$V$169</f>
        <v>0.0135757074</v>
      </c>
      <c r="X128" s="44">
        <v>1.20734075344E7</v>
      </c>
      <c r="Y128" s="44">
        <v>1.18902453844E7</v>
      </c>
      <c r="Z128" s="44">
        <v>1.021890080215E7</v>
      </c>
      <c r="AA128" s="44">
        <v>1.224468161467252E7</v>
      </c>
      <c r="AB128" s="44">
        <v>1.052313209867401E7</v>
      </c>
      <c r="AC128" s="44">
        <v>1.086657114127137E7</v>
      </c>
      <c r="AD128" s="44">
        <v>1.348021362036375E7</v>
      </c>
      <c r="AE128" s="44">
        <v>1.119072934426836E7</v>
      </c>
      <c r="AF128" s="44">
        <v>1.136498709893209E7</v>
      </c>
      <c r="AG128" s="44">
        <v>1.252505374904968E7</v>
      </c>
      <c r="AH128" s="44">
        <v>1.170493899388953E7</v>
      </c>
      <c r="AI128" s="44">
        <v>1.786809113061292E7</v>
      </c>
      <c r="AJ128" s="89"/>
      <c r="AK128" s="103">
        <f t="shared" ref="AK128:AK149" si="41">SUM(X128:AA128)</f>
        <v>46427235.34</v>
      </c>
      <c r="AL128" s="10"/>
      <c r="AM128" s="30">
        <f>+V128-AK128</f>
        <v>-3025392.226</v>
      </c>
      <c r="AN128" s="47">
        <f>+AM128/AK128</f>
        <v>-0.06516416934</v>
      </c>
      <c r="AO128" s="7"/>
      <c r="AP128" s="7"/>
      <c r="AQ128" s="7"/>
      <c r="AR128" s="7"/>
      <c r="AS128" s="7"/>
    </row>
    <row r="129" ht="12.0" customHeight="1" outlineLevel="1">
      <c r="A129" s="18"/>
      <c r="B129" s="58"/>
      <c r="C129" s="5" t="s">
        <v>183</v>
      </c>
      <c r="D129" s="50" t="s">
        <v>182</v>
      </c>
      <c r="E129" s="50">
        <v>5419.0</v>
      </c>
      <c r="F129" s="5" t="s">
        <v>184</v>
      </c>
      <c r="G129" s="50" t="s">
        <v>185</v>
      </c>
      <c r="H129" s="104"/>
      <c r="I129" s="52">
        <v>4529250.0</v>
      </c>
      <c r="J129" s="52">
        <v>4468250.0</v>
      </c>
      <c r="K129" s="52">
        <v>4376750.0</v>
      </c>
      <c r="L129" s="109">
        <v>4285250.0</v>
      </c>
      <c r="M129" s="52"/>
      <c r="N129" s="52"/>
      <c r="O129" s="52"/>
      <c r="P129" s="52"/>
      <c r="Q129" s="52"/>
      <c r="R129" s="52"/>
      <c r="S129" s="52"/>
      <c r="T129" s="52"/>
      <c r="U129" s="53"/>
      <c r="V129" s="54">
        <f t="shared" si="40"/>
        <v>17659500</v>
      </c>
      <c r="W129" s="105"/>
      <c r="X129" s="52">
        <v>4575000.0</v>
      </c>
      <c r="Y129" s="52">
        <v>4643624.999999999</v>
      </c>
      <c r="Z129" s="52">
        <v>4713279.374999999</v>
      </c>
      <c r="AA129" s="52">
        <v>4783978.565624999</v>
      </c>
      <c r="AB129" s="52">
        <v>4855738.244109373</v>
      </c>
      <c r="AC129" s="52">
        <v>5125717.290481853</v>
      </c>
      <c r="AD129" s="52">
        <v>5202603.04983908</v>
      </c>
      <c r="AE129" s="52">
        <v>5280642.095586666</v>
      </c>
      <c r="AF129" s="52">
        <v>5359851.727020466</v>
      </c>
      <c r="AG129" s="52">
        <v>5440249.502925772</v>
      </c>
      <c r="AH129" s="52">
        <v>5521853.245469658</v>
      </c>
      <c r="AI129" s="52">
        <v>5604681.044151703</v>
      </c>
      <c r="AJ129" s="105"/>
      <c r="AK129" s="54">
        <f t="shared" si="41"/>
        <v>18715882.94</v>
      </c>
      <c r="AL129" s="56"/>
      <c r="AM129" s="30"/>
      <c r="AN129" s="53"/>
      <c r="AO129" s="53"/>
      <c r="AP129" s="53"/>
      <c r="AQ129" s="53"/>
      <c r="AR129" s="53"/>
      <c r="AS129" s="53"/>
      <c r="AT129" s="53"/>
      <c r="AU129" s="53"/>
      <c r="AV129" s="53"/>
      <c r="AW129" s="53"/>
      <c r="AX129" s="53"/>
      <c r="AY129" s="53"/>
    </row>
    <row r="130" ht="12.0" customHeight="1" outlineLevel="1">
      <c r="A130" s="18"/>
      <c r="B130" s="58"/>
      <c r="C130" s="2" t="s">
        <v>186</v>
      </c>
      <c r="D130" s="60" t="s">
        <v>182</v>
      </c>
      <c r="E130" s="60">
        <v>5419.0</v>
      </c>
      <c r="F130" s="2" t="s">
        <v>187</v>
      </c>
      <c r="G130" s="60" t="s">
        <v>185</v>
      </c>
      <c r="H130" s="137"/>
      <c r="I130" s="6">
        <v>1219994.09</v>
      </c>
      <c r="J130" s="6">
        <v>1250064.09</v>
      </c>
      <c r="K130" s="6">
        <v>1295219.0</v>
      </c>
      <c r="L130" s="108">
        <v>1277704.09</v>
      </c>
      <c r="M130" s="52"/>
      <c r="N130" s="52"/>
      <c r="O130" s="52"/>
      <c r="P130" s="52"/>
      <c r="Q130" s="52"/>
      <c r="R130" s="52"/>
      <c r="S130" s="52"/>
      <c r="T130" s="52"/>
      <c r="U130" s="53"/>
      <c r="V130" s="54">
        <f t="shared" si="40"/>
        <v>5042981.27</v>
      </c>
      <c r="W130" s="105"/>
      <c r="X130" s="52">
        <v>1339800.0</v>
      </c>
      <c r="Y130" s="52">
        <v>1359897.0</v>
      </c>
      <c r="Z130" s="52">
        <v>1380295.454999999</v>
      </c>
      <c r="AA130" s="52">
        <v>1400999.886824999</v>
      </c>
      <c r="AB130" s="52">
        <v>1422014.885127374</v>
      </c>
      <c r="AC130" s="52">
        <v>1443345.108404285</v>
      </c>
      <c r="AD130" s="52">
        <v>1464995.285030349</v>
      </c>
      <c r="AE130" s="52">
        <v>1486970.214305804</v>
      </c>
      <c r="AF130" s="52">
        <v>1509274.767520391</v>
      </c>
      <c r="AG130" s="52">
        <v>1531913.889033196</v>
      </c>
      <c r="AH130" s="52">
        <v>1554892.597368694</v>
      </c>
      <c r="AI130" s="52">
        <v>1578215.986329225</v>
      </c>
      <c r="AJ130" s="105"/>
      <c r="AK130" s="54">
        <f t="shared" si="41"/>
        <v>5480992.342</v>
      </c>
      <c r="AL130" s="56"/>
      <c r="AM130" s="30"/>
      <c r="AN130" s="53"/>
      <c r="AO130" s="53"/>
      <c r="AP130" s="53"/>
      <c r="AQ130" s="53"/>
      <c r="AR130" s="53"/>
      <c r="AS130" s="53"/>
      <c r="AT130" s="53"/>
      <c r="AU130" s="53"/>
      <c r="AV130" s="53"/>
      <c r="AW130" s="53"/>
      <c r="AX130" s="53"/>
      <c r="AY130" s="53"/>
    </row>
    <row r="131" ht="12.0" customHeight="1" outlineLevel="1">
      <c r="A131" s="18"/>
      <c r="B131" s="58"/>
      <c r="C131" s="2" t="s">
        <v>188</v>
      </c>
      <c r="D131" s="60" t="s">
        <v>182</v>
      </c>
      <c r="E131" s="60">
        <v>5425.0</v>
      </c>
      <c r="F131" s="2" t="s">
        <v>189</v>
      </c>
      <c r="G131" s="60" t="s">
        <v>185</v>
      </c>
      <c r="H131" s="137"/>
      <c r="I131" s="6">
        <v>342223.0</v>
      </c>
      <c r="J131" s="6">
        <v>342223.0</v>
      </c>
      <c r="K131" s="6">
        <v>342223.0</v>
      </c>
      <c r="L131" s="108">
        <v>549498.0</v>
      </c>
      <c r="M131" s="52"/>
      <c r="N131" s="52"/>
      <c r="O131" s="52"/>
      <c r="P131" s="52"/>
      <c r="Q131" s="52"/>
      <c r="R131" s="52"/>
      <c r="S131" s="52"/>
      <c r="T131" s="52"/>
      <c r="U131" s="138"/>
      <c r="V131" s="54">
        <f t="shared" si="40"/>
        <v>1576167</v>
      </c>
      <c r="W131" s="105"/>
      <c r="X131" s="52">
        <v>315000.0</v>
      </c>
      <c r="Y131" s="52">
        <v>315000.0</v>
      </c>
      <c r="Z131" s="52">
        <v>330750.0</v>
      </c>
      <c r="AA131" s="52">
        <v>330750.0</v>
      </c>
      <c r="AB131" s="52">
        <v>347287.5</v>
      </c>
      <c r="AC131" s="52">
        <v>347287.5</v>
      </c>
      <c r="AD131" s="52">
        <v>364651.875</v>
      </c>
      <c r="AE131" s="52">
        <v>364651.875</v>
      </c>
      <c r="AF131" s="52">
        <v>382884.46875</v>
      </c>
      <c r="AG131" s="52">
        <v>382884.46875</v>
      </c>
      <c r="AH131" s="52">
        <v>402028.6921875</v>
      </c>
      <c r="AI131" s="52">
        <v>402028.6921875</v>
      </c>
      <c r="AJ131" s="105"/>
      <c r="AK131" s="54">
        <f t="shared" si="41"/>
        <v>1291500</v>
      </c>
      <c r="AL131" s="56"/>
      <c r="AM131" s="30"/>
      <c r="AN131" s="53"/>
      <c r="AO131" s="53"/>
      <c r="AP131" s="53"/>
      <c r="AQ131" s="53"/>
      <c r="AR131" s="53"/>
      <c r="AS131" s="53"/>
      <c r="AT131" s="53"/>
      <c r="AU131" s="53"/>
      <c r="AV131" s="53"/>
      <c r="AW131" s="53"/>
      <c r="AX131" s="53"/>
      <c r="AY131" s="53"/>
    </row>
    <row r="132" ht="12.0" customHeight="1" outlineLevel="1">
      <c r="A132" s="18"/>
      <c r="B132" s="58"/>
      <c r="C132" s="2" t="s">
        <v>190</v>
      </c>
      <c r="D132" s="60" t="s">
        <v>182</v>
      </c>
      <c r="E132" s="60">
        <v>5312.0</v>
      </c>
      <c r="F132" s="2" t="s">
        <v>191</v>
      </c>
      <c r="G132" s="60" t="s">
        <v>185</v>
      </c>
      <c r="H132" s="137"/>
      <c r="I132" s="6">
        <v>880930.85</v>
      </c>
      <c r="J132" s="6">
        <v>914708.15</v>
      </c>
      <c r="K132" s="6">
        <v>848700.0</v>
      </c>
      <c r="L132" s="108">
        <v>808076.0</v>
      </c>
      <c r="M132" s="52"/>
      <c r="N132" s="52"/>
      <c r="O132" s="52"/>
      <c r="P132" s="52"/>
      <c r="Q132" s="52"/>
      <c r="R132" s="52"/>
      <c r="S132" s="52"/>
      <c r="T132" s="52"/>
      <c r="U132" s="53"/>
      <c r="V132" s="54">
        <f t="shared" si="40"/>
        <v>3452415</v>
      </c>
      <c r="W132" s="105"/>
      <c r="X132" s="52">
        <v>710499.9999999999</v>
      </c>
      <c r="Y132" s="52">
        <v>721157.4999999998</v>
      </c>
      <c r="Z132" s="52">
        <v>731974.8624999997</v>
      </c>
      <c r="AA132" s="52">
        <v>742954.4854374996</v>
      </c>
      <c r="AB132" s="52">
        <v>754098.802719062</v>
      </c>
      <c r="AC132" s="52">
        <v>765410.2847598478</v>
      </c>
      <c r="AD132" s="52">
        <v>776891.4390312454</v>
      </c>
      <c r="AE132" s="52">
        <v>788544.8106167141</v>
      </c>
      <c r="AF132" s="52">
        <v>800372.9827759647</v>
      </c>
      <c r="AG132" s="52">
        <v>812378.5775176041</v>
      </c>
      <c r="AH132" s="52">
        <v>824564.2561803681</v>
      </c>
      <c r="AI132" s="52">
        <v>836932.7200230736</v>
      </c>
      <c r="AJ132" s="105"/>
      <c r="AK132" s="54">
        <f t="shared" si="41"/>
        <v>2906586.848</v>
      </c>
      <c r="AL132" s="56"/>
      <c r="AM132" s="30"/>
      <c r="AN132" s="53"/>
      <c r="AO132" s="53"/>
      <c r="AP132" s="53"/>
      <c r="AQ132" s="53"/>
      <c r="AR132" s="53"/>
      <c r="AS132" s="53"/>
      <c r="AT132" s="53"/>
      <c r="AU132" s="53"/>
      <c r="AV132" s="53"/>
      <c r="AW132" s="53"/>
      <c r="AX132" s="53"/>
      <c r="AY132" s="53"/>
    </row>
    <row r="133" ht="12.0" customHeight="1" outlineLevel="1">
      <c r="A133" s="18"/>
      <c r="B133" s="58"/>
      <c r="C133" s="2" t="s">
        <v>192</v>
      </c>
      <c r="D133" s="60" t="s">
        <v>182</v>
      </c>
      <c r="E133" s="60">
        <v>5314.0</v>
      </c>
      <c r="F133" s="2" t="s">
        <v>193</v>
      </c>
      <c r="G133" s="60" t="s">
        <v>185</v>
      </c>
      <c r="H133" s="137"/>
      <c r="I133" s="6">
        <v>91890.0</v>
      </c>
      <c r="J133" s="6">
        <v>91890.0</v>
      </c>
      <c r="K133" s="6">
        <v>91890.0</v>
      </c>
      <c r="L133" s="108">
        <v>91890.0</v>
      </c>
      <c r="M133" s="52"/>
      <c r="N133" s="52"/>
      <c r="O133" s="52"/>
      <c r="P133" s="52"/>
      <c r="Q133" s="52"/>
      <c r="R133" s="52"/>
      <c r="S133" s="52"/>
      <c r="T133" s="52"/>
      <c r="U133" s="53"/>
      <c r="V133" s="54">
        <f t="shared" si="40"/>
        <v>367560</v>
      </c>
      <c r="W133" s="105"/>
      <c r="X133" s="52">
        <v>101500.0</v>
      </c>
      <c r="Y133" s="52">
        <v>103022.5</v>
      </c>
      <c r="Z133" s="52">
        <v>104567.8375</v>
      </c>
      <c r="AA133" s="52">
        <v>106136.3550624999</v>
      </c>
      <c r="AB133" s="52">
        <v>107728.4003884374</v>
      </c>
      <c r="AC133" s="52">
        <v>109344.326394264</v>
      </c>
      <c r="AD133" s="52">
        <v>110984.4912901779</v>
      </c>
      <c r="AE133" s="52">
        <v>112649.2586595306</v>
      </c>
      <c r="AF133" s="52">
        <v>114338.9975394235</v>
      </c>
      <c r="AG133" s="52">
        <v>116054.0825025149</v>
      </c>
      <c r="AH133" s="52">
        <v>117794.8937400526</v>
      </c>
      <c r="AI133" s="52">
        <v>119561.8171461534</v>
      </c>
      <c r="AJ133" s="105"/>
      <c r="AK133" s="54">
        <f t="shared" si="41"/>
        <v>415226.6926</v>
      </c>
      <c r="AL133" s="56"/>
      <c r="AM133" s="30"/>
      <c r="AN133" s="53"/>
      <c r="AO133" s="53"/>
      <c r="AP133" s="53"/>
      <c r="AQ133" s="53"/>
      <c r="AR133" s="53"/>
      <c r="AS133" s="53"/>
      <c r="AT133" s="53"/>
      <c r="AU133" s="53"/>
      <c r="AV133" s="53"/>
      <c r="AW133" s="53"/>
      <c r="AX133" s="53"/>
      <c r="AY133" s="53"/>
    </row>
    <row r="134" ht="12.0" customHeight="1" outlineLevel="1">
      <c r="A134" s="18"/>
      <c r="B134" s="58"/>
      <c r="C134" s="2" t="s">
        <v>194</v>
      </c>
      <c r="D134" s="60" t="s">
        <v>182</v>
      </c>
      <c r="E134" s="60">
        <v>5420.0</v>
      </c>
      <c r="F134" s="2" t="s">
        <v>195</v>
      </c>
      <c r="G134" s="60" t="s">
        <v>185</v>
      </c>
      <c r="H134" s="137"/>
      <c r="I134" s="6">
        <v>798147.65</v>
      </c>
      <c r="J134" s="6"/>
      <c r="K134" s="6">
        <v>8513.0</v>
      </c>
      <c r="L134" s="108">
        <v>0.0</v>
      </c>
      <c r="M134" s="52"/>
      <c r="N134" s="52"/>
      <c r="O134" s="52"/>
      <c r="P134" s="52"/>
      <c r="Q134" s="52"/>
      <c r="R134" s="52"/>
      <c r="S134" s="52"/>
      <c r="T134" s="52"/>
      <c r="U134" s="53"/>
      <c r="V134" s="54">
        <f t="shared" si="40"/>
        <v>806660.65</v>
      </c>
      <c r="W134" s="105"/>
      <c r="X134" s="52">
        <v>348000.0</v>
      </c>
      <c r="Y134" s="52"/>
      <c r="Z134" s="52"/>
      <c r="AA134" s="52"/>
      <c r="AB134" s="52"/>
      <c r="AC134" s="52"/>
      <c r="AD134" s="52">
        <v>417600.0</v>
      </c>
      <c r="AE134" s="52"/>
      <c r="AF134" s="52"/>
      <c r="AG134" s="52"/>
      <c r="AH134" s="52"/>
      <c r="AI134" s="52"/>
      <c r="AJ134" s="105"/>
      <c r="AK134" s="54">
        <f t="shared" si="41"/>
        <v>348000</v>
      </c>
      <c r="AL134" s="56"/>
      <c r="AM134" s="30"/>
      <c r="AN134" s="53"/>
      <c r="AO134" s="53"/>
      <c r="AP134" s="53"/>
      <c r="AQ134" s="53"/>
      <c r="AR134" s="53"/>
      <c r="AS134" s="53"/>
      <c r="AT134" s="53"/>
      <c r="AU134" s="53"/>
      <c r="AV134" s="53"/>
      <c r="AW134" s="53"/>
      <c r="AX134" s="53"/>
      <c r="AY134" s="53"/>
    </row>
    <row r="135" ht="12.0" customHeight="1" outlineLevel="1">
      <c r="A135" s="18"/>
      <c r="B135" s="58"/>
      <c r="C135" s="2" t="s">
        <v>196</v>
      </c>
      <c r="D135" s="60" t="s">
        <v>182</v>
      </c>
      <c r="E135" s="60">
        <v>5314.0</v>
      </c>
      <c r="F135" s="2" t="s">
        <v>197</v>
      </c>
      <c r="G135" s="60" t="s">
        <v>185</v>
      </c>
      <c r="H135" s="137"/>
      <c r="I135" s="6">
        <v>-60.0</v>
      </c>
      <c r="J135" s="6">
        <v>29940.0</v>
      </c>
      <c r="K135" s="6">
        <v>29947.0</v>
      </c>
      <c r="L135" s="108">
        <v>63114.64</v>
      </c>
      <c r="M135" s="52"/>
      <c r="N135" s="52"/>
      <c r="O135" s="52"/>
      <c r="P135" s="52"/>
      <c r="Q135" s="52"/>
      <c r="R135" s="52"/>
      <c r="S135" s="52"/>
      <c r="T135" s="52"/>
      <c r="U135" s="53"/>
      <c r="V135" s="54">
        <f t="shared" si="40"/>
        <v>122941.64</v>
      </c>
      <c r="W135" s="105"/>
      <c r="X135" s="52">
        <v>32480.0</v>
      </c>
      <c r="Y135" s="52">
        <v>32967.19999999999</v>
      </c>
      <c r="Z135" s="52">
        <v>33461.70799999998</v>
      </c>
      <c r="AA135" s="52">
        <v>33963.63361999998</v>
      </c>
      <c r="AB135" s="52">
        <v>34473.08812429997</v>
      </c>
      <c r="AC135" s="52">
        <v>34990.18444616447</v>
      </c>
      <c r="AD135" s="52">
        <v>35515.03721285694</v>
      </c>
      <c r="AE135" s="52">
        <v>36047.76277104978</v>
      </c>
      <c r="AF135" s="52">
        <v>36588.47921261553</v>
      </c>
      <c r="AG135" s="52">
        <v>37137.30640080476</v>
      </c>
      <c r="AH135" s="52">
        <v>37694.36599681683</v>
      </c>
      <c r="AI135" s="52">
        <v>38259.78148676908</v>
      </c>
      <c r="AJ135" s="105"/>
      <c r="AK135" s="54">
        <f t="shared" si="41"/>
        <v>132872.5416</v>
      </c>
      <c r="AL135" s="56"/>
      <c r="AM135" s="30"/>
      <c r="AN135" s="53"/>
      <c r="AO135" s="53"/>
      <c r="AP135" s="53"/>
      <c r="AQ135" s="53"/>
      <c r="AR135" s="53"/>
      <c r="AS135" s="53"/>
      <c r="AT135" s="53"/>
      <c r="AU135" s="53"/>
      <c r="AV135" s="53"/>
      <c r="AW135" s="53"/>
      <c r="AX135" s="53"/>
      <c r="AY135" s="53"/>
    </row>
    <row r="136" ht="12.0" customHeight="1" outlineLevel="1">
      <c r="A136" s="18"/>
      <c r="B136" s="58"/>
      <c r="C136" s="2" t="s">
        <v>198</v>
      </c>
      <c r="D136" s="60" t="s">
        <v>182</v>
      </c>
      <c r="E136" s="60">
        <v>5418.0</v>
      </c>
      <c r="F136" s="2" t="s">
        <v>199</v>
      </c>
      <c r="G136" s="60" t="s">
        <v>185</v>
      </c>
      <c r="H136" s="137"/>
      <c r="I136" s="6">
        <v>78696.0</v>
      </c>
      <c r="J136" s="6">
        <v>88201.0</v>
      </c>
      <c r="K136" s="6">
        <v>79466.0</v>
      </c>
      <c r="L136" s="108">
        <v>130406.4</v>
      </c>
      <c r="M136" s="52"/>
      <c r="N136" s="52"/>
      <c r="O136" s="52"/>
      <c r="P136" s="52"/>
      <c r="Q136" s="52"/>
      <c r="R136" s="52"/>
      <c r="S136" s="52"/>
      <c r="T136" s="52"/>
      <c r="U136" s="53"/>
      <c r="V136" s="54">
        <f t="shared" si="40"/>
        <v>376769.4</v>
      </c>
      <c r="W136" s="105"/>
      <c r="X136" s="52">
        <v>95409.99999999999</v>
      </c>
      <c r="Y136" s="52">
        <v>96841.15</v>
      </c>
      <c r="Z136" s="52">
        <v>98293.76724999998</v>
      </c>
      <c r="AA136" s="52">
        <v>99768.17375874997</v>
      </c>
      <c r="AB136" s="52">
        <v>101264.6963651312</v>
      </c>
      <c r="AC136" s="52">
        <v>102783.6668106082</v>
      </c>
      <c r="AD136" s="52">
        <v>104325.4218127673</v>
      </c>
      <c r="AE136" s="52">
        <v>105890.3031399588</v>
      </c>
      <c r="AF136" s="52">
        <v>107478.6576870581</v>
      </c>
      <c r="AG136" s="52">
        <v>109090.837552364</v>
      </c>
      <c r="AH136" s="52">
        <v>110727.2001156495</v>
      </c>
      <c r="AI136" s="52">
        <v>112388.1081173842</v>
      </c>
      <c r="AJ136" s="105"/>
      <c r="AK136" s="54">
        <f t="shared" si="41"/>
        <v>390313.091</v>
      </c>
      <c r="AL136" s="56"/>
      <c r="AM136" s="30"/>
      <c r="AN136" s="53"/>
      <c r="AO136" s="53"/>
      <c r="AP136" s="53"/>
      <c r="AQ136" s="53"/>
      <c r="AR136" s="53"/>
      <c r="AS136" s="53"/>
      <c r="AT136" s="53"/>
      <c r="AU136" s="53"/>
      <c r="AV136" s="53"/>
      <c r="AW136" s="53"/>
      <c r="AX136" s="53"/>
      <c r="AY136" s="53"/>
    </row>
    <row r="137" ht="12.0" customHeight="1" outlineLevel="1">
      <c r="A137" s="18"/>
      <c r="B137" s="58"/>
      <c r="C137" s="2" t="s">
        <v>200</v>
      </c>
      <c r="D137" s="60" t="s">
        <v>182</v>
      </c>
      <c r="E137" s="60">
        <v>5418.0</v>
      </c>
      <c r="F137" s="2" t="s">
        <v>201</v>
      </c>
      <c r="G137" s="60" t="s">
        <v>185</v>
      </c>
      <c r="H137" s="137"/>
      <c r="I137" s="6">
        <v>1070402.63</v>
      </c>
      <c r="J137" s="6">
        <v>2132502.01</v>
      </c>
      <c r="K137" s="6">
        <v>877662.0</v>
      </c>
      <c r="L137" s="108">
        <v>2686977.13</v>
      </c>
      <c r="M137" s="52"/>
      <c r="N137" s="52"/>
      <c r="O137" s="52"/>
      <c r="P137" s="52"/>
      <c r="Q137" s="52"/>
      <c r="R137" s="52"/>
      <c r="S137" s="52"/>
      <c r="T137" s="52"/>
      <c r="U137" s="53"/>
      <c r="V137" s="54">
        <f t="shared" si="40"/>
        <v>6767543.77</v>
      </c>
      <c r="W137" s="105"/>
      <c r="X137" s="52">
        <v>1116500.0</v>
      </c>
      <c r="Y137" s="52">
        <v>1133247.5</v>
      </c>
      <c r="Z137" s="52">
        <v>1150246.2125</v>
      </c>
      <c r="AA137" s="52">
        <v>1167499.9056875</v>
      </c>
      <c r="AB137" s="52">
        <v>1185012.404272812</v>
      </c>
      <c r="AC137" s="52">
        <v>1202787.590336904</v>
      </c>
      <c r="AD137" s="52">
        <v>1220829.404191958</v>
      </c>
      <c r="AE137" s="52">
        <v>1239141.845254837</v>
      </c>
      <c r="AF137" s="52">
        <v>1257728.972933659</v>
      </c>
      <c r="AG137" s="52">
        <v>1276594.907527664</v>
      </c>
      <c r="AH137" s="52">
        <v>1295743.831140579</v>
      </c>
      <c r="AI137" s="52">
        <v>1315179.988607687</v>
      </c>
      <c r="AJ137" s="105"/>
      <c r="AK137" s="54">
        <f t="shared" si="41"/>
        <v>4567493.618</v>
      </c>
      <c r="AL137" s="56"/>
      <c r="AM137" s="30"/>
      <c r="AN137" s="53"/>
      <c r="AO137" s="53"/>
      <c r="AP137" s="53"/>
      <c r="AQ137" s="53"/>
      <c r="AR137" s="53"/>
      <c r="AS137" s="53"/>
      <c r="AT137" s="53"/>
      <c r="AU137" s="53"/>
      <c r="AV137" s="53"/>
      <c r="AW137" s="53"/>
      <c r="AX137" s="53"/>
      <c r="AY137" s="53"/>
    </row>
    <row r="138" ht="12.0" customHeight="1" outlineLevel="1">
      <c r="A138" s="18"/>
      <c r="B138" s="58"/>
      <c r="C138" s="2" t="s">
        <v>202</v>
      </c>
      <c r="D138" s="60" t="s">
        <v>182</v>
      </c>
      <c r="E138" s="60">
        <v>5418.0</v>
      </c>
      <c r="F138" s="2" t="s">
        <v>203</v>
      </c>
      <c r="G138" s="60" t="s">
        <v>185</v>
      </c>
      <c r="H138" s="137"/>
      <c r="I138" s="6">
        <v>30263.0</v>
      </c>
      <c r="J138" s="6">
        <v>30263.0</v>
      </c>
      <c r="K138" s="6">
        <v>30263.0</v>
      </c>
      <c r="L138" s="108">
        <v>30263.0</v>
      </c>
      <c r="M138" s="52"/>
      <c r="N138" s="52"/>
      <c r="O138" s="52"/>
      <c r="P138" s="52"/>
      <c r="Q138" s="52"/>
      <c r="R138" s="52"/>
      <c r="S138" s="52"/>
      <c r="T138" s="52"/>
      <c r="U138" s="52"/>
      <c r="V138" s="54">
        <f t="shared" si="40"/>
        <v>121052</v>
      </c>
      <c r="W138" s="105"/>
      <c r="X138" s="52">
        <v>34058.53439999999</v>
      </c>
      <c r="Y138" s="52">
        <v>34058.53439999999</v>
      </c>
      <c r="Z138" s="52">
        <v>34058.53439999999</v>
      </c>
      <c r="AA138" s="52">
        <v>35614.27290627357</v>
      </c>
      <c r="AB138" s="52">
        <v>35614.27290627357</v>
      </c>
      <c r="AC138" s="52">
        <v>35614.27290627357</v>
      </c>
      <c r="AD138" s="52">
        <v>37241.07501943866</v>
      </c>
      <c r="AE138" s="52">
        <v>37241.07501943866</v>
      </c>
      <c r="AF138" s="52">
        <v>37241.07501943866</v>
      </c>
      <c r="AG138" s="52">
        <v>38942.1868095797</v>
      </c>
      <c r="AH138" s="52">
        <v>38942.1868095797</v>
      </c>
      <c r="AI138" s="52">
        <v>38942.1868095797</v>
      </c>
      <c r="AJ138" s="105"/>
      <c r="AK138" s="54">
        <f t="shared" si="41"/>
        <v>137789.8761</v>
      </c>
      <c r="AL138" s="56"/>
      <c r="AM138" s="30"/>
      <c r="AN138" s="53"/>
      <c r="AO138" s="53"/>
      <c r="AP138" s="53"/>
      <c r="AQ138" s="53"/>
      <c r="AR138" s="53"/>
      <c r="AS138" s="53"/>
      <c r="AT138" s="53"/>
      <c r="AU138" s="53"/>
      <c r="AV138" s="53"/>
      <c r="AW138" s="53"/>
      <c r="AX138" s="53"/>
      <c r="AY138" s="53"/>
    </row>
    <row r="139" ht="12.0" customHeight="1" outlineLevel="1">
      <c r="A139" s="18"/>
      <c r="B139" s="58"/>
      <c r="C139" s="2" t="s">
        <v>204</v>
      </c>
      <c r="D139" s="60" t="s">
        <v>182</v>
      </c>
      <c r="E139" s="60">
        <v>5511.0</v>
      </c>
      <c r="F139" s="2" t="s">
        <v>205</v>
      </c>
      <c r="G139" s="60" t="s">
        <v>63</v>
      </c>
      <c r="H139" s="137"/>
      <c r="I139" s="6">
        <v>640293.82</v>
      </c>
      <c r="J139" s="6">
        <v>640293.82</v>
      </c>
      <c r="K139" s="6">
        <v>1089178.0</v>
      </c>
      <c r="L139" s="108">
        <v>848777.82</v>
      </c>
      <c r="M139" s="52"/>
      <c r="N139" s="52"/>
      <c r="O139" s="52"/>
      <c r="P139" s="52"/>
      <c r="Q139" s="52"/>
      <c r="R139" s="52"/>
      <c r="S139" s="52"/>
      <c r="T139" s="52"/>
      <c r="U139" s="53"/>
      <c r="V139" s="54">
        <f t="shared" si="40"/>
        <v>3218543.46</v>
      </c>
      <c r="W139" s="105"/>
      <c r="X139" s="52">
        <v>387159.0</v>
      </c>
      <c r="Y139" s="52">
        <v>387159.0</v>
      </c>
      <c r="Z139" s="52">
        <v>387159.0</v>
      </c>
      <c r="AA139" s="52">
        <v>387159.0</v>
      </c>
      <c r="AB139" s="52">
        <v>387159.0</v>
      </c>
      <c r="AC139" s="52">
        <v>387159.0</v>
      </c>
      <c r="AD139" s="52">
        <v>387159.0</v>
      </c>
      <c r="AE139" s="52">
        <v>387159.0</v>
      </c>
      <c r="AF139" s="52">
        <v>387159.0</v>
      </c>
      <c r="AG139" s="52">
        <v>387159.0</v>
      </c>
      <c r="AH139" s="52">
        <v>387159.0</v>
      </c>
      <c r="AI139" s="52">
        <v>387159.0</v>
      </c>
      <c r="AJ139" s="105"/>
      <c r="AK139" s="54">
        <f t="shared" si="41"/>
        <v>1548636</v>
      </c>
      <c r="AL139" s="56"/>
      <c r="AM139" s="30"/>
      <c r="AN139" s="53"/>
      <c r="AO139" s="53"/>
      <c r="AP139" s="53"/>
      <c r="AQ139" s="53"/>
      <c r="AR139" s="53"/>
      <c r="AS139" s="53"/>
      <c r="AT139" s="53"/>
      <c r="AU139" s="53"/>
      <c r="AV139" s="53"/>
      <c r="AW139" s="53"/>
      <c r="AX139" s="53"/>
      <c r="AY139" s="53"/>
    </row>
    <row r="140" ht="15.0" customHeight="1" outlineLevel="1">
      <c r="A140" s="18"/>
      <c r="B140" s="58"/>
      <c r="C140" s="2" t="s">
        <v>206</v>
      </c>
      <c r="D140" s="60" t="s">
        <v>182</v>
      </c>
      <c r="E140" s="60"/>
      <c r="F140" s="2" t="s">
        <v>207</v>
      </c>
      <c r="G140" s="60" t="s">
        <v>185</v>
      </c>
      <c r="H140" s="137"/>
      <c r="I140" s="6"/>
      <c r="J140" s="6"/>
      <c r="K140" s="6"/>
      <c r="L140" s="6"/>
      <c r="M140" s="52"/>
      <c r="N140" s="52"/>
      <c r="O140" s="52"/>
      <c r="P140" s="52"/>
      <c r="Q140" s="52"/>
      <c r="R140" s="52"/>
      <c r="S140" s="52"/>
      <c r="T140" s="52"/>
      <c r="U140" s="53"/>
      <c r="V140" s="54">
        <f t="shared" si="40"/>
        <v>0</v>
      </c>
      <c r="W140" s="105"/>
      <c r="X140" s="52">
        <v>405999.9999999999</v>
      </c>
      <c r="Y140" s="52">
        <v>412089.9999999999</v>
      </c>
      <c r="Z140" s="52">
        <v>418271.3499999999</v>
      </c>
      <c r="AA140" s="52">
        <v>424545.4202499998</v>
      </c>
      <c r="AB140" s="52">
        <v>430913.6015537498</v>
      </c>
      <c r="AC140" s="52">
        <v>437377.305577056</v>
      </c>
      <c r="AD140" s="52">
        <v>443937.9651607117</v>
      </c>
      <c r="AE140" s="52">
        <v>450597.0346381224</v>
      </c>
      <c r="AF140" s="52">
        <v>457355.9901576941</v>
      </c>
      <c r="AG140" s="52">
        <v>464216.3300100595</v>
      </c>
      <c r="AH140" s="52">
        <v>471179.5749602104</v>
      </c>
      <c r="AI140" s="52">
        <v>478247.2685846135</v>
      </c>
      <c r="AJ140" s="105"/>
      <c r="AK140" s="54">
        <f t="shared" si="41"/>
        <v>1660906.77</v>
      </c>
      <c r="AL140" s="56"/>
      <c r="AM140" s="30"/>
      <c r="AN140" s="53"/>
      <c r="AO140" s="53"/>
      <c r="AP140" s="53"/>
      <c r="AQ140" s="53"/>
      <c r="AR140" s="53"/>
      <c r="AS140" s="53"/>
      <c r="AT140" s="53"/>
      <c r="AU140" s="53"/>
      <c r="AV140" s="53"/>
      <c r="AW140" s="53"/>
      <c r="AX140" s="53"/>
      <c r="AY140" s="53"/>
    </row>
    <row r="141" ht="12.0" customHeight="1" outlineLevel="1">
      <c r="A141" s="18"/>
      <c r="B141" s="58"/>
      <c r="C141" s="2" t="s">
        <v>208</v>
      </c>
      <c r="D141" s="60" t="s">
        <v>182</v>
      </c>
      <c r="E141" s="60">
        <v>5418.0</v>
      </c>
      <c r="F141" s="2" t="s">
        <v>209</v>
      </c>
      <c r="G141" s="60" t="s">
        <v>185</v>
      </c>
      <c r="H141" s="135"/>
      <c r="I141" s="6"/>
      <c r="J141" s="6"/>
      <c r="K141" s="6"/>
      <c r="L141" s="6"/>
      <c r="M141" s="52"/>
      <c r="N141" s="52"/>
      <c r="O141" s="52"/>
      <c r="P141" s="52"/>
      <c r="Q141" s="52"/>
      <c r="R141" s="52"/>
      <c r="S141" s="52"/>
      <c r="T141" s="52"/>
      <c r="U141" s="53"/>
      <c r="V141" s="54">
        <f t="shared" si="40"/>
        <v>0</v>
      </c>
      <c r="W141" s="105"/>
      <c r="X141" s="52"/>
      <c r="Y141" s="52"/>
      <c r="Z141" s="52"/>
      <c r="AA141" s="52"/>
      <c r="AB141" s="52"/>
      <c r="AC141" s="52"/>
      <c r="AD141" s="52">
        <v>2025603.64645374</v>
      </c>
      <c r="AE141" s="52"/>
      <c r="AF141" s="52"/>
      <c r="AG141" s="52"/>
      <c r="AH141" s="52"/>
      <c r="AI141" s="52"/>
      <c r="AJ141" s="105"/>
      <c r="AK141" s="54">
        <f t="shared" si="41"/>
        <v>0</v>
      </c>
      <c r="AL141" s="56"/>
      <c r="AM141" s="30"/>
      <c r="AN141" s="53"/>
      <c r="AO141" s="53"/>
      <c r="AP141" s="53"/>
      <c r="AQ141" s="53"/>
      <c r="AR141" s="53"/>
      <c r="AS141" s="53"/>
      <c r="AT141" s="53"/>
      <c r="AU141" s="53"/>
      <c r="AV141" s="53"/>
      <c r="AW141" s="53"/>
      <c r="AX141" s="53"/>
      <c r="AY141" s="53"/>
    </row>
    <row r="142" ht="12.0" customHeight="1" outlineLevel="1">
      <c r="A142" s="18"/>
      <c r="B142" s="58"/>
      <c r="C142" s="2" t="s">
        <v>210</v>
      </c>
      <c r="D142" s="60" t="s">
        <v>182</v>
      </c>
      <c r="E142" s="60"/>
      <c r="F142" s="2" t="s">
        <v>211</v>
      </c>
      <c r="G142" s="60" t="s">
        <v>185</v>
      </c>
      <c r="H142" s="135"/>
      <c r="I142" s="6"/>
      <c r="J142" s="6"/>
      <c r="K142" s="6"/>
      <c r="L142" s="6"/>
      <c r="M142" s="52"/>
      <c r="N142" s="52"/>
      <c r="O142" s="52"/>
      <c r="P142" s="52"/>
      <c r="Q142" s="52"/>
      <c r="R142" s="52"/>
      <c r="S142" s="52"/>
      <c r="T142" s="52"/>
      <c r="U142" s="53"/>
      <c r="V142" s="54">
        <f t="shared" si="40"/>
        <v>0</v>
      </c>
      <c r="W142" s="105"/>
      <c r="X142" s="52">
        <v>1800000.0</v>
      </c>
      <c r="Y142" s="52">
        <v>1827000.0</v>
      </c>
      <c r="Z142" s="52"/>
      <c r="AA142" s="52">
        <v>1882221.074999999</v>
      </c>
      <c r="AB142" s="52"/>
      <c r="AC142" s="52"/>
      <c r="AD142" s="52"/>
      <c r="AE142" s="52"/>
      <c r="AF142" s="52"/>
      <c r="AG142" s="52"/>
      <c r="AH142" s="52"/>
      <c r="AI142" s="52"/>
      <c r="AJ142" s="105"/>
      <c r="AK142" s="54">
        <f t="shared" si="41"/>
        <v>5509221.075</v>
      </c>
      <c r="AL142" s="56"/>
      <c r="AM142" s="30"/>
      <c r="AN142" s="53"/>
      <c r="AO142" s="53"/>
      <c r="AP142" s="53"/>
      <c r="AQ142" s="53"/>
      <c r="AR142" s="53"/>
      <c r="AS142" s="53"/>
      <c r="AT142" s="53"/>
      <c r="AU142" s="53"/>
      <c r="AV142" s="53"/>
      <c r="AW142" s="53"/>
      <c r="AX142" s="53"/>
      <c r="AY142" s="53"/>
    </row>
    <row r="143" ht="12.0" customHeight="1" outlineLevel="1">
      <c r="A143" s="18"/>
      <c r="B143" s="58"/>
      <c r="C143" s="2" t="s">
        <v>212</v>
      </c>
      <c r="D143" s="60" t="s">
        <v>182</v>
      </c>
      <c r="E143" s="60"/>
      <c r="F143" s="2"/>
      <c r="G143" s="60" t="s">
        <v>185</v>
      </c>
      <c r="H143" s="6"/>
      <c r="I143" s="6"/>
      <c r="J143" s="6"/>
      <c r="K143" s="6"/>
      <c r="L143" s="6"/>
      <c r="M143" s="52"/>
      <c r="N143" s="52"/>
      <c r="O143" s="52"/>
      <c r="P143" s="52"/>
      <c r="Q143" s="52"/>
      <c r="R143" s="52"/>
      <c r="S143" s="52"/>
      <c r="T143" s="52"/>
      <c r="U143" s="53"/>
      <c r="V143" s="54">
        <f t="shared" si="40"/>
        <v>0</v>
      </c>
      <c r="W143" s="105"/>
      <c r="X143" s="52"/>
      <c r="Y143" s="52"/>
      <c r="Z143" s="52"/>
      <c r="AA143" s="52"/>
      <c r="AB143" s="52"/>
      <c r="AC143" s="52"/>
      <c r="AD143" s="52"/>
      <c r="AE143" s="52"/>
      <c r="AF143" s="52"/>
      <c r="AG143" s="52"/>
      <c r="AH143" s="52"/>
      <c r="AI143" s="52">
        <v>6000000.0</v>
      </c>
      <c r="AJ143" s="105"/>
      <c r="AK143" s="54">
        <f t="shared" si="41"/>
        <v>0</v>
      </c>
      <c r="AL143" s="56"/>
      <c r="AM143" s="30"/>
      <c r="AN143" s="53"/>
      <c r="AO143" s="53"/>
      <c r="AP143" s="53"/>
      <c r="AQ143" s="53"/>
      <c r="AR143" s="53"/>
      <c r="AS143" s="53"/>
      <c r="AT143" s="53"/>
      <c r="AU143" s="53"/>
      <c r="AV143" s="53"/>
      <c r="AW143" s="53"/>
      <c r="AX143" s="53"/>
      <c r="AY143" s="53"/>
    </row>
    <row r="144" ht="12.0" customHeight="1" outlineLevel="1">
      <c r="A144" s="18"/>
      <c r="B144" s="58"/>
      <c r="C144" s="2" t="s">
        <v>213</v>
      </c>
      <c r="D144" s="60" t="s">
        <v>182</v>
      </c>
      <c r="E144" s="60"/>
      <c r="F144" s="2"/>
      <c r="G144" s="60" t="s">
        <v>185</v>
      </c>
      <c r="H144" s="137"/>
      <c r="I144" s="6"/>
      <c r="J144" s="6"/>
      <c r="K144" s="6"/>
      <c r="L144" s="6"/>
      <c r="M144" s="52"/>
      <c r="N144" s="52"/>
      <c r="O144" s="52"/>
      <c r="P144" s="52"/>
      <c r="Q144" s="52"/>
      <c r="R144" s="52"/>
      <c r="S144" s="52"/>
      <c r="T144" s="52"/>
      <c r="U144" s="53"/>
      <c r="V144" s="54">
        <f t="shared" si="40"/>
        <v>0</v>
      </c>
      <c r="W144" s="105"/>
      <c r="X144" s="52">
        <v>507499.9999999999</v>
      </c>
      <c r="Y144" s="52">
        <v>515112.4999999999</v>
      </c>
      <c r="Z144" s="52">
        <v>522839.1874999998</v>
      </c>
      <c r="AA144" s="52">
        <v>530681.7753124997</v>
      </c>
      <c r="AB144" s="52">
        <v>538642.0019421872</v>
      </c>
      <c r="AC144" s="52">
        <v>546721.6319713199</v>
      </c>
      <c r="AD144" s="52">
        <v>554922.4564508897</v>
      </c>
      <c r="AE144" s="52">
        <v>563246.293297653</v>
      </c>
      <c r="AF144" s="52">
        <v>571694.9876971177</v>
      </c>
      <c r="AG144" s="52">
        <v>580270.4125125745</v>
      </c>
      <c r="AH144" s="52">
        <v>588974.4687002631</v>
      </c>
      <c r="AI144" s="52">
        <v>597809.085730767</v>
      </c>
      <c r="AJ144" s="105"/>
      <c r="AK144" s="54">
        <f t="shared" si="41"/>
        <v>2076133.463</v>
      </c>
      <c r="AL144" s="56"/>
      <c r="AM144" s="30"/>
      <c r="AN144" s="53"/>
      <c r="AO144" s="53"/>
      <c r="AP144" s="53"/>
      <c r="AQ144" s="53"/>
      <c r="AR144" s="53"/>
      <c r="AS144" s="53"/>
      <c r="AT144" s="53"/>
      <c r="AU144" s="53"/>
      <c r="AV144" s="53"/>
      <c r="AW144" s="53"/>
      <c r="AX144" s="53"/>
      <c r="AY144" s="53"/>
    </row>
    <row r="145" ht="12.0" customHeight="1" outlineLevel="1">
      <c r="A145" s="18"/>
      <c r="B145" s="58"/>
      <c r="C145" s="2" t="s">
        <v>214</v>
      </c>
      <c r="D145" s="60" t="s">
        <v>182</v>
      </c>
      <c r="E145" s="60"/>
      <c r="F145" s="2"/>
      <c r="G145" s="60" t="s">
        <v>185</v>
      </c>
      <c r="H145" s="137"/>
      <c r="I145" s="6"/>
      <c r="J145" s="6"/>
      <c r="K145" s="6"/>
      <c r="L145" s="108">
        <v>0.0</v>
      </c>
      <c r="M145" s="52"/>
      <c r="N145" s="52"/>
      <c r="O145" s="52"/>
      <c r="P145" s="52"/>
      <c r="Q145" s="52"/>
      <c r="R145" s="52"/>
      <c r="S145" s="52"/>
      <c r="T145" s="52"/>
      <c r="U145" s="53"/>
      <c r="V145" s="54">
        <f t="shared" si="40"/>
        <v>0</v>
      </c>
      <c r="W145" s="105"/>
      <c r="X145" s="52">
        <v>304499.9999999999</v>
      </c>
      <c r="Y145" s="52">
        <v>309067.4999999999</v>
      </c>
      <c r="Z145" s="52">
        <v>313703.5124999998</v>
      </c>
      <c r="AA145" s="52">
        <v>318409.0651874998</v>
      </c>
      <c r="AB145" s="52">
        <v>323185.2011653123</v>
      </c>
      <c r="AC145" s="52">
        <v>328032.9791827919</v>
      </c>
      <c r="AD145" s="52">
        <v>332953.4738705338</v>
      </c>
      <c r="AE145" s="52">
        <v>337947.7759785917</v>
      </c>
      <c r="AF145" s="52">
        <v>343016.9926182706</v>
      </c>
      <c r="AG145" s="52">
        <v>348162.2475075446</v>
      </c>
      <c r="AH145" s="52">
        <v>353384.6812201577</v>
      </c>
      <c r="AI145" s="52">
        <v>358685.45143846</v>
      </c>
      <c r="AJ145" s="105"/>
      <c r="AK145" s="54">
        <f t="shared" si="41"/>
        <v>1245680.078</v>
      </c>
      <c r="AL145" s="56"/>
      <c r="AM145" s="30"/>
      <c r="AN145" s="53"/>
      <c r="AO145" s="53"/>
      <c r="AP145" s="53"/>
      <c r="AQ145" s="53"/>
      <c r="AR145" s="53"/>
      <c r="AS145" s="53"/>
      <c r="AT145" s="53"/>
      <c r="AU145" s="53"/>
      <c r="AV145" s="53"/>
      <c r="AW145" s="53"/>
      <c r="AX145" s="53"/>
      <c r="AY145" s="53"/>
    </row>
    <row r="146" ht="12.0" customHeight="1" outlineLevel="1">
      <c r="A146" s="18"/>
      <c r="B146" s="58"/>
      <c r="C146" s="2" t="s">
        <v>215</v>
      </c>
      <c r="D146" s="60" t="s">
        <v>182</v>
      </c>
      <c r="E146" s="60"/>
      <c r="F146" s="2" t="s">
        <v>216</v>
      </c>
      <c r="G146" s="60" t="s">
        <v>185</v>
      </c>
      <c r="H146" s="139"/>
      <c r="I146" s="6"/>
      <c r="J146" s="6"/>
      <c r="K146" s="6">
        <v>1500000.0</v>
      </c>
      <c r="L146" s="108">
        <v>0.0</v>
      </c>
      <c r="M146" s="52"/>
      <c r="N146" s="52"/>
      <c r="O146" s="52"/>
      <c r="P146" s="52"/>
      <c r="Q146" s="52"/>
      <c r="R146" s="113"/>
      <c r="S146" s="52"/>
      <c r="T146" s="52"/>
      <c r="U146" s="52"/>
      <c r="V146" s="54">
        <f t="shared" si="40"/>
        <v>1500000</v>
      </c>
      <c r="W146" s="105"/>
      <c r="X146" s="52"/>
      <c r="Y146" s="52"/>
      <c r="Z146" s="52"/>
      <c r="AA146" s="52"/>
      <c r="AB146" s="52"/>
      <c r="AC146" s="52"/>
      <c r="AD146" s="52"/>
      <c r="AE146" s="52"/>
      <c r="AF146" s="52"/>
      <c r="AG146" s="52">
        <v>1000000.0</v>
      </c>
      <c r="AH146" s="52"/>
      <c r="AI146" s="52"/>
      <c r="AJ146" s="105"/>
      <c r="AK146" s="54">
        <f t="shared" si="41"/>
        <v>0</v>
      </c>
      <c r="AL146" s="56"/>
      <c r="AM146" s="30"/>
      <c r="AN146" s="53"/>
      <c r="AO146" s="53"/>
      <c r="AP146" s="53"/>
      <c r="AQ146" s="53"/>
      <c r="AR146" s="53"/>
      <c r="AS146" s="53"/>
      <c r="AT146" s="53"/>
      <c r="AU146" s="53"/>
      <c r="AV146" s="53"/>
      <c r="AW146" s="53"/>
      <c r="AX146" s="53"/>
      <c r="AY146" s="53"/>
    </row>
    <row r="147" ht="12.0" customHeight="1" outlineLevel="1">
      <c r="A147" s="18"/>
      <c r="B147" s="58"/>
      <c r="C147" s="2" t="s">
        <v>217</v>
      </c>
      <c r="D147" s="60" t="s">
        <v>182</v>
      </c>
      <c r="E147" s="60"/>
      <c r="F147" s="2" t="s">
        <v>218</v>
      </c>
      <c r="G147" s="60" t="s">
        <v>185</v>
      </c>
      <c r="H147" s="60"/>
      <c r="I147" s="6">
        <v>128926.0</v>
      </c>
      <c r="J147" s="6">
        <v>128926.0</v>
      </c>
      <c r="K147" s="6">
        <v>128926.0</v>
      </c>
      <c r="L147" s="108">
        <v>128926.0</v>
      </c>
      <c r="M147" s="52"/>
      <c r="N147" s="52"/>
      <c r="O147" s="52"/>
      <c r="P147" s="52"/>
      <c r="Q147" s="52"/>
      <c r="R147" s="52"/>
      <c r="S147" s="52"/>
      <c r="T147" s="52"/>
      <c r="U147" s="53"/>
      <c r="V147" s="54">
        <f t="shared" si="40"/>
        <v>515704</v>
      </c>
      <c r="W147" s="105"/>
      <c r="X147" s="52"/>
      <c r="Y147" s="52"/>
      <c r="Z147" s="52"/>
      <c r="AA147" s="52"/>
      <c r="AB147" s="52"/>
      <c r="AC147" s="52"/>
      <c r="AD147" s="52"/>
      <c r="AE147" s="52"/>
      <c r="AF147" s="52"/>
      <c r="AG147" s="52"/>
      <c r="AH147" s="52"/>
      <c r="AI147" s="52"/>
      <c r="AJ147" s="105"/>
      <c r="AK147" s="54">
        <f t="shared" si="41"/>
        <v>0</v>
      </c>
      <c r="AL147" s="56"/>
      <c r="AM147" s="30"/>
      <c r="AN147" s="53"/>
      <c r="AO147" s="53"/>
      <c r="AP147" s="53"/>
      <c r="AQ147" s="53"/>
      <c r="AR147" s="53"/>
      <c r="AS147" s="53"/>
      <c r="AT147" s="53"/>
      <c r="AU147" s="53"/>
      <c r="AV147" s="53"/>
      <c r="AW147" s="53"/>
      <c r="AX147" s="53"/>
      <c r="AY147" s="53"/>
    </row>
    <row r="148" ht="12.0" customHeight="1" outlineLevel="1">
      <c r="A148" s="18"/>
      <c r="B148" s="58"/>
      <c r="C148" s="2" t="s">
        <v>219</v>
      </c>
      <c r="D148" s="60" t="s">
        <v>182</v>
      </c>
      <c r="E148" s="60"/>
      <c r="F148" s="2" t="s">
        <v>220</v>
      </c>
      <c r="G148" s="60" t="s">
        <v>185</v>
      </c>
      <c r="H148" s="60"/>
      <c r="I148" s="6"/>
      <c r="J148" s="6">
        <v>433800.0</v>
      </c>
      <c r="K148" s="6"/>
      <c r="L148" s="108">
        <v>0.0</v>
      </c>
      <c r="M148" s="52"/>
      <c r="N148" s="52"/>
      <c r="O148" s="52"/>
      <c r="P148" s="52"/>
      <c r="Q148" s="52"/>
      <c r="R148" s="52"/>
      <c r="S148" s="52"/>
      <c r="T148" s="52"/>
      <c r="U148" s="53"/>
      <c r="V148" s="54">
        <f t="shared" si="40"/>
        <v>433800</v>
      </c>
      <c r="W148" s="105"/>
      <c r="X148" s="52"/>
      <c r="Y148" s="52"/>
      <c r="Z148" s="52"/>
      <c r="AA148" s="52"/>
      <c r="AB148" s="52"/>
      <c r="AC148" s="52"/>
      <c r="AD148" s="52"/>
      <c r="AE148" s="52"/>
      <c r="AF148" s="52"/>
      <c r="AG148" s="52"/>
      <c r="AH148" s="52"/>
      <c r="AI148" s="52"/>
      <c r="AJ148" s="105"/>
      <c r="AK148" s="54">
        <f t="shared" si="41"/>
        <v>0</v>
      </c>
      <c r="AL148" s="56"/>
      <c r="AM148" s="30"/>
      <c r="AN148" s="53"/>
      <c r="AO148" s="53"/>
      <c r="AP148" s="53"/>
      <c r="AQ148" s="53"/>
      <c r="AR148" s="53"/>
      <c r="AS148" s="53"/>
      <c r="AT148" s="53"/>
      <c r="AU148" s="53"/>
      <c r="AV148" s="53"/>
      <c r="AW148" s="53"/>
      <c r="AX148" s="53"/>
      <c r="AY148" s="53"/>
    </row>
    <row r="149" ht="12.0" customHeight="1" outlineLevel="1">
      <c r="A149" s="18"/>
      <c r="B149" s="58"/>
      <c r="C149" s="2" t="s">
        <v>221</v>
      </c>
      <c r="D149" s="60" t="s">
        <v>182</v>
      </c>
      <c r="E149" s="60" t="s">
        <v>222</v>
      </c>
      <c r="F149" s="2" t="s">
        <v>223</v>
      </c>
      <c r="G149" s="60" t="s">
        <v>185</v>
      </c>
      <c r="H149" s="60"/>
      <c r="I149" s="6"/>
      <c r="J149" s="108">
        <v>0.0</v>
      </c>
      <c r="K149" s="108">
        <v>0.0</v>
      </c>
      <c r="L149" s="108">
        <v>300000.0</v>
      </c>
      <c r="M149" s="52"/>
      <c r="N149" s="52"/>
      <c r="O149" s="52"/>
      <c r="P149" s="52"/>
      <c r="Q149" s="52"/>
      <c r="R149" s="52"/>
      <c r="S149" s="52"/>
      <c r="T149" s="52"/>
      <c r="U149" s="53"/>
      <c r="V149" s="54">
        <f t="shared" si="40"/>
        <v>300000</v>
      </c>
      <c r="W149" s="105"/>
      <c r="X149" s="52"/>
      <c r="Y149" s="52"/>
      <c r="Z149" s="52"/>
      <c r="AA149" s="52"/>
      <c r="AB149" s="52"/>
      <c r="AC149" s="52"/>
      <c r="AD149" s="52"/>
      <c r="AE149" s="52"/>
      <c r="AF149" s="52"/>
      <c r="AG149" s="52"/>
      <c r="AH149" s="52"/>
      <c r="AI149" s="52"/>
      <c r="AJ149" s="105"/>
      <c r="AK149" s="54">
        <f t="shared" si="41"/>
        <v>0</v>
      </c>
      <c r="AL149" s="56"/>
      <c r="AM149" s="30"/>
      <c r="AN149" s="53"/>
      <c r="AO149" s="53"/>
      <c r="AP149" s="53"/>
      <c r="AQ149" s="53"/>
      <c r="AR149" s="53"/>
      <c r="AS149" s="53"/>
      <c r="AT149" s="53"/>
      <c r="AU149" s="53"/>
      <c r="AV149" s="53"/>
      <c r="AW149" s="53"/>
      <c r="AX149" s="53"/>
      <c r="AY149" s="53"/>
    </row>
    <row r="150" ht="12.0" customHeight="1" outlineLevel="1">
      <c r="A150" s="18"/>
      <c r="B150" s="58"/>
      <c r="C150" s="2" t="s">
        <v>224</v>
      </c>
      <c r="D150" s="60" t="s">
        <v>182</v>
      </c>
      <c r="E150" s="60"/>
      <c r="F150" s="2" t="s">
        <v>225</v>
      </c>
      <c r="G150" s="60" t="s">
        <v>185</v>
      </c>
      <c r="H150" s="60"/>
      <c r="I150" s="6"/>
      <c r="J150" s="108">
        <v>524800.0</v>
      </c>
      <c r="K150" s="108">
        <v>296900.0</v>
      </c>
      <c r="L150" s="108">
        <v>318504.92</v>
      </c>
      <c r="M150" s="52"/>
      <c r="N150" s="52"/>
      <c r="O150" s="52"/>
      <c r="P150" s="52"/>
      <c r="Q150" s="52"/>
      <c r="R150" s="52"/>
      <c r="S150" s="52"/>
      <c r="T150" s="52"/>
      <c r="U150" s="53"/>
      <c r="V150" s="54">
        <f t="shared" si="40"/>
        <v>1140204.92</v>
      </c>
      <c r="W150" s="105"/>
      <c r="X150" s="52"/>
      <c r="Y150" s="52"/>
      <c r="Z150" s="52"/>
      <c r="AA150" s="52"/>
      <c r="AB150" s="52"/>
      <c r="AC150" s="52"/>
      <c r="AD150" s="52"/>
      <c r="AE150" s="52"/>
      <c r="AF150" s="52"/>
      <c r="AG150" s="52"/>
      <c r="AH150" s="52"/>
      <c r="AI150" s="52"/>
      <c r="AJ150" s="105"/>
      <c r="AK150" s="54"/>
      <c r="AL150" s="56"/>
      <c r="AM150" s="30"/>
      <c r="AN150" s="53"/>
      <c r="AO150" s="53"/>
      <c r="AP150" s="53"/>
      <c r="AQ150" s="53"/>
      <c r="AR150" s="53"/>
      <c r="AS150" s="53"/>
      <c r="AT150" s="53"/>
      <c r="AU150" s="53"/>
      <c r="AV150" s="53"/>
      <c r="AW150" s="53"/>
      <c r="AX150" s="53"/>
      <c r="AY150" s="53"/>
    </row>
    <row r="151" ht="15.75" customHeight="1">
      <c r="A151" s="18"/>
      <c r="B151" s="41"/>
      <c r="C151" s="62"/>
      <c r="D151" s="42" t="s">
        <v>226</v>
      </c>
      <c r="E151" s="42"/>
      <c r="F151" s="42"/>
      <c r="G151" s="43"/>
      <c r="H151" s="43"/>
      <c r="I151" s="44">
        <f t="shared" ref="I151:T151" si="42">I152</f>
        <v>13847239.65</v>
      </c>
      <c r="J151" s="44">
        <f t="shared" si="42"/>
        <v>13847239.65</v>
      </c>
      <c r="K151" s="44">
        <f t="shared" si="42"/>
        <v>13847239.65</v>
      </c>
      <c r="L151" s="44">
        <f t="shared" si="42"/>
        <v>13847239.65</v>
      </c>
      <c r="M151" s="44" t="str">
        <f t="shared" si="42"/>
        <v/>
      </c>
      <c r="N151" s="44" t="str">
        <f t="shared" si="42"/>
        <v/>
      </c>
      <c r="O151" s="44" t="str">
        <f t="shared" si="42"/>
        <v/>
      </c>
      <c r="P151" s="44" t="str">
        <f t="shared" si="42"/>
        <v/>
      </c>
      <c r="Q151" s="44" t="str">
        <f t="shared" si="42"/>
        <v/>
      </c>
      <c r="R151" s="44" t="str">
        <f t="shared" si="42"/>
        <v/>
      </c>
      <c r="S151" s="44" t="str">
        <f t="shared" si="42"/>
        <v/>
      </c>
      <c r="T151" s="44" t="str">
        <f t="shared" si="42"/>
        <v/>
      </c>
      <c r="U151" s="7"/>
      <c r="V151" s="45">
        <f t="shared" si="40"/>
        <v>55388958.6</v>
      </c>
      <c r="W151" s="89">
        <f>+V151/$V$169</f>
        <v>0.01732516965</v>
      </c>
      <c r="X151" s="44">
        <v>1.367005E7</v>
      </c>
      <c r="Y151" s="44">
        <v>1.367005E7</v>
      </c>
      <c r="Z151" s="44">
        <v>1.367005E7</v>
      </c>
      <c r="AA151" s="44">
        <v>1.367005E7</v>
      </c>
      <c r="AB151" s="44">
        <v>1.367005E7</v>
      </c>
      <c r="AC151" s="44">
        <v>1.367005E7</v>
      </c>
      <c r="AD151" s="44">
        <v>1.367005E7</v>
      </c>
      <c r="AE151" s="44">
        <v>1.367005E7</v>
      </c>
      <c r="AF151" s="44">
        <v>1.367005E7</v>
      </c>
      <c r="AG151" s="44">
        <v>1.367005E7</v>
      </c>
      <c r="AH151" s="44">
        <v>1.367005E7</v>
      </c>
      <c r="AI151" s="44">
        <v>1.367005E7</v>
      </c>
      <c r="AJ151" s="89"/>
      <c r="AK151" s="103">
        <f t="shared" ref="AK151:AK164" si="43">SUM(X151:AA151)</f>
        <v>54680200</v>
      </c>
      <c r="AL151" s="10"/>
      <c r="AM151" s="30">
        <f>+V151-AK151</f>
        <v>708758.6</v>
      </c>
      <c r="AN151" s="47">
        <f>+AM151/AK151</f>
        <v>0.01296188748</v>
      </c>
      <c r="AO151" s="7"/>
      <c r="AP151" s="7"/>
      <c r="AQ151" s="7"/>
      <c r="AR151" s="7"/>
      <c r="AS151" s="7"/>
    </row>
    <row r="152" ht="12.0" hidden="1" customHeight="1" outlineLevel="1">
      <c r="A152" s="18"/>
      <c r="B152" s="58"/>
      <c r="C152" s="2" t="s">
        <v>226</v>
      </c>
      <c r="D152" s="60"/>
      <c r="E152" s="60">
        <v>5515.0</v>
      </c>
      <c r="F152" s="140"/>
      <c r="G152" s="141" t="s">
        <v>63</v>
      </c>
      <c r="H152" s="142"/>
      <c r="I152" s="6">
        <v>1.384723965E7</v>
      </c>
      <c r="J152" s="6">
        <v>1.384723965E7</v>
      </c>
      <c r="K152" s="6">
        <v>1.384723965E7</v>
      </c>
      <c r="L152" s="108">
        <v>1.384723965E7</v>
      </c>
      <c r="M152" s="52"/>
      <c r="N152" s="52"/>
      <c r="O152" s="52"/>
      <c r="P152" s="52"/>
      <c r="Q152" s="52"/>
      <c r="R152" s="52"/>
      <c r="S152" s="52"/>
      <c r="T152" s="52"/>
      <c r="U152" s="53"/>
      <c r="V152" s="54">
        <f t="shared" si="40"/>
        <v>55388958.6</v>
      </c>
      <c r="W152" s="105"/>
      <c r="X152" s="52">
        <v>1.367005E7</v>
      </c>
      <c r="Y152" s="52">
        <v>1.367005E7</v>
      </c>
      <c r="Z152" s="52">
        <v>1.367005E7</v>
      </c>
      <c r="AA152" s="52">
        <v>1.367005E7</v>
      </c>
      <c r="AB152" s="52">
        <v>1.367005E7</v>
      </c>
      <c r="AC152" s="52">
        <v>1.367005E7</v>
      </c>
      <c r="AD152" s="52">
        <v>1.367005E7</v>
      </c>
      <c r="AE152" s="52">
        <v>1.367005E7</v>
      </c>
      <c r="AF152" s="52">
        <v>1.367005E7</v>
      </c>
      <c r="AG152" s="52">
        <v>1.367005E7</v>
      </c>
      <c r="AH152" s="52">
        <v>1.367005E7</v>
      </c>
      <c r="AI152" s="52">
        <v>1.367005E7</v>
      </c>
      <c r="AJ152" s="105"/>
      <c r="AK152" s="54">
        <f t="shared" si="43"/>
        <v>54680200</v>
      </c>
      <c r="AL152" s="56"/>
      <c r="AM152" s="30"/>
      <c r="AN152" s="53"/>
      <c r="AO152" s="53"/>
      <c r="AP152" s="53"/>
      <c r="AQ152" s="53"/>
      <c r="AR152" s="53"/>
      <c r="AS152" s="53"/>
      <c r="AT152" s="53"/>
      <c r="AU152" s="53"/>
      <c r="AV152" s="53"/>
      <c r="AW152" s="53"/>
      <c r="AX152" s="53"/>
      <c r="AY152" s="53"/>
    </row>
    <row r="153" ht="12.0" hidden="1" customHeight="1" outlineLevel="1">
      <c r="A153" s="18"/>
      <c r="B153" s="58"/>
      <c r="C153" s="5"/>
      <c r="D153" s="50"/>
      <c r="E153" s="50"/>
      <c r="F153" s="5"/>
      <c r="G153" s="50"/>
      <c r="H153" s="50"/>
      <c r="I153" s="52"/>
      <c r="J153" s="52"/>
      <c r="K153" s="52"/>
      <c r="L153" s="52"/>
      <c r="M153" s="52"/>
      <c r="N153" s="52"/>
      <c r="O153" s="52"/>
      <c r="P153" s="52"/>
      <c r="Q153" s="52"/>
      <c r="R153" s="52"/>
      <c r="S153" s="52"/>
      <c r="T153" s="52"/>
      <c r="U153" s="7"/>
      <c r="V153" s="54"/>
      <c r="W153" s="40"/>
      <c r="X153" s="52"/>
      <c r="Y153" s="52"/>
      <c r="Z153" s="52"/>
      <c r="AA153" s="52"/>
      <c r="AB153" s="52"/>
      <c r="AC153" s="52"/>
      <c r="AD153" s="52"/>
      <c r="AE153" s="52"/>
      <c r="AF153" s="52"/>
      <c r="AG153" s="52"/>
      <c r="AH153" s="52"/>
      <c r="AI153" s="52"/>
      <c r="AJ153" s="40"/>
      <c r="AK153" s="54">
        <f t="shared" si="43"/>
        <v>0</v>
      </c>
      <c r="AL153" s="10"/>
      <c r="AM153" s="30"/>
      <c r="AN153" s="7"/>
      <c r="AO153" s="7"/>
      <c r="AP153" s="7"/>
      <c r="AQ153" s="7"/>
      <c r="AR153" s="7"/>
      <c r="AS153" s="7"/>
    </row>
    <row r="154" ht="15.75" customHeight="1" collapsed="1">
      <c r="A154" s="18"/>
      <c r="B154" s="41"/>
      <c r="C154" s="62"/>
      <c r="D154" s="42" t="s">
        <v>227</v>
      </c>
      <c r="E154" s="42"/>
      <c r="F154" s="42"/>
      <c r="G154" s="43"/>
      <c r="H154" s="43"/>
      <c r="I154" s="44">
        <f t="shared" ref="I154:T154" si="44">I155</f>
        <v>0</v>
      </c>
      <c r="J154" s="44">
        <f t="shared" si="44"/>
        <v>0</v>
      </c>
      <c r="K154" s="44">
        <f t="shared" si="44"/>
        <v>0</v>
      </c>
      <c r="L154" s="44">
        <f t="shared" si="44"/>
        <v>0</v>
      </c>
      <c r="M154" s="44" t="str">
        <f t="shared" si="44"/>
        <v/>
      </c>
      <c r="N154" s="44" t="str">
        <f t="shared" si="44"/>
        <v/>
      </c>
      <c r="O154" s="44" t="str">
        <f t="shared" si="44"/>
        <v/>
      </c>
      <c r="P154" s="44" t="str">
        <f t="shared" si="44"/>
        <v/>
      </c>
      <c r="Q154" s="44" t="str">
        <f t="shared" si="44"/>
        <v/>
      </c>
      <c r="R154" s="44" t="str">
        <f t="shared" si="44"/>
        <v/>
      </c>
      <c r="S154" s="44" t="str">
        <f t="shared" si="44"/>
        <v/>
      </c>
      <c r="T154" s="44" t="str">
        <f t="shared" si="44"/>
        <v/>
      </c>
      <c r="U154" s="7"/>
      <c r="V154" s="45">
        <f t="shared" ref="V154:V167" si="45">SUM(I154:L154)</f>
        <v>0</v>
      </c>
      <c r="W154" s="89">
        <f>+V154/$V$169</f>
        <v>0</v>
      </c>
      <c r="X154" s="44">
        <v>0.0</v>
      </c>
      <c r="Y154" s="44">
        <v>0.0</v>
      </c>
      <c r="Z154" s="44">
        <v>0.0</v>
      </c>
      <c r="AA154" s="44">
        <v>0.0</v>
      </c>
      <c r="AB154" s="44">
        <v>1.500601554742894E7</v>
      </c>
      <c r="AC154" s="44">
        <v>1.511254638572552E7</v>
      </c>
      <c r="AD154" s="44">
        <v>1.764424538378749E7</v>
      </c>
      <c r="AE154" s="44">
        <v>1.641210345057757E7</v>
      </c>
      <c r="AF154" s="44">
        <v>1.718270248513593E7</v>
      </c>
      <c r="AG154" s="44">
        <v>1.805891314971748E7</v>
      </c>
      <c r="AH154" s="44">
        <v>1.775788877726182E7</v>
      </c>
      <c r="AI154" s="44">
        <v>1.834411436856664E7</v>
      </c>
      <c r="AJ154" s="89"/>
      <c r="AK154" s="103">
        <f t="shared" si="43"/>
        <v>0</v>
      </c>
      <c r="AL154" s="10"/>
      <c r="AM154" s="30">
        <f>+V154-AK154</f>
        <v>0</v>
      </c>
      <c r="AN154" s="47"/>
      <c r="AO154" s="7"/>
      <c r="AP154" s="7"/>
      <c r="AQ154" s="7"/>
      <c r="AR154" s="7"/>
      <c r="AS154" s="7"/>
    </row>
    <row r="155" ht="14.25" hidden="1" customHeight="1" outlineLevel="1">
      <c r="A155" s="18"/>
      <c r="B155" s="58"/>
      <c r="C155" s="5" t="s">
        <v>227</v>
      </c>
      <c r="D155" s="50"/>
      <c r="E155" s="50">
        <v>5416.0</v>
      </c>
      <c r="F155" s="143">
        <v>0.006</v>
      </c>
      <c r="G155" s="50" t="s">
        <v>141</v>
      </c>
      <c r="H155" s="144"/>
      <c r="I155" s="52">
        <v>0.0</v>
      </c>
      <c r="J155" s="52">
        <v>0.0</v>
      </c>
      <c r="K155" s="52">
        <v>0.0</v>
      </c>
      <c r="L155" s="52">
        <v>0.0</v>
      </c>
      <c r="M155" s="52"/>
      <c r="N155" s="52"/>
      <c r="O155" s="52"/>
      <c r="P155" s="52"/>
      <c r="Q155" s="52"/>
      <c r="R155" s="52"/>
      <c r="S155" s="52"/>
      <c r="T155" s="52"/>
      <c r="U155" s="53"/>
      <c r="V155" s="54">
        <f t="shared" si="45"/>
        <v>0</v>
      </c>
      <c r="W155" s="105"/>
      <c r="X155" s="52">
        <v>0.0</v>
      </c>
      <c r="Y155" s="52">
        <v>0.0</v>
      </c>
      <c r="Z155" s="52">
        <v>0.0</v>
      </c>
      <c r="AA155" s="52">
        <v>0.0</v>
      </c>
      <c r="AB155" s="52">
        <v>1.500601554742894E7</v>
      </c>
      <c r="AC155" s="52">
        <v>1.511254638572552E7</v>
      </c>
      <c r="AD155" s="52">
        <v>1.764424538378749E7</v>
      </c>
      <c r="AE155" s="52">
        <v>1.641210345057757E7</v>
      </c>
      <c r="AF155" s="52">
        <v>1.718270248513593E7</v>
      </c>
      <c r="AG155" s="52">
        <v>1.805891314971748E7</v>
      </c>
      <c r="AH155" s="52">
        <v>1.775788877726182E7</v>
      </c>
      <c r="AI155" s="52">
        <v>1.834411436856664E7</v>
      </c>
      <c r="AJ155" s="105"/>
      <c r="AK155" s="54">
        <f t="shared" si="43"/>
        <v>0</v>
      </c>
      <c r="AL155" s="56"/>
      <c r="AM155" s="30"/>
      <c r="AN155" s="53"/>
      <c r="AO155" s="53"/>
      <c r="AP155" s="53"/>
      <c r="AQ155" s="53"/>
      <c r="AR155" s="53"/>
      <c r="AS155" s="53"/>
      <c r="AT155" s="53"/>
      <c r="AU155" s="53"/>
      <c r="AV155" s="53"/>
      <c r="AW155" s="53"/>
      <c r="AX155" s="53"/>
      <c r="AY155" s="53"/>
    </row>
    <row r="156" ht="12.0" hidden="1" customHeight="1" outlineLevel="1">
      <c r="A156" s="18"/>
      <c r="B156" s="58"/>
      <c r="C156" s="5"/>
      <c r="D156" s="50"/>
      <c r="E156" s="50"/>
      <c r="F156" s="5"/>
      <c r="G156" s="50"/>
      <c r="H156" s="50"/>
      <c r="I156" s="52">
        <v>0.0</v>
      </c>
      <c r="J156" s="52">
        <v>0.0</v>
      </c>
      <c r="K156" s="52">
        <v>0.0</v>
      </c>
      <c r="L156" s="52">
        <v>0.0</v>
      </c>
      <c r="M156" s="52"/>
      <c r="N156" s="52"/>
      <c r="O156" s="52"/>
      <c r="P156" s="52"/>
      <c r="Q156" s="52"/>
      <c r="R156" s="52"/>
      <c r="S156" s="52"/>
      <c r="T156" s="52"/>
      <c r="U156" s="53"/>
      <c r="V156" s="54">
        <f t="shared" si="45"/>
        <v>0</v>
      </c>
      <c r="W156" s="105"/>
      <c r="X156" s="52"/>
      <c r="Y156" s="52"/>
      <c r="Z156" s="52"/>
      <c r="AA156" s="52"/>
      <c r="AB156" s="52"/>
      <c r="AC156" s="52"/>
      <c r="AD156" s="52"/>
      <c r="AE156" s="52"/>
      <c r="AF156" s="52"/>
      <c r="AG156" s="52"/>
      <c r="AH156" s="52"/>
      <c r="AI156" s="52"/>
      <c r="AJ156" s="105"/>
      <c r="AK156" s="54">
        <f t="shared" si="43"/>
        <v>0</v>
      </c>
      <c r="AL156" s="56"/>
      <c r="AM156" s="30"/>
      <c r="AN156" s="53"/>
      <c r="AO156" s="53"/>
      <c r="AP156" s="53"/>
      <c r="AQ156" s="53"/>
      <c r="AR156" s="53"/>
      <c r="AS156" s="53"/>
      <c r="AT156" s="53"/>
      <c r="AU156" s="53"/>
      <c r="AV156" s="53"/>
      <c r="AW156" s="53"/>
      <c r="AX156" s="53"/>
      <c r="AY156" s="53"/>
    </row>
    <row r="157" ht="15.75" customHeight="1" collapsed="1">
      <c r="A157" s="22"/>
      <c r="B157" s="41"/>
      <c r="C157" s="62"/>
      <c r="D157" s="42" t="s">
        <v>228</v>
      </c>
      <c r="E157" s="42"/>
      <c r="F157" s="42"/>
      <c r="G157" s="43"/>
      <c r="H157" s="43"/>
      <c r="I157" s="44">
        <v>3.6379721024E8</v>
      </c>
      <c r="J157" s="44">
        <v>3.53746862E8</v>
      </c>
      <c r="K157" s="44">
        <v>3.84715838E8</v>
      </c>
      <c r="L157" s="44">
        <f t="shared" ref="L157:T157" si="46">SUM(L158:L165)</f>
        <v>356722526.7</v>
      </c>
      <c r="M157" s="44">
        <f t="shared" si="46"/>
        <v>0</v>
      </c>
      <c r="N157" s="44">
        <f t="shared" si="46"/>
        <v>0</v>
      </c>
      <c r="O157" s="44">
        <f t="shared" si="46"/>
        <v>0</v>
      </c>
      <c r="P157" s="44">
        <f t="shared" si="46"/>
        <v>0</v>
      </c>
      <c r="Q157" s="44">
        <f t="shared" si="46"/>
        <v>0</v>
      </c>
      <c r="R157" s="44">
        <f t="shared" si="46"/>
        <v>0</v>
      </c>
      <c r="S157" s="44">
        <f t="shared" si="46"/>
        <v>0</v>
      </c>
      <c r="T157" s="44">
        <f t="shared" si="46"/>
        <v>0</v>
      </c>
      <c r="U157" s="7"/>
      <c r="V157" s="45">
        <f t="shared" si="45"/>
        <v>1458982437</v>
      </c>
      <c r="W157" s="89">
        <f>+V157/$V$169</f>
        <v>0.4563566254</v>
      </c>
      <c r="X157" s="44">
        <v>3.795340527959381E8</v>
      </c>
      <c r="Y157" s="44">
        <v>3.57191569234139E8</v>
      </c>
      <c r="Z157" s="44">
        <v>3.848149942155697E8</v>
      </c>
      <c r="AA157" s="44">
        <v>3.928502979022027E8</v>
      </c>
      <c r="AB157" s="44">
        <v>4.090504783689007E8</v>
      </c>
      <c r="AC157" s="44">
        <v>3.993475303519039E8</v>
      </c>
      <c r="AD157" s="44">
        <v>4.327497061117609E8</v>
      </c>
      <c r="AE157" s="44">
        <v>4.203956549492868E8</v>
      </c>
      <c r="AF157" s="44">
        <v>4.34933664443306E8</v>
      </c>
      <c r="AG157" s="44">
        <v>4.465628633258526E8</v>
      </c>
      <c r="AH157" s="44">
        <v>4.358707774645659E8</v>
      </c>
      <c r="AI157" s="44">
        <v>4.423952263614437E8</v>
      </c>
      <c r="AJ157" s="89"/>
      <c r="AK157" s="103">
        <f t="shared" si="43"/>
        <v>1514390914</v>
      </c>
      <c r="AL157" s="10"/>
      <c r="AM157" s="30">
        <f>+V157-AK157</f>
        <v>-55408477.23</v>
      </c>
      <c r="AN157" s="47">
        <f>+AM157/AK157</f>
        <v>-0.03658796201</v>
      </c>
      <c r="AO157" s="7"/>
      <c r="AP157" s="7"/>
      <c r="AQ157" s="7"/>
      <c r="AR157" s="7"/>
      <c r="AS157" s="7"/>
    </row>
    <row r="158" ht="14.25" customHeight="1" outlineLevel="1">
      <c r="A158" s="18"/>
      <c r="B158" s="58"/>
      <c r="C158" s="145" t="s">
        <v>229</v>
      </c>
      <c r="D158" s="2" t="s">
        <v>228</v>
      </c>
      <c r="E158" s="60">
        <v>5617.0</v>
      </c>
      <c r="F158" s="89">
        <v>0.25</v>
      </c>
      <c r="G158" s="50" t="s">
        <v>52</v>
      </c>
      <c r="H158" s="144"/>
      <c r="I158" s="108">
        <v>3.294642388E8</v>
      </c>
      <c r="J158" s="108">
        <v>3.231225790622087E8</v>
      </c>
      <c r="K158" s="108">
        <v>3.5081080468E8</v>
      </c>
      <c r="L158" s="109">
        <v>3.252845461512331E8</v>
      </c>
      <c r="M158" s="52"/>
      <c r="N158" s="52"/>
      <c r="O158" s="52"/>
      <c r="P158" s="52"/>
      <c r="Q158" s="52"/>
      <c r="R158" s="52"/>
      <c r="S158" s="52"/>
      <c r="T158" s="52"/>
      <c r="U158" s="53"/>
      <c r="V158" s="54">
        <f t="shared" si="45"/>
        <v>1328682169</v>
      </c>
      <c r="W158" s="55"/>
      <c r="X158" s="6">
        <v>3.353257248815382E8</v>
      </c>
      <c r="Y158" s="6">
        <v>3.12332022019739E8</v>
      </c>
      <c r="Z158" s="6">
        <v>3.393996659886698E8</v>
      </c>
      <c r="AA158" s="6">
        <v>3.466226054072058E8</v>
      </c>
      <c r="AB158" s="6">
        <v>3.588902265608165E8</v>
      </c>
      <c r="AC158" s="6">
        <v>3.518577037315075E8</v>
      </c>
      <c r="AD158" s="6">
        <v>3.845220701697066E8</v>
      </c>
      <c r="AE158" s="6">
        <v>3.714576225866899E8</v>
      </c>
      <c r="AF158" s="6">
        <v>3.852745797138581E8</v>
      </c>
      <c r="AG158" s="6">
        <v>3.961322673438737E8</v>
      </c>
      <c r="AH158" s="6">
        <v>3.846973353079482E8</v>
      </c>
      <c r="AI158" s="6">
        <v>3.904677953375674E8</v>
      </c>
      <c r="AJ158" s="9"/>
      <c r="AK158" s="96">
        <f t="shared" si="43"/>
        <v>1333680018</v>
      </c>
      <c r="AL158" s="56"/>
      <c r="AM158" s="30"/>
      <c r="AN158" s="53"/>
      <c r="AO158" s="53"/>
      <c r="AP158" s="53"/>
      <c r="AQ158" s="53"/>
      <c r="AR158" s="53"/>
      <c r="AS158" s="53"/>
      <c r="AT158" s="53"/>
      <c r="AU158" s="53"/>
      <c r="AV158" s="53"/>
      <c r="AW158" s="53"/>
      <c r="AX158" s="53"/>
      <c r="AY158" s="53"/>
    </row>
    <row r="159" ht="14.25" customHeight="1" outlineLevel="1">
      <c r="A159" s="18"/>
      <c r="B159" s="58"/>
      <c r="C159" s="2" t="s">
        <v>230</v>
      </c>
      <c r="D159" s="2" t="s">
        <v>228</v>
      </c>
      <c r="E159" s="60"/>
      <c r="F159" s="2" t="s">
        <v>231</v>
      </c>
      <c r="G159" s="50" t="s">
        <v>52</v>
      </c>
      <c r="H159" s="104"/>
      <c r="I159" s="108">
        <v>1.072235093E7</v>
      </c>
      <c r="J159" s="108">
        <v>9590212.582439935</v>
      </c>
      <c r="K159" s="108">
        <v>1.175891928E7</v>
      </c>
      <c r="L159" s="109">
        <v>1.090329793377967E7</v>
      </c>
      <c r="M159" s="52"/>
      <c r="N159" s="52"/>
      <c r="O159" s="52"/>
      <c r="P159" s="52"/>
      <c r="Q159" s="52"/>
      <c r="R159" s="52"/>
      <c r="S159" s="52"/>
      <c r="T159" s="52"/>
      <c r="U159" s="53"/>
      <c r="V159" s="54">
        <f t="shared" si="45"/>
        <v>42974780.73</v>
      </c>
      <c r="W159" s="55"/>
      <c r="X159" s="6">
        <v>1.85625E7</v>
      </c>
      <c r="Y159" s="6">
        <v>1.88409375E7</v>
      </c>
      <c r="Z159" s="6">
        <v>1.91235515625E7</v>
      </c>
      <c r="AA159" s="6">
        <v>1.941040483593749E7</v>
      </c>
      <c r="AB159" s="6">
        <v>1.970156090847655E7</v>
      </c>
      <c r="AC159" s="6">
        <v>1.99970843221037E7</v>
      </c>
      <c r="AD159" s="6">
        <v>2.029704058693525E7</v>
      </c>
      <c r="AE159" s="6">
        <v>2.060149619573928E7</v>
      </c>
      <c r="AF159" s="6">
        <v>2.091051863867537E7</v>
      </c>
      <c r="AG159" s="6">
        <v>2.122417641825549E7</v>
      </c>
      <c r="AH159" s="6">
        <v>2.154253906452933E7</v>
      </c>
      <c r="AI159" s="6">
        <v>2.186567715049726E7</v>
      </c>
      <c r="AJ159" s="9"/>
      <c r="AK159" s="96">
        <f t="shared" si="43"/>
        <v>75937393.9</v>
      </c>
      <c r="AL159" s="56"/>
      <c r="AM159" s="30"/>
      <c r="AN159" s="53"/>
      <c r="AO159" s="53"/>
      <c r="AP159" s="53"/>
      <c r="AQ159" s="53"/>
      <c r="AR159" s="53"/>
      <c r="AS159" s="53"/>
      <c r="AT159" s="53"/>
      <c r="AU159" s="53"/>
      <c r="AV159" s="53"/>
      <c r="AW159" s="53"/>
      <c r="AX159" s="53"/>
      <c r="AY159" s="53"/>
    </row>
    <row r="160" ht="14.25" customHeight="1" outlineLevel="1">
      <c r="A160" s="18"/>
      <c r="B160" s="58"/>
      <c r="C160" s="2" t="s">
        <v>230</v>
      </c>
      <c r="D160" s="2" t="s">
        <v>228</v>
      </c>
      <c r="E160" s="60"/>
      <c r="F160" s="2" t="s">
        <v>232</v>
      </c>
      <c r="G160" s="50" t="s">
        <v>52</v>
      </c>
      <c r="H160" s="104"/>
      <c r="I160" s="108">
        <v>0.0</v>
      </c>
      <c r="J160" s="108">
        <v>0.0</v>
      </c>
      <c r="K160" s="108">
        <v>0.0</v>
      </c>
      <c r="L160" s="109">
        <v>0.0</v>
      </c>
      <c r="M160" s="52"/>
      <c r="N160" s="52"/>
      <c r="O160" s="52"/>
      <c r="P160" s="52"/>
      <c r="Q160" s="52"/>
      <c r="R160" s="52"/>
      <c r="S160" s="52"/>
      <c r="T160" s="52"/>
      <c r="U160" s="53"/>
      <c r="V160" s="54">
        <f t="shared" si="45"/>
        <v>0</v>
      </c>
      <c r="W160" s="55"/>
      <c r="X160" s="6">
        <v>1687500.0</v>
      </c>
      <c r="Y160" s="6">
        <v>1712812.5</v>
      </c>
      <c r="Z160" s="6">
        <v>1738504.6875</v>
      </c>
      <c r="AA160" s="6">
        <v>1764582.2578125</v>
      </c>
      <c r="AB160" s="6">
        <v>1791050.991679687</v>
      </c>
      <c r="AC160" s="6">
        <v>1817916.756554882</v>
      </c>
      <c r="AD160" s="6">
        <v>1845185.507903205</v>
      </c>
      <c r="AE160" s="6">
        <v>1872863.290521753</v>
      </c>
      <c r="AF160" s="6">
        <v>1900956.239879579</v>
      </c>
      <c r="AG160" s="6">
        <v>1929470.583477772</v>
      </c>
      <c r="AH160" s="6">
        <v>1958412.642229939</v>
      </c>
      <c r="AI160" s="6">
        <v>1987788.831863387</v>
      </c>
      <c r="AJ160" s="9"/>
      <c r="AK160" s="96">
        <f t="shared" si="43"/>
        <v>6903399.445</v>
      </c>
      <c r="AL160" s="56"/>
      <c r="AM160" s="30"/>
      <c r="AN160" s="53"/>
      <c r="AO160" s="53"/>
      <c r="AP160" s="53"/>
      <c r="AQ160" s="53"/>
      <c r="AR160" s="53"/>
      <c r="AS160" s="53"/>
      <c r="AT160" s="53"/>
      <c r="AU160" s="53"/>
      <c r="AV160" s="53"/>
      <c r="AW160" s="53"/>
      <c r="AX160" s="53"/>
      <c r="AY160" s="53"/>
    </row>
    <row r="161" ht="14.25" customHeight="1" outlineLevel="1">
      <c r="A161" s="18"/>
      <c r="B161" s="58"/>
      <c r="C161" s="145" t="s">
        <v>233</v>
      </c>
      <c r="D161" s="2" t="s">
        <v>228</v>
      </c>
      <c r="E161" s="60"/>
      <c r="F161" s="140" t="s">
        <v>234</v>
      </c>
      <c r="G161" s="50" t="s">
        <v>52</v>
      </c>
      <c r="H161" s="104"/>
      <c r="I161" s="108">
        <v>206025.24</v>
      </c>
      <c r="J161" s="108">
        <v>182471.0200464241</v>
      </c>
      <c r="K161" s="108">
        <v>197119.88</v>
      </c>
      <c r="L161" s="109">
        <v>182776.7227825004</v>
      </c>
      <c r="M161" s="52"/>
      <c r="N161" s="52"/>
      <c r="O161" s="52"/>
      <c r="P161" s="52"/>
      <c r="Q161" s="52"/>
      <c r="R161" s="52"/>
      <c r="S161" s="52"/>
      <c r="T161" s="52"/>
      <c r="U161" s="53"/>
      <c r="V161" s="54">
        <f t="shared" si="45"/>
        <v>768392.8628</v>
      </c>
      <c r="W161" s="55"/>
      <c r="X161" s="6">
        <v>193707.9144</v>
      </c>
      <c r="Y161" s="6">
        <v>193707.9144</v>
      </c>
      <c r="Z161" s="6">
        <v>193707.9144</v>
      </c>
      <c r="AA161" s="6">
        <v>202556.177154431</v>
      </c>
      <c r="AB161" s="6">
        <v>202556.177154431</v>
      </c>
      <c r="AC161" s="6">
        <v>202556.177154431</v>
      </c>
      <c r="AD161" s="6">
        <v>211808.6141730574</v>
      </c>
      <c r="AE161" s="6">
        <v>211808.6141730574</v>
      </c>
      <c r="AF161" s="6">
        <v>211808.6141730574</v>
      </c>
      <c r="AG161" s="6">
        <v>221483.6874794846</v>
      </c>
      <c r="AH161" s="6">
        <v>221483.6874794846</v>
      </c>
      <c r="AI161" s="6">
        <v>221483.6874794846</v>
      </c>
      <c r="AJ161" s="9"/>
      <c r="AK161" s="96">
        <f t="shared" si="43"/>
        <v>783679.9204</v>
      </c>
      <c r="AL161" s="56"/>
      <c r="AM161" s="30"/>
      <c r="AN161" s="53"/>
      <c r="AO161" s="53"/>
      <c r="AP161" s="53"/>
      <c r="AQ161" s="53"/>
      <c r="AR161" s="53"/>
      <c r="AS161" s="53"/>
      <c r="AT161" s="53"/>
      <c r="AU161" s="53"/>
      <c r="AV161" s="53"/>
      <c r="AW161" s="53"/>
      <c r="AX161" s="53"/>
      <c r="AY161" s="53"/>
    </row>
    <row r="162" ht="14.25" customHeight="1" outlineLevel="1">
      <c r="A162" s="18"/>
      <c r="B162" s="58"/>
      <c r="C162" s="145" t="s">
        <v>233</v>
      </c>
      <c r="D162" s="2" t="s">
        <v>228</v>
      </c>
      <c r="E162" s="60"/>
      <c r="F162" s="140" t="s">
        <v>235</v>
      </c>
      <c r="G162" s="50" t="s">
        <v>52</v>
      </c>
      <c r="H162" s="104"/>
      <c r="I162" s="108">
        <v>0.0</v>
      </c>
      <c r="J162" s="108">
        <v>0.0</v>
      </c>
      <c r="K162" s="108">
        <v>0.0</v>
      </c>
      <c r="L162" s="109">
        <v>0.0</v>
      </c>
      <c r="M162" s="52"/>
      <c r="N162" s="52"/>
      <c r="O162" s="52"/>
      <c r="P162" s="52"/>
      <c r="Q162" s="52"/>
      <c r="R162" s="52"/>
      <c r="S162" s="52"/>
      <c r="T162" s="52"/>
      <c r="U162" s="53"/>
      <c r="V162" s="54">
        <f t="shared" si="45"/>
        <v>0</v>
      </c>
      <c r="W162" s="55"/>
      <c r="X162" s="6">
        <v>102120.0</v>
      </c>
      <c r="Y162" s="6">
        <v>103651.8</v>
      </c>
      <c r="Z162" s="6"/>
      <c r="AA162" s="6">
        <v>106784.675655</v>
      </c>
      <c r="AB162" s="6">
        <v>3359979.819484573</v>
      </c>
      <c r="AC162" s="6"/>
      <c r="AD162" s="6"/>
      <c r="AE162" s="6"/>
      <c r="AF162" s="6"/>
      <c r="AG162" s="6"/>
      <c r="AH162" s="6"/>
      <c r="AI162" s="6"/>
      <c r="AJ162" s="9"/>
      <c r="AK162" s="96">
        <f t="shared" si="43"/>
        <v>312556.4757</v>
      </c>
      <c r="AL162" s="56"/>
      <c r="AM162" s="30"/>
      <c r="AN162" s="53"/>
      <c r="AO162" s="53"/>
      <c r="AP162" s="53"/>
      <c r="AQ162" s="53"/>
      <c r="AR162" s="53"/>
      <c r="AS162" s="53"/>
      <c r="AT162" s="53"/>
      <c r="AU162" s="53"/>
      <c r="AV162" s="53"/>
      <c r="AW162" s="53"/>
      <c r="AX162" s="53"/>
      <c r="AY162" s="53"/>
    </row>
    <row r="163" ht="14.25" customHeight="1" outlineLevel="1">
      <c r="A163" s="18"/>
      <c r="B163" s="58"/>
      <c r="C163" s="145" t="s">
        <v>236</v>
      </c>
      <c r="D163" s="2" t="s">
        <v>228</v>
      </c>
      <c r="E163" s="60"/>
      <c r="F163" s="2" t="s">
        <v>237</v>
      </c>
      <c r="G163" s="50" t="s">
        <v>52</v>
      </c>
      <c r="H163" s="104"/>
      <c r="I163" s="108">
        <v>637367.03</v>
      </c>
      <c r="J163" s="108">
        <v>564498.8401436193</v>
      </c>
      <c r="K163" s="108">
        <v>609817.08</v>
      </c>
      <c r="L163" s="109">
        <v>565444.592930652</v>
      </c>
      <c r="M163" s="52"/>
      <c r="N163" s="52"/>
      <c r="O163" s="52"/>
      <c r="P163" s="52"/>
      <c r="Q163" s="52"/>
      <c r="R163" s="52"/>
      <c r="S163" s="52"/>
      <c r="T163" s="52"/>
      <c r="U163" s="53"/>
      <c r="V163" s="54">
        <f t="shared" si="45"/>
        <v>2377127.543</v>
      </c>
      <c r="W163" s="55"/>
      <c r="X163" s="6">
        <v>600000.0</v>
      </c>
      <c r="Y163" s="6">
        <v>600000.0</v>
      </c>
      <c r="Z163" s="6">
        <v>600000.0</v>
      </c>
      <c r="AA163" s="6">
        <v>627407.0249999998</v>
      </c>
      <c r="AB163" s="6">
        <v>627407.0249999998</v>
      </c>
      <c r="AC163" s="6">
        <v>627407.0249999998</v>
      </c>
      <c r="AD163" s="6">
        <v>656065.9583655839</v>
      </c>
      <c r="AE163" s="6">
        <v>656065.9583655839</v>
      </c>
      <c r="AF163" s="6">
        <v>656065.9583655839</v>
      </c>
      <c r="AG163" s="6">
        <v>686033.9852365411</v>
      </c>
      <c r="AH163" s="6">
        <v>686033.9852365411</v>
      </c>
      <c r="AI163" s="6">
        <v>686033.9852365411</v>
      </c>
      <c r="AJ163" s="9"/>
      <c r="AK163" s="96">
        <f t="shared" si="43"/>
        <v>2427407.025</v>
      </c>
      <c r="AL163" s="56"/>
      <c r="AM163" s="30"/>
      <c r="AN163" s="53"/>
      <c r="AO163" s="53"/>
      <c r="AP163" s="53"/>
      <c r="AQ163" s="53"/>
      <c r="AR163" s="53"/>
      <c r="AS163" s="53"/>
      <c r="AT163" s="53"/>
      <c r="AU163" s="53"/>
      <c r="AV163" s="53"/>
      <c r="AW163" s="53"/>
      <c r="AX163" s="53"/>
      <c r="AY163" s="53"/>
    </row>
    <row r="164" ht="14.25" customHeight="1" outlineLevel="1">
      <c r="A164" s="18"/>
      <c r="B164" s="58"/>
      <c r="C164" s="2" t="s">
        <v>238</v>
      </c>
      <c r="D164" s="2" t="s">
        <v>228</v>
      </c>
      <c r="E164" s="60"/>
      <c r="F164" s="2" t="s">
        <v>239</v>
      </c>
      <c r="G164" s="50" t="s">
        <v>52</v>
      </c>
      <c r="H164" s="104"/>
      <c r="I164" s="108">
        <v>2.276722824E7</v>
      </c>
      <c r="J164" s="108">
        <v>2.028710058516143E7</v>
      </c>
      <c r="K164" s="108">
        <v>2.133917668E7</v>
      </c>
      <c r="L164" s="109">
        <v>1.978646127927407E7</v>
      </c>
      <c r="M164" s="52"/>
      <c r="N164" s="52"/>
      <c r="O164" s="52"/>
      <c r="P164" s="52"/>
      <c r="Q164" s="52"/>
      <c r="R164" s="52"/>
      <c r="S164" s="52"/>
      <c r="T164" s="52"/>
      <c r="U164" s="53"/>
      <c r="V164" s="54">
        <f t="shared" si="45"/>
        <v>84179966.78</v>
      </c>
      <c r="W164" s="55"/>
      <c r="X164" s="6">
        <v>2.30625E7</v>
      </c>
      <c r="Y164" s="6">
        <v>2.340843749999999E7</v>
      </c>
      <c r="Z164" s="6">
        <v>2.375956406249999E7</v>
      </c>
      <c r="AA164" s="6">
        <v>2.411595752343749E7</v>
      </c>
      <c r="AB164" s="6">
        <v>2.447769688628905E7</v>
      </c>
      <c r="AC164" s="6">
        <v>2.484486233958338E7</v>
      </c>
      <c r="AD164" s="6">
        <v>2.521753527467713E7</v>
      </c>
      <c r="AE164" s="6">
        <v>2.559579830379729E7</v>
      </c>
      <c r="AF164" s="6">
        <v>2.597973527835424E7</v>
      </c>
      <c r="AG164" s="6">
        <v>2.636943130752955E7</v>
      </c>
      <c r="AH164" s="6">
        <v>2.676497277714249E7</v>
      </c>
      <c r="AI164" s="6">
        <v>2.716644736879963E7</v>
      </c>
      <c r="AJ164" s="9"/>
      <c r="AK164" s="96">
        <f t="shared" si="43"/>
        <v>94346459.09</v>
      </c>
      <c r="AL164" s="56"/>
      <c r="AM164" s="30"/>
      <c r="AN164" s="53"/>
      <c r="AO164" s="53"/>
      <c r="AP164" s="53"/>
      <c r="AQ164" s="53"/>
      <c r="AR164" s="53"/>
      <c r="AS164" s="53"/>
      <c r="AT164" s="53"/>
      <c r="AU164" s="53"/>
      <c r="AV164" s="53"/>
      <c r="AW164" s="53"/>
      <c r="AX164" s="53"/>
      <c r="AY164" s="53"/>
    </row>
    <row r="165" ht="14.25" customHeight="1" outlineLevel="1">
      <c r="A165" s="18"/>
      <c r="B165" s="58"/>
      <c r="C165" s="5"/>
      <c r="D165" s="50"/>
      <c r="E165" s="50"/>
      <c r="F165" s="5"/>
      <c r="G165" s="50"/>
      <c r="H165" s="104"/>
      <c r="I165" s="52"/>
      <c r="J165" s="52"/>
      <c r="K165" s="52"/>
      <c r="L165" s="52"/>
      <c r="M165" s="52"/>
      <c r="N165" s="52"/>
      <c r="O165" s="52"/>
      <c r="P165" s="52"/>
      <c r="Q165" s="52"/>
      <c r="R165" s="52"/>
      <c r="S165" s="52"/>
      <c r="T165" s="52"/>
      <c r="U165" s="53"/>
      <c r="V165" s="54">
        <f t="shared" si="45"/>
        <v>0</v>
      </c>
      <c r="W165" s="55"/>
      <c r="X165" s="52"/>
      <c r="Y165" s="52"/>
      <c r="Z165" s="52"/>
      <c r="AA165" s="52"/>
      <c r="AB165" s="52"/>
      <c r="AC165" s="52"/>
      <c r="AD165" s="52"/>
      <c r="AE165" s="52"/>
      <c r="AF165" s="52"/>
      <c r="AG165" s="52"/>
      <c r="AH165" s="52"/>
      <c r="AI165" s="52"/>
      <c r="AJ165" s="55"/>
      <c r="AK165" s="54"/>
      <c r="AL165" s="56"/>
      <c r="AM165" s="30"/>
      <c r="AN165" s="53"/>
      <c r="AO165" s="53"/>
      <c r="AP165" s="53"/>
      <c r="AQ165" s="53"/>
      <c r="AR165" s="53"/>
      <c r="AS165" s="53"/>
      <c r="AT165" s="53"/>
      <c r="AU165" s="53"/>
      <c r="AV165" s="53"/>
      <c r="AW165" s="53"/>
      <c r="AX165" s="53"/>
      <c r="AY165" s="53"/>
    </row>
    <row r="166" ht="15.75" customHeight="1">
      <c r="A166" s="22"/>
      <c r="B166" s="41"/>
      <c r="C166" s="62"/>
      <c r="D166" s="42" t="s">
        <v>240</v>
      </c>
      <c r="E166" s="42"/>
      <c r="F166" s="42"/>
      <c r="G166" s="43"/>
      <c r="H166" s="43"/>
      <c r="I166" s="44">
        <f t="shared" ref="I166:T166" si="47">I167</f>
        <v>0</v>
      </c>
      <c r="J166" s="44">
        <f t="shared" si="47"/>
        <v>0</v>
      </c>
      <c r="K166" s="44">
        <f t="shared" si="47"/>
        <v>0</v>
      </c>
      <c r="L166" s="44">
        <f t="shared" si="47"/>
        <v>0</v>
      </c>
      <c r="M166" s="44">
        <f t="shared" si="47"/>
        <v>0</v>
      </c>
      <c r="N166" s="44">
        <f t="shared" si="47"/>
        <v>0</v>
      </c>
      <c r="O166" s="44">
        <f t="shared" si="47"/>
        <v>0</v>
      </c>
      <c r="P166" s="44">
        <f t="shared" si="47"/>
        <v>0</v>
      </c>
      <c r="Q166" s="44">
        <f t="shared" si="47"/>
        <v>0</v>
      </c>
      <c r="R166" s="44">
        <f t="shared" si="47"/>
        <v>0</v>
      </c>
      <c r="S166" s="44">
        <f t="shared" si="47"/>
        <v>0</v>
      </c>
      <c r="T166" s="44">
        <f t="shared" si="47"/>
        <v>0</v>
      </c>
      <c r="U166" s="7"/>
      <c r="V166" s="45">
        <f t="shared" si="45"/>
        <v>0</v>
      </c>
      <c r="W166" s="146">
        <f>+V166/$V$169</f>
        <v>0</v>
      </c>
      <c r="X166" s="44">
        <v>1.411897788974898E7</v>
      </c>
      <c r="Y166" s="44">
        <v>1.315082197977848E7</v>
      </c>
      <c r="Z166" s="44">
        <v>1.429051225215452E7</v>
      </c>
      <c r="AA166" s="44">
        <v>1.459463601714551E7</v>
      </c>
      <c r="AB166" s="44">
        <v>1.511116743413964E7</v>
      </c>
      <c r="AC166" s="44">
        <v>1.481506120974769E7</v>
      </c>
      <c r="AD166" s="44">
        <v>1.619040295451397E7</v>
      </c>
      <c r="AE166" s="44">
        <v>1.564032095101852E7</v>
      </c>
      <c r="AF166" s="44">
        <v>1.622208756689929E7</v>
      </c>
      <c r="AG166" s="44">
        <v>1.667925336184731E7</v>
      </c>
      <c r="AH166" s="44">
        <v>1.619778253928203E7</v>
      </c>
      <c r="AI166" s="44">
        <v>1.644074927737126E7</v>
      </c>
      <c r="AJ166" s="146"/>
      <c r="AK166" s="103">
        <f t="shared" ref="AK166:AK167" si="50">SUM(X166:AA166)</f>
        <v>56154948.14</v>
      </c>
      <c r="AL166" s="10"/>
      <c r="AM166" s="30">
        <f>+V166-AK166</f>
        <v>-56154948.14</v>
      </c>
      <c r="AN166" s="47">
        <f>+AM166/AK166</f>
        <v>-1</v>
      </c>
      <c r="AO166" s="147" t="s">
        <v>241</v>
      </c>
      <c r="AP166" s="7"/>
      <c r="AQ166" s="7"/>
      <c r="AR166" s="7"/>
      <c r="AS166" s="7"/>
    </row>
    <row r="167" ht="14.25" hidden="1" customHeight="1" outlineLevel="1">
      <c r="A167" s="18"/>
      <c r="B167" s="58"/>
      <c r="C167" s="2" t="s">
        <v>240</v>
      </c>
      <c r="D167" s="148"/>
      <c r="E167" s="60"/>
      <c r="F167" s="149">
        <v>0.01</v>
      </c>
      <c r="G167" s="60" t="s">
        <v>52</v>
      </c>
      <c r="H167" s="150"/>
      <c r="I167" s="6">
        <f t="shared" ref="I167:J167" si="48">+$F$167*(SUM(I14:I15))*0</f>
        <v>0</v>
      </c>
      <c r="J167" s="6">
        <f t="shared" si="48"/>
        <v>0</v>
      </c>
      <c r="K167" s="6">
        <v>0.0</v>
      </c>
      <c r="L167" s="6">
        <f>+$F$167*(SUM(L14:L15))*0</f>
        <v>0</v>
      </c>
      <c r="M167" s="52">
        <f t="shared" ref="M167:T167" si="49">+$F$167*(SUM(M14:M15))</f>
        <v>0</v>
      </c>
      <c r="N167" s="52">
        <f t="shared" si="49"/>
        <v>0</v>
      </c>
      <c r="O167" s="52">
        <f t="shared" si="49"/>
        <v>0</v>
      </c>
      <c r="P167" s="52">
        <f t="shared" si="49"/>
        <v>0</v>
      </c>
      <c r="Q167" s="52">
        <f t="shared" si="49"/>
        <v>0</v>
      </c>
      <c r="R167" s="52">
        <f t="shared" si="49"/>
        <v>0</v>
      </c>
      <c r="S167" s="52">
        <f t="shared" si="49"/>
        <v>0</v>
      </c>
      <c r="T167" s="52">
        <f t="shared" si="49"/>
        <v>0</v>
      </c>
      <c r="U167" s="53"/>
      <c r="V167" s="54">
        <f t="shared" si="45"/>
        <v>0</v>
      </c>
      <c r="W167" s="55"/>
      <c r="X167" s="52">
        <v>1.411897788974898E7</v>
      </c>
      <c r="Y167" s="52">
        <v>1.315082197977848E7</v>
      </c>
      <c r="Z167" s="52">
        <v>1.429051225215452E7</v>
      </c>
      <c r="AA167" s="52">
        <v>1.459463601714551E7</v>
      </c>
      <c r="AB167" s="52">
        <v>1.511116743413964E7</v>
      </c>
      <c r="AC167" s="52">
        <v>1.481506120974769E7</v>
      </c>
      <c r="AD167" s="52">
        <v>1.619040295451397E7</v>
      </c>
      <c r="AE167" s="52">
        <v>1.564032095101852E7</v>
      </c>
      <c r="AF167" s="52">
        <v>1.622208756689929E7</v>
      </c>
      <c r="AG167" s="52">
        <v>1.667925336184731E7</v>
      </c>
      <c r="AH167" s="52">
        <v>1.619778253928203E7</v>
      </c>
      <c r="AI167" s="52">
        <v>1.644074927737126E7</v>
      </c>
      <c r="AJ167" s="55"/>
      <c r="AK167" s="54">
        <f t="shared" si="50"/>
        <v>56154948.14</v>
      </c>
      <c r="AL167" s="56"/>
      <c r="AM167" s="30"/>
      <c r="AN167" s="53"/>
      <c r="AO167" s="53"/>
      <c r="AP167" s="53"/>
      <c r="AQ167" s="53"/>
      <c r="AR167" s="53"/>
      <c r="AS167" s="53"/>
      <c r="AT167" s="53"/>
      <c r="AU167" s="53"/>
      <c r="AV167" s="53"/>
      <c r="AW167" s="53"/>
      <c r="AX167" s="53"/>
      <c r="AY167" s="53"/>
    </row>
    <row r="168" ht="12.0" hidden="1" customHeight="1" outlineLevel="1">
      <c r="A168" s="1"/>
      <c r="B168" s="59"/>
      <c r="C168" s="2"/>
      <c r="D168" s="60"/>
      <c r="E168" s="60"/>
      <c r="F168" s="145"/>
      <c r="G168" s="60"/>
      <c r="H168" s="60"/>
      <c r="I168" s="6"/>
      <c r="J168" s="6"/>
      <c r="K168" s="6"/>
      <c r="L168" s="108">
        <v>0.0</v>
      </c>
      <c r="M168" s="52"/>
      <c r="N168" s="52"/>
      <c r="O168" s="52"/>
      <c r="P168" s="151"/>
      <c r="Q168" s="52"/>
      <c r="R168" s="52"/>
      <c r="S168" s="52"/>
      <c r="T168" s="52"/>
      <c r="U168" s="7"/>
      <c r="V168" s="54"/>
      <c r="W168" s="9"/>
      <c r="X168" s="52"/>
      <c r="Y168" s="52"/>
      <c r="Z168" s="52"/>
      <c r="AA168" s="52"/>
      <c r="AB168" s="52"/>
      <c r="AC168" s="52"/>
      <c r="AD168" s="52"/>
      <c r="AE168" s="52"/>
      <c r="AF168" s="52"/>
      <c r="AG168" s="52"/>
      <c r="AH168" s="52"/>
      <c r="AI168" s="52"/>
      <c r="AJ168" s="9"/>
      <c r="AK168" s="54"/>
      <c r="AL168" s="10"/>
      <c r="AM168" s="30"/>
      <c r="AN168" s="7"/>
      <c r="AO168" s="7"/>
      <c r="AP168" s="7"/>
      <c r="AQ168" s="7"/>
      <c r="AR168" s="7"/>
      <c r="AS168" s="7"/>
    </row>
    <row r="169" ht="16.5" customHeight="1" collapsed="1">
      <c r="A169" s="22"/>
      <c r="B169" s="152" t="s">
        <v>242</v>
      </c>
      <c r="C169" s="153"/>
      <c r="D169" s="85"/>
      <c r="E169" s="85"/>
      <c r="F169" s="153"/>
      <c r="G169" s="85"/>
      <c r="H169" s="85"/>
      <c r="I169" s="86">
        <f t="shared" ref="I169:L169" si="51">+I128+I106+I93+I87+I81+I75+I58+I46+I154+I157+I73+I151+I70+I166+I125</f>
        <v>753834624.4</v>
      </c>
      <c r="J169" s="86">
        <f t="shared" si="51"/>
        <v>732033433.6</v>
      </c>
      <c r="K169" s="86">
        <f t="shared" si="51"/>
        <v>948130563.9</v>
      </c>
      <c r="L169" s="86">
        <f t="shared" si="51"/>
        <v>763023960</v>
      </c>
      <c r="M169" s="86">
        <f t="shared" ref="M169:T169" si="52">+M128+M106+M93+M87+M81+M75+M58+M46+M154+M157+M73+M151+M70+M166</f>
        <v>0</v>
      </c>
      <c r="N169" s="86">
        <f t="shared" si="52"/>
        <v>0</v>
      </c>
      <c r="O169" s="86">
        <f t="shared" si="52"/>
        <v>0</v>
      </c>
      <c r="P169" s="87">
        <f t="shared" si="52"/>
        <v>0</v>
      </c>
      <c r="Q169" s="86">
        <f t="shared" si="52"/>
        <v>0</v>
      </c>
      <c r="R169" s="86">
        <f t="shared" si="52"/>
        <v>0</v>
      </c>
      <c r="S169" s="86">
        <f t="shared" si="52"/>
        <v>0</v>
      </c>
      <c r="T169" s="86">
        <f t="shared" si="52"/>
        <v>0</v>
      </c>
      <c r="U169" s="7"/>
      <c r="V169" s="88">
        <f>SUM(I169:L169)</f>
        <v>3197022582</v>
      </c>
      <c r="W169" s="40"/>
      <c r="X169" s="86">
        <v>8.496210849102026E8</v>
      </c>
      <c r="Y169" s="86">
        <v>8.110635250217371E8</v>
      </c>
      <c r="Z169" s="86">
        <v>8.352490687973492E8</v>
      </c>
      <c r="AA169" s="86">
        <v>8.989977188039327E8</v>
      </c>
      <c r="AB169" s="86">
        <v>9.343802545435349E8</v>
      </c>
      <c r="AC169" s="86">
        <v>9.458627752547005E8</v>
      </c>
      <c r="AD169" s="86">
        <v>1.243202263177203E9</v>
      </c>
      <c r="AE169" s="86">
        <v>1.015045519545725E9</v>
      </c>
      <c r="AF169" s="86">
        <v>1.053763494787223E9</v>
      </c>
      <c r="AG169" s="86">
        <v>1.115692490066707E9</v>
      </c>
      <c r="AH169" s="86">
        <v>1.11079765643711E9</v>
      </c>
      <c r="AI169" s="86">
        <v>1.149723802142379E9</v>
      </c>
      <c r="AJ169" s="40"/>
      <c r="AK169" s="88">
        <f>SUM(X169:AA169)</f>
        <v>3394931398</v>
      </c>
      <c r="AL169" s="10"/>
      <c r="AM169" s="30">
        <f>+V169-AK169</f>
        <v>-197908815.7</v>
      </c>
      <c r="AN169" s="47">
        <f>+AM169/AK169</f>
        <v>-0.05829537994</v>
      </c>
      <c r="AO169" s="147" t="s">
        <v>243</v>
      </c>
      <c r="AP169" s="7"/>
      <c r="AQ169" s="7"/>
      <c r="AR169" s="7"/>
      <c r="AS169" s="7"/>
    </row>
    <row r="170" ht="12.0" customHeight="1">
      <c r="A170" s="154"/>
      <c r="B170" s="155"/>
      <c r="C170" s="155"/>
      <c r="D170" s="156"/>
      <c r="E170" s="60"/>
      <c r="F170" s="155"/>
      <c r="G170" s="60" t="s">
        <v>244</v>
      </c>
      <c r="H170" s="60"/>
      <c r="I170" s="157"/>
      <c r="J170" s="157"/>
      <c r="K170" s="157"/>
      <c r="L170" s="157"/>
      <c r="M170" s="157"/>
      <c r="N170" s="157"/>
      <c r="O170" s="157"/>
      <c r="P170" s="94"/>
      <c r="Q170" s="157"/>
      <c r="R170" s="157"/>
      <c r="S170" s="157"/>
      <c r="T170" s="157"/>
      <c r="U170" s="157"/>
      <c r="V170" s="158"/>
      <c r="W170" s="9"/>
      <c r="X170" s="157"/>
      <c r="Y170" s="157"/>
      <c r="Z170" s="157"/>
      <c r="AA170" s="157"/>
      <c r="AB170" s="157"/>
      <c r="AC170" s="157"/>
      <c r="AD170" s="157"/>
      <c r="AE170" s="157"/>
      <c r="AF170" s="157"/>
      <c r="AG170" s="157"/>
      <c r="AH170" s="157"/>
      <c r="AI170" s="157"/>
      <c r="AJ170" s="9"/>
      <c r="AK170" s="159"/>
      <c r="AL170" s="10"/>
      <c r="AM170" s="30"/>
      <c r="AN170" s="7"/>
      <c r="AO170" s="7"/>
      <c r="AP170" s="7"/>
      <c r="AQ170" s="7"/>
      <c r="AR170" s="7"/>
      <c r="AS170" s="7"/>
    </row>
    <row r="171" ht="12.0" customHeight="1">
      <c r="A171" s="22"/>
      <c r="B171" s="23" t="s">
        <v>245</v>
      </c>
      <c r="C171" s="160"/>
      <c r="D171" s="161"/>
      <c r="E171" s="161"/>
      <c r="F171" s="160"/>
      <c r="G171" s="161"/>
      <c r="H171" s="161"/>
      <c r="I171" s="162">
        <f t="shared" ref="I171:T171" si="53">+I42-I169</f>
        <v>1158904645</v>
      </c>
      <c r="J171" s="162">
        <f t="shared" si="53"/>
        <v>1126194529</v>
      </c>
      <c r="K171" s="162">
        <f t="shared" si="53"/>
        <v>1071853248</v>
      </c>
      <c r="L171" s="162">
        <f t="shared" si="53"/>
        <v>1364280983</v>
      </c>
      <c r="M171" s="162">
        <f t="shared" si="53"/>
        <v>0</v>
      </c>
      <c r="N171" s="162">
        <f t="shared" si="53"/>
        <v>0</v>
      </c>
      <c r="O171" s="162">
        <f t="shared" si="53"/>
        <v>0</v>
      </c>
      <c r="P171" s="71">
        <f t="shared" si="53"/>
        <v>0</v>
      </c>
      <c r="Q171" s="162">
        <f t="shared" si="53"/>
        <v>0</v>
      </c>
      <c r="R171" s="162">
        <f t="shared" si="53"/>
        <v>0</v>
      </c>
      <c r="S171" s="162">
        <f t="shared" si="53"/>
        <v>0</v>
      </c>
      <c r="T171" s="162">
        <f t="shared" si="53"/>
        <v>0</v>
      </c>
      <c r="U171" s="163"/>
      <c r="V171" s="164">
        <f>+V42-V169</f>
        <v>4721233405</v>
      </c>
      <c r="W171" s="165"/>
      <c r="X171" s="162">
        <v>1.010152243053085E9</v>
      </c>
      <c r="Y171" s="162">
        <v>9.294940867331529E8</v>
      </c>
      <c r="Z171" s="162">
        <v>1.055055810256945E9</v>
      </c>
      <c r="AA171" s="162">
        <v>1.089387224550265E9</v>
      </c>
      <c r="AB171" s="162">
        <v>1.167361302903339E9</v>
      </c>
      <c r="AC171" s="162">
        <v>1.16619278230918E9</v>
      </c>
      <c r="AD171" s="162">
        <v>1.090729723307925E9</v>
      </c>
      <c r="AE171" s="162">
        <v>1.290175908644285E9</v>
      </c>
      <c r="AF171" s="162">
        <v>1.368189686343127E9</v>
      </c>
      <c r="AG171" s="162">
        <v>1.421981250945467E9</v>
      </c>
      <c r="AH171" s="162">
        <v>1.37155801916514E9</v>
      </c>
      <c r="AI171" s="162">
        <v>1.412436161919346E9</v>
      </c>
      <c r="AJ171" s="165"/>
      <c r="AK171" s="164">
        <f>+AK42-AK169</f>
        <v>4084089365</v>
      </c>
      <c r="AL171" s="10"/>
      <c r="AM171" s="30">
        <f>+V171-AK171</f>
        <v>637144040.3</v>
      </c>
      <c r="AN171" s="47">
        <f>+AM171/AK171</f>
        <v>0.1560063905</v>
      </c>
      <c r="AO171" s="147" t="s">
        <v>246</v>
      </c>
      <c r="AP171" s="7"/>
      <c r="AQ171" s="7"/>
      <c r="AR171" s="7"/>
      <c r="AS171" s="7"/>
    </row>
    <row r="172" ht="12.75" customHeight="1">
      <c r="A172" s="22"/>
      <c r="B172" s="166" t="s">
        <v>247</v>
      </c>
      <c r="C172" s="167"/>
      <c r="D172" s="168"/>
      <c r="E172" s="168"/>
      <c r="F172" s="167"/>
      <c r="G172" s="168"/>
      <c r="H172" s="168"/>
      <c r="I172" s="169">
        <f t="shared" ref="I172:T172" si="54">+I171/I42</f>
        <v>0.6058874117</v>
      </c>
      <c r="J172" s="169">
        <f t="shared" si="54"/>
        <v>0.6060583263</v>
      </c>
      <c r="K172" s="169">
        <f t="shared" si="54"/>
        <v>0.5306246721</v>
      </c>
      <c r="L172" s="169">
        <f t="shared" si="54"/>
        <v>0.641318955</v>
      </c>
      <c r="M172" s="169" t="str">
        <f t="shared" si="54"/>
        <v>#DIV/0!</v>
      </c>
      <c r="N172" s="169" t="str">
        <f t="shared" si="54"/>
        <v>#DIV/0!</v>
      </c>
      <c r="O172" s="169" t="str">
        <f t="shared" si="54"/>
        <v>#DIV/0!</v>
      </c>
      <c r="P172" s="169" t="str">
        <f t="shared" si="54"/>
        <v>#DIV/0!</v>
      </c>
      <c r="Q172" s="169" t="str">
        <f t="shared" si="54"/>
        <v>#DIV/0!</v>
      </c>
      <c r="R172" s="169" t="str">
        <f t="shared" si="54"/>
        <v>#DIV/0!</v>
      </c>
      <c r="S172" s="169" t="str">
        <f t="shared" si="54"/>
        <v>#DIV/0!</v>
      </c>
      <c r="T172" s="169" t="str">
        <f t="shared" si="54"/>
        <v>#DIV/0!</v>
      </c>
      <c r="U172" s="7"/>
      <c r="V172" s="170">
        <f>+V171/V42</f>
        <v>0.5962466246</v>
      </c>
      <c r="W172" s="9"/>
      <c r="X172" s="169">
        <v>0.5431587967547331</v>
      </c>
      <c r="Y172" s="169">
        <v>0.5340208680573377</v>
      </c>
      <c r="Z172" s="169">
        <v>0.5581405528534539</v>
      </c>
      <c r="AA172" s="169">
        <v>0.5478754142608737</v>
      </c>
      <c r="AB172" s="169">
        <v>0.5554257129127765</v>
      </c>
      <c r="AC172" s="169">
        <v>0.5521600878976441</v>
      </c>
      <c r="AD172" s="169">
        <v>0.4673356934237617</v>
      </c>
      <c r="AE172" s="169">
        <v>0.5596754797031761</v>
      </c>
      <c r="AF172" s="169">
        <v>0.5649116989555427</v>
      </c>
      <c r="AG172" s="169">
        <v>0.5603483331857692</v>
      </c>
      <c r="AH172" s="169">
        <v>0.5525227640202619</v>
      </c>
      <c r="AI172" s="169">
        <v>0.5512677513234763</v>
      </c>
      <c r="AJ172" s="9"/>
      <c r="AK172" s="170">
        <f>+AK171/AK42</f>
        <v>0.5460727406</v>
      </c>
      <c r="AL172" s="10"/>
      <c r="AM172" s="30"/>
      <c r="AN172" s="7"/>
      <c r="AO172" s="7"/>
      <c r="AP172" s="7"/>
      <c r="AQ172" s="7"/>
      <c r="AR172" s="7"/>
      <c r="AS172" s="7"/>
    </row>
    <row r="173" ht="9.0" customHeight="1">
      <c r="A173" s="1"/>
      <c r="B173" s="2"/>
      <c r="C173" s="2"/>
      <c r="D173" s="60"/>
      <c r="E173" s="60"/>
      <c r="F173" s="2"/>
      <c r="G173" s="60"/>
      <c r="H173" s="60"/>
      <c r="I173" s="6"/>
      <c r="J173" s="6"/>
      <c r="K173" s="6"/>
      <c r="L173" s="6"/>
      <c r="M173" s="6"/>
      <c r="N173" s="6"/>
      <c r="O173" s="6"/>
      <c r="P173" s="6"/>
      <c r="Q173" s="6"/>
      <c r="R173" s="6"/>
      <c r="S173" s="6"/>
      <c r="T173" s="6"/>
      <c r="U173" s="7"/>
      <c r="V173" s="96"/>
      <c r="W173" s="9"/>
      <c r="X173" s="6"/>
      <c r="Y173" s="6"/>
      <c r="Z173" s="6"/>
      <c r="AA173" s="6"/>
      <c r="AB173" s="6"/>
      <c r="AC173" s="6"/>
      <c r="AD173" s="6"/>
      <c r="AE173" s="6"/>
      <c r="AF173" s="6"/>
      <c r="AG173" s="6"/>
      <c r="AH173" s="6"/>
      <c r="AI173" s="6"/>
      <c r="AJ173" s="9"/>
      <c r="AK173" s="96"/>
      <c r="AL173" s="10"/>
      <c r="AM173" s="30"/>
      <c r="AN173" s="7"/>
      <c r="AO173" s="7"/>
      <c r="AP173" s="7"/>
      <c r="AQ173" s="7"/>
      <c r="AR173" s="7"/>
      <c r="AS173" s="7"/>
    </row>
    <row r="174" ht="12.0" customHeight="1">
      <c r="A174" s="18"/>
      <c r="B174" s="62"/>
      <c r="C174" s="62" t="s">
        <v>248</v>
      </c>
      <c r="D174" s="42"/>
      <c r="E174" s="171">
        <v>5417.0</v>
      </c>
      <c r="F174" s="42"/>
      <c r="G174" s="172" t="s">
        <v>249</v>
      </c>
      <c r="H174" s="172"/>
      <c r="I174" s="44">
        <v>67750.0</v>
      </c>
      <c r="J174" s="44">
        <v>49000.0</v>
      </c>
      <c r="K174" s="44">
        <v>49000.0</v>
      </c>
      <c r="L174" s="173">
        <v>49000.0</v>
      </c>
      <c r="M174" s="44"/>
      <c r="N174" s="44"/>
      <c r="O174" s="44"/>
      <c r="P174" s="44"/>
      <c r="Q174" s="44"/>
      <c r="R174" s="44"/>
      <c r="S174" s="44"/>
      <c r="T174" s="44"/>
      <c r="U174" s="174"/>
      <c r="V174" s="103">
        <f>SUM(I174:L174)</f>
        <v>214750</v>
      </c>
      <c r="W174" s="175"/>
      <c r="X174" s="44">
        <v>70000.0</v>
      </c>
      <c r="Y174" s="44">
        <v>70000.0</v>
      </c>
      <c r="Z174" s="44">
        <v>70000.0</v>
      </c>
      <c r="AA174" s="44">
        <v>70000.0</v>
      </c>
      <c r="AB174" s="44">
        <v>70000.0</v>
      </c>
      <c r="AC174" s="44">
        <v>70000.0</v>
      </c>
      <c r="AD174" s="44">
        <v>70000.0</v>
      </c>
      <c r="AE174" s="44">
        <v>70000.0</v>
      </c>
      <c r="AF174" s="44">
        <v>70000.0</v>
      </c>
      <c r="AG174" s="44">
        <v>70000.0</v>
      </c>
      <c r="AH174" s="44">
        <v>70000.0</v>
      </c>
      <c r="AI174" s="44">
        <v>70000.0</v>
      </c>
      <c r="AJ174" s="175"/>
      <c r="AK174" s="103">
        <f>SUM(X174:AA174)</f>
        <v>280000</v>
      </c>
      <c r="AL174" s="10"/>
      <c r="AM174" s="30"/>
      <c r="AN174" s="7"/>
      <c r="AO174" s="7"/>
      <c r="AP174" s="7"/>
      <c r="AQ174" s="7"/>
      <c r="AR174" s="7"/>
      <c r="AS174" s="7"/>
    </row>
    <row r="175" ht="5.25" customHeight="1">
      <c r="A175" s="18"/>
      <c r="B175" s="5"/>
      <c r="C175" s="5"/>
      <c r="D175" s="50"/>
      <c r="E175" s="50"/>
      <c r="F175" s="176"/>
      <c r="G175" s="50"/>
      <c r="H175" s="50"/>
      <c r="I175" s="52"/>
      <c r="J175" s="52"/>
      <c r="K175" s="52"/>
      <c r="L175" s="52"/>
      <c r="M175" s="52"/>
      <c r="N175" s="52"/>
      <c r="O175" s="52"/>
      <c r="P175" s="52"/>
      <c r="Q175" s="52"/>
      <c r="R175" s="52"/>
      <c r="S175" s="52"/>
      <c r="T175" s="52"/>
      <c r="U175" s="7"/>
      <c r="V175" s="54"/>
      <c r="W175" s="9"/>
      <c r="X175" s="52"/>
      <c r="Y175" s="52"/>
      <c r="Z175" s="52"/>
      <c r="AA175" s="52"/>
      <c r="AB175" s="52"/>
      <c r="AC175" s="52"/>
      <c r="AD175" s="52"/>
      <c r="AE175" s="52"/>
      <c r="AF175" s="52"/>
      <c r="AG175" s="52"/>
      <c r="AH175" s="52"/>
      <c r="AI175" s="52"/>
      <c r="AJ175" s="9"/>
      <c r="AK175" s="54"/>
      <c r="AL175" s="10"/>
      <c r="AM175" s="30"/>
      <c r="AN175" s="7"/>
      <c r="AO175" s="7"/>
      <c r="AP175" s="7"/>
      <c r="AQ175" s="7"/>
      <c r="AR175" s="7"/>
      <c r="AS175" s="7"/>
    </row>
    <row r="176" ht="15.0" customHeight="1">
      <c r="A176" s="18"/>
      <c r="B176" s="62"/>
      <c r="C176" s="62" t="s">
        <v>250</v>
      </c>
      <c r="D176" s="42"/>
      <c r="E176" s="171">
        <v>5121.0</v>
      </c>
      <c r="F176" s="42"/>
      <c r="G176" s="172" t="s">
        <v>250</v>
      </c>
      <c r="H176" s="172"/>
      <c r="I176" s="44">
        <v>140088.0</v>
      </c>
      <c r="J176" s="44">
        <v>-4508.0</v>
      </c>
      <c r="K176" s="44">
        <v>-5728.0</v>
      </c>
      <c r="L176" s="173">
        <v>47373.53</v>
      </c>
      <c r="M176" s="44"/>
      <c r="N176" s="44"/>
      <c r="O176" s="44"/>
      <c r="P176" s="44"/>
      <c r="Q176" s="44"/>
      <c r="R176" s="44"/>
      <c r="S176" s="44"/>
      <c r="T176" s="44"/>
      <c r="U176" s="174"/>
      <c r="V176" s="103">
        <f>SUM(I176:L176)</f>
        <v>177225.53</v>
      </c>
      <c r="W176" s="175"/>
      <c r="X176" s="44"/>
      <c r="Y176" s="44"/>
      <c r="Z176" s="44"/>
      <c r="AA176" s="44"/>
      <c r="AB176" s="44"/>
      <c r="AC176" s="44"/>
      <c r="AD176" s="44"/>
      <c r="AE176" s="44"/>
      <c r="AF176" s="44"/>
      <c r="AG176" s="44"/>
      <c r="AH176" s="44"/>
      <c r="AI176" s="44"/>
      <c r="AJ176" s="175"/>
      <c r="AK176" s="103">
        <f>SUM(X176:AA176)</f>
        <v>0</v>
      </c>
      <c r="AL176" s="10"/>
      <c r="AM176" s="30"/>
      <c r="AN176" s="7"/>
      <c r="AO176" s="7"/>
      <c r="AP176" s="7"/>
      <c r="AQ176" s="7"/>
      <c r="AR176" s="7"/>
      <c r="AS176" s="7"/>
    </row>
    <row r="177" ht="5.25" customHeight="1">
      <c r="A177" s="18"/>
      <c r="B177" s="5"/>
      <c r="C177" s="5"/>
      <c r="D177" s="50"/>
      <c r="E177" s="50"/>
      <c r="F177" s="176"/>
      <c r="G177" s="50"/>
      <c r="H177" s="50"/>
      <c r="I177" s="52"/>
      <c r="J177" s="52"/>
      <c r="K177" s="52"/>
      <c r="L177" s="52"/>
      <c r="M177" s="52"/>
      <c r="N177" s="52"/>
      <c r="O177" s="52"/>
      <c r="P177" s="52"/>
      <c r="Q177" s="52"/>
      <c r="R177" s="52"/>
      <c r="S177" s="52"/>
      <c r="T177" s="52"/>
      <c r="U177" s="7"/>
      <c r="V177" s="54"/>
      <c r="W177" s="9"/>
      <c r="X177" s="52"/>
      <c r="Y177" s="52"/>
      <c r="Z177" s="52"/>
      <c r="AA177" s="52"/>
      <c r="AB177" s="52"/>
      <c r="AC177" s="52"/>
      <c r="AD177" s="52"/>
      <c r="AE177" s="52"/>
      <c r="AF177" s="52"/>
      <c r="AG177" s="52"/>
      <c r="AH177" s="52"/>
      <c r="AI177" s="52"/>
      <c r="AJ177" s="9"/>
      <c r="AK177" s="54"/>
      <c r="AL177" s="10"/>
      <c r="AM177" s="30"/>
      <c r="AN177" s="7"/>
      <c r="AO177" s="7"/>
      <c r="AP177" s="7"/>
      <c r="AQ177" s="7"/>
      <c r="AR177" s="7"/>
      <c r="AS177" s="7"/>
    </row>
    <row r="178" ht="12.0" customHeight="1">
      <c r="A178" s="18"/>
      <c r="B178" s="62"/>
      <c r="C178" s="62" t="s">
        <v>251</v>
      </c>
      <c r="D178" s="42"/>
      <c r="E178" s="171" t="s">
        <v>252</v>
      </c>
      <c r="F178" s="42"/>
      <c r="G178" s="172" t="s">
        <v>251</v>
      </c>
      <c r="H178" s="172"/>
      <c r="I178" s="44">
        <f>-192200000+4456889.85-50344699.22</f>
        <v>-238087809.4</v>
      </c>
      <c r="J178" s="44">
        <f>-173600000+13370670-58071566</f>
        <v>-218300896</v>
      </c>
      <c r="K178" s="44">
        <v>-2.62865752E8</v>
      </c>
      <c r="L178" s="173">
        <v>-8.520867573E7</v>
      </c>
      <c r="M178" s="44"/>
      <c r="N178" s="44"/>
      <c r="O178" s="44"/>
      <c r="P178" s="44"/>
      <c r="Q178" s="44"/>
      <c r="R178" s="44"/>
      <c r="S178" s="44"/>
      <c r="T178" s="44"/>
      <c r="U178" s="174"/>
      <c r="V178" s="103">
        <f>SUM(I178:L178)</f>
        <v>-804463133.1</v>
      </c>
      <c r="W178" s="175"/>
      <c r="X178" s="44"/>
      <c r="Y178" s="44"/>
      <c r="Z178" s="44"/>
      <c r="AA178" s="44"/>
      <c r="AB178" s="44"/>
      <c r="AC178" s="44"/>
      <c r="AD178" s="44"/>
      <c r="AE178" s="44"/>
      <c r="AF178" s="44"/>
      <c r="AG178" s="44"/>
      <c r="AH178" s="44"/>
      <c r="AI178" s="44"/>
      <c r="AJ178" s="175"/>
      <c r="AK178" s="103">
        <f>SUM(X178:AA178)</f>
        <v>0</v>
      </c>
      <c r="AL178" s="10"/>
      <c r="AM178" s="30"/>
      <c r="AN178" s="7"/>
      <c r="AO178" s="177"/>
      <c r="AP178" s="7"/>
      <c r="AQ178" s="7"/>
      <c r="AR178" s="7"/>
      <c r="AS178" s="7"/>
    </row>
    <row r="179" ht="5.25" customHeight="1">
      <c r="A179" s="18"/>
      <c r="B179" s="5"/>
      <c r="C179" s="5"/>
      <c r="D179" s="50"/>
      <c r="E179" s="50"/>
      <c r="F179" s="176"/>
      <c r="G179" s="50"/>
      <c r="H179" s="50"/>
      <c r="I179" s="52"/>
      <c r="J179" s="52"/>
      <c r="K179" s="52"/>
      <c r="L179" s="52"/>
      <c r="M179" s="52"/>
      <c r="N179" s="52"/>
      <c r="O179" s="52"/>
      <c r="P179" s="52"/>
      <c r="Q179" s="52"/>
      <c r="R179" s="52"/>
      <c r="S179" s="52"/>
      <c r="T179" s="52"/>
      <c r="U179" s="7"/>
      <c r="V179" s="54"/>
      <c r="W179" s="9"/>
      <c r="X179" s="52"/>
      <c r="Y179" s="52"/>
      <c r="Z179" s="52"/>
      <c r="AA179" s="52"/>
      <c r="AB179" s="52"/>
      <c r="AC179" s="52"/>
      <c r="AD179" s="52"/>
      <c r="AE179" s="52"/>
      <c r="AF179" s="52"/>
      <c r="AG179" s="52"/>
      <c r="AH179" s="52"/>
      <c r="AI179" s="52"/>
      <c r="AJ179" s="9"/>
      <c r="AK179" s="54"/>
      <c r="AL179" s="10"/>
      <c r="AM179" s="30"/>
      <c r="AN179" s="7"/>
      <c r="AO179" s="7"/>
      <c r="AP179" s="7"/>
      <c r="AQ179" s="7"/>
      <c r="AR179" s="7"/>
      <c r="AS179" s="7"/>
    </row>
    <row r="180" ht="12.0" customHeight="1">
      <c r="A180" s="18"/>
      <c r="B180" s="62"/>
      <c r="C180" s="62" t="s">
        <v>253</v>
      </c>
      <c r="D180" s="42"/>
      <c r="E180" s="171" t="s">
        <v>254</v>
      </c>
      <c r="F180" s="42"/>
      <c r="G180" s="172" t="s">
        <v>253</v>
      </c>
      <c r="H180" s="172"/>
      <c r="I180" s="44"/>
      <c r="J180" s="44">
        <v>3024427.04</v>
      </c>
      <c r="K180" s="44"/>
      <c r="L180" s="173">
        <v>27050.63</v>
      </c>
      <c r="M180" s="44"/>
      <c r="N180" s="44"/>
      <c r="O180" s="44"/>
      <c r="P180" s="44"/>
      <c r="Q180" s="44"/>
      <c r="R180" s="44"/>
      <c r="S180" s="44"/>
      <c r="T180" s="44"/>
      <c r="U180" s="174"/>
      <c r="V180" s="103">
        <f>SUM(I180:L180)</f>
        <v>3051477.67</v>
      </c>
      <c r="W180" s="175"/>
      <c r="X180" s="44"/>
      <c r="Y180" s="44"/>
      <c r="Z180" s="44"/>
      <c r="AA180" s="44"/>
      <c r="AB180" s="44"/>
      <c r="AC180" s="44"/>
      <c r="AD180" s="44"/>
      <c r="AE180" s="44"/>
      <c r="AF180" s="44"/>
      <c r="AG180" s="44"/>
      <c r="AH180" s="44"/>
      <c r="AI180" s="44"/>
      <c r="AJ180" s="175"/>
      <c r="AK180" s="103">
        <f>SUM(X180:AA180)</f>
        <v>0</v>
      </c>
      <c r="AL180" s="10"/>
      <c r="AM180" s="30"/>
      <c r="AN180" s="7"/>
      <c r="AO180" s="7"/>
      <c r="AP180" s="7"/>
      <c r="AQ180" s="7"/>
      <c r="AR180" s="7"/>
      <c r="AS180" s="7"/>
    </row>
    <row r="181" ht="5.25" customHeight="1">
      <c r="A181" s="18"/>
      <c r="B181" s="5"/>
      <c r="C181" s="5"/>
      <c r="D181" s="50"/>
      <c r="E181" s="50"/>
      <c r="F181" s="176"/>
      <c r="G181" s="50"/>
      <c r="H181" s="50"/>
      <c r="I181" s="52"/>
      <c r="J181" s="52"/>
      <c r="K181" s="52"/>
      <c r="L181" s="52"/>
      <c r="M181" s="52"/>
      <c r="N181" s="52"/>
      <c r="O181" s="52"/>
      <c r="P181" s="52"/>
      <c r="Q181" s="52"/>
      <c r="R181" s="52"/>
      <c r="S181" s="52"/>
      <c r="T181" s="52"/>
      <c r="U181" s="7"/>
      <c r="V181" s="54"/>
      <c r="W181" s="9"/>
      <c r="X181" s="52"/>
      <c r="Y181" s="52"/>
      <c r="Z181" s="52"/>
      <c r="AA181" s="52"/>
      <c r="AB181" s="52"/>
      <c r="AC181" s="52"/>
      <c r="AD181" s="52"/>
      <c r="AE181" s="52"/>
      <c r="AF181" s="52"/>
      <c r="AG181" s="52"/>
      <c r="AH181" s="52"/>
      <c r="AI181" s="52"/>
      <c r="AJ181" s="9"/>
      <c r="AK181" s="54"/>
      <c r="AL181" s="10"/>
      <c r="AM181" s="30"/>
      <c r="AN181" s="53"/>
      <c r="AO181" s="53"/>
      <c r="AP181" s="53"/>
      <c r="AQ181" s="53"/>
      <c r="AR181" s="53"/>
      <c r="AS181" s="53"/>
      <c r="AT181" s="53"/>
      <c r="AU181" s="53"/>
      <c r="AV181" s="53"/>
    </row>
    <row r="182" ht="12.0" customHeight="1">
      <c r="A182" s="18"/>
      <c r="B182" s="62"/>
      <c r="C182" s="62" t="s">
        <v>255</v>
      </c>
      <c r="D182" s="42"/>
      <c r="E182" s="171"/>
      <c r="F182" s="42"/>
      <c r="G182" s="172" t="s">
        <v>255</v>
      </c>
      <c r="H182" s="172"/>
      <c r="I182" s="44">
        <f>2686117.68+12622308</f>
        <v>15308425.68</v>
      </c>
      <c r="J182" s="44">
        <f>13158189.45-900777</f>
        <v>12257412.45</v>
      </c>
      <c r="K182" s="44">
        <v>6619713.0</v>
      </c>
      <c r="L182" s="173">
        <v>2350918.27</v>
      </c>
      <c r="M182" s="44"/>
      <c r="N182" s="44"/>
      <c r="O182" s="44"/>
      <c r="P182" s="44"/>
      <c r="Q182" s="44"/>
      <c r="R182" s="44"/>
      <c r="S182" s="44"/>
      <c r="T182" s="44"/>
      <c r="U182" s="174"/>
      <c r="V182" s="103">
        <f>SUM(I182:L182)</f>
        <v>36536469.4</v>
      </c>
      <c r="W182" s="175"/>
      <c r="X182" s="44"/>
      <c r="Y182" s="44"/>
      <c r="Z182" s="44"/>
      <c r="AA182" s="44"/>
      <c r="AB182" s="44"/>
      <c r="AC182" s="44"/>
      <c r="AD182" s="44"/>
      <c r="AE182" s="44"/>
      <c r="AF182" s="44"/>
      <c r="AG182" s="44"/>
      <c r="AH182" s="44"/>
      <c r="AI182" s="44"/>
      <c r="AJ182" s="175"/>
      <c r="AK182" s="103">
        <f>SUM(X182:AA182)</f>
        <v>0</v>
      </c>
      <c r="AL182" s="10"/>
      <c r="AM182" s="30"/>
      <c r="AN182" s="53"/>
      <c r="AO182" s="53"/>
      <c r="AP182" s="53"/>
      <c r="AQ182" s="53"/>
      <c r="AR182" s="53"/>
      <c r="AS182" s="53"/>
      <c r="AT182" s="53"/>
      <c r="AU182" s="53"/>
      <c r="AV182" s="53"/>
    </row>
    <row r="183" ht="5.25" customHeight="1">
      <c r="A183" s="18"/>
      <c r="B183" s="5"/>
      <c r="C183" s="5"/>
      <c r="D183" s="50"/>
      <c r="E183" s="50"/>
      <c r="F183" s="176"/>
      <c r="G183" s="50"/>
      <c r="H183" s="50"/>
      <c r="I183" s="52"/>
      <c r="J183" s="52"/>
      <c r="K183" s="52"/>
      <c r="L183" s="52"/>
      <c r="M183" s="52"/>
      <c r="N183" s="52"/>
      <c r="O183" s="52"/>
      <c r="P183" s="52"/>
      <c r="Q183" s="52"/>
      <c r="R183" s="52"/>
      <c r="S183" s="52"/>
      <c r="T183" s="52"/>
      <c r="U183" s="7"/>
      <c r="V183" s="54"/>
      <c r="W183" s="9"/>
      <c r="X183" s="52"/>
      <c r="Y183" s="52"/>
      <c r="Z183" s="52"/>
      <c r="AA183" s="52"/>
      <c r="AB183" s="52"/>
      <c r="AC183" s="52"/>
      <c r="AD183" s="52"/>
      <c r="AE183" s="52"/>
      <c r="AF183" s="52"/>
      <c r="AG183" s="52"/>
      <c r="AH183" s="52"/>
      <c r="AI183" s="52"/>
      <c r="AJ183" s="9"/>
      <c r="AK183" s="54"/>
      <c r="AL183" s="10"/>
      <c r="AM183" s="30"/>
      <c r="AN183" s="7"/>
      <c r="AO183" s="7"/>
      <c r="AP183" s="7"/>
      <c r="AQ183" s="7"/>
      <c r="AR183" s="7"/>
      <c r="AS183" s="7"/>
    </row>
    <row r="184" ht="12.0" customHeight="1">
      <c r="A184" s="18"/>
      <c r="B184" s="62"/>
      <c r="C184" s="62" t="s">
        <v>256</v>
      </c>
      <c r="D184" s="42"/>
      <c r="E184" s="171">
        <v>5426.0</v>
      </c>
      <c r="F184" s="42"/>
      <c r="G184" s="172" t="s">
        <v>256</v>
      </c>
      <c r="H184" s="172"/>
      <c r="I184" s="44">
        <v>4.8831942945E8</v>
      </c>
      <c r="J184" s="44">
        <v>4.6233286377E8</v>
      </c>
      <c r="K184" s="44">
        <v>4.7773253776E8</v>
      </c>
      <c r="L184" s="173">
        <v>5.1250147288E8</v>
      </c>
      <c r="M184" s="44"/>
      <c r="N184" s="44"/>
      <c r="O184" s="44"/>
      <c r="P184" s="44"/>
      <c r="Q184" s="44"/>
      <c r="R184" s="44"/>
      <c r="S184" s="44"/>
      <c r="T184" s="44"/>
      <c r="U184" s="174"/>
      <c r="V184" s="103">
        <f>SUM(I184:L184)</f>
        <v>1940886304</v>
      </c>
      <c r="W184" s="175"/>
      <c r="X184" s="44">
        <v>3.535532850685797E8</v>
      </c>
      <c r="Y184" s="44">
        <v>3.253229303566035E8</v>
      </c>
      <c r="Z184" s="44">
        <v>3.692695335899308E8</v>
      </c>
      <c r="AA184" s="44">
        <v>3.812855285925927E8</v>
      </c>
      <c r="AB184" s="44">
        <v>4.085764560161688E8</v>
      </c>
      <c r="AC184" s="44">
        <v>4.08167473808213E8</v>
      </c>
      <c r="AD184" s="44">
        <v>3.817554031577736E8</v>
      </c>
      <c r="AE184" s="44">
        <v>4.515615680254995E8</v>
      </c>
      <c r="AF184" s="44">
        <v>4.788663902200945E8</v>
      </c>
      <c r="AG184" s="44">
        <v>4.976934378309135E8</v>
      </c>
      <c r="AH184" s="44">
        <v>4.80045306707799E8</v>
      </c>
      <c r="AI184" s="44">
        <v>4.94352656671771E8</v>
      </c>
      <c r="AJ184" s="175"/>
      <c r="AK184" s="103">
        <f>SUM(X184:AA184)</f>
        <v>1429431278</v>
      </c>
      <c r="AL184" s="10"/>
      <c r="AM184" s="30"/>
      <c r="AN184" s="7"/>
      <c r="AO184" s="7"/>
      <c r="AP184" s="7"/>
      <c r="AQ184" s="7"/>
      <c r="AR184" s="7"/>
      <c r="AS184" s="7"/>
    </row>
    <row r="185" ht="16.5" customHeight="1">
      <c r="A185" s="22"/>
      <c r="B185" s="152"/>
      <c r="C185" s="178" t="s">
        <v>257</v>
      </c>
      <c r="D185" s="85"/>
      <c r="E185" s="85"/>
      <c r="F185" s="153"/>
      <c r="G185" s="85"/>
      <c r="H185" s="85"/>
      <c r="I185" s="86">
        <f t="shared" ref="I185:T185" si="55">I174+I176+I178+I180+I182+I184</f>
        <v>265747883.8</v>
      </c>
      <c r="J185" s="86">
        <f t="shared" si="55"/>
        <v>259358299.3</v>
      </c>
      <c r="K185" s="86">
        <f t="shared" si="55"/>
        <v>221529770.8</v>
      </c>
      <c r="L185" s="86">
        <f t="shared" si="55"/>
        <v>429767139.6</v>
      </c>
      <c r="M185" s="86">
        <f t="shared" si="55"/>
        <v>0</v>
      </c>
      <c r="N185" s="86">
        <f t="shared" si="55"/>
        <v>0</v>
      </c>
      <c r="O185" s="86">
        <f t="shared" si="55"/>
        <v>0</v>
      </c>
      <c r="P185" s="86">
        <f t="shared" si="55"/>
        <v>0</v>
      </c>
      <c r="Q185" s="86">
        <f t="shared" si="55"/>
        <v>0</v>
      </c>
      <c r="R185" s="86">
        <f t="shared" si="55"/>
        <v>0</v>
      </c>
      <c r="S185" s="86">
        <f t="shared" si="55"/>
        <v>0</v>
      </c>
      <c r="T185" s="86">
        <f t="shared" si="55"/>
        <v>0</v>
      </c>
      <c r="U185" s="7"/>
      <c r="V185" s="88">
        <f>V174+V176+V178+V180+V182+V184</f>
        <v>1176403093</v>
      </c>
      <c r="W185" s="40"/>
      <c r="X185" s="86">
        <f t="shared" ref="X185:AI185" si="56">X174+X176+X178+X180+X182+X184</f>
        <v>353623285.1</v>
      </c>
      <c r="Y185" s="86">
        <f t="shared" si="56"/>
        <v>325392930.4</v>
      </c>
      <c r="Z185" s="86">
        <f t="shared" si="56"/>
        <v>369339533.6</v>
      </c>
      <c r="AA185" s="86">
        <f t="shared" si="56"/>
        <v>381355528.6</v>
      </c>
      <c r="AB185" s="86">
        <f t="shared" si="56"/>
        <v>408646456</v>
      </c>
      <c r="AC185" s="86">
        <f t="shared" si="56"/>
        <v>408237473.8</v>
      </c>
      <c r="AD185" s="86">
        <f t="shared" si="56"/>
        <v>381825403.2</v>
      </c>
      <c r="AE185" s="86">
        <f t="shared" si="56"/>
        <v>451631568</v>
      </c>
      <c r="AF185" s="86">
        <f t="shared" si="56"/>
        <v>478936390.2</v>
      </c>
      <c r="AG185" s="86">
        <f t="shared" si="56"/>
        <v>497763437.8</v>
      </c>
      <c r="AH185" s="86">
        <f t="shared" si="56"/>
        <v>480115306.7</v>
      </c>
      <c r="AI185" s="86">
        <f t="shared" si="56"/>
        <v>494422656.7</v>
      </c>
      <c r="AJ185" s="40"/>
      <c r="AK185" s="88">
        <f>AK174+AK176+AK178+AK180+AK182+AK184</f>
        <v>1429711278</v>
      </c>
      <c r="AL185" s="10"/>
      <c r="AM185" s="30"/>
      <c r="AN185" s="47"/>
      <c r="AO185" s="147"/>
      <c r="AP185" s="7"/>
      <c r="AQ185" s="7"/>
      <c r="AR185" s="7"/>
      <c r="AS185" s="7"/>
    </row>
    <row r="186" ht="14.25" customHeight="1">
      <c r="A186" s="18"/>
      <c r="B186" s="5"/>
      <c r="C186" s="5"/>
      <c r="D186" s="50"/>
      <c r="E186" s="50"/>
      <c r="F186" s="176"/>
      <c r="G186" s="50"/>
      <c r="H186" s="50"/>
      <c r="I186" s="52"/>
      <c r="J186" s="52"/>
      <c r="K186" s="52"/>
      <c r="L186" s="52"/>
      <c r="M186" s="52"/>
      <c r="N186" s="52"/>
      <c r="O186" s="52"/>
      <c r="P186" s="52"/>
      <c r="Q186" s="52"/>
      <c r="R186" s="52"/>
      <c r="S186" s="52"/>
      <c r="T186" s="52"/>
      <c r="U186" s="7"/>
      <c r="V186" s="179"/>
      <c r="W186" s="9"/>
      <c r="X186" s="52"/>
      <c r="Y186" s="52"/>
      <c r="Z186" s="52"/>
      <c r="AA186" s="52"/>
      <c r="AB186" s="52"/>
      <c r="AC186" s="52"/>
      <c r="AD186" s="52"/>
      <c r="AE186" s="52"/>
      <c r="AF186" s="52"/>
      <c r="AG186" s="52"/>
      <c r="AH186" s="52"/>
      <c r="AI186" s="52"/>
      <c r="AJ186" s="9"/>
      <c r="AK186" s="54"/>
      <c r="AL186" s="10"/>
      <c r="AM186" s="30"/>
      <c r="AN186" s="7"/>
      <c r="AO186" s="7"/>
      <c r="AP186" s="7"/>
      <c r="AQ186" s="7"/>
      <c r="AR186" s="7"/>
      <c r="AS186" s="7"/>
    </row>
    <row r="187" ht="16.5" customHeight="1">
      <c r="A187" s="22"/>
      <c r="B187" s="152"/>
      <c r="C187" s="153" t="s">
        <v>258</v>
      </c>
      <c r="D187" s="85"/>
      <c r="E187" s="85"/>
      <c r="F187" s="153"/>
      <c r="G187" s="85"/>
      <c r="H187" s="85"/>
      <c r="I187" s="86">
        <f t="shared" ref="I187:T187" si="57">I185+I169</f>
        <v>1019582508</v>
      </c>
      <c r="J187" s="86">
        <f t="shared" si="57"/>
        <v>991391732.8</v>
      </c>
      <c r="K187" s="86">
        <f t="shared" si="57"/>
        <v>1169660335</v>
      </c>
      <c r="L187" s="86">
        <f t="shared" si="57"/>
        <v>1192791100</v>
      </c>
      <c r="M187" s="86">
        <f t="shared" si="57"/>
        <v>0</v>
      </c>
      <c r="N187" s="86">
        <f t="shared" si="57"/>
        <v>0</v>
      </c>
      <c r="O187" s="86">
        <f t="shared" si="57"/>
        <v>0</v>
      </c>
      <c r="P187" s="86">
        <f t="shared" si="57"/>
        <v>0</v>
      </c>
      <c r="Q187" s="86">
        <f t="shared" si="57"/>
        <v>0</v>
      </c>
      <c r="R187" s="86">
        <f t="shared" si="57"/>
        <v>0</v>
      </c>
      <c r="S187" s="86">
        <f t="shared" si="57"/>
        <v>0</v>
      </c>
      <c r="T187" s="86">
        <f t="shared" si="57"/>
        <v>0</v>
      </c>
      <c r="U187" s="7"/>
      <c r="V187" s="88">
        <f>V185+V169</f>
        <v>4373425675</v>
      </c>
      <c r="W187" s="40"/>
      <c r="X187" s="86">
        <f t="shared" ref="X187:AI187" si="58">X185+X169</f>
        <v>1203244370</v>
      </c>
      <c r="Y187" s="86">
        <f t="shared" si="58"/>
        <v>1136456455</v>
      </c>
      <c r="Z187" s="86">
        <f t="shared" si="58"/>
        <v>1204588602</v>
      </c>
      <c r="AA187" s="86">
        <f t="shared" si="58"/>
        <v>1280353247</v>
      </c>
      <c r="AB187" s="86">
        <f t="shared" si="58"/>
        <v>1343026711</v>
      </c>
      <c r="AC187" s="86">
        <f t="shared" si="58"/>
        <v>1354100249</v>
      </c>
      <c r="AD187" s="86">
        <f t="shared" si="58"/>
        <v>1625027666</v>
      </c>
      <c r="AE187" s="86">
        <f t="shared" si="58"/>
        <v>1466677088</v>
      </c>
      <c r="AF187" s="86">
        <f t="shared" si="58"/>
        <v>1532699885</v>
      </c>
      <c r="AG187" s="86">
        <f t="shared" si="58"/>
        <v>1613455928</v>
      </c>
      <c r="AH187" s="86">
        <f t="shared" si="58"/>
        <v>1590912963</v>
      </c>
      <c r="AI187" s="86">
        <f t="shared" si="58"/>
        <v>1644146459</v>
      </c>
      <c r="AJ187" s="40"/>
      <c r="AK187" s="86">
        <f>AK185+AK169</f>
        <v>4824642675</v>
      </c>
      <c r="AL187" s="10"/>
      <c r="AM187" s="30"/>
      <c r="AN187" s="47"/>
      <c r="AO187" s="147"/>
      <c r="AP187" s="7"/>
      <c r="AQ187" s="7"/>
      <c r="AR187" s="7"/>
      <c r="AS187" s="7"/>
    </row>
    <row r="188" ht="12.75" customHeight="1">
      <c r="A188" s="18"/>
      <c r="B188" s="5"/>
      <c r="C188" s="5"/>
      <c r="D188" s="50"/>
      <c r="E188" s="50"/>
      <c r="F188" s="176"/>
      <c r="G188" s="50"/>
      <c r="H188" s="50"/>
      <c r="I188" s="52"/>
      <c r="J188" s="52"/>
      <c r="K188" s="52"/>
      <c r="L188" s="52"/>
      <c r="M188" s="52"/>
      <c r="N188" s="52"/>
      <c r="O188" s="52"/>
      <c r="P188" s="52"/>
      <c r="Q188" s="52"/>
      <c r="R188" s="52"/>
      <c r="S188" s="52"/>
      <c r="T188" s="52"/>
      <c r="U188" s="7"/>
      <c r="V188" s="54"/>
      <c r="W188" s="9"/>
      <c r="X188" s="52"/>
      <c r="Y188" s="52"/>
      <c r="Z188" s="52"/>
      <c r="AA188" s="52"/>
      <c r="AB188" s="52"/>
      <c r="AC188" s="52"/>
      <c r="AD188" s="52"/>
      <c r="AE188" s="52"/>
      <c r="AF188" s="52"/>
      <c r="AG188" s="52"/>
      <c r="AH188" s="52"/>
      <c r="AI188" s="52"/>
      <c r="AJ188" s="9"/>
      <c r="AK188" s="54"/>
      <c r="AL188" s="10"/>
      <c r="AM188" s="30"/>
      <c r="AN188" s="7"/>
      <c r="AO188" s="7"/>
      <c r="AP188" s="7"/>
      <c r="AQ188" s="7"/>
      <c r="AR188" s="7"/>
      <c r="AS188" s="7"/>
      <c r="AT188" s="7"/>
      <c r="AU188" s="7"/>
      <c r="AV188" s="7"/>
      <c r="AW188" s="7"/>
      <c r="AX188" s="7"/>
      <c r="AY188" s="7"/>
    </row>
    <row r="189" ht="12.0" customHeight="1">
      <c r="A189" s="22"/>
      <c r="B189" s="31" t="s">
        <v>245</v>
      </c>
      <c r="C189" s="160"/>
      <c r="D189" s="161"/>
      <c r="E189" s="161"/>
      <c r="F189" s="160"/>
      <c r="G189" s="161"/>
      <c r="H189" s="161"/>
      <c r="I189" s="162">
        <f t="shared" ref="I189:L189" si="59">+I171-I174-I176-I178-I180-I182-I184</f>
        <v>893156761.7</v>
      </c>
      <c r="J189" s="162">
        <f t="shared" si="59"/>
        <v>866836229.6</v>
      </c>
      <c r="K189" s="162">
        <f t="shared" si="59"/>
        <v>850323477</v>
      </c>
      <c r="L189" s="162">
        <f t="shared" si="59"/>
        <v>934513843.3</v>
      </c>
      <c r="M189" s="162">
        <f>+M171-M174+M178-M180-M184-M176</f>
        <v>0</v>
      </c>
      <c r="N189" s="162">
        <f t="shared" ref="N189:T189" si="60">+N171-N174+N178-N180-N184-N176-N182</f>
        <v>0</v>
      </c>
      <c r="O189" s="162">
        <f t="shared" si="60"/>
        <v>0</v>
      </c>
      <c r="P189" s="162">
        <f t="shared" si="60"/>
        <v>0</v>
      </c>
      <c r="Q189" s="162">
        <f t="shared" si="60"/>
        <v>0</v>
      </c>
      <c r="R189" s="162">
        <f t="shared" si="60"/>
        <v>0</v>
      </c>
      <c r="S189" s="162">
        <f t="shared" si="60"/>
        <v>0</v>
      </c>
      <c r="T189" s="162">
        <f t="shared" si="60"/>
        <v>0</v>
      </c>
      <c r="U189" s="163"/>
      <c r="V189" s="164">
        <f>+V171-V174-V176-V178-V180-V182-V184</f>
        <v>3544830311</v>
      </c>
      <c r="W189" s="165"/>
      <c r="X189" s="162">
        <v>6.565289579845052E8</v>
      </c>
      <c r="Y189" s="162">
        <v>6.041011563765494E8</v>
      </c>
      <c r="Z189" s="162">
        <v>6.857162766670144E8</v>
      </c>
      <c r="AA189" s="162">
        <v>7.080316959576721E8</v>
      </c>
      <c r="AB189" s="162">
        <v>7.587148468871706E8</v>
      </c>
      <c r="AC189" s="162">
        <v>7.579553085009673E8</v>
      </c>
      <c r="AD189" s="162">
        <v>7.089043201501511E8</v>
      </c>
      <c r="AE189" s="162">
        <v>8.385443406187851E8</v>
      </c>
      <c r="AF189" s="162">
        <v>8.892532961230328E8</v>
      </c>
      <c r="AG189" s="162">
        <v>9.242178131145537E8</v>
      </c>
      <c r="AH189" s="162">
        <v>8.914427124573412E8</v>
      </c>
      <c r="AI189" s="162">
        <v>9.180135052475746E8</v>
      </c>
      <c r="AJ189" s="165"/>
      <c r="AK189" s="164">
        <f>+AK171-AK174+AK178-AK180-AK184-AK176-AK182</f>
        <v>2654378087</v>
      </c>
      <c r="AL189" s="10"/>
      <c r="AM189" s="30">
        <f>+V189-AK189</f>
        <v>890452224.5</v>
      </c>
      <c r="AN189" s="47">
        <f>+AM189/AK189</f>
        <v>0.3354654821</v>
      </c>
      <c r="AO189" s="7"/>
      <c r="AP189" s="7"/>
      <c r="AQ189" s="7"/>
      <c r="AR189" s="7"/>
      <c r="AS189" s="7"/>
    </row>
    <row r="190" ht="12.75" customHeight="1">
      <c r="A190" s="22"/>
      <c r="B190" s="166" t="s">
        <v>247</v>
      </c>
      <c r="C190" s="167"/>
      <c r="D190" s="168"/>
      <c r="E190" s="168"/>
      <c r="F190" s="167"/>
      <c r="G190" s="168"/>
      <c r="H190" s="168"/>
      <c r="I190" s="169">
        <f t="shared" ref="I190:T190" si="61">+I189/I42</f>
        <v>0.4669516519</v>
      </c>
      <c r="J190" s="169">
        <f t="shared" si="61"/>
        <v>0.4664854082</v>
      </c>
      <c r="K190" s="169">
        <f t="shared" si="61"/>
        <v>0.4209555899</v>
      </c>
      <c r="L190" s="169">
        <f t="shared" si="61"/>
        <v>0.4392947266</v>
      </c>
      <c r="M190" s="169" t="str">
        <f t="shared" si="61"/>
        <v>#DIV/0!</v>
      </c>
      <c r="N190" s="169" t="str">
        <f t="shared" si="61"/>
        <v>#DIV/0!</v>
      </c>
      <c r="O190" s="169" t="str">
        <f t="shared" si="61"/>
        <v>#DIV/0!</v>
      </c>
      <c r="P190" s="169" t="str">
        <f t="shared" si="61"/>
        <v>#DIV/0!</v>
      </c>
      <c r="Q190" s="169" t="str">
        <f t="shared" si="61"/>
        <v>#DIV/0!</v>
      </c>
      <c r="R190" s="169" t="str">
        <f t="shared" si="61"/>
        <v>#DIV/0!</v>
      </c>
      <c r="S190" s="169" t="str">
        <f t="shared" si="61"/>
        <v>#DIV/0!</v>
      </c>
      <c r="T190" s="169" t="str">
        <f t="shared" si="61"/>
        <v>#DIV/0!</v>
      </c>
      <c r="U190" s="7"/>
      <c r="V190" s="170">
        <f>+V189/V42</f>
        <v>0.4476781652</v>
      </c>
      <c r="W190" s="9"/>
      <c r="X190" s="169">
        <v>0.3530155788950347</v>
      </c>
      <c r="Y190" s="169">
        <v>0.3470733472404133</v>
      </c>
      <c r="Z190" s="169">
        <v>0.3627543282912506</v>
      </c>
      <c r="AA190" s="169">
        <v>0.3560838148187225</v>
      </c>
      <c r="AB190" s="169">
        <v>0.360993407680834</v>
      </c>
      <c r="AC190" s="169">
        <v>0.3588709140659253</v>
      </c>
      <c r="AD190" s="169">
        <v>0.30373820842044</v>
      </c>
      <c r="AE190" s="169">
        <v>0.3637586959605805</v>
      </c>
      <c r="AF190" s="169">
        <v>0.3671637020282982</v>
      </c>
      <c r="AG190" s="169">
        <v>0.3641988322525341</v>
      </c>
      <c r="AH190" s="169">
        <v>0.3591115975921001</v>
      </c>
      <c r="AI190" s="169">
        <v>0.3582967176617154</v>
      </c>
      <c r="AJ190" s="9"/>
      <c r="AK190" s="170">
        <f>+AK189/AK42</f>
        <v>0.3549098433</v>
      </c>
      <c r="AL190" s="10"/>
      <c r="AM190" s="30"/>
      <c r="AN190" s="7"/>
      <c r="AO190" s="7"/>
      <c r="AP190" s="7"/>
      <c r="AQ190" s="7"/>
      <c r="AR190" s="7"/>
      <c r="AS190" s="7"/>
    </row>
    <row r="191" ht="11.25" customHeight="1">
      <c r="A191" s="1"/>
      <c r="B191" s="2"/>
      <c r="C191" s="2"/>
      <c r="D191" s="60"/>
      <c r="E191" s="60"/>
      <c r="F191" s="2"/>
      <c r="G191" s="60"/>
      <c r="H191" s="60"/>
      <c r="I191" s="6"/>
      <c r="J191" s="6"/>
      <c r="K191" s="180">
        <f>+K184/K171</f>
        <v>0.4457070394</v>
      </c>
      <c r="L191" s="6"/>
      <c r="M191" s="6"/>
      <c r="N191" s="6"/>
      <c r="O191" s="6"/>
      <c r="P191" s="6"/>
      <c r="Q191" s="6"/>
      <c r="R191" s="6"/>
      <c r="S191" s="6" t="s">
        <v>259</v>
      </c>
      <c r="T191" s="181">
        <f>(+V40-V15-V16-V14)-((+V40-V15-V16-V14)*5%)</f>
        <v>2335761067</v>
      </c>
      <c r="U191" s="7"/>
      <c r="V191" s="182"/>
      <c r="W191" s="9"/>
      <c r="X191" s="6"/>
      <c r="Y191" s="6"/>
      <c r="Z191" s="6"/>
      <c r="AA191" s="6"/>
      <c r="AB191" s="6"/>
      <c r="AC191" s="6"/>
      <c r="AD191" s="6"/>
      <c r="AE191" s="6"/>
      <c r="AF191" s="6"/>
      <c r="AG191" s="6"/>
      <c r="AH191" s="6" t="s">
        <v>259</v>
      </c>
      <c r="AI191" s="6">
        <v>7.237655424518582E9</v>
      </c>
      <c r="AJ191" s="9"/>
      <c r="AK191" s="96"/>
      <c r="AL191" s="10"/>
      <c r="AM191" s="30"/>
      <c r="AN191" s="7"/>
      <c r="AO191" s="7"/>
      <c r="AP191" s="7"/>
      <c r="AQ191" s="7"/>
      <c r="AR191" s="7"/>
      <c r="AS191" s="7"/>
    </row>
    <row r="192" ht="12.75" customHeight="1">
      <c r="A192" s="1"/>
      <c r="B192" s="2"/>
      <c r="C192" s="2"/>
      <c r="D192" s="60"/>
      <c r="E192" s="60" t="s">
        <v>260</v>
      </c>
      <c r="F192" s="60" t="s">
        <v>261</v>
      </c>
      <c r="G192" s="60" t="s">
        <v>262</v>
      </c>
      <c r="H192" s="60" t="s">
        <v>263</v>
      </c>
      <c r="I192" s="6"/>
      <c r="J192" s="6"/>
      <c r="K192" s="6"/>
      <c r="L192" s="6"/>
      <c r="M192" s="6"/>
      <c r="N192" s="6"/>
      <c r="O192" s="6"/>
      <c r="P192" s="6"/>
      <c r="Q192" s="7"/>
      <c r="R192" s="6"/>
      <c r="S192" s="6" t="s">
        <v>264</v>
      </c>
      <c r="T192" s="181">
        <f>+V169-V166-V157-V152-V139-V71-V54</f>
        <v>1653886623</v>
      </c>
      <c r="U192" s="7"/>
      <c r="V192" s="96"/>
      <c r="W192" s="9"/>
      <c r="X192" s="6"/>
      <c r="Y192" s="6"/>
      <c r="Z192" s="6"/>
      <c r="AA192" s="6"/>
      <c r="AB192" s="6"/>
      <c r="AC192" s="6"/>
      <c r="AD192" s="6"/>
      <c r="AE192" s="6"/>
      <c r="AF192" s="6"/>
      <c r="AG192" s="6"/>
      <c r="AH192" s="6" t="s">
        <v>264</v>
      </c>
      <c r="AI192" s="6">
        <v>6.877857530382927E9</v>
      </c>
      <c r="AJ192" s="9"/>
      <c r="AK192" s="96"/>
      <c r="AL192" s="10"/>
      <c r="AM192" s="30"/>
      <c r="AN192" s="7"/>
      <c r="AO192" s="7"/>
      <c r="AP192" s="7"/>
      <c r="AQ192" s="7"/>
      <c r="AR192" s="7"/>
      <c r="AS192" s="7"/>
    </row>
    <row r="193" ht="12.0" customHeight="1" outlineLevel="1">
      <c r="A193" s="1"/>
      <c r="B193" s="60"/>
      <c r="C193" s="60"/>
      <c r="D193" s="60"/>
      <c r="E193" s="183">
        <v>0.021</v>
      </c>
      <c r="F193" s="183">
        <v>0.023</v>
      </c>
      <c r="G193" s="183">
        <v>0.02</v>
      </c>
      <c r="H193" s="183">
        <v>0.02</v>
      </c>
      <c r="I193" s="184"/>
      <c r="J193" s="184"/>
      <c r="K193" s="184"/>
      <c r="L193" s="184"/>
      <c r="M193" s="184"/>
      <c r="N193" s="184"/>
      <c r="O193" s="185">
        <f>1*(1+G193)*(1+H194)*(1+I194)*(1+J194)*(1+K194)*(1+L194)</f>
        <v>1.168689097</v>
      </c>
      <c r="P193" s="184"/>
      <c r="Q193" s="184"/>
      <c r="R193" s="184"/>
      <c r="S193" s="184"/>
      <c r="T193" s="7"/>
      <c r="U193" s="7"/>
      <c r="V193" s="186"/>
      <c r="W193" s="9"/>
      <c r="X193" s="184"/>
      <c r="Y193" s="184"/>
      <c r="Z193" s="184"/>
      <c r="AA193" s="184"/>
      <c r="AB193" s="184"/>
      <c r="AC193" s="184"/>
      <c r="AD193" s="184"/>
      <c r="AE193" s="184"/>
      <c r="AF193" s="184"/>
      <c r="AG193" s="184"/>
      <c r="AH193" s="184"/>
      <c r="AI193" s="184"/>
      <c r="AJ193" s="9"/>
      <c r="AK193" s="186"/>
      <c r="AL193" s="10"/>
      <c r="AM193" s="30"/>
      <c r="AN193" s="7"/>
      <c r="AO193" s="7"/>
      <c r="AP193" s="7"/>
      <c r="AQ193" s="7"/>
      <c r="AR193" s="7"/>
      <c r="AS193" s="7"/>
    </row>
    <row r="194" ht="12.0" customHeight="1" outlineLevel="1">
      <c r="A194" s="1"/>
      <c r="B194" s="60"/>
      <c r="C194" s="60"/>
      <c r="D194" s="60"/>
      <c r="E194" s="60"/>
      <c r="F194" s="187"/>
      <c r="G194" s="188" t="s">
        <v>265</v>
      </c>
      <c r="H194" s="189">
        <f>+H193</f>
        <v>0.02</v>
      </c>
      <c r="I194" s="189">
        <v>0.029</v>
      </c>
      <c r="J194" s="189">
        <v>0.029</v>
      </c>
      <c r="K194" s="189">
        <v>0.034</v>
      </c>
      <c r="L194" s="189">
        <v>0.026</v>
      </c>
      <c r="M194" s="189">
        <f>+ipcene</f>
        <v>0.029</v>
      </c>
      <c r="N194" s="189">
        <f>+ipcene</f>
        <v>0.029</v>
      </c>
      <c r="O194" s="189">
        <f>+ipcene</f>
        <v>0.029</v>
      </c>
      <c r="P194" s="189">
        <f>+ipcene</f>
        <v>0.029</v>
      </c>
      <c r="Q194" s="189">
        <f>+ipcene</f>
        <v>0.029</v>
      </c>
      <c r="R194" s="189">
        <f>+ipcene</f>
        <v>0.029</v>
      </c>
      <c r="S194" s="189">
        <f>+ipcene</f>
        <v>0.029</v>
      </c>
      <c r="T194" s="189">
        <f>+ipcene</f>
        <v>0.029</v>
      </c>
      <c r="U194" s="190"/>
      <c r="V194" s="191"/>
      <c r="W194" s="192"/>
      <c r="X194" s="189">
        <v>0.015</v>
      </c>
      <c r="Y194" s="189">
        <v>0.015</v>
      </c>
      <c r="Z194" s="189">
        <v>0.015</v>
      </c>
      <c r="AA194" s="189">
        <v>0.015</v>
      </c>
      <c r="AB194" s="189">
        <v>0.015</v>
      </c>
      <c r="AC194" s="189">
        <v>0.015</v>
      </c>
      <c r="AD194" s="189">
        <v>0.015</v>
      </c>
      <c r="AE194" s="189">
        <v>0.015</v>
      </c>
      <c r="AF194" s="189">
        <v>0.015</v>
      </c>
      <c r="AG194" s="189">
        <v>0.015</v>
      </c>
      <c r="AH194" s="189">
        <v>0.015</v>
      </c>
      <c r="AI194" s="189">
        <v>0.015</v>
      </c>
      <c r="AJ194" s="192"/>
      <c r="AK194" s="191"/>
      <c r="AL194" s="193"/>
      <c r="AM194" s="30"/>
      <c r="AN194" s="7"/>
      <c r="AO194" s="7"/>
      <c r="AP194" s="7"/>
      <c r="AQ194" s="7"/>
      <c r="AR194" s="7"/>
      <c r="AS194" s="7"/>
    </row>
    <row r="195" ht="12.0" customHeight="1" outlineLevel="1">
      <c r="A195" s="1"/>
      <c r="B195" s="60"/>
      <c r="C195" s="60"/>
      <c r="D195" s="60"/>
      <c r="E195" s="60"/>
      <c r="F195" s="194"/>
      <c r="G195" s="195" t="s">
        <v>266</v>
      </c>
      <c r="H195" s="195"/>
      <c r="I195" s="185">
        <f>100*(1+ipcene)</f>
        <v>102.9</v>
      </c>
      <c r="J195" s="185">
        <f t="shared" ref="J195:T195" si="62">+I195*(1+J194)</f>
        <v>105.8841</v>
      </c>
      <c r="K195" s="185">
        <f t="shared" si="62"/>
        <v>109.4841594</v>
      </c>
      <c r="L195" s="185">
        <f t="shared" si="62"/>
        <v>112.3307475</v>
      </c>
      <c r="M195" s="185">
        <f t="shared" si="62"/>
        <v>115.5883392</v>
      </c>
      <c r="N195" s="185">
        <f t="shared" si="62"/>
        <v>118.9404011</v>
      </c>
      <c r="O195" s="185">
        <f t="shared" si="62"/>
        <v>122.3896727</v>
      </c>
      <c r="P195" s="185">
        <f t="shared" si="62"/>
        <v>125.9389732</v>
      </c>
      <c r="Q195" s="185">
        <f t="shared" si="62"/>
        <v>129.5912034</v>
      </c>
      <c r="R195" s="185">
        <f t="shared" si="62"/>
        <v>133.3493483</v>
      </c>
      <c r="S195" s="185">
        <f t="shared" si="62"/>
        <v>137.2164794</v>
      </c>
      <c r="T195" s="185">
        <f t="shared" si="62"/>
        <v>141.1957573</v>
      </c>
      <c r="U195" s="7"/>
      <c r="V195" s="196"/>
      <c r="W195" s="9"/>
      <c r="X195" s="197">
        <v>101.5</v>
      </c>
      <c r="Y195" s="197">
        <v>103.0225</v>
      </c>
      <c r="Z195" s="197">
        <v>104.5678375</v>
      </c>
      <c r="AA195" s="197">
        <v>106.1363550625</v>
      </c>
      <c r="AB195" s="197">
        <v>107.7284003884374</v>
      </c>
      <c r="AC195" s="197">
        <v>109.344326394264</v>
      </c>
      <c r="AD195" s="197">
        <v>110.984491290178</v>
      </c>
      <c r="AE195" s="197">
        <v>112.6492586595306</v>
      </c>
      <c r="AF195" s="197">
        <v>114.3389975394236</v>
      </c>
      <c r="AG195" s="197">
        <v>116.0540825025149</v>
      </c>
      <c r="AH195" s="197">
        <v>117.7948937400526</v>
      </c>
      <c r="AI195" s="197">
        <v>119.5618171461534</v>
      </c>
      <c r="AJ195" s="9"/>
      <c r="AK195" s="196"/>
      <c r="AL195" s="10"/>
      <c r="AM195" s="30"/>
      <c r="AN195" s="7"/>
      <c r="AO195" s="7"/>
      <c r="AP195" s="7"/>
      <c r="AQ195" s="7"/>
      <c r="AR195" s="7"/>
      <c r="AS195" s="7"/>
    </row>
    <row r="196" ht="12.0" customHeight="1" outlineLevel="1">
      <c r="A196" s="1"/>
      <c r="B196" s="2"/>
      <c r="C196" s="2"/>
      <c r="D196" s="2"/>
      <c r="E196" s="60"/>
      <c r="F196" s="194"/>
      <c r="G196" s="195" t="s">
        <v>267</v>
      </c>
      <c r="H196" s="198">
        <f>1*(1+E193)*(1+F193)*(1+G193)</f>
        <v>1.06537266</v>
      </c>
      <c r="I196" s="199"/>
      <c r="J196" s="199"/>
      <c r="K196" s="199">
        <f t="shared" ref="K196:L196" si="63">1*(1+H194)*(1+I194)*(1+J194)</f>
        <v>1.08001782</v>
      </c>
      <c r="L196" s="185">
        <f t="shared" si="63"/>
        <v>1.094841594</v>
      </c>
      <c r="M196" s="185"/>
      <c r="N196" s="185">
        <f t="shared" ref="N196:O196" si="64">1*(1+K194)*(1+L194)*(1+M194)</f>
        <v>1.091649636</v>
      </c>
      <c r="O196" s="185">
        <f t="shared" si="64"/>
        <v>1.086370866</v>
      </c>
      <c r="P196" s="185"/>
      <c r="Q196" s="185">
        <f t="shared" ref="Q196:R196" si="65">1*(1+N194)*(1+O194)*(1+P194)</f>
        <v>1.089547389</v>
      </c>
      <c r="R196" s="185">
        <f t="shared" si="65"/>
        <v>1.089547389</v>
      </c>
      <c r="S196" s="185"/>
      <c r="T196" s="185"/>
      <c r="U196" s="200"/>
      <c r="V196" s="196"/>
      <c r="W196" s="9"/>
      <c r="X196" s="197"/>
      <c r="Y196" s="197"/>
      <c r="Z196" s="197">
        <v>1.0508295</v>
      </c>
      <c r="AA196" s="197">
        <v>1.045678375</v>
      </c>
      <c r="AB196" s="197"/>
      <c r="AC196" s="197">
        <v>1.045678375</v>
      </c>
      <c r="AD196" s="197">
        <v>1.045678375</v>
      </c>
      <c r="AE196" s="197"/>
      <c r="AF196" s="197">
        <v>1.045678375</v>
      </c>
      <c r="AG196" s="197">
        <v>1.045678375</v>
      </c>
      <c r="AH196" s="197"/>
      <c r="AI196" s="197"/>
      <c r="AJ196" s="9"/>
      <c r="AK196" s="196"/>
      <c r="AL196" s="10"/>
      <c r="AM196" s="30"/>
      <c r="AN196" s="7"/>
      <c r="AO196" s="7"/>
      <c r="AP196" s="7"/>
      <c r="AQ196" s="7"/>
      <c r="AR196" s="7"/>
      <c r="AS196" s="7"/>
    </row>
    <row r="197" ht="12.0" customHeight="1" outlineLevel="1">
      <c r="A197" s="18"/>
      <c r="B197" s="5"/>
      <c r="C197" s="5"/>
      <c r="D197" s="5"/>
      <c r="E197" s="50"/>
      <c r="F197" s="201"/>
      <c r="G197" s="202" t="s">
        <v>268</v>
      </c>
      <c r="H197" s="203"/>
      <c r="I197" s="204"/>
      <c r="J197" s="204"/>
      <c r="K197" s="204" t="str">
        <f t="shared" ref="K197:T197" si="66">+J197</f>
        <v/>
      </c>
      <c r="L197" s="204" t="str">
        <f t="shared" si="66"/>
        <v/>
      </c>
      <c r="M197" s="204" t="str">
        <f t="shared" si="66"/>
        <v/>
      </c>
      <c r="N197" s="204" t="str">
        <f t="shared" si="66"/>
        <v/>
      </c>
      <c r="O197" s="204" t="str">
        <f t="shared" si="66"/>
        <v/>
      </c>
      <c r="P197" s="204" t="str">
        <f t="shared" si="66"/>
        <v/>
      </c>
      <c r="Q197" s="204" t="str">
        <f t="shared" si="66"/>
        <v/>
      </c>
      <c r="R197" s="204" t="str">
        <f t="shared" si="66"/>
        <v/>
      </c>
      <c r="S197" s="204" t="str">
        <f t="shared" si="66"/>
        <v/>
      </c>
      <c r="T197" s="204" t="str">
        <f t="shared" si="66"/>
        <v/>
      </c>
      <c r="U197" s="205"/>
      <c r="V197" s="206"/>
      <c r="W197" s="207"/>
      <c r="X197" s="204"/>
      <c r="Y197" s="204"/>
      <c r="Z197" s="204">
        <v>1.01</v>
      </c>
      <c r="AA197" s="204">
        <v>1.01</v>
      </c>
      <c r="AB197" s="204">
        <v>1.01</v>
      </c>
      <c r="AC197" s="204">
        <v>1.01</v>
      </c>
      <c r="AD197" s="204">
        <v>1.01</v>
      </c>
      <c r="AE197" s="204">
        <v>1.01</v>
      </c>
      <c r="AF197" s="204">
        <v>1.01</v>
      </c>
      <c r="AG197" s="204">
        <v>1.01</v>
      </c>
      <c r="AH197" s="204">
        <v>1.01</v>
      </c>
      <c r="AI197" s="204">
        <v>1.01</v>
      </c>
      <c r="AJ197" s="207"/>
      <c r="AK197" s="206"/>
      <c r="AL197" s="208"/>
      <c r="AM197" s="30"/>
      <c r="AN197" s="53"/>
      <c r="AO197" s="53"/>
      <c r="AP197" s="53"/>
      <c r="AQ197" s="53"/>
      <c r="AR197" s="53"/>
      <c r="AS197" s="53"/>
    </row>
    <row r="198" ht="13.5" customHeight="1" outlineLevel="1">
      <c r="A198" s="1"/>
      <c r="B198" s="2"/>
      <c r="C198" s="2"/>
      <c r="D198" s="2"/>
      <c r="E198" s="60"/>
      <c r="F198" s="60"/>
      <c r="G198" s="209"/>
      <c r="H198" s="209"/>
      <c r="I198" s="210"/>
      <c r="J198" s="210"/>
      <c r="K198" s="210"/>
      <c r="L198" s="211"/>
      <c r="M198" s="211"/>
      <c r="N198" s="211"/>
      <c r="O198" s="211"/>
      <c r="P198" s="211"/>
      <c r="Q198" s="211"/>
      <c r="R198" s="197"/>
      <c r="S198" s="211"/>
      <c r="T198" s="211"/>
      <c r="U198" s="200"/>
      <c r="V198" s="212"/>
      <c r="W198" s="9"/>
      <c r="X198" s="211"/>
      <c r="Y198" s="211"/>
      <c r="Z198" s="211"/>
      <c r="AA198" s="211"/>
      <c r="AB198" s="211"/>
      <c r="AC198" s="211"/>
      <c r="AD198" s="211"/>
      <c r="AE198" s="211"/>
      <c r="AF198" s="211"/>
      <c r="AG198" s="211"/>
      <c r="AH198" s="211"/>
      <c r="AI198" s="211"/>
      <c r="AJ198" s="9"/>
      <c r="AK198" s="213"/>
      <c r="AL198" s="10"/>
      <c r="AM198" s="30"/>
      <c r="AN198" s="7"/>
      <c r="AO198" s="7"/>
      <c r="AP198" s="7"/>
      <c r="AQ198" s="7"/>
      <c r="AR198" s="7"/>
      <c r="AS198" s="7"/>
    </row>
    <row r="199" ht="12.0" customHeight="1" outlineLevel="1">
      <c r="A199" s="1"/>
      <c r="B199" s="2"/>
      <c r="C199" s="2"/>
      <c r="D199" s="2"/>
      <c r="E199" s="60"/>
      <c r="F199" s="214"/>
      <c r="G199" s="215"/>
      <c r="H199" s="215"/>
      <c r="I199" s="216"/>
      <c r="J199" s="216"/>
      <c r="K199" s="216"/>
      <c r="L199" s="217" t="str">
        <f t="shared" ref="L199:T199" si="67">+K199</f>
        <v/>
      </c>
      <c r="M199" s="217" t="str">
        <f t="shared" si="67"/>
        <v/>
      </c>
      <c r="N199" s="217" t="str">
        <f t="shared" si="67"/>
        <v/>
      </c>
      <c r="O199" s="217" t="str">
        <f t="shared" si="67"/>
        <v/>
      </c>
      <c r="P199" s="217" t="str">
        <f t="shared" si="67"/>
        <v/>
      </c>
      <c r="Q199" s="217" t="str">
        <f t="shared" si="67"/>
        <v/>
      </c>
      <c r="R199" s="217" t="str">
        <f t="shared" si="67"/>
        <v/>
      </c>
      <c r="S199" s="217" t="str">
        <f t="shared" si="67"/>
        <v/>
      </c>
      <c r="T199" s="217" t="str">
        <f t="shared" si="67"/>
        <v/>
      </c>
      <c r="U199" s="200"/>
      <c r="V199" s="218"/>
      <c r="W199" s="9"/>
      <c r="X199" s="217"/>
      <c r="Y199" s="217"/>
      <c r="Z199" s="217">
        <v>1.025</v>
      </c>
      <c r="AA199" s="217">
        <v>1.025</v>
      </c>
      <c r="AB199" s="217">
        <v>1.025</v>
      </c>
      <c r="AC199" s="217">
        <v>1.025</v>
      </c>
      <c r="AD199" s="217">
        <v>1.025</v>
      </c>
      <c r="AE199" s="217">
        <v>1.025</v>
      </c>
      <c r="AF199" s="217">
        <v>1.025</v>
      </c>
      <c r="AG199" s="217">
        <v>1.025</v>
      </c>
      <c r="AH199" s="217">
        <v>1.025</v>
      </c>
      <c r="AI199" s="217">
        <v>1.025</v>
      </c>
      <c r="AJ199" s="9"/>
      <c r="AK199" s="218"/>
      <c r="AL199" s="10"/>
      <c r="AM199" s="30"/>
      <c r="AN199" s="7"/>
      <c r="AO199" s="7"/>
      <c r="AP199" s="7"/>
      <c r="AQ199" s="7"/>
      <c r="AR199" s="7"/>
      <c r="AS199" s="7"/>
    </row>
    <row r="200" ht="12.0" customHeight="1" outlineLevel="1">
      <c r="A200" s="18"/>
      <c r="B200" s="5"/>
      <c r="C200" s="5"/>
      <c r="D200" s="5"/>
      <c r="E200" s="50"/>
      <c r="F200" s="194"/>
      <c r="G200" s="195" t="s">
        <v>269</v>
      </c>
      <c r="H200" s="195"/>
      <c r="I200" s="219">
        <v>1460.32</v>
      </c>
      <c r="J200" s="219">
        <v>1419.54</v>
      </c>
      <c r="K200" s="219">
        <v>1422.84</v>
      </c>
      <c r="L200" s="219">
        <f t="shared" ref="L200:T200" si="68">+L201*L199</f>
        <v>0</v>
      </c>
      <c r="M200" s="219">
        <f t="shared" si="68"/>
        <v>0</v>
      </c>
      <c r="N200" s="219">
        <f t="shared" si="68"/>
        <v>0</v>
      </c>
      <c r="O200" s="219">
        <f t="shared" si="68"/>
        <v>0</v>
      </c>
      <c r="P200" s="219">
        <f t="shared" si="68"/>
        <v>0</v>
      </c>
      <c r="Q200" s="219">
        <f t="shared" si="68"/>
        <v>0</v>
      </c>
      <c r="R200" s="219">
        <f t="shared" si="68"/>
        <v>0</v>
      </c>
      <c r="S200" s="219">
        <f t="shared" si="68"/>
        <v>0</v>
      </c>
      <c r="T200" s="219">
        <f t="shared" si="68"/>
        <v>0</v>
      </c>
      <c r="U200" s="220"/>
      <c r="V200" s="221"/>
      <c r="W200" s="55"/>
      <c r="X200" s="219">
        <v>1537.5</v>
      </c>
      <c r="Y200" s="219">
        <v>1560.5625</v>
      </c>
      <c r="Z200" s="219">
        <v>1583.9709375</v>
      </c>
      <c r="AA200" s="219">
        <v>1607.730501562499</v>
      </c>
      <c r="AB200" s="219">
        <v>1631.846459085937</v>
      </c>
      <c r="AC200" s="219">
        <v>1656.324155972226</v>
      </c>
      <c r="AD200" s="219">
        <v>1681.169018311809</v>
      </c>
      <c r="AE200" s="219">
        <v>1706.386553586486</v>
      </c>
      <c r="AF200" s="219">
        <v>1731.982351890283</v>
      </c>
      <c r="AG200" s="219">
        <v>1757.962087168637</v>
      </c>
      <c r="AH200" s="219">
        <v>1784.331518476166</v>
      </c>
      <c r="AI200" s="219">
        <v>1811.096491253309</v>
      </c>
      <c r="AJ200" s="55"/>
      <c r="AK200" s="221"/>
      <c r="AL200" s="56"/>
      <c r="AM200" s="222"/>
      <c r="AN200" s="53"/>
      <c r="AO200" s="53"/>
      <c r="AP200" s="53"/>
      <c r="AQ200" s="53"/>
      <c r="AR200" s="53"/>
      <c r="AS200" s="53"/>
      <c r="AT200" s="53"/>
      <c r="AU200" s="53"/>
      <c r="AV200" s="53"/>
      <c r="AW200" s="53"/>
      <c r="AX200" s="53"/>
      <c r="AY200" s="53"/>
    </row>
    <row r="201" ht="12.0" customHeight="1" outlineLevel="1">
      <c r="A201" s="18"/>
      <c r="B201" s="5"/>
      <c r="C201" s="5"/>
      <c r="D201" s="5"/>
      <c r="E201" s="50"/>
      <c r="F201" s="201"/>
      <c r="G201" s="202" t="s">
        <v>270</v>
      </c>
      <c r="H201" s="202"/>
      <c r="I201" s="223">
        <v>1415.0</v>
      </c>
      <c r="J201" s="223">
        <v>1370.0</v>
      </c>
      <c r="K201" s="223">
        <v>1355.0</v>
      </c>
      <c r="L201" s="224">
        <v>1365.0</v>
      </c>
      <c r="M201" s="223">
        <f t="shared" ref="M201:T201" si="69">+L201*M202</f>
        <v>1385.475</v>
      </c>
      <c r="N201" s="223">
        <f t="shared" si="69"/>
        <v>1406.257125</v>
      </c>
      <c r="O201" s="223">
        <f t="shared" si="69"/>
        <v>1427.350982</v>
      </c>
      <c r="P201" s="223">
        <f t="shared" si="69"/>
        <v>1448.761247</v>
      </c>
      <c r="Q201" s="223">
        <f t="shared" si="69"/>
        <v>1470.492665</v>
      </c>
      <c r="R201" s="223">
        <f t="shared" si="69"/>
        <v>1492.550055</v>
      </c>
      <c r="S201" s="223">
        <f t="shared" si="69"/>
        <v>1514.938306</v>
      </c>
      <c r="T201" s="223">
        <f t="shared" si="69"/>
        <v>1537.662381</v>
      </c>
      <c r="U201" s="220"/>
      <c r="V201" s="225"/>
      <c r="W201" s="55"/>
      <c r="X201" s="223">
        <v>1500.0</v>
      </c>
      <c r="Y201" s="223">
        <v>1522.5</v>
      </c>
      <c r="Z201" s="223">
        <v>1545.3375</v>
      </c>
      <c r="AA201" s="223">
        <v>1568.517562499999</v>
      </c>
      <c r="AB201" s="223">
        <v>1592.045325937499</v>
      </c>
      <c r="AC201" s="223">
        <v>1615.926005826562</v>
      </c>
      <c r="AD201" s="223">
        <v>1640.16489591396</v>
      </c>
      <c r="AE201" s="223">
        <v>1664.767369352669</v>
      </c>
      <c r="AF201" s="223">
        <v>1689.738879892959</v>
      </c>
      <c r="AG201" s="223">
        <v>1715.084963091353</v>
      </c>
      <c r="AH201" s="223">
        <v>1740.811237537723</v>
      </c>
      <c r="AI201" s="223">
        <v>1766.923406100789</v>
      </c>
      <c r="AJ201" s="55"/>
      <c r="AK201" s="221"/>
      <c r="AL201" s="56"/>
      <c r="AM201" s="222"/>
      <c r="AN201" s="53"/>
      <c r="AO201" s="53"/>
      <c r="AP201" s="53"/>
      <c r="AQ201" s="53"/>
      <c r="AR201" s="53"/>
      <c r="AS201" s="53"/>
      <c r="AT201" s="53"/>
      <c r="AU201" s="53"/>
      <c r="AV201" s="53"/>
      <c r="AW201" s="53"/>
      <c r="AX201" s="53"/>
      <c r="AY201" s="53"/>
    </row>
    <row r="202" ht="9.75" customHeight="1" outlineLevel="1">
      <c r="A202" s="1"/>
      <c r="B202" s="2"/>
      <c r="C202" s="2"/>
      <c r="D202" s="2"/>
      <c r="E202" s="60"/>
      <c r="F202" s="2"/>
      <c r="G202" s="60"/>
      <c r="H202" s="60"/>
      <c r="I202" s="60">
        <v>1.015</v>
      </c>
      <c r="J202" s="60">
        <f t="shared" ref="J202:T202" si="70">+I202</f>
        <v>1.015</v>
      </c>
      <c r="K202" s="60">
        <f t="shared" si="70"/>
        <v>1.015</v>
      </c>
      <c r="L202" s="60">
        <f t="shared" si="70"/>
        <v>1.015</v>
      </c>
      <c r="M202" s="60">
        <f t="shared" si="70"/>
        <v>1.015</v>
      </c>
      <c r="N202" s="60">
        <f t="shared" si="70"/>
        <v>1.015</v>
      </c>
      <c r="O202" s="60">
        <f t="shared" si="70"/>
        <v>1.015</v>
      </c>
      <c r="P202" s="60">
        <f t="shared" si="70"/>
        <v>1.015</v>
      </c>
      <c r="Q202" s="60">
        <f t="shared" si="70"/>
        <v>1.015</v>
      </c>
      <c r="R202" s="60">
        <f t="shared" si="70"/>
        <v>1.015</v>
      </c>
      <c r="S202" s="60">
        <f t="shared" si="70"/>
        <v>1.015</v>
      </c>
      <c r="T202" s="60">
        <f t="shared" si="70"/>
        <v>1.015</v>
      </c>
      <c r="U202" s="7"/>
      <c r="V202" s="226"/>
      <c r="W202" s="9"/>
      <c r="X202" s="60">
        <v>1.015</v>
      </c>
      <c r="Y202" s="60">
        <v>1.015</v>
      </c>
      <c r="Z202" s="60">
        <v>1.015</v>
      </c>
      <c r="AA202" s="60">
        <v>1.015</v>
      </c>
      <c r="AB202" s="60">
        <v>1.015</v>
      </c>
      <c r="AC202" s="60">
        <v>1.015</v>
      </c>
      <c r="AD202" s="60">
        <v>1.015</v>
      </c>
      <c r="AE202" s="60">
        <v>1.015</v>
      </c>
      <c r="AF202" s="60">
        <v>1.015</v>
      </c>
      <c r="AG202" s="60">
        <v>1.015</v>
      </c>
      <c r="AH202" s="60">
        <v>1.015</v>
      </c>
      <c r="AI202" s="60">
        <v>1.015</v>
      </c>
      <c r="AJ202" s="9"/>
      <c r="AK202" s="227"/>
      <c r="AL202" s="10"/>
      <c r="AM202" s="30"/>
      <c r="AN202" s="7"/>
      <c r="AO202" s="7"/>
      <c r="AP202" s="7"/>
      <c r="AQ202" s="7"/>
      <c r="AR202" s="7"/>
      <c r="AS202" s="7"/>
    </row>
    <row r="203" ht="14.25" customHeight="1" outlineLevel="1">
      <c r="A203" s="1"/>
      <c r="B203" s="2"/>
      <c r="C203" s="228"/>
      <c r="D203" s="7"/>
      <c r="E203" s="60"/>
      <c r="F203" s="228"/>
      <c r="G203" s="60"/>
      <c r="H203" s="60"/>
      <c r="I203" s="229"/>
      <c r="J203" s="229"/>
      <c r="K203" s="229"/>
      <c r="L203" s="229"/>
      <c r="M203" s="229"/>
      <c r="N203" s="229"/>
      <c r="O203" s="229"/>
      <c r="P203" s="229"/>
      <c r="Q203" s="229"/>
      <c r="R203" s="229"/>
      <c r="S203" s="229"/>
      <c r="T203" s="229"/>
      <c r="U203" s="7"/>
      <c r="V203" s="230"/>
      <c r="W203" s="9"/>
      <c r="X203" s="229"/>
      <c r="Y203" s="229"/>
      <c r="Z203" s="229"/>
      <c r="AA203" s="229"/>
      <c r="AB203" s="229"/>
      <c r="AC203" s="229"/>
      <c r="AD203" s="229"/>
      <c r="AE203" s="229"/>
      <c r="AF203" s="229"/>
      <c r="AG203" s="229"/>
      <c r="AH203" s="229"/>
      <c r="AI203" s="229"/>
      <c r="AJ203" s="9"/>
      <c r="AK203" s="230"/>
      <c r="AL203" s="10"/>
      <c r="AM203" s="30"/>
      <c r="AN203" s="7"/>
      <c r="AO203" s="7"/>
      <c r="AP203" s="7"/>
      <c r="AQ203" s="7"/>
      <c r="AR203" s="7"/>
      <c r="AS203" s="7"/>
    </row>
    <row r="204" ht="14.25" customHeight="1">
      <c r="A204" s="1"/>
      <c r="B204" s="2"/>
      <c r="C204" s="7"/>
      <c r="D204" s="7"/>
      <c r="E204" s="60"/>
      <c r="F204" s="228"/>
      <c r="G204" s="60"/>
      <c r="H204" s="60"/>
      <c r="I204" s="231"/>
      <c r="J204" s="231"/>
      <c r="K204" s="232"/>
      <c r="L204" s="232"/>
      <c r="M204" s="232"/>
      <c r="N204" s="232"/>
      <c r="O204" s="232"/>
      <c r="P204" s="232"/>
      <c r="Q204" s="232"/>
      <c r="R204" s="232"/>
      <c r="S204" s="232" t="s">
        <v>245</v>
      </c>
      <c r="T204" s="232">
        <f>+T191-T192</f>
        <v>681874443.8</v>
      </c>
      <c r="U204" s="232" t="s">
        <v>271</v>
      </c>
      <c r="V204" s="233">
        <f>(+V40-V14-V15)-((+V40-V14-V15)*5%)</f>
        <v>2335761067</v>
      </c>
      <c r="W204" s="9"/>
      <c r="X204" s="129"/>
      <c r="Y204" s="129"/>
      <c r="Z204" s="129"/>
      <c r="AA204" s="232"/>
      <c r="AB204" s="232"/>
      <c r="AC204" s="232"/>
      <c r="AD204" s="232"/>
      <c r="AE204" s="232"/>
      <c r="AF204" s="232"/>
      <c r="AG204" s="232"/>
      <c r="AH204" s="232" t="s">
        <v>245</v>
      </c>
      <c r="AI204" s="232">
        <f>+AI191-AI192</f>
        <v>359797894.1</v>
      </c>
      <c r="AJ204" s="232" t="s">
        <v>271</v>
      </c>
      <c r="AK204" s="230">
        <f>(+AK40-AK14-AK15)-((+AK40-AK14-AK15)*5%)</f>
        <v>2144300689</v>
      </c>
      <c r="AL204" s="10"/>
      <c r="AM204" s="30"/>
      <c r="AN204" s="7"/>
      <c r="AO204" s="7"/>
      <c r="AP204" s="7"/>
      <c r="AQ204" s="7"/>
      <c r="AR204" s="7"/>
      <c r="AS204" s="7"/>
    </row>
    <row r="205" ht="14.25" customHeight="1">
      <c r="A205" s="1"/>
      <c r="B205" s="2"/>
      <c r="C205" s="7"/>
      <c r="D205" s="7"/>
      <c r="E205" s="60"/>
      <c r="F205" s="228"/>
      <c r="G205" s="60"/>
      <c r="H205" s="234" t="s">
        <v>272</v>
      </c>
      <c r="I205" s="197"/>
      <c r="J205" s="197"/>
      <c r="K205" s="197"/>
      <c r="L205" s="197"/>
      <c r="M205" s="197"/>
      <c r="N205" s="197"/>
      <c r="O205" s="197"/>
      <c r="P205" s="231"/>
      <c r="Q205" s="106"/>
      <c r="R205" s="106"/>
      <c r="S205" s="129" t="s">
        <v>247</v>
      </c>
      <c r="T205" s="235">
        <f>+T204/T191</f>
        <v>0.2919281657</v>
      </c>
      <c r="U205" s="232" t="s">
        <v>273</v>
      </c>
      <c r="V205" s="233">
        <f>V169-V158-V164</f>
        <v>1784160446</v>
      </c>
      <c r="W205" s="9"/>
      <c r="X205" s="129"/>
      <c r="Y205" s="129"/>
      <c r="Z205" s="129"/>
      <c r="AA205" s="197"/>
      <c r="AB205" s="197"/>
      <c r="AC205" s="197"/>
      <c r="AD205" s="197"/>
      <c r="AE205" s="231"/>
      <c r="AF205" s="106"/>
      <c r="AG205" s="106"/>
      <c r="AH205" s="129" t="s">
        <v>247</v>
      </c>
      <c r="AI205" s="235">
        <f>+AI204/AI191</f>
        <v>0.04971194027</v>
      </c>
      <c r="AJ205" s="232" t="s">
        <v>273</v>
      </c>
      <c r="AK205" s="230">
        <f>AK169-AK158-AK164</f>
        <v>1966904920</v>
      </c>
      <c r="AL205" s="10"/>
      <c r="AM205" s="30"/>
      <c r="AN205" s="7"/>
      <c r="AO205" s="7"/>
      <c r="AP205" s="7"/>
      <c r="AQ205" s="7"/>
      <c r="AR205" s="7"/>
      <c r="AS205" s="7"/>
    </row>
    <row r="206" ht="12.0" customHeight="1">
      <c r="A206" s="1"/>
      <c r="B206" s="2"/>
      <c r="C206" s="236"/>
      <c r="D206" s="60"/>
      <c r="E206" s="60"/>
      <c r="F206" s="2"/>
      <c r="G206" s="60"/>
      <c r="H206" s="237" t="s">
        <v>274</v>
      </c>
      <c r="I206" s="238">
        <v>1.5</v>
      </c>
      <c r="J206" s="229"/>
      <c r="K206" s="229"/>
      <c r="L206" s="229"/>
      <c r="M206" s="229"/>
      <c r="N206" s="229"/>
      <c r="O206" s="229"/>
      <c r="P206" s="229"/>
      <c r="Q206" s="239"/>
      <c r="R206" s="239"/>
      <c r="S206" s="239"/>
      <c r="T206" s="239"/>
      <c r="U206" s="232" t="s">
        <v>275</v>
      </c>
      <c r="V206" s="233">
        <f>+V204-V205</f>
        <v>551600620.6</v>
      </c>
      <c r="W206" s="9"/>
      <c r="X206" s="239"/>
      <c r="Y206" s="239"/>
      <c r="Z206" s="239"/>
      <c r="AA206" s="229"/>
      <c r="AB206" s="229"/>
      <c r="AC206" s="229"/>
      <c r="AD206" s="229"/>
      <c r="AE206" s="229"/>
      <c r="AF206" s="239"/>
      <c r="AG206" s="239"/>
      <c r="AH206" s="239"/>
      <c r="AI206" s="239"/>
      <c r="AJ206" s="232" t="s">
        <v>275</v>
      </c>
      <c r="AK206" s="230">
        <f>+AK204-AK205</f>
        <v>177395768.8</v>
      </c>
      <c r="AL206" s="10"/>
      <c r="AM206" s="30"/>
      <c r="AN206" s="7"/>
      <c r="AO206" s="7"/>
      <c r="AP206" s="7"/>
      <c r="AQ206" s="7"/>
      <c r="AR206" s="7"/>
      <c r="AS206" s="7"/>
    </row>
    <row r="207" ht="12.0" customHeight="1">
      <c r="A207" s="1"/>
      <c r="B207" s="2"/>
      <c r="C207" s="2"/>
      <c r="D207" s="60"/>
      <c r="E207" s="60"/>
      <c r="F207" s="2"/>
      <c r="G207" s="60"/>
      <c r="H207" s="237" t="s">
        <v>276</v>
      </c>
      <c r="I207" s="61">
        <v>1.5</v>
      </c>
      <c r="J207" s="61"/>
      <c r="K207" s="61"/>
      <c r="L207" s="61"/>
      <c r="M207" s="61"/>
      <c r="N207" s="61"/>
      <c r="O207" s="61"/>
      <c r="P207" s="61"/>
      <c r="Q207" s="61"/>
      <c r="R207" s="61"/>
      <c r="S207" s="61" t="s">
        <v>277</v>
      </c>
      <c r="T207" s="6">
        <f>+V152+V139+V71+V54</f>
        <v>84153521.7</v>
      </c>
      <c r="U207" s="232" t="s">
        <v>247</v>
      </c>
      <c r="V207" s="159">
        <f>+V206/V204</f>
        <v>0.2361545573</v>
      </c>
      <c r="W207" s="9"/>
      <c r="X207" s="61"/>
      <c r="Y207" s="61"/>
      <c r="Z207" s="61"/>
      <c r="AA207" s="61"/>
      <c r="AB207" s="61"/>
      <c r="AC207" s="61"/>
      <c r="AD207" s="61"/>
      <c r="AE207" s="61"/>
      <c r="AF207" s="61"/>
      <c r="AG207" s="61"/>
      <c r="AH207" s="61" t="s">
        <v>277</v>
      </c>
      <c r="AI207" s="6">
        <f>+AK152+AK139+AK71+AK54</f>
        <v>81449264</v>
      </c>
      <c r="AJ207" s="232" t="s">
        <v>247</v>
      </c>
      <c r="AK207" s="159">
        <f>+AK206/AK204</f>
        <v>0.08272896134</v>
      </c>
      <c r="AL207" s="10"/>
      <c r="AM207" s="30"/>
      <c r="AN207" s="7"/>
      <c r="AO207" s="7"/>
      <c r="AP207" s="7"/>
      <c r="AQ207" s="7"/>
      <c r="AR207" s="7"/>
      <c r="AS207" s="7"/>
    </row>
    <row r="208" ht="12.0" customHeight="1">
      <c r="A208" s="1"/>
      <c r="B208" s="2"/>
      <c r="C208" s="2"/>
      <c r="D208" s="60"/>
      <c r="E208" s="60"/>
      <c r="F208" s="2"/>
      <c r="G208" s="60"/>
      <c r="H208" s="237" t="s">
        <v>278</v>
      </c>
      <c r="I208" s="6">
        <v>1500.0</v>
      </c>
      <c r="J208" s="6"/>
      <c r="K208" s="6"/>
      <c r="L208" s="240"/>
      <c r="M208" s="229"/>
      <c r="N208" s="229"/>
      <c r="O208" s="229"/>
      <c r="P208" s="229"/>
      <c r="Q208" s="239"/>
      <c r="R208" s="239"/>
      <c r="S208" s="239"/>
      <c r="T208" s="239"/>
      <c r="U208" s="240" t="s">
        <v>279</v>
      </c>
      <c r="V208" s="233">
        <f>V206*35%</f>
        <v>193060217.2</v>
      </c>
      <c r="W208" s="9"/>
      <c r="X208" s="6"/>
      <c r="Y208" s="6"/>
      <c r="Z208" s="6"/>
      <c r="AA208" s="240"/>
      <c r="AB208" s="229"/>
      <c r="AC208" s="229"/>
      <c r="AD208" s="229"/>
      <c r="AE208" s="229"/>
      <c r="AF208" s="239"/>
      <c r="AG208" s="239"/>
      <c r="AH208" s="239"/>
      <c r="AI208" s="239"/>
      <c r="AJ208" s="240" t="s">
        <v>279</v>
      </c>
      <c r="AK208" s="233">
        <f>AK206*35%</f>
        <v>62088519.08</v>
      </c>
      <c r="AL208" s="10"/>
      <c r="AM208" s="30"/>
      <c r="AN208" s="7"/>
      <c r="AO208" s="7"/>
      <c r="AP208" s="7"/>
      <c r="AQ208" s="7"/>
      <c r="AR208" s="7"/>
      <c r="AS208" s="7"/>
    </row>
    <row r="209" ht="12.0" customHeight="1">
      <c r="A209" s="1"/>
      <c r="B209" s="2"/>
      <c r="C209" s="2"/>
      <c r="D209" s="60"/>
      <c r="E209" s="60"/>
      <c r="F209" s="2"/>
      <c r="G209" s="60"/>
      <c r="H209" s="241" t="s">
        <v>280</v>
      </c>
      <c r="I209" s="232" t="s">
        <v>281</v>
      </c>
      <c r="J209" s="232"/>
      <c r="K209" s="232"/>
      <c r="L209" s="232"/>
      <c r="M209" s="232"/>
      <c r="N209" s="232"/>
      <c r="O209" s="232"/>
      <c r="P209" s="232"/>
      <c r="Q209" s="232"/>
      <c r="R209" s="232"/>
      <c r="S209" s="232"/>
      <c r="T209" s="232"/>
      <c r="U209" s="240" t="s">
        <v>282</v>
      </c>
      <c r="V209" s="233">
        <f>V206-V208</f>
        <v>358540403.4</v>
      </c>
      <c r="W209" s="9"/>
      <c r="X209" s="232"/>
      <c r="Y209" s="232"/>
      <c r="Z209" s="232"/>
      <c r="AA209" s="232"/>
      <c r="AB209" s="232"/>
      <c r="AC209" s="232"/>
      <c r="AD209" s="232"/>
      <c r="AE209" s="232"/>
      <c r="AF209" s="232"/>
      <c r="AG209" s="232"/>
      <c r="AH209" s="232"/>
      <c r="AI209" s="232"/>
      <c r="AJ209" s="240" t="s">
        <v>282</v>
      </c>
      <c r="AK209" s="233">
        <f>AK206-AK208</f>
        <v>115307249.7</v>
      </c>
      <c r="AL209" s="10"/>
      <c r="AM209" s="30"/>
      <c r="AN209" s="7"/>
      <c r="AO209" s="7"/>
      <c r="AP209" s="7"/>
      <c r="AQ209" s="7"/>
      <c r="AR209" s="7"/>
      <c r="AS209" s="7"/>
    </row>
    <row r="210" ht="9.0" customHeight="1">
      <c r="A210" s="1"/>
      <c r="B210" s="2"/>
      <c r="C210" s="2"/>
      <c r="D210" s="60"/>
      <c r="E210" s="60"/>
      <c r="F210" s="2"/>
      <c r="G210" s="60"/>
      <c r="H210" s="60"/>
      <c r="I210" s="61"/>
      <c r="J210" s="61"/>
      <c r="K210" s="61"/>
      <c r="L210" s="61"/>
      <c r="M210" s="61"/>
      <c r="N210" s="61"/>
      <c r="O210" s="61"/>
      <c r="P210" s="61"/>
      <c r="Q210" s="61"/>
      <c r="R210" s="61"/>
      <c r="S210" s="61"/>
      <c r="T210" s="61"/>
      <c r="U210" s="240" t="s">
        <v>247</v>
      </c>
      <c r="V210" s="159">
        <f>V209/V204</f>
        <v>0.1535004622</v>
      </c>
      <c r="W210" s="9"/>
      <c r="X210" s="61"/>
      <c r="Y210" s="61"/>
      <c r="Z210" s="61"/>
      <c r="AA210" s="61"/>
      <c r="AB210" s="61"/>
      <c r="AC210" s="61"/>
      <c r="AD210" s="61"/>
      <c r="AE210" s="61"/>
      <c r="AF210" s="61"/>
      <c r="AG210" s="61"/>
      <c r="AH210" s="61"/>
      <c r="AI210" s="61"/>
      <c r="AJ210" s="240" t="s">
        <v>247</v>
      </c>
      <c r="AK210" s="159">
        <f>AK209/AK204</f>
        <v>0.05377382487</v>
      </c>
      <c r="AL210" s="10"/>
      <c r="AM210" s="30"/>
      <c r="AN210" s="7"/>
      <c r="AO210" s="7"/>
      <c r="AP210" s="7"/>
      <c r="AQ210" s="7"/>
      <c r="AR210" s="7"/>
      <c r="AS210" s="7"/>
    </row>
    <row r="211" ht="9.0" customHeight="1">
      <c r="A211" s="1"/>
      <c r="B211" s="2"/>
      <c r="C211" s="2"/>
      <c r="D211" s="60"/>
      <c r="E211" s="60"/>
      <c r="F211" s="2"/>
      <c r="G211" s="60"/>
      <c r="H211" s="242"/>
      <c r="I211" s="61" t="s">
        <v>283</v>
      </c>
      <c r="J211" s="61"/>
      <c r="K211" s="61"/>
      <c r="L211" s="61"/>
      <c r="M211" s="61"/>
      <c r="N211" s="61"/>
      <c r="O211" s="61"/>
      <c r="P211" s="61"/>
      <c r="Q211" s="61"/>
      <c r="R211" s="61"/>
      <c r="S211" s="61"/>
      <c r="T211" s="61"/>
      <c r="U211" s="7"/>
      <c r="V211" s="226"/>
      <c r="W211" s="9"/>
      <c r="X211" s="61"/>
      <c r="Y211" s="61"/>
      <c r="Z211" s="61"/>
      <c r="AA211" s="61"/>
      <c r="AB211" s="61"/>
      <c r="AC211" s="61"/>
      <c r="AD211" s="61"/>
      <c r="AE211" s="61"/>
      <c r="AF211" s="61"/>
      <c r="AG211" s="61"/>
      <c r="AH211" s="61"/>
      <c r="AI211" s="61"/>
      <c r="AJ211" s="9"/>
      <c r="AK211" s="226"/>
      <c r="AL211" s="10"/>
      <c r="AM211" s="30"/>
      <c r="AN211" s="7"/>
      <c r="AO211" s="7"/>
      <c r="AP211" s="7"/>
      <c r="AQ211" s="7"/>
      <c r="AR211" s="7"/>
      <c r="AS211" s="7"/>
    </row>
    <row r="212" ht="9.0" customHeight="1">
      <c r="A212" s="1"/>
      <c r="B212" s="2"/>
      <c r="C212" s="2"/>
      <c r="D212" s="60"/>
      <c r="E212" s="60"/>
      <c r="F212" s="2"/>
      <c r="G212" s="60"/>
      <c r="H212" s="243"/>
      <c r="I212" s="2" t="s">
        <v>284</v>
      </c>
      <c r="J212" s="2"/>
      <c r="K212" s="2"/>
      <c r="L212" s="61"/>
      <c r="M212" s="61"/>
      <c r="N212" s="61"/>
      <c r="O212" s="61"/>
      <c r="P212" s="61"/>
      <c r="Q212" s="61"/>
      <c r="R212" s="61"/>
      <c r="S212" s="61"/>
      <c r="T212" s="61"/>
      <c r="U212" s="7"/>
      <c r="V212" s="226"/>
      <c r="W212" s="9"/>
      <c r="X212" s="61"/>
      <c r="Y212" s="61"/>
      <c r="Z212" s="61"/>
      <c r="AA212" s="61"/>
      <c r="AB212" s="61"/>
      <c r="AC212" s="61"/>
      <c r="AD212" s="61"/>
      <c r="AE212" s="61"/>
      <c r="AF212" s="61"/>
      <c r="AG212" s="61"/>
      <c r="AH212" s="61"/>
      <c r="AI212" s="61"/>
      <c r="AJ212" s="9"/>
      <c r="AK212" s="226"/>
      <c r="AL212" s="10"/>
      <c r="AM212" s="30"/>
      <c r="AN212" s="7"/>
      <c r="AO212" s="7"/>
      <c r="AP212" s="7"/>
      <c r="AQ212" s="7"/>
      <c r="AR212" s="7"/>
      <c r="AS212" s="7"/>
    </row>
    <row r="213" ht="9.0" customHeight="1">
      <c r="A213" s="1"/>
      <c r="B213" s="2"/>
      <c r="C213" s="2"/>
      <c r="D213" s="60"/>
      <c r="E213" s="60"/>
      <c r="F213" s="2"/>
      <c r="G213" s="60"/>
      <c r="H213" s="244"/>
      <c r="I213" s="12" t="s">
        <v>285</v>
      </c>
      <c r="J213" s="12" t="str">
        <f>+#REF!/7</f>
        <v>#REF!</v>
      </c>
      <c r="K213" s="12"/>
      <c r="L213" s="61"/>
      <c r="M213" s="61"/>
      <c r="N213" s="61"/>
      <c r="O213" s="61"/>
      <c r="P213" s="61"/>
      <c r="Q213" s="61"/>
      <c r="R213" s="61"/>
      <c r="S213" s="61"/>
      <c r="T213" s="61"/>
      <c r="U213" s="7"/>
      <c r="V213" s="226"/>
      <c r="W213" s="9"/>
      <c r="X213" s="61"/>
      <c r="Y213" s="61"/>
      <c r="Z213" s="61"/>
      <c r="AA213" s="61"/>
      <c r="AB213" s="61"/>
      <c r="AC213" s="61"/>
      <c r="AD213" s="61"/>
      <c r="AE213" s="61"/>
      <c r="AF213" s="61"/>
      <c r="AG213" s="61"/>
      <c r="AH213" s="61"/>
      <c r="AI213" s="61"/>
      <c r="AJ213" s="9"/>
      <c r="AK213" s="226"/>
      <c r="AL213" s="10"/>
      <c r="AM213" s="30"/>
      <c r="AN213" s="7"/>
      <c r="AO213" s="7"/>
      <c r="AP213" s="7"/>
      <c r="AQ213" s="7"/>
      <c r="AR213" s="7"/>
      <c r="AS213" s="7"/>
    </row>
    <row r="214" ht="9.0" customHeight="1">
      <c r="A214" s="1"/>
      <c r="B214" s="2"/>
      <c r="C214" s="2"/>
      <c r="D214" s="60"/>
      <c r="E214" s="60"/>
      <c r="F214" s="2"/>
      <c r="G214" s="60"/>
      <c r="H214" s="245"/>
      <c r="I214" s="17" t="s">
        <v>286</v>
      </c>
      <c r="J214" s="17"/>
      <c r="K214" s="17"/>
      <c r="L214" s="61"/>
      <c r="M214" s="61"/>
      <c r="N214" s="61"/>
      <c r="O214" s="61"/>
      <c r="P214" s="61"/>
      <c r="Q214" s="61"/>
      <c r="R214" s="61"/>
      <c r="S214" s="61"/>
      <c r="T214" s="61"/>
      <c r="U214" s="7"/>
      <c r="V214" s="226"/>
      <c r="W214" s="9"/>
      <c r="X214" s="61"/>
      <c r="Y214" s="61"/>
      <c r="Z214" s="61"/>
      <c r="AA214" s="61"/>
      <c r="AB214" s="61"/>
      <c r="AC214" s="61"/>
      <c r="AD214" s="61"/>
      <c r="AE214" s="61"/>
      <c r="AF214" s="61"/>
      <c r="AG214" s="61"/>
      <c r="AH214" s="61"/>
      <c r="AI214" s="61"/>
      <c r="AJ214" s="9"/>
      <c r="AK214" s="226"/>
      <c r="AL214" s="10"/>
      <c r="AM214" s="30"/>
      <c r="AN214" s="7"/>
      <c r="AO214" s="7"/>
      <c r="AP214" s="7"/>
      <c r="AQ214" s="7"/>
      <c r="AR214" s="7"/>
      <c r="AS214" s="7"/>
    </row>
    <row r="215" ht="9.0" customHeight="1">
      <c r="A215" s="1"/>
      <c r="B215" s="2"/>
      <c r="C215" s="2"/>
      <c r="D215" s="60"/>
      <c r="E215" s="60"/>
      <c r="F215" s="2"/>
      <c r="G215" s="60"/>
      <c r="H215" s="60"/>
      <c r="I215" s="61"/>
      <c r="J215" s="61"/>
      <c r="K215" s="61"/>
      <c r="L215" s="61"/>
      <c r="M215" s="61"/>
      <c r="N215" s="61"/>
      <c r="O215" s="61"/>
      <c r="P215" s="61"/>
      <c r="Q215" s="61"/>
      <c r="R215" s="61"/>
      <c r="S215" s="61"/>
      <c r="T215" s="61"/>
      <c r="U215" s="7"/>
      <c r="V215" s="226"/>
      <c r="W215" s="9"/>
      <c r="X215" s="61"/>
      <c r="Y215" s="61"/>
      <c r="Z215" s="61"/>
      <c r="AA215" s="61"/>
      <c r="AB215" s="61"/>
      <c r="AC215" s="61"/>
      <c r="AD215" s="61"/>
      <c r="AE215" s="61"/>
      <c r="AF215" s="61"/>
      <c r="AG215" s="61"/>
      <c r="AH215" s="61"/>
      <c r="AI215" s="61"/>
      <c r="AJ215" s="9"/>
      <c r="AK215" s="226"/>
      <c r="AL215" s="10"/>
      <c r="AM215" s="30"/>
      <c r="AN215" s="7"/>
      <c r="AO215" s="7"/>
      <c r="AP215" s="7"/>
      <c r="AQ215" s="7"/>
      <c r="AR215" s="7"/>
      <c r="AS215" s="7"/>
    </row>
    <row r="216" ht="13.5" customHeight="1">
      <c r="A216" s="1"/>
      <c r="B216" s="2"/>
      <c r="C216" s="2"/>
      <c r="D216" s="60"/>
      <c r="E216" s="60"/>
      <c r="F216" s="246"/>
      <c r="G216" s="247" t="s">
        <v>287</v>
      </c>
      <c r="H216" s="248"/>
      <c r="I216" s="249" t="str">
        <f t="shared" ref="I216:T216" si="71">+I4</f>
        <v>Ene-26</v>
      </c>
      <c r="J216" s="249">
        <f t="shared" si="71"/>
        <v>46078</v>
      </c>
      <c r="K216" s="249">
        <f t="shared" si="71"/>
        <v>46106</v>
      </c>
      <c r="L216" s="249" t="str">
        <f t="shared" si="71"/>
        <v>Abr-26</v>
      </c>
      <c r="M216" s="249">
        <f t="shared" si="71"/>
        <v>46167</v>
      </c>
      <c r="N216" s="249">
        <f t="shared" si="71"/>
        <v>46198</v>
      </c>
      <c r="O216" s="249">
        <f t="shared" si="71"/>
        <v>46228</v>
      </c>
      <c r="P216" s="249">
        <f t="shared" si="71"/>
        <v>46259</v>
      </c>
      <c r="Q216" s="249">
        <f t="shared" si="71"/>
        <v>46290</v>
      </c>
      <c r="R216" s="249">
        <f t="shared" si="71"/>
        <v>46320</v>
      </c>
      <c r="S216" s="249">
        <f t="shared" si="71"/>
        <v>46351</v>
      </c>
      <c r="T216" s="249">
        <f t="shared" si="71"/>
        <v>46381</v>
      </c>
      <c r="U216" s="7"/>
      <c r="V216" s="226"/>
      <c r="W216" s="9"/>
      <c r="X216" s="249"/>
      <c r="Y216" s="249"/>
      <c r="Z216" s="249"/>
      <c r="AA216" s="249"/>
      <c r="AB216" s="249"/>
      <c r="AC216" s="249"/>
      <c r="AD216" s="249"/>
      <c r="AE216" s="249"/>
      <c r="AF216" s="249"/>
      <c r="AG216" s="249"/>
      <c r="AH216" s="249"/>
      <c r="AI216" s="249"/>
      <c r="AJ216" s="9"/>
      <c r="AK216" s="250"/>
      <c r="AL216" s="10"/>
      <c r="AM216" s="30"/>
      <c r="AN216" s="7"/>
      <c r="AO216" s="7"/>
      <c r="AP216" s="7"/>
      <c r="AQ216" s="7"/>
      <c r="AR216" s="7"/>
      <c r="AS216" s="7"/>
    </row>
    <row r="217" ht="13.5" customHeight="1">
      <c r="A217" s="1"/>
      <c r="B217" s="2"/>
      <c r="C217" s="2"/>
      <c r="D217" s="60"/>
      <c r="E217" s="60"/>
      <c r="F217" s="2"/>
      <c r="G217" s="60"/>
      <c r="H217" s="61" t="s">
        <v>288</v>
      </c>
      <c r="I217" s="251">
        <f t="shared" ref="I217:T217" si="72">+I40</f>
        <v>2033358817</v>
      </c>
      <c r="J217" s="251">
        <f t="shared" si="72"/>
        <v>1982638579</v>
      </c>
      <c r="K217" s="251">
        <f t="shared" si="72"/>
        <v>2145968560</v>
      </c>
      <c r="L217" s="251">
        <f t="shared" si="72"/>
        <v>2238128327</v>
      </c>
      <c r="M217" s="252">
        <f t="shared" si="72"/>
        <v>0</v>
      </c>
      <c r="N217" s="251">
        <f t="shared" si="72"/>
        <v>0</v>
      </c>
      <c r="O217" s="252">
        <f t="shared" si="72"/>
        <v>0</v>
      </c>
      <c r="P217" s="251">
        <f t="shared" si="72"/>
        <v>0</v>
      </c>
      <c r="Q217" s="252">
        <f t="shared" si="72"/>
        <v>0</v>
      </c>
      <c r="R217" s="251">
        <f t="shared" si="72"/>
        <v>0</v>
      </c>
      <c r="S217" s="252">
        <f t="shared" si="72"/>
        <v>0</v>
      </c>
      <c r="T217" s="251">
        <f t="shared" si="72"/>
        <v>0</v>
      </c>
      <c r="U217" s="7"/>
      <c r="V217" s="226"/>
      <c r="W217" s="9"/>
      <c r="X217" s="252"/>
      <c r="Y217" s="252"/>
      <c r="Z217" s="252"/>
      <c r="AA217" s="252"/>
      <c r="AB217" s="252"/>
      <c r="AC217" s="252"/>
      <c r="AD217" s="252"/>
      <c r="AE217" s="252"/>
      <c r="AF217" s="252"/>
      <c r="AG217" s="252"/>
      <c r="AH217" s="252"/>
      <c r="AI217" s="252"/>
      <c r="AJ217" s="9"/>
      <c r="AK217" s="96"/>
      <c r="AL217" s="10"/>
      <c r="AM217" s="30"/>
      <c r="AN217" s="7"/>
      <c r="AO217" s="7"/>
      <c r="AP217" s="7"/>
      <c r="AQ217" s="7"/>
      <c r="AR217" s="7"/>
      <c r="AS217" s="7"/>
    </row>
    <row r="218" ht="13.5" customHeight="1">
      <c r="A218" s="1"/>
      <c r="B218" s="2"/>
      <c r="C218" s="2"/>
      <c r="D218" s="60"/>
      <c r="E218" s="60"/>
      <c r="F218" s="2"/>
      <c r="G218" s="60"/>
      <c r="H218" s="61" t="s">
        <v>45</v>
      </c>
      <c r="I218" s="253">
        <f t="shared" ref="I218:T218" si="73">+I157+I128+I106+I93+I87+I81+I75+I58+I46+I151+I73+I70+I166</f>
        <v>753834624.4</v>
      </c>
      <c r="J218" s="253">
        <f t="shared" si="73"/>
        <v>732033433.6</v>
      </c>
      <c r="K218" s="253">
        <f t="shared" si="73"/>
        <v>763868295.5</v>
      </c>
      <c r="L218" s="253">
        <f t="shared" si="73"/>
        <v>763023960</v>
      </c>
      <c r="M218" s="253">
        <f t="shared" si="73"/>
        <v>0</v>
      </c>
      <c r="N218" s="253">
        <f t="shared" si="73"/>
        <v>0</v>
      </c>
      <c r="O218" s="253">
        <f t="shared" si="73"/>
        <v>0</v>
      </c>
      <c r="P218" s="253">
        <f t="shared" si="73"/>
        <v>0</v>
      </c>
      <c r="Q218" s="253">
        <f t="shared" si="73"/>
        <v>0</v>
      </c>
      <c r="R218" s="253">
        <f t="shared" si="73"/>
        <v>0</v>
      </c>
      <c r="S218" s="253">
        <f t="shared" si="73"/>
        <v>0</v>
      </c>
      <c r="T218" s="253">
        <f t="shared" si="73"/>
        <v>0</v>
      </c>
      <c r="U218" s="7"/>
      <c r="V218" s="226"/>
      <c r="W218" s="9"/>
      <c r="X218" s="253"/>
      <c r="Y218" s="253"/>
      <c r="Z218" s="253"/>
      <c r="AA218" s="253"/>
      <c r="AB218" s="253"/>
      <c r="AC218" s="253"/>
      <c r="AD218" s="253"/>
      <c r="AE218" s="253"/>
      <c r="AF218" s="253"/>
      <c r="AG218" s="253"/>
      <c r="AH218" s="253"/>
      <c r="AI218" s="253"/>
      <c r="AJ218" s="9"/>
      <c r="AK218" s="96"/>
      <c r="AL218" s="10"/>
      <c r="AM218" s="30"/>
      <c r="AN218" s="7"/>
      <c r="AO218" s="7"/>
      <c r="AP218" s="7"/>
      <c r="AQ218" s="7"/>
      <c r="AR218" s="7"/>
      <c r="AS218" s="7"/>
    </row>
    <row r="219" ht="13.5" customHeight="1">
      <c r="A219" s="1"/>
      <c r="B219" s="2"/>
      <c r="C219" s="2"/>
      <c r="D219" s="60"/>
      <c r="E219" s="60"/>
      <c r="F219" s="2"/>
      <c r="G219" s="60"/>
      <c r="H219" s="254" t="s">
        <v>289</v>
      </c>
      <c r="I219" s="255">
        <f t="shared" ref="I219:T219" si="74">+I218+I217</f>
        <v>2787193441</v>
      </c>
      <c r="J219" s="255">
        <f t="shared" si="74"/>
        <v>2714672013</v>
      </c>
      <c r="K219" s="255">
        <f t="shared" si="74"/>
        <v>2909836855</v>
      </c>
      <c r="L219" s="255">
        <f t="shared" si="74"/>
        <v>3001152287</v>
      </c>
      <c r="M219" s="255">
        <f t="shared" si="74"/>
        <v>0</v>
      </c>
      <c r="N219" s="255">
        <f t="shared" si="74"/>
        <v>0</v>
      </c>
      <c r="O219" s="255">
        <f t="shared" si="74"/>
        <v>0</v>
      </c>
      <c r="P219" s="255">
        <f t="shared" si="74"/>
        <v>0</v>
      </c>
      <c r="Q219" s="255">
        <f t="shared" si="74"/>
        <v>0</v>
      </c>
      <c r="R219" s="255">
        <f t="shared" si="74"/>
        <v>0</v>
      </c>
      <c r="S219" s="255">
        <f t="shared" si="74"/>
        <v>0</v>
      </c>
      <c r="T219" s="255">
        <f t="shared" si="74"/>
        <v>0</v>
      </c>
      <c r="U219" s="7"/>
      <c r="V219" s="226"/>
      <c r="W219" s="9"/>
      <c r="X219" s="255"/>
      <c r="Y219" s="255"/>
      <c r="Z219" s="255"/>
      <c r="AA219" s="255"/>
      <c r="AB219" s="255"/>
      <c r="AC219" s="255"/>
      <c r="AD219" s="255"/>
      <c r="AE219" s="255"/>
      <c r="AF219" s="255"/>
      <c r="AG219" s="255"/>
      <c r="AH219" s="255"/>
      <c r="AI219" s="255"/>
      <c r="AJ219" s="9"/>
      <c r="AK219" s="256"/>
      <c r="AL219" s="10"/>
      <c r="AM219" s="30"/>
      <c r="AN219" s="7"/>
      <c r="AO219" s="7"/>
      <c r="AP219" s="7"/>
      <c r="AQ219" s="7"/>
      <c r="AR219" s="7"/>
      <c r="AS219" s="7"/>
    </row>
    <row r="220" ht="13.5" customHeight="1">
      <c r="A220" s="1"/>
      <c r="B220" s="2"/>
      <c r="C220" s="2"/>
      <c r="D220" s="60"/>
      <c r="E220" s="60"/>
      <c r="F220" s="2"/>
      <c r="G220" s="60"/>
      <c r="H220" s="157">
        <v>0.21</v>
      </c>
      <c r="I220" s="253">
        <f t="shared" ref="I220:T220" si="75">+I219*$H$220</f>
        <v>585310622.6</v>
      </c>
      <c r="J220" s="253">
        <f t="shared" si="75"/>
        <v>570081122.7</v>
      </c>
      <c r="K220" s="253">
        <f t="shared" si="75"/>
        <v>611065739.6</v>
      </c>
      <c r="L220" s="253">
        <f t="shared" si="75"/>
        <v>630241980.2</v>
      </c>
      <c r="M220" s="253">
        <f t="shared" si="75"/>
        <v>0</v>
      </c>
      <c r="N220" s="253">
        <f t="shared" si="75"/>
        <v>0</v>
      </c>
      <c r="O220" s="253">
        <f t="shared" si="75"/>
        <v>0</v>
      </c>
      <c r="P220" s="253">
        <f t="shared" si="75"/>
        <v>0</v>
      </c>
      <c r="Q220" s="253">
        <f t="shared" si="75"/>
        <v>0</v>
      </c>
      <c r="R220" s="253">
        <f t="shared" si="75"/>
        <v>0</v>
      </c>
      <c r="S220" s="253">
        <f t="shared" si="75"/>
        <v>0</v>
      </c>
      <c r="T220" s="253">
        <f t="shared" si="75"/>
        <v>0</v>
      </c>
      <c r="U220" s="7"/>
      <c r="V220" s="226"/>
      <c r="W220" s="9"/>
      <c r="X220" s="253"/>
      <c r="Y220" s="253"/>
      <c r="Z220" s="253"/>
      <c r="AA220" s="253"/>
      <c r="AB220" s="253"/>
      <c r="AC220" s="253"/>
      <c r="AD220" s="253"/>
      <c r="AE220" s="253"/>
      <c r="AF220" s="253"/>
      <c r="AG220" s="253"/>
      <c r="AH220" s="253"/>
      <c r="AI220" s="253"/>
      <c r="AJ220" s="9"/>
      <c r="AK220" s="96"/>
      <c r="AL220" s="10"/>
      <c r="AM220" s="30"/>
      <c r="AN220" s="7"/>
      <c r="AO220" s="7"/>
      <c r="AP220" s="7"/>
      <c r="AQ220" s="7"/>
      <c r="AR220" s="7"/>
      <c r="AS220" s="7"/>
    </row>
    <row r="221" ht="13.5" customHeight="1">
      <c r="A221" s="1"/>
      <c r="B221" s="2"/>
      <c r="C221" s="2"/>
      <c r="D221" s="60"/>
      <c r="E221" s="60"/>
      <c r="F221" s="2"/>
      <c r="G221" s="60"/>
      <c r="H221" s="254" t="s">
        <v>290</v>
      </c>
      <c r="I221" s="257">
        <f t="shared" ref="I221:T221" si="76">+I219+I220</f>
        <v>3372504064</v>
      </c>
      <c r="J221" s="257">
        <f t="shared" si="76"/>
        <v>3284753136</v>
      </c>
      <c r="K221" s="257">
        <f t="shared" si="76"/>
        <v>3520902595</v>
      </c>
      <c r="L221" s="257">
        <f t="shared" si="76"/>
        <v>3631394267</v>
      </c>
      <c r="M221" s="257">
        <f t="shared" si="76"/>
        <v>0</v>
      </c>
      <c r="N221" s="257">
        <f t="shared" si="76"/>
        <v>0</v>
      </c>
      <c r="O221" s="257">
        <f t="shared" si="76"/>
        <v>0</v>
      </c>
      <c r="P221" s="257">
        <f t="shared" si="76"/>
        <v>0</v>
      </c>
      <c r="Q221" s="257">
        <f t="shared" si="76"/>
        <v>0</v>
      </c>
      <c r="R221" s="257">
        <f t="shared" si="76"/>
        <v>0</v>
      </c>
      <c r="S221" s="257">
        <f t="shared" si="76"/>
        <v>0</v>
      </c>
      <c r="T221" s="257">
        <f t="shared" si="76"/>
        <v>0</v>
      </c>
      <c r="U221" s="7"/>
      <c r="V221" s="226"/>
      <c r="W221" s="9"/>
      <c r="X221" s="257"/>
      <c r="Y221" s="257"/>
      <c r="Z221" s="257"/>
      <c r="AA221" s="257"/>
      <c r="AB221" s="257"/>
      <c r="AC221" s="257"/>
      <c r="AD221" s="257"/>
      <c r="AE221" s="257"/>
      <c r="AF221" s="257"/>
      <c r="AG221" s="257"/>
      <c r="AH221" s="257"/>
      <c r="AI221" s="257"/>
      <c r="AJ221" s="9"/>
      <c r="AK221" s="256"/>
      <c r="AL221" s="10"/>
      <c r="AM221" s="30"/>
      <c r="AN221" s="7"/>
      <c r="AO221" s="7"/>
      <c r="AP221" s="7"/>
      <c r="AQ221" s="7"/>
      <c r="AR221" s="7"/>
      <c r="AS221" s="7"/>
    </row>
    <row r="222" ht="12.75" customHeight="1">
      <c r="A222" s="1"/>
      <c r="B222" s="2"/>
      <c r="C222" s="2"/>
      <c r="D222" s="60"/>
      <c r="E222" s="60"/>
      <c r="F222" s="2"/>
      <c r="G222" s="60"/>
      <c r="H222" s="258">
        <v>0.006</v>
      </c>
      <c r="I222" s="259">
        <f t="shared" ref="I222:T222" si="77">+I221*$H$222</f>
        <v>20235024.38</v>
      </c>
      <c r="J222" s="259">
        <f t="shared" si="77"/>
        <v>19708518.81</v>
      </c>
      <c r="K222" s="259">
        <f t="shared" si="77"/>
        <v>21125415.57</v>
      </c>
      <c r="L222" s="259">
        <f t="shared" si="77"/>
        <v>21788365.6</v>
      </c>
      <c r="M222" s="259">
        <f t="shared" si="77"/>
        <v>0</v>
      </c>
      <c r="N222" s="259">
        <f t="shared" si="77"/>
        <v>0</v>
      </c>
      <c r="O222" s="259">
        <f t="shared" si="77"/>
        <v>0</v>
      </c>
      <c r="P222" s="259">
        <f t="shared" si="77"/>
        <v>0</v>
      </c>
      <c r="Q222" s="259">
        <f t="shared" si="77"/>
        <v>0</v>
      </c>
      <c r="R222" s="259">
        <f t="shared" si="77"/>
        <v>0</v>
      </c>
      <c r="S222" s="259">
        <f t="shared" si="77"/>
        <v>0</v>
      </c>
      <c r="T222" s="259">
        <f t="shared" si="77"/>
        <v>0</v>
      </c>
      <c r="U222" s="7"/>
      <c r="V222" s="226"/>
      <c r="W222" s="9"/>
      <c r="X222" s="259"/>
      <c r="Y222" s="259"/>
      <c r="Z222" s="259"/>
      <c r="AA222" s="259"/>
      <c r="AB222" s="259"/>
      <c r="AC222" s="259"/>
      <c r="AD222" s="259"/>
      <c r="AE222" s="259"/>
      <c r="AF222" s="259"/>
      <c r="AG222" s="259"/>
      <c r="AH222" s="259"/>
      <c r="AI222" s="259"/>
      <c r="AJ222" s="9"/>
      <c r="AK222" s="260"/>
      <c r="AL222" s="10"/>
      <c r="AM222" s="30"/>
      <c r="AN222" s="7"/>
      <c r="AO222" s="7"/>
      <c r="AP222" s="7"/>
      <c r="AQ222" s="7"/>
      <c r="AR222" s="7"/>
      <c r="AS222" s="7"/>
    </row>
    <row r="223" ht="9.0" customHeight="1">
      <c r="A223" s="1"/>
      <c r="B223" s="2"/>
      <c r="C223" s="2"/>
      <c r="D223" s="60"/>
      <c r="E223" s="60"/>
      <c r="F223" s="2"/>
      <c r="G223" s="60"/>
      <c r="H223" s="60"/>
      <c r="I223" s="61"/>
      <c r="J223" s="61"/>
      <c r="K223" s="61"/>
      <c r="L223" s="61"/>
      <c r="M223" s="61"/>
      <c r="N223" s="61"/>
      <c r="O223" s="61"/>
      <c r="P223" s="61"/>
      <c r="Q223" s="61"/>
      <c r="R223" s="61"/>
      <c r="S223" s="61"/>
      <c r="T223" s="61"/>
      <c r="U223" s="7"/>
      <c r="V223" s="226"/>
      <c r="W223" s="9"/>
      <c r="X223" s="61"/>
      <c r="Y223" s="61"/>
      <c r="Z223" s="61"/>
      <c r="AA223" s="61"/>
      <c r="AB223" s="61"/>
      <c r="AC223" s="61"/>
      <c r="AD223" s="61"/>
      <c r="AE223" s="61"/>
      <c r="AF223" s="61"/>
      <c r="AG223" s="61"/>
      <c r="AH223" s="61"/>
      <c r="AI223" s="61"/>
      <c r="AJ223" s="9"/>
      <c r="AK223" s="226"/>
      <c r="AL223" s="10"/>
      <c r="AM223" s="30"/>
      <c r="AN223" s="7"/>
      <c r="AO223" s="7"/>
      <c r="AP223" s="7"/>
      <c r="AQ223" s="7"/>
      <c r="AR223" s="7"/>
      <c r="AS223" s="7"/>
    </row>
    <row r="224" ht="12.75" customHeight="1">
      <c r="A224" s="1"/>
      <c r="B224" s="236"/>
      <c r="C224" s="236"/>
      <c r="D224" s="1"/>
      <c r="E224" s="1"/>
      <c r="F224" s="261"/>
      <c r="G224" s="247"/>
      <c r="H224" s="262" t="s">
        <v>291</v>
      </c>
      <c r="I224" s="263">
        <f>+I222*0</f>
        <v>0</v>
      </c>
      <c r="J224" s="263">
        <v>0.0</v>
      </c>
      <c r="K224" s="263">
        <v>0.0</v>
      </c>
      <c r="L224" s="263">
        <v>0.0</v>
      </c>
      <c r="M224" s="264">
        <f t="shared" ref="M224:T224" si="78">+M222*66%</f>
        <v>0</v>
      </c>
      <c r="N224" s="263">
        <f t="shared" si="78"/>
        <v>0</v>
      </c>
      <c r="O224" s="263">
        <f t="shared" si="78"/>
        <v>0</v>
      </c>
      <c r="P224" s="263">
        <f t="shared" si="78"/>
        <v>0</v>
      </c>
      <c r="Q224" s="263">
        <f t="shared" si="78"/>
        <v>0</v>
      </c>
      <c r="R224" s="263">
        <f t="shared" si="78"/>
        <v>0</v>
      </c>
      <c r="S224" s="263">
        <f t="shared" si="78"/>
        <v>0</v>
      </c>
      <c r="T224" s="263">
        <f t="shared" si="78"/>
        <v>0</v>
      </c>
      <c r="U224" s="265"/>
      <c r="V224" s="226"/>
      <c r="W224" s="266"/>
      <c r="X224" s="263"/>
      <c r="Y224" s="263"/>
      <c r="Z224" s="263"/>
      <c r="AA224" s="263"/>
      <c r="AB224" s="263"/>
      <c r="AC224" s="263"/>
      <c r="AD224" s="263"/>
      <c r="AE224" s="263"/>
      <c r="AF224" s="263"/>
      <c r="AG224" s="263"/>
      <c r="AH224" s="263"/>
      <c r="AI224" s="263"/>
      <c r="AJ224" s="266"/>
      <c r="AK224" s="267"/>
      <c r="AL224" s="268"/>
      <c r="AM224" s="30"/>
      <c r="AN224" s="265"/>
      <c r="AO224" s="265"/>
      <c r="AP224" s="265"/>
      <c r="AQ224" s="265"/>
      <c r="AR224" s="265"/>
      <c r="AS224" s="265"/>
    </row>
    <row r="225" ht="14.25" customHeight="1">
      <c r="A225" s="1"/>
      <c r="B225" s="2"/>
      <c r="C225" s="2"/>
      <c r="D225" s="60"/>
      <c r="E225" s="60"/>
      <c r="F225" s="2"/>
      <c r="G225" s="60"/>
      <c r="H225" s="61" t="s">
        <v>292</v>
      </c>
      <c r="I225" s="61"/>
      <c r="J225" s="61"/>
      <c r="K225" s="61"/>
      <c r="L225" s="269" t="s">
        <v>293</v>
      </c>
      <c r="M225" s="270"/>
      <c r="N225" s="61"/>
      <c r="O225" s="61"/>
      <c r="P225" s="61"/>
      <c r="Q225" s="61"/>
      <c r="R225" s="61"/>
      <c r="S225" s="61"/>
      <c r="T225" s="61"/>
      <c r="U225" s="7"/>
      <c r="V225" s="226"/>
      <c r="W225" s="9"/>
      <c r="X225" s="61"/>
      <c r="Y225" s="61"/>
      <c r="Z225" s="61"/>
      <c r="AA225" s="61"/>
      <c r="AB225" s="61"/>
      <c r="AC225" s="61"/>
      <c r="AD225" s="61"/>
      <c r="AE225" s="61"/>
      <c r="AF225" s="61"/>
      <c r="AG225" s="61"/>
      <c r="AH225" s="61"/>
      <c r="AI225" s="61"/>
      <c r="AJ225" s="9"/>
      <c r="AK225" s="226"/>
      <c r="AL225" s="10"/>
      <c r="AM225" s="137"/>
      <c r="AN225" s="7"/>
      <c r="AO225" s="7"/>
      <c r="AP225" s="7"/>
      <c r="AQ225" s="7"/>
      <c r="AR225" s="7"/>
      <c r="AS225" s="7"/>
    </row>
    <row r="226" ht="9.0" customHeight="1">
      <c r="A226" s="1"/>
      <c r="B226" s="2"/>
      <c r="C226" s="2"/>
      <c r="D226" s="60"/>
      <c r="E226" s="60"/>
      <c r="F226" s="2"/>
      <c r="G226" s="60"/>
      <c r="H226" s="60"/>
      <c r="I226" s="61"/>
      <c r="J226" s="61"/>
      <c r="K226" s="61"/>
      <c r="L226" s="61"/>
      <c r="M226" s="61"/>
      <c r="N226" s="61"/>
      <c r="O226" s="61"/>
      <c r="P226" s="61"/>
      <c r="Q226" s="61"/>
      <c r="R226" s="61"/>
      <c r="S226" s="61"/>
      <c r="T226" s="61"/>
      <c r="U226" s="7"/>
      <c r="V226" s="226"/>
      <c r="W226" s="9"/>
      <c r="X226" s="61"/>
      <c r="Y226" s="61"/>
      <c r="Z226" s="61"/>
      <c r="AA226" s="61"/>
      <c r="AB226" s="61"/>
      <c r="AC226" s="61"/>
      <c r="AD226" s="61"/>
      <c r="AE226" s="61"/>
      <c r="AF226" s="61"/>
      <c r="AG226" s="61"/>
      <c r="AH226" s="61"/>
      <c r="AI226" s="61"/>
      <c r="AJ226" s="9"/>
      <c r="AK226" s="226"/>
      <c r="AL226" s="10"/>
      <c r="AM226" s="137"/>
      <c r="AN226" s="7"/>
      <c r="AO226" s="7"/>
      <c r="AP226" s="7"/>
      <c r="AQ226" s="7"/>
      <c r="AR226" s="7"/>
      <c r="AS226" s="7"/>
    </row>
    <row r="227" ht="9.0" customHeight="1">
      <c r="A227" s="1"/>
      <c r="B227" s="2"/>
      <c r="C227" s="2"/>
      <c r="D227" s="60"/>
      <c r="E227" s="60"/>
      <c r="F227" s="2"/>
      <c r="G227" s="60"/>
      <c r="H227" s="60"/>
      <c r="I227" s="61"/>
      <c r="J227" s="61"/>
      <c r="K227" s="61"/>
      <c r="L227" s="61"/>
      <c r="M227" s="61"/>
      <c r="N227" s="61"/>
      <c r="O227" s="61"/>
      <c r="P227" s="61"/>
      <c r="Q227" s="61"/>
      <c r="R227" s="61"/>
      <c r="S227" s="61"/>
      <c r="T227" s="61"/>
      <c r="U227" s="7"/>
      <c r="V227" s="226"/>
      <c r="W227" s="9"/>
      <c r="X227" s="61"/>
      <c r="Y227" s="61"/>
      <c r="Z227" s="61"/>
      <c r="AA227" s="61"/>
      <c r="AB227" s="61"/>
      <c r="AC227" s="61"/>
      <c r="AD227" s="61"/>
      <c r="AE227" s="61"/>
      <c r="AF227" s="61"/>
      <c r="AG227" s="61"/>
      <c r="AH227" s="61"/>
      <c r="AI227" s="61"/>
      <c r="AJ227" s="9"/>
      <c r="AK227" s="226"/>
      <c r="AL227" s="10"/>
      <c r="AM227" s="271"/>
      <c r="AN227" s="7"/>
      <c r="AO227" s="7"/>
      <c r="AP227" s="7"/>
      <c r="AQ227" s="7"/>
      <c r="AR227" s="7"/>
      <c r="AS227" s="7"/>
    </row>
    <row r="228" ht="9.0" customHeight="1">
      <c r="A228" s="1"/>
      <c r="B228" s="2"/>
      <c r="C228" s="2"/>
      <c r="D228" s="60"/>
      <c r="E228" s="60"/>
      <c r="F228" s="2"/>
      <c r="G228" s="60"/>
      <c r="H228" s="60"/>
      <c r="I228" s="61"/>
      <c r="J228" s="61"/>
      <c r="K228" s="61"/>
      <c r="L228" s="61"/>
      <c r="M228" s="61"/>
      <c r="N228" s="61"/>
      <c r="O228" s="61"/>
      <c r="P228" s="61"/>
      <c r="Q228" s="61"/>
      <c r="R228" s="61"/>
      <c r="S228" s="61"/>
      <c r="T228" s="61"/>
      <c r="U228" s="7"/>
      <c r="V228" s="226"/>
      <c r="W228" s="9"/>
      <c r="X228" s="61"/>
      <c r="Y228" s="61"/>
      <c r="Z228" s="61"/>
      <c r="AA228" s="61"/>
      <c r="AB228" s="61"/>
      <c r="AC228" s="61"/>
      <c r="AD228" s="61"/>
      <c r="AE228" s="61"/>
      <c r="AF228" s="61"/>
      <c r="AG228" s="61"/>
      <c r="AH228" s="61"/>
      <c r="AI228" s="61"/>
      <c r="AJ228" s="9"/>
      <c r="AK228" s="226"/>
      <c r="AL228" s="10"/>
      <c r="AM228" s="271"/>
      <c r="AN228" s="7"/>
      <c r="AO228" s="7"/>
      <c r="AP228" s="7"/>
      <c r="AQ228" s="7"/>
      <c r="AR228" s="7"/>
      <c r="AS228" s="7"/>
    </row>
    <row r="229" ht="9.0" customHeight="1">
      <c r="A229" s="1"/>
      <c r="B229" s="2"/>
      <c r="C229" s="2"/>
      <c r="D229" s="60"/>
      <c r="E229" s="60"/>
      <c r="F229" s="2"/>
      <c r="G229" s="60"/>
      <c r="H229" s="60"/>
      <c r="I229" s="61"/>
      <c r="J229" s="61"/>
      <c r="K229" s="61"/>
      <c r="L229" s="61"/>
      <c r="M229" s="61"/>
      <c r="N229" s="61"/>
      <c r="O229" s="61"/>
      <c r="P229" s="61"/>
      <c r="Q229" s="61"/>
      <c r="R229" s="61"/>
      <c r="S229" s="61"/>
      <c r="T229" s="61"/>
      <c r="U229" s="7"/>
      <c r="V229" s="226"/>
      <c r="W229" s="9"/>
      <c r="X229" s="61"/>
      <c r="Y229" s="61"/>
      <c r="Z229" s="61"/>
      <c r="AA229" s="61"/>
      <c r="AB229" s="61"/>
      <c r="AC229" s="61"/>
      <c r="AD229" s="61"/>
      <c r="AE229" s="61"/>
      <c r="AF229" s="61"/>
      <c r="AG229" s="61"/>
      <c r="AH229" s="61"/>
      <c r="AI229" s="61"/>
      <c r="AJ229" s="9"/>
      <c r="AK229" s="226"/>
      <c r="AL229" s="10"/>
      <c r="AM229" s="271"/>
      <c r="AN229" s="7"/>
      <c r="AO229" s="7"/>
      <c r="AP229" s="7"/>
      <c r="AQ229" s="7"/>
      <c r="AR229" s="7"/>
      <c r="AS229" s="7"/>
    </row>
    <row r="230" ht="9.0" customHeight="1">
      <c r="A230" s="1"/>
      <c r="B230" s="2"/>
      <c r="C230" s="2"/>
      <c r="D230" s="60"/>
      <c r="E230" s="60"/>
      <c r="F230" s="2"/>
      <c r="G230" s="60"/>
      <c r="H230" s="60"/>
      <c r="I230" s="61"/>
      <c r="J230" s="61"/>
      <c r="K230" s="61"/>
      <c r="L230" s="61"/>
      <c r="M230" s="61"/>
      <c r="N230" s="61"/>
      <c r="O230" s="61"/>
      <c r="P230" s="61"/>
      <c r="Q230" s="61"/>
      <c r="R230" s="61"/>
      <c r="S230" s="61"/>
      <c r="T230" s="61"/>
      <c r="U230" s="7"/>
      <c r="V230" s="226"/>
      <c r="W230" s="9"/>
      <c r="X230" s="61"/>
      <c r="Y230" s="61"/>
      <c r="Z230" s="61"/>
      <c r="AA230" s="61"/>
      <c r="AB230" s="61"/>
      <c r="AC230" s="61"/>
      <c r="AD230" s="61"/>
      <c r="AE230" s="61"/>
      <c r="AF230" s="61"/>
      <c r="AG230" s="61"/>
      <c r="AH230" s="61"/>
      <c r="AI230" s="61"/>
      <c r="AJ230" s="9"/>
      <c r="AK230" s="226"/>
      <c r="AL230" s="10"/>
      <c r="AM230" s="147" t="s">
        <v>294</v>
      </c>
      <c r="AN230" s="7"/>
      <c r="AO230" s="7"/>
      <c r="AP230" s="7"/>
      <c r="AQ230" s="7"/>
      <c r="AR230" s="7"/>
      <c r="AS230" s="7"/>
    </row>
    <row r="231" ht="9.0" customHeight="1">
      <c r="A231" s="1"/>
      <c r="B231" s="2"/>
      <c r="C231" s="2"/>
      <c r="D231" s="60"/>
      <c r="E231" s="60"/>
      <c r="F231" s="2"/>
      <c r="G231" s="60"/>
      <c r="H231" s="60"/>
      <c r="I231" s="61"/>
      <c r="J231" s="61"/>
      <c r="K231" s="61"/>
      <c r="L231" s="61"/>
      <c r="M231" s="61"/>
      <c r="N231" s="61"/>
      <c r="O231" s="61"/>
      <c r="P231" s="61"/>
      <c r="Q231" s="61"/>
      <c r="R231" s="61"/>
      <c r="S231" s="61"/>
      <c r="T231" s="61"/>
      <c r="U231" s="7"/>
      <c r="V231" s="226"/>
      <c r="W231" s="9"/>
      <c r="X231" s="61"/>
      <c r="Y231" s="61"/>
      <c r="Z231" s="61"/>
      <c r="AA231" s="61"/>
      <c r="AB231" s="61"/>
      <c r="AC231" s="61"/>
      <c r="AD231" s="61"/>
      <c r="AE231" s="61"/>
      <c r="AF231" s="61"/>
      <c r="AG231" s="61"/>
      <c r="AH231" s="61"/>
      <c r="AI231" s="61"/>
      <c r="AJ231" s="9"/>
      <c r="AK231" s="226"/>
      <c r="AL231" s="10"/>
      <c r="AM231" s="147"/>
      <c r="AN231" s="7"/>
      <c r="AO231" s="7"/>
      <c r="AP231" s="7"/>
      <c r="AQ231" s="7"/>
      <c r="AR231" s="7"/>
      <c r="AS231" s="7"/>
    </row>
    <row r="232" ht="9.0" customHeight="1">
      <c r="A232" s="1"/>
      <c r="B232" s="2"/>
      <c r="C232" s="2"/>
      <c r="D232" s="60"/>
      <c r="E232" s="60"/>
      <c r="F232" s="2"/>
      <c r="G232" s="60"/>
      <c r="H232" s="60"/>
      <c r="I232" s="61"/>
      <c r="J232" s="61"/>
      <c r="K232" s="61"/>
      <c r="L232" s="61"/>
      <c r="M232" s="61"/>
      <c r="N232" s="61"/>
      <c r="O232" s="61"/>
      <c r="P232" s="61"/>
      <c r="Q232" s="61"/>
      <c r="R232" s="61"/>
      <c r="S232" s="61"/>
      <c r="T232" s="61"/>
      <c r="U232" s="7"/>
      <c r="V232" s="226"/>
      <c r="W232" s="9"/>
      <c r="X232" s="61"/>
      <c r="Y232" s="61"/>
      <c r="Z232" s="61"/>
      <c r="AA232" s="61"/>
      <c r="AB232" s="61"/>
      <c r="AC232" s="61"/>
      <c r="AD232" s="61"/>
      <c r="AE232" s="61"/>
      <c r="AF232" s="61"/>
      <c r="AG232" s="61"/>
      <c r="AH232" s="61"/>
      <c r="AI232" s="61"/>
      <c r="AJ232" s="9"/>
      <c r="AK232" s="226"/>
      <c r="AL232" s="10"/>
      <c r="AM232" s="147" t="s">
        <v>295</v>
      </c>
      <c r="AN232" s="7"/>
      <c r="AO232" s="7"/>
      <c r="AP232" s="7"/>
      <c r="AQ232" s="7"/>
      <c r="AR232" s="7"/>
      <c r="AS232" s="7"/>
    </row>
    <row r="233" ht="9.0" customHeight="1">
      <c r="A233" s="1"/>
      <c r="B233" s="2"/>
      <c r="C233" s="2"/>
      <c r="D233" s="60"/>
      <c r="E233" s="60"/>
      <c r="F233" s="2"/>
      <c r="G233" s="60"/>
      <c r="H233" s="60"/>
      <c r="I233" s="61"/>
      <c r="J233" s="61"/>
      <c r="K233" s="61"/>
      <c r="L233" s="61"/>
      <c r="M233" s="61"/>
      <c r="N233" s="61"/>
      <c r="O233" s="61"/>
      <c r="P233" s="61"/>
      <c r="Q233" s="61"/>
      <c r="R233" s="61"/>
      <c r="S233" s="61"/>
      <c r="T233" s="61"/>
      <c r="U233" s="7"/>
      <c r="V233" s="226"/>
      <c r="W233" s="9"/>
      <c r="X233" s="61"/>
      <c r="Y233" s="61"/>
      <c r="Z233" s="61"/>
      <c r="AA233" s="61"/>
      <c r="AB233" s="61"/>
      <c r="AC233" s="61"/>
      <c r="AD233" s="61"/>
      <c r="AE233" s="61"/>
      <c r="AF233" s="61"/>
      <c r="AG233" s="61"/>
      <c r="AH233" s="61"/>
      <c r="AI233" s="61"/>
      <c r="AJ233" s="9"/>
      <c r="AK233" s="226"/>
      <c r="AL233" s="10"/>
      <c r="AM233" s="137"/>
      <c r="AN233" s="7"/>
      <c r="AO233" s="7"/>
      <c r="AP233" s="7"/>
      <c r="AQ233" s="7"/>
      <c r="AR233" s="7"/>
      <c r="AS233" s="7"/>
    </row>
    <row r="234" ht="9.0" customHeight="1">
      <c r="A234" s="1"/>
      <c r="B234" s="2"/>
      <c r="C234" s="2"/>
      <c r="D234" s="60"/>
      <c r="E234" s="60"/>
      <c r="F234" s="2"/>
      <c r="G234" s="60"/>
      <c r="H234" s="60"/>
      <c r="I234" s="61"/>
      <c r="J234" s="61"/>
      <c r="K234" s="61"/>
      <c r="L234" s="61"/>
      <c r="M234" s="61"/>
      <c r="N234" s="61"/>
      <c r="O234" s="61"/>
      <c r="P234" s="61"/>
      <c r="Q234" s="61"/>
      <c r="R234" s="61"/>
      <c r="S234" s="61"/>
      <c r="T234" s="61"/>
      <c r="U234" s="7"/>
      <c r="V234" s="226"/>
      <c r="W234" s="9"/>
      <c r="X234" s="61"/>
      <c r="Y234" s="61"/>
      <c r="Z234" s="61"/>
      <c r="AA234" s="61"/>
      <c r="AB234" s="61"/>
      <c r="AC234" s="61"/>
      <c r="AD234" s="61"/>
      <c r="AE234" s="61"/>
      <c r="AF234" s="61"/>
      <c r="AG234" s="61"/>
      <c r="AH234" s="61"/>
      <c r="AI234" s="61"/>
      <c r="AJ234" s="9"/>
      <c r="AK234" s="226"/>
      <c r="AL234" s="10"/>
      <c r="AM234" s="137"/>
      <c r="AN234" s="7"/>
      <c r="AO234" s="7"/>
      <c r="AP234" s="7"/>
      <c r="AQ234" s="7"/>
      <c r="AR234" s="7"/>
      <c r="AS234" s="7"/>
    </row>
    <row r="235" ht="9.0" customHeight="1">
      <c r="A235" s="1"/>
      <c r="B235" s="2"/>
      <c r="C235" s="2"/>
      <c r="D235" s="60"/>
      <c r="E235" s="60"/>
      <c r="F235" s="2"/>
      <c r="G235" s="60"/>
      <c r="H235" s="60"/>
      <c r="I235" s="61"/>
      <c r="J235" s="61"/>
      <c r="K235" s="61"/>
      <c r="L235" s="61"/>
      <c r="M235" s="61"/>
      <c r="N235" s="61"/>
      <c r="O235" s="61"/>
      <c r="P235" s="61"/>
      <c r="Q235" s="61"/>
      <c r="R235" s="61"/>
      <c r="S235" s="61"/>
      <c r="T235" s="61"/>
      <c r="U235" s="7"/>
      <c r="V235" s="226"/>
      <c r="W235" s="9"/>
      <c r="X235" s="61"/>
      <c r="Y235" s="61"/>
      <c r="Z235" s="61"/>
      <c r="AA235" s="61"/>
      <c r="AB235" s="61"/>
      <c r="AC235" s="61"/>
      <c r="AD235" s="61"/>
      <c r="AE235" s="61"/>
      <c r="AF235" s="61"/>
      <c r="AG235" s="61"/>
      <c r="AH235" s="61"/>
      <c r="AI235" s="61"/>
      <c r="AJ235" s="9"/>
      <c r="AK235" s="226"/>
      <c r="AL235" s="10"/>
      <c r="AM235" s="137"/>
      <c r="AN235" s="7"/>
      <c r="AO235" s="7"/>
      <c r="AP235" s="7"/>
      <c r="AQ235" s="7"/>
      <c r="AR235" s="7"/>
      <c r="AS235" s="7"/>
    </row>
    <row r="236" ht="9.0" customHeight="1">
      <c r="A236" s="1"/>
      <c r="B236" s="2"/>
      <c r="C236" s="2"/>
      <c r="D236" s="60"/>
      <c r="E236" s="60"/>
      <c r="F236" s="2"/>
      <c r="G236" s="60"/>
      <c r="H236" s="60"/>
      <c r="I236" s="61"/>
      <c r="J236" s="61"/>
      <c r="K236" s="61"/>
      <c r="L236" s="61"/>
      <c r="M236" s="61"/>
      <c r="N236" s="61"/>
      <c r="O236" s="61"/>
      <c r="P236" s="61"/>
      <c r="Q236" s="61"/>
      <c r="R236" s="61"/>
      <c r="S236" s="61"/>
      <c r="T236" s="61"/>
      <c r="U236" s="7"/>
      <c r="V236" s="226"/>
      <c r="W236" s="9"/>
      <c r="X236" s="61"/>
      <c r="Y236" s="61"/>
      <c r="Z236" s="61"/>
      <c r="AA236" s="61"/>
      <c r="AB236" s="61"/>
      <c r="AC236" s="61"/>
      <c r="AD236" s="61"/>
      <c r="AE236" s="61"/>
      <c r="AF236" s="61"/>
      <c r="AG236" s="61"/>
      <c r="AH236" s="61"/>
      <c r="AI236" s="61"/>
      <c r="AJ236" s="9"/>
      <c r="AK236" s="226"/>
      <c r="AL236" s="10"/>
      <c r="AM236" s="137"/>
      <c r="AN236" s="7"/>
      <c r="AO236" s="7"/>
      <c r="AP236" s="7"/>
      <c r="AQ236" s="7"/>
      <c r="AR236" s="7"/>
      <c r="AS236" s="7"/>
    </row>
    <row r="237" ht="9.0" customHeight="1">
      <c r="A237" s="1"/>
      <c r="B237" s="2"/>
      <c r="C237" s="2"/>
      <c r="D237" s="60"/>
      <c r="E237" s="60"/>
      <c r="F237" s="2"/>
      <c r="G237" s="60"/>
      <c r="H237" s="60"/>
      <c r="I237" s="61"/>
      <c r="J237" s="61"/>
      <c r="K237" s="61"/>
      <c r="L237" s="61"/>
      <c r="M237" s="61"/>
      <c r="N237" s="61"/>
      <c r="O237" s="61"/>
      <c r="P237" s="61"/>
      <c r="Q237" s="61"/>
      <c r="R237" s="61"/>
      <c r="S237" s="61"/>
      <c r="T237" s="61"/>
      <c r="U237" s="7"/>
      <c r="V237" s="226"/>
      <c r="W237" s="9"/>
      <c r="X237" s="61"/>
      <c r="Y237" s="61"/>
      <c r="Z237" s="61"/>
      <c r="AA237" s="61"/>
      <c r="AB237" s="61"/>
      <c r="AC237" s="61"/>
      <c r="AD237" s="61"/>
      <c r="AE237" s="61"/>
      <c r="AF237" s="61"/>
      <c r="AG237" s="61"/>
      <c r="AH237" s="61"/>
      <c r="AI237" s="61"/>
      <c r="AJ237" s="9"/>
      <c r="AK237" s="226"/>
      <c r="AL237" s="10"/>
      <c r="AM237" s="137"/>
      <c r="AN237" s="7"/>
      <c r="AO237" s="7"/>
      <c r="AP237" s="7"/>
      <c r="AQ237" s="7"/>
      <c r="AR237" s="7"/>
      <c r="AS237" s="7"/>
    </row>
    <row r="238" ht="9.0" customHeight="1">
      <c r="A238" s="1"/>
      <c r="B238" s="2"/>
      <c r="C238" s="2"/>
      <c r="D238" s="60"/>
      <c r="E238" s="60"/>
      <c r="F238" s="2"/>
      <c r="G238" s="60"/>
      <c r="H238" s="60"/>
      <c r="I238" s="61"/>
      <c r="J238" s="61"/>
      <c r="K238" s="61"/>
      <c r="L238" s="61"/>
      <c r="M238" s="61"/>
      <c r="N238" s="61"/>
      <c r="O238" s="61"/>
      <c r="P238" s="61"/>
      <c r="Q238" s="61"/>
      <c r="R238" s="61"/>
      <c r="S238" s="61"/>
      <c r="T238" s="61"/>
      <c r="U238" s="7"/>
      <c r="V238" s="226"/>
      <c r="W238" s="9"/>
      <c r="X238" s="61"/>
      <c r="Y238" s="61"/>
      <c r="Z238" s="61"/>
      <c r="AA238" s="61"/>
      <c r="AB238" s="61"/>
      <c r="AC238" s="61"/>
      <c r="AD238" s="61"/>
      <c r="AE238" s="61"/>
      <c r="AF238" s="61"/>
      <c r="AG238" s="61"/>
      <c r="AH238" s="61"/>
      <c r="AI238" s="61"/>
      <c r="AJ238" s="9"/>
      <c r="AK238" s="226"/>
      <c r="AL238" s="10"/>
      <c r="AM238" s="137"/>
      <c r="AN238" s="7"/>
      <c r="AO238" s="7"/>
      <c r="AP238" s="7"/>
      <c r="AQ238" s="7"/>
      <c r="AR238" s="7"/>
      <c r="AS238" s="7"/>
    </row>
    <row r="239" ht="9.0" customHeight="1">
      <c r="A239" s="1"/>
      <c r="B239" s="2"/>
      <c r="C239" s="2"/>
      <c r="D239" s="60"/>
      <c r="E239" s="60"/>
      <c r="F239" s="2"/>
      <c r="G239" s="60"/>
      <c r="H239" s="60"/>
      <c r="I239" s="61"/>
      <c r="J239" s="61"/>
      <c r="K239" s="61"/>
      <c r="L239" s="61"/>
      <c r="M239" s="61"/>
      <c r="N239" s="61"/>
      <c r="O239" s="61"/>
      <c r="P239" s="61"/>
      <c r="Q239" s="61"/>
      <c r="R239" s="61"/>
      <c r="S239" s="61"/>
      <c r="T239" s="61"/>
      <c r="U239" s="7"/>
      <c r="V239" s="226"/>
      <c r="W239" s="9"/>
      <c r="X239" s="61"/>
      <c r="Y239" s="61"/>
      <c r="Z239" s="61"/>
      <c r="AA239" s="61"/>
      <c r="AB239" s="61"/>
      <c r="AC239" s="61"/>
      <c r="AD239" s="61"/>
      <c r="AE239" s="61"/>
      <c r="AF239" s="61"/>
      <c r="AG239" s="61"/>
      <c r="AH239" s="61"/>
      <c r="AI239" s="61"/>
      <c r="AJ239" s="9"/>
      <c r="AK239" s="226"/>
      <c r="AL239" s="10"/>
      <c r="AM239" s="137"/>
      <c r="AN239" s="7"/>
      <c r="AO239" s="7"/>
      <c r="AP239" s="7"/>
      <c r="AQ239" s="7"/>
      <c r="AR239" s="7"/>
      <c r="AS239" s="7"/>
    </row>
    <row r="240" ht="9.0" customHeight="1">
      <c r="A240" s="1"/>
      <c r="B240" s="2"/>
      <c r="C240" s="2"/>
      <c r="D240" s="60"/>
      <c r="E240" s="60"/>
      <c r="F240" s="2"/>
      <c r="G240" s="60"/>
      <c r="H240" s="60"/>
      <c r="I240" s="61"/>
      <c r="J240" s="61"/>
      <c r="K240" s="61"/>
      <c r="L240" s="61"/>
      <c r="M240" s="61"/>
      <c r="N240" s="61"/>
      <c r="O240" s="61"/>
      <c r="P240" s="61"/>
      <c r="Q240" s="61"/>
      <c r="R240" s="61"/>
      <c r="S240" s="61"/>
      <c r="T240" s="61"/>
      <c r="U240" s="7"/>
      <c r="V240" s="226"/>
      <c r="W240" s="9"/>
      <c r="X240" s="61"/>
      <c r="Y240" s="61"/>
      <c r="Z240" s="61"/>
      <c r="AA240" s="61"/>
      <c r="AB240" s="61"/>
      <c r="AC240" s="61"/>
      <c r="AD240" s="61"/>
      <c r="AE240" s="61"/>
      <c r="AF240" s="61"/>
      <c r="AG240" s="61"/>
      <c r="AH240" s="61"/>
      <c r="AI240" s="61"/>
      <c r="AJ240" s="9"/>
      <c r="AK240" s="226"/>
      <c r="AL240" s="10"/>
      <c r="AM240" s="137"/>
      <c r="AN240" s="7"/>
      <c r="AO240" s="7"/>
      <c r="AP240" s="7"/>
      <c r="AQ240" s="7"/>
      <c r="AR240" s="7"/>
      <c r="AS240" s="7"/>
    </row>
    <row r="241" ht="9.0" customHeight="1">
      <c r="A241" s="1"/>
      <c r="B241" s="2"/>
      <c r="C241" s="2"/>
      <c r="D241" s="60"/>
      <c r="E241" s="60"/>
      <c r="F241" s="2"/>
      <c r="G241" s="60"/>
      <c r="H241" s="60"/>
      <c r="I241" s="61"/>
      <c r="J241" s="61"/>
      <c r="K241" s="61"/>
      <c r="L241" s="61"/>
      <c r="M241" s="61"/>
      <c r="N241" s="61"/>
      <c r="O241" s="61"/>
      <c r="P241" s="61"/>
      <c r="Q241" s="61"/>
      <c r="R241" s="61"/>
      <c r="S241" s="61"/>
      <c r="T241" s="61"/>
      <c r="U241" s="7"/>
      <c r="V241" s="226"/>
      <c r="W241" s="9"/>
      <c r="X241" s="61"/>
      <c r="Y241" s="61"/>
      <c r="Z241" s="61"/>
      <c r="AA241" s="61"/>
      <c r="AB241" s="61"/>
      <c r="AC241" s="61"/>
      <c r="AD241" s="61"/>
      <c r="AE241" s="61"/>
      <c r="AF241" s="61"/>
      <c r="AG241" s="61"/>
      <c r="AH241" s="61"/>
      <c r="AI241" s="61"/>
      <c r="AJ241" s="9"/>
      <c r="AK241" s="226"/>
      <c r="AL241" s="10"/>
      <c r="AM241" s="137"/>
      <c r="AN241" s="7"/>
      <c r="AO241" s="7"/>
      <c r="AP241" s="7"/>
      <c r="AQ241" s="7"/>
      <c r="AR241" s="7"/>
      <c r="AS241" s="7"/>
    </row>
    <row r="242" ht="9.0" customHeight="1">
      <c r="A242" s="1"/>
      <c r="B242" s="2"/>
      <c r="C242" s="2"/>
      <c r="D242" s="60"/>
      <c r="E242" s="60"/>
      <c r="F242" s="2"/>
      <c r="G242" s="60"/>
      <c r="H242" s="60"/>
      <c r="I242" s="61"/>
      <c r="J242" s="61"/>
      <c r="K242" s="61"/>
      <c r="L242" s="61"/>
      <c r="M242" s="61"/>
      <c r="N242" s="61"/>
      <c r="O242" s="61"/>
      <c r="P242" s="61"/>
      <c r="Q242" s="61"/>
      <c r="R242" s="61"/>
      <c r="S242" s="61"/>
      <c r="T242" s="61"/>
      <c r="U242" s="7"/>
      <c r="V242" s="226"/>
      <c r="W242" s="9"/>
      <c r="X242" s="61"/>
      <c r="Y242" s="61"/>
      <c r="Z242" s="61"/>
      <c r="AA242" s="61"/>
      <c r="AB242" s="61"/>
      <c r="AC242" s="61"/>
      <c r="AD242" s="61"/>
      <c r="AE242" s="61"/>
      <c r="AF242" s="61"/>
      <c r="AG242" s="61"/>
      <c r="AH242" s="61"/>
      <c r="AI242" s="61"/>
      <c r="AJ242" s="9"/>
      <c r="AK242" s="226"/>
      <c r="AL242" s="10"/>
      <c r="AM242" s="137"/>
      <c r="AN242" s="7"/>
      <c r="AO242" s="7"/>
      <c r="AP242" s="7"/>
      <c r="AQ242" s="7"/>
      <c r="AR242" s="7"/>
      <c r="AS242" s="7"/>
    </row>
    <row r="243" ht="9.0" customHeight="1">
      <c r="A243" s="1"/>
      <c r="B243" s="2"/>
      <c r="C243" s="2"/>
      <c r="D243" s="60"/>
      <c r="E243" s="60"/>
      <c r="F243" s="2"/>
      <c r="G243" s="60"/>
      <c r="H243" s="60"/>
      <c r="I243" s="61"/>
      <c r="J243" s="61"/>
      <c r="K243" s="61"/>
      <c r="L243" s="61"/>
      <c r="M243" s="61"/>
      <c r="N243" s="61"/>
      <c r="O243" s="61"/>
      <c r="P243" s="61"/>
      <c r="Q243" s="61"/>
      <c r="R243" s="61"/>
      <c r="S243" s="61"/>
      <c r="T243" s="61"/>
      <c r="U243" s="7"/>
      <c r="V243" s="226"/>
      <c r="W243" s="9"/>
      <c r="X243" s="61"/>
      <c r="Y243" s="61"/>
      <c r="Z243" s="61"/>
      <c r="AA243" s="61"/>
      <c r="AB243" s="61"/>
      <c r="AC243" s="61"/>
      <c r="AD243" s="61"/>
      <c r="AE243" s="61"/>
      <c r="AF243" s="61"/>
      <c r="AG243" s="61"/>
      <c r="AH243" s="61"/>
      <c r="AI243" s="61"/>
      <c r="AJ243" s="9"/>
      <c r="AK243" s="226"/>
      <c r="AL243" s="10"/>
      <c r="AM243" s="137"/>
      <c r="AN243" s="7"/>
      <c r="AO243" s="7"/>
      <c r="AP243" s="7"/>
      <c r="AQ243" s="7"/>
      <c r="AR243" s="7"/>
      <c r="AS243" s="7"/>
    </row>
    <row r="244" ht="9.0" customHeight="1">
      <c r="A244" s="1"/>
      <c r="B244" s="2"/>
      <c r="C244" s="2"/>
      <c r="D244" s="60"/>
      <c r="E244" s="60"/>
      <c r="F244" s="2"/>
      <c r="G244" s="60"/>
      <c r="H244" s="60"/>
      <c r="I244" s="61"/>
      <c r="J244" s="61"/>
      <c r="K244" s="61"/>
      <c r="L244" s="61"/>
      <c r="M244" s="61"/>
      <c r="N244" s="61"/>
      <c r="O244" s="61"/>
      <c r="P244" s="61"/>
      <c r="Q244" s="61"/>
      <c r="R244" s="61"/>
      <c r="S244" s="61"/>
      <c r="T244" s="61"/>
      <c r="U244" s="7"/>
      <c r="V244" s="226"/>
      <c r="W244" s="9"/>
      <c r="X244" s="61"/>
      <c r="Y244" s="61"/>
      <c r="Z244" s="61"/>
      <c r="AA244" s="61"/>
      <c r="AB244" s="61"/>
      <c r="AC244" s="61"/>
      <c r="AD244" s="61"/>
      <c r="AE244" s="61"/>
      <c r="AF244" s="61"/>
      <c r="AG244" s="61"/>
      <c r="AH244" s="61"/>
      <c r="AI244" s="61"/>
      <c r="AJ244" s="9"/>
      <c r="AK244" s="226"/>
      <c r="AL244" s="10"/>
      <c r="AM244" s="137"/>
      <c r="AN244" s="7"/>
      <c r="AO244" s="7"/>
      <c r="AP244" s="7"/>
      <c r="AQ244" s="7"/>
      <c r="AR244" s="7"/>
      <c r="AS244" s="7"/>
    </row>
    <row r="245" ht="9.0" customHeight="1">
      <c r="A245" s="1"/>
      <c r="B245" s="2"/>
      <c r="C245" s="2"/>
      <c r="D245" s="60"/>
      <c r="E245" s="60"/>
      <c r="F245" s="2"/>
      <c r="G245" s="60"/>
      <c r="H245" s="60"/>
      <c r="I245" s="61"/>
      <c r="J245" s="61"/>
      <c r="K245" s="61"/>
      <c r="L245" s="61"/>
      <c r="M245" s="61"/>
      <c r="N245" s="61"/>
      <c r="O245" s="61"/>
      <c r="P245" s="61"/>
      <c r="Q245" s="61"/>
      <c r="R245" s="61"/>
      <c r="S245" s="61"/>
      <c r="T245" s="61"/>
      <c r="U245" s="7"/>
      <c r="V245" s="226"/>
      <c r="W245" s="9"/>
      <c r="X245" s="61"/>
      <c r="Y245" s="61"/>
      <c r="Z245" s="61"/>
      <c r="AA245" s="61"/>
      <c r="AB245" s="61"/>
      <c r="AC245" s="61"/>
      <c r="AD245" s="61"/>
      <c r="AE245" s="61"/>
      <c r="AF245" s="61"/>
      <c r="AG245" s="61"/>
      <c r="AH245" s="61"/>
      <c r="AI245" s="61"/>
      <c r="AJ245" s="9"/>
      <c r="AK245" s="226"/>
      <c r="AL245" s="10"/>
      <c r="AM245" s="137"/>
      <c r="AN245" s="7"/>
      <c r="AO245" s="7"/>
      <c r="AP245" s="7"/>
      <c r="AQ245" s="7"/>
      <c r="AR245" s="7"/>
      <c r="AS245" s="7"/>
    </row>
    <row r="246" ht="9.0" customHeight="1">
      <c r="A246" s="1"/>
      <c r="B246" s="2"/>
      <c r="C246" s="2"/>
      <c r="D246" s="60"/>
      <c r="E246" s="60"/>
      <c r="F246" s="2"/>
      <c r="G246" s="60"/>
      <c r="H246" s="60"/>
      <c r="I246" s="61"/>
      <c r="J246" s="61"/>
      <c r="K246" s="61"/>
      <c r="L246" s="61"/>
      <c r="M246" s="61"/>
      <c r="N246" s="61"/>
      <c r="O246" s="61"/>
      <c r="P246" s="61"/>
      <c r="Q246" s="61"/>
      <c r="R246" s="61"/>
      <c r="S246" s="61"/>
      <c r="T246" s="61"/>
      <c r="U246" s="7"/>
      <c r="V246" s="226"/>
      <c r="W246" s="9"/>
      <c r="X246" s="61"/>
      <c r="Y246" s="61"/>
      <c r="Z246" s="61"/>
      <c r="AA246" s="61"/>
      <c r="AB246" s="61"/>
      <c r="AC246" s="61"/>
      <c r="AD246" s="61"/>
      <c r="AE246" s="61"/>
      <c r="AF246" s="61"/>
      <c r="AG246" s="61"/>
      <c r="AH246" s="61"/>
      <c r="AI246" s="61"/>
      <c r="AJ246" s="9"/>
      <c r="AK246" s="226"/>
      <c r="AL246" s="10"/>
      <c r="AM246" s="137"/>
      <c r="AN246" s="7"/>
      <c r="AO246" s="7"/>
      <c r="AP246" s="7"/>
      <c r="AQ246" s="7"/>
      <c r="AR246" s="7"/>
      <c r="AS246" s="7"/>
    </row>
    <row r="247" ht="9.0" customHeight="1">
      <c r="A247" s="1"/>
      <c r="B247" s="2"/>
      <c r="C247" s="2"/>
      <c r="D247" s="60"/>
      <c r="E247" s="60"/>
      <c r="F247" s="2"/>
      <c r="G247" s="60"/>
      <c r="H247" s="60"/>
      <c r="I247" s="61"/>
      <c r="J247" s="61"/>
      <c r="K247" s="61"/>
      <c r="L247" s="61"/>
      <c r="M247" s="61"/>
      <c r="N247" s="61"/>
      <c r="O247" s="61"/>
      <c r="P247" s="61"/>
      <c r="Q247" s="61"/>
      <c r="R247" s="61"/>
      <c r="S247" s="61"/>
      <c r="T247" s="61"/>
      <c r="U247" s="7"/>
      <c r="V247" s="226"/>
      <c r="W247" s="9"/>
      <c r="X247" s="61"/>
      <c r="Y247" s="61"/>
      <c r="Z247" s="61"/>
      <c r="AA247" s="61"/>
      <c r="AB247" s="61"/>
      <c r="AC247" s="61"/>
      <c r="AD247" s="61"/>
      <c r="AE247" s="61"/>
      <c r="AF247" s="61"/>
      <c r="AG247" s="61"/>
      <c r="AH247" s="61"/>
      <c r="AI247" s="61"/>
      <c r="AJ247" s="9"/>
      <c r="AK247" s="226"/>
      <c r="AL247" s="10"/>
      <c r="AM247" s="137"/>
      <c r="AN247" s="7"/>
      <c r="AO247" s="7"/>
      <c r="AP247" s="7"/>
      <c r="AQ247" s="7"/>
      <c r="AR247" s="7"/>
      <c r="AS247" s="7"/>
    </row>
    <row r="248" ht="9.0" customHeight="1">
      <c r="A248" s="1"/>
      <c r="B248" s="2"/>
      <c r="C248" s="2"/>
      <c r="D248" s="60"/>
      <c r="E248" s="60"/>
      <c r="F248" s="2"/>
      <c r="G248" s="60"/>
      <c r="H248" s="60"/>
      <c r="I248" s="61"/>
      <c r="J248" s="61"/>
      <c r="K248" s="61"/>
      <c r="L248" s="61"/>
      <c r="M248" s="61"/>
      <c r="N248" s="61"/>
      <c r="O248" s="61"/>
      <c r="P248" s="61"/>
      <c r="Q248" s="61"/>
      <c r="R248" s="61"/>
      <c r="S248" s="61"/>
      <c r="T248" s="61"/>
      <c r="U248" s="7"/>
      <c r="V248" s="226"/>
      <c r="W248" s="9"/>
      <c r="X248" s="61"/>
      <c r="Y248" s="61"/>
      <c r="Z248" s="61"/>
      <c r="AA248" s="61"/>
      <c r="AB248" s="61"/>
      <c r="AC248" s="61"/>
      <c r="AD248" s="61"/>
      <c r="AE248" s="61"/>
      <c r="AF248" s="61"/>
      <c r="AG248" s="61"/>
      <c r="AH248" s="61"/>
      <c r="AI248" s="61"/>
      <c r="AJ248" s="9"/>
      <c r="AK248" s="226"/>
      <c r="AL248" s="10"/>
      <c r="AM248" s="137"/>
      <c r="AN248" s="7"/>
      <c r="AO248" s="7"/>
      <c r="AP248" s="7"/>
      <c r="AQ248" s="7"/>
      <c r="AR248" s="7"/>
      <c r="AS248" s="7"/>
    </row>
    <row r="249" ht="9.0" customHeight="1">
      <c r="A249" s="1"/>
      <c r="B249" s="2"/>
      <c r="C249" s="2"/>
      <c r="D249" s="60"/>
      <c r="E249" s="60"/>
      <c r="F249" s="2"/>
      <c r="G249" s="60"/>
      <c r="H249" s="60"/>
      <c r="I249" s="61"/>
      <c r="J249" s="61"/>
      <c r="K249" s="61"/>
      <c r="L249" s="61"/>
      <c r="M249" s="61"/>
      <c r="N249" s="61"/>
      <c r="O249" s="61"/>
      <c r="P249" s="61"/>
      <c r="Q249" s="61"/>
      <c r="R249" s="61"/>
      <c r="S249" s="61"/>
      <c r="T249" s="61"/>
      <c r="U249" s="7"/>
      <c r="V249" s="226"/>
      <c r="W249" s="9"/>
      <c r="X249" s="61"/>
      <c r="Y249" s="61"/>
      <c r="Z249" s="61"/>
      <c r="AA249" s="61"/>
      <c r="AB249" s="61"/>
      <c r="AC249" s="61"/>
      <c r="AD249" s="61"/>
      <c r="AE249" s="61"/>
      <c r="AF249" s="61"/>
      <c r="AG249" s="61"/>
      <c r="AH249" s="61"/>
      <c r="AI249" s="61"/>
      <c r="AJ249" s="9"/>
      <c r="AK249" s="226"/>
      <c r="AL249" s="10"/>
      <c r="AM249" s="137"/>
      <c r="AN249" s="7"/>
      <c r="AO249" s="7"/>
      <c r="AP249" s="7"/>
      <c r="AQ249" s="7"/>
      <c r="AR249" s="7"/>
      <c r="AS249" s="7"/>
    </row>
    <row r="250" ht="9.0" customHeight="1">
      <c r="A250" s="1"/>
      <c r="B250" s="2"/>
      <c r="C250" s="2"/>
      <c r="D250" s="60"/>
      <c r="E250" s="60"/>
      <c r="F250" s="2"/>
      <c r="G250" s="60"/>
      <c r="H250" s="60"/>
      <c r="I250" s="61"/>
      <c r="J250" s="61"/>
      <c r="K250" s="61"/>
      <c r="L250" s="61"/>
      <c r="M250" s="61"/>
      <c r="N250" s="61"/>
      <c r="O250" s="61"/>
      <c r="P250" s="61"/>
      <c r="Q250" s="61"/>
      <c r="R250" s="61"/>
      <c r="S250" s="61"/>
      <c r="T250" s="61"/>
      <c r="U250" s="7"/>
      <c r="V250" s="226"/>
      <c r="W250" s="9"/>
      <c r="X250" s="61"/>
      <c r="Y250" s="61"/>
      <c r="Z250" s="61"/>
      <c r="AA250" s="61"/>
      <c r="AB250" s="61"/>
      <c r="AC250" s="61"/>
      <c r="AD250" s="61"/>
      <c r="AE250" s="61"/>
      <c r="AF250" s="61"/>
      <c r="AG250" s="61"/>
      <c r="AH250" s="61"/>
      <c r="AI250" s="61"/>
      <c r="AJ250" s="9"/>
      <c r="AK250" s="226"/>
      <c r="AL250" s="10"/>
      <c r="AM250" s="137"/>
      <c r="AN250" s="7"/>
      <c r="AO250" s="7"/>
      <c r="AP250" s="7"/>
      <c r="AQ250" s="7"/>
      <c r="AR250" s="7"/>
      <c r="AS250" s="7"/>
    </row>
    <row r="251" ht="9.0" customHeight="1">
      <c r="A251" s="1"/>
      <c r="B251" s="2"/>
      <c r="C251" s="2"/>
      <c r="D251" s="60"/>
      <c r="E251" s="60"/>
      <c r="F251" s="2"/>
      <c r="G251" s="60"/>
      <c r="H251" s="60"/>
      <c r="I251" s="61"/>
      <c r="J251" s="61"/>
      <c r="K251" s="61"/>
      <c r="L251" s="61"/>
      <c r="M251" s="61"/>
      <c r="N251" s="61"/>
      <c r="O251" s="61"/>
      <c r="P251" s="61"/>
      <c r="Q251" s="61"/>
      <c r="R251" s="61"/>
      <c r="S251" s="61"/>
      <c r="T251" s="61"/>
      <c r="U251" s="7"/>
      <c r="V251" s="226"/>
      <c r="W251" s="9"/>
      <c r="X251" s="61"/>
      <c r="Y251" s="61"/>
      <c r="Z251" s="61"/>
      <c r="AA251" s="61"/>
      <c r="AB251" s="61"/>
      <c r="AC251" s="61"/>
      <c r="AD251" s="61"/>
      <c r="AE251" s="61"/>
      <c r="AF251" s="61"/>
      <c r="AG251" s="61"/>
      <c r="AH251" s="61"/>
      <c r="AI251" s="61"/>
      <c r="AJ251" s="9"/>
      <c r="AK251" s="226"/>
      <c r="AL251" s="10"/>
      <c r="AM251" s="137"/>
      <c r="AN251" s="7"/>
      <c r="AO251" s="7"/>
      <c r="AP251" s="7"/>
      <c r="AQ251" s="7"/>
      <c r="AR251" s="7"/>
      <c r="AS251" s="7"/>
    </row>
    <row r="252" ht="9.0" customHeight="1">
      <c r="A252" s="1"/>
      <c r="B252" s="2"/>
      <c r="C252" s="2"/>
      <c r="D252" s="60"/>
      <c r="E252" s="60"/>
      <c r="F252" s="2"/>
      <c r="G252" s="60"/>
      <c r="H252" s="60"/>
      <c r="I252" s="61"/>
      <c r="J252" s="61"/>
      <c r="K252" s="61"/>
      <c r="L252" s="61"/>
      <c r="M252" s="61"/>
      <c r="N252" s="61"/>
      <c r="O252" s="61"/>
      <c r="P252" s="61"/>
      <c r="Q252" s="61"/>
      <c r="R252" s="61"/>
      <c r="S252" s="61"/>
      <c r="T252" s="61"/>
      <c r="U252" s="7"/>
      <c r="V252" s="226"/>
      <c r="W252" s="9"/>
      <c r="X252" s="61"/>
      <c r="Y252" s="61"/>
      <c r="Z252" s="61"/>
      <c r="AA252" s="61"/>
      <c r="AB252" s="61"/>
      <c r="AC252" s="61"/>
      <c r="AD252" s="61"/>
      <c r="AE252" s="61"/>
      <c r="AF252" s="61"/>
      <c r="AG252" s="61"/>
      <c r="AH252" s="61"/>
      <c r="AI252" s="61"/>
      <c r="AJ252" s="9"/>
      <c r="AK252" s="226"/>
      <c r="AL252" s="10"/>
      <c r="AM252" s="137"/>
      <c r="AN252" s="7"/>
      <c r="AO252" s="7"/>
      <c r="AP252" s="7"/>
      <c r="AQ252" s="7"/>
      <c r="AR252" s="7"/>
      <c r="AS252" s="7"/>
    </row>
    <row r="253" ht="9.0" customHeight="1">
      <c r="A253" s="1"/>
      <c r="B253" s="2"/>
      <c r="C253" s="2"/>
      <c r="D253" s="60"/>
      <c r="E253" s="60"/>
      <c r="F253" s="2"/>
      <c r="G253" s="60"/>
      <c r="H253" s="60"/>
      <c r="I253" s="61"/>
      <c r="J253" s="61"/>
      <c r="K253" s="61"/>
      <c r="L253" s="61"/>
      <c r="M253" s="61"/>
      <c r="N253" s="61"/>
      <c r="O253" s="61"/>
      <c r="P253" s="61"/>
      <c r="Q253" s="61"/>
      <c r="R253" s="61"/>
      <c r="S253" s="61"/>
      <c r="T253" s="61"/>
      <c r="U253" s="7"/>
      <c r="V253" s="226"/>
      <c r="W253" s="9"/>
      <c r="X253" s="61"/>
      <c r="Y253" s="61"/>
      <c r="Z253" s="61"/>
      <c r="AA253" s="61"/>
      <c r="AB253" s="61"/>
      <c r="AC253" s="61"/>
      <c r="AD253" s="61"/>
      <c r="AE253" s="61"/>
      <c r="AF253" s="61"/>
      <c r="AG253" s="61"/>
      <c r="AH253" s="61"/>
      <c r="AI253" s="61"/>
      <c r="AJ253" s="9"/>
      <c r="AK253" s="226"/>
      <c r="AL253" s="10"/>
      <c r="AM253" s="137"/>
      <c r="AN253" s="7"/>
      <c r="AO253" s="7"/>
      <c r="AP253" s="7"/>
      <c r="AQ253" s="7"/>
      <c r="AR253" s="7"/>
      <c r="AS253" s="7"/>
    </row>
    <row r="254" ht="9.0" customHeight="1">
      <c r="A254" s="1"/>
      <c r="B254" s="2"/>
      <c r="C254" s="2"/>
      <c r="D254" s="60"/>
      <c r="E254" s="60"/>
      <c r="F254" s="2"/>
      <c r="G254" s="60"/>
      <c r="H254" s="60"/>
      <c r="I254" s="61"/>
      <c r="J254" s="61"/>
      <c r="K254" s="61"/>
      <c r="L254" s="61"/>
      <c r="M254" s="61"/>
      <c r="N254" s="61"/>
      <c r="O254" s="61"/>
      <c r="P254" s="61"/>
      <c r="Q254" s="61"/>
      <c r="R254" s="61"/>
      <c r="S254" s="61"/>
      <c r="T254" s="61"/>
      <c r="U254" s="7"/>
      <c r="V254" s="226"/>
      <c r="W254" s="9"/>
      <c r="X254" s="61"/>
      <c r="Y254" s="61"/>
      <c r="Z254" s="61"/>
      <c r="AA254" s="61"/>
      <c r="AB254" s="61"/>
      <c r="AC254" s="61"/>
      <c r="AD254" s="61"/>
      <c r="AE254" s="61"/>
      <c r="AF254" s="61"/>
      <c r="AG254" s="61"/>
      <c r="AH254" s="61"/>
      <c r="AI254" s="61"/>
      <c r="AJ254" s="9"/>
      <c r="AK254" s="226"/>
      <c r="AL254" s="10"/>
      <c r="AM254" s="137"/>
      <c r="AN254" s="7"/>
      <c r="AO254" s="7"/>
      <c r="AP254" s="7"/>
      <c r="AQ254" s="7"/>
      <c r="AR254" s="7"/>
      <c r="AS254" s="7"/>
    </row>
    <row r="255" ht="9.0" customHeight="1">
      <c r="A255" s="1"/>
      <c r="B255" s="2"/>
      <c r="C255" s="2"/>
      <c r="D255" s="60"/>
      <c r="E255" s="60"/>
      <c r="F255" s="2"/>
      <c r="G255" s="60"/>
      <c r="H255" s="60"/>
      <c r="I255" s="61"/>
      <c r="J255" s="61"/>
      <c r="K255" s="61"/>
      <c r="L255" s="61"/>
      <c r="M255" s="61"/>
      <c r="N255" s="61"/>
      <c r="O255" s="61"/>
      <c r="P255" s="61"/>
      <c r="Q255" s="61"/>
      <c r="R255" s="61"/>
      <c r="S255" s="61"/>
      <c r="T255" s="61"/>
      <c r="U255" s="7"/>
      <c r="V255" s="226"/>
      <c r="W255" s="9"/>
      <c r="X255" s="61"/>
      <c r="Y255" s="61"/>
      <c r="Z255" s="61"/>
      <c r="AA255" s="61"/>
      <c r="AB255" s="61"/>
      <c r="AC255" s="61"/>
      <c r="AD255" s="61"/>
      <c r="AE255" s="61"/>
      <c r="AF255" s="61"/>
      <c r="AG255" s="61"/>
      <c r="AH255" s="61"/>
      <c r="AI255" s="61"/>
      <c r="AJ255" s="9"/>
      <c r="AK255" s="226"/>
      <c r="AL255" s="10"/>
      <c r="AM255" s="137"/>
      <c r="AN255" s="7"/>
      <c r="AO255" s="7"/>
      <c r="AP255" s="7"/>
      <c r="AQ255" s="7"/>
      <c r="AR255" s="7"/>
      <c r="AS255" s="7"/>
    </row>
    <row r="256" ht="9.0" customHeight="1">
      <c r="A256" s="1"/>
      <c r="B256" s="2"/>
      <c r="C256" s="2"/>
      <c r="D256" s="60"/>
      <c r="E256" s="60"/>
      <c r="F256" s="2"/>
      <c r="G256" s="60"/>
      <c r="H256" s="60"/>
      <c r="I256" s="61"/>
      <c r="J256" s="61"/>
      <c r="K256" s="61"/>
      <c r="L256" s="61"/>
      <c r="M256" s="61"/>
      <c r="N256" s="61"/>
      <c r="O256" s="61"/>
      <c r="P256" s="61"/>
      <c r="Q256" s="61"/>
      <c r="R256" s="61"/>
      <c r="S256" s="61"/>
      <c r="T256" s="61"/>
      <c r="U256" s="7"/>
      <c r="V256" s="226"/>
      <c r="W256" s="9"/>
      <c r="X256" s="61"/>
      <c r="Y256" s="61"/>
      <c r="Z256" s="61"/>
      <c r="AA256" s="61"/>
      <c r="AB256" s="61"/>
      <c r="AC256" s="61"/>
      <c r="AD256" s="61"/>
      <c r="AE256" s="61"/>
      <c r="AF256" s="61"/>
      <c r="AG256" s="61"/>
      <c r="AH256" s="61"/>
      <c r="AI256" s="61"/>
      <c r="AJ256" s="9"/>
      <c r="AK256" s="226"/>
      <c r="AL256" s="10"/>
      <c r="AM256" s="137"/>
      <c r="AN256" s="7"/>
      <c r="AO256" s="7"/>
      <c r="AP256" s="7"/>
      <c r="AQ256" s="7"/>
      <c r="AR256" s="7"/>
      <c r="AS256" s="7"/>
    </row>
    <row r="257" ht="9.0" customHeight="1">
      <c r="A257" s="1"/>
      <c r="B257" s="2"/>
      <c r="C257" s="2"/>
      <c r="D257" s="60"/>
      <c r="E257" s="60"/>
      <c r="F257" s="2"/>
      <c r="G257" s="60"/>
      <c r="H257" s="60"/>
      <c r="I257" s="61"/>
      <c r="J257" s="61"/>
      <c r="K257" s="61"/>
      <c r="L257" s="61"/>
      <c r="M257" s="61"/>
      <c r="N257" s="61"/>
      <c r="O257" s="61"/>
      <c r="P257" s="61"/>
      <c r="Q257" s="61"/>
      <c r="R257" s="61"/>
      <c r="S257" s="61"/>
      <c r="T257" s="61"/>
      <c r="U257" s="7"/>
      <c r="V257" s="226"/>
      <c r="W257" s="9"/>
      <c r="X257" s="61"/>
      <c r="Y257" s="61"/>
      <c r="Z257" s="61"/>
      <c r="AA257" s="61"/>
      <c r="AB257" s="61"/>
      <c r="AC257" s="61"/>
      <c r="AD257" s="61"/>
      <c r="AE257" s="61"/>
      <c r="AF257" s="61"/>
      <c r="AG257" s="61"/>
      <c r="AH257" s="61"/>
      <c r="AI257" s="61"/>
      <c r="AJ257" s="9"/>
      <c r="AK257" s="226"/>
      <c r="AL257" s="10"/>
      <c r="AM257" s="137"/>
      <c r="AN257" s="7"/>
      <c r="AO257" s="7"/>
      <c r="AP257" s="7"/>
      <c r="AQ257" s="7"/>
      <c r="AR257" s="7"/>
      <c r="AS257" s="7"/>
    </row>
    <row r="258" ht="9.0" customHeight="1">
      <c r="A258" s="1"/>
      <c r="B258" s="2"/>
      <c r="C258" s="2"/>
      <c r="D258" s="60"/>
      <c r="E258" s="60"/>
      <c r="F258" s="2"/>
      <c r="G258" s="60"/>
      <c r="H258" s="60"/>
      <c r="I258" s="61"/>
      <c r="J258" s="61"/>
      <c r="K258" s="61"/>
      <c r="L258" s="61"/>
      <c r="M258" s="61"/>
      <c r="N258" s="61"/>
      <c r="O258" s="61"/>
      <c r="P258" s="61"/>
      <c r="Q258" s="61"/>
      <c r="R258" s="61"/>
      <c r="S258" s="61"/>
      <c r="T258" s="61"/>
      <c r="U258" s="7"/>
      <c r="V258" s="226"/>
      <c r="W258" s="9"/>
      <c r="X258" s="61"/>
      <c r="Y258" s="61"/>
      <c r="Z258" s="61"/>
      <c r="AA258" s="61"/>
      <c r="AB258" s="61"/>
      <c r="AC258" s="61"/>
      <c r="AD258" s="61"/>
      <c r="AE258" s="61"/>
      <c r="AF258" s="61"/>
      <c r="AG258" s="61"/>
      <c r="AH258" s="61"/>
      <c r="AI258" s="61"/>
      <c r="AJ258" s="9"/>
      <c r="AK258" s="226"/>
      <c r="AL258" s="10"/>
      <c r="AM258" s="137"/>
      <c r="AN258" s="7"/>
      <c r="AO258" s="7"/>
      <c r="AP258" s="7"/>
      <c r="AQ258" s="7"/>
      <c r="AR258" s="7"/>
      <c r="AS258" s="7"/>
    </row>
    <row r="259" ht="9.0" customHeight="1">
      <c r="A259" s="1"/>
      <c r="B259" s="2"/>
      <c r="C259" s="2"/>
      <c r="D259" s="60"/>
      <c r="E259" s="60"/>
      <c r="F259" s="2"/>
      <c r="G259" s="60"/>
      <c r="H259" s="60"/>
      <c r="I259" s="61"/>
      <c r="J259" s="61"/>
      <c r="K259" s="61"/>
      <c r="L259" s="61"/>
      <c r="M259" s="61"/>
      <c r="N259" s="61"/>
      <c r="O259" s="61"/>
      <c r="P259" s="61"/>
      <c r="Q259" s="61"/>
      <c r="R259" s="61"/>
      <c r="S259" s="61"/>
      <c r="T259" s="61"/>
      <c r="U259" s="7"/>
      <c r="V259" s="226"/>
      <c r="W259" s="9"/>
      <c r="X259" s="61"/>
      <c r="Y259" s="61"/>
      <c r="Z259" s="61"/>
      <c r="AA259" s="61"/>
      <c r="AB259" s="61"/>
      <c r="AC259" s="61"/>
      <c r="AD259" s="61"/>
      <c r="AE259" s="61"/>
      <c r="AF259" s="61"/>
      <c r="AG259" s="61"/>
      <c r="AH259" s="61"/>
      <c r="AI259" s="61"/>
      <c r="AJ259" s="9"/>
      <c r="AK259" s="226"/>
      <c r="AL259" s="10"/>
      <c r="AM259" s="137"/>
      <c r="AN259" s="7"/>
      <c r="AO259" s="7"/>
      <c r="AP259" s="7"/>
      <c r="AQ259" s="7"/>
      <c r="AR259" s="7"/>
      <c r="AS259" s="7"/>
    </row>
    <row r="260" ht="9.0" customHeight="1">
      <c r="A260" s="1"/>
      <c r="B260" s="2"/>
      <c r="C260" s="2"/>
      <c r="D260" s="60"/>
      <c r="E260" s="60"/>
      <c r="F260" s="2"/>
      <c r="G260" s="60"/>
      <c r="H260" s="60"/>
      <c r="I260" s="61"/>
      <c r="J260" s="61"/>
      <c r="K260" s="61"/>
      <c r="L260" s="61"/>
      <c r="M260" s="61"/>
      <c r="N260" s="61"/>
      <c r="O260" s="61"/>
      <c r="P260" s="61"/>
      <c r="Q260" s="61"/>
      <c r="R260" s="61"/>
      <c r="S260" s="61"/>
      <c r="T260" s="61"/>
      <c r="U260" s="7"/>
      <c r="V260" s="226"/>
      <c r="W260" s="9"/>
      <c r="X260" s="61"/>
      <c r="Y260" s="61"/>
      <c r="Z260" s="61"/>
      <c r="AA260" s="61"/>
      <c r="AB260" s="61"/>
      <c r="AC260" s="61"/>
      <c r="AD260" s="61"/>
      <c r="AE260" s="61"/>
      <c r="AF260" s="61"/>
      <c r="AG260" s="61"/>
      <c r="AH260" s="61"/>
      <c r="AI260" s="61"/>
      <c r="AJ260" s="9"/>
      <c r="AK260" s="226"/>
      <c r="AL260" s="10"/>
      <c r="AM260" s="137"/>
      <c r="AN260" s="7"/>
      <c r="AO260" s="7"/>
      <c r="AP260" s="7"/>
      <c r="AQ260" s="7"/>
      <c r="AR260" s="7"/>
      <c r="AS260" s="7"/>
    </row>
    <row r="261" ht="9.0" customHeight="1">
      <c r="A261" s="1"/>
      <c r="B261" s="2"/>
      <c r="C261" s="2"/>
      <c r="D261" s="60"/>
      <c r="E261" s="60"/>
      <c r="F261" s="2"/>
      <c r="G261" s="60"/>
      <c r="H261" s="60"/>
      <c r="I261" s="61"/>
      <c r="J261" s="61"/>
      <c r="K261" s="61"/>
      <c r="L261" s="61"/>
      <c r="M261" s="61"/>
      <c r="N261" s="61"/>
      <c r="O261" s="61"/>
      <c r="P261" s="61"/>
      <c r="Q261" s="61"/>
      <c r="R261" s="61"/>
      <c r="S261" s="61"/>
      <c r="T261" s="61"/>
      <c r="U261" s="7"/>
      <c r="V261" s="226"/>
      <c r="W261" s="9"/>
      <c r="X261" s="61"/>
      <c r="Y261" s="61"/>
      <c r="Z261" s="61"/>
      <c r="AA261" s="61"/>
      <c r="AB261" s="61"/>
      <c r="AC261" s="61"/>
      <c r="AD261" s="61"/>
      <c r="AE261" s="61"/>
      <c r="AF261" s="61"/>
      <c r="AG261" s="61"/>
      <c r="AH261" s="61"/>
      <c r="AI261" s="61"/>
      <c r="AJ261" s="9"/>
      <c r="AK261" s="226"/>
      <c r="AL261" s="10"/>
      <c r="AM261" s="137"/>
      <c r="AN261" s="7"/>
      <c r="AO261" s="7"/>
      <c r="AP261" s="7"/>
      <c r="AQ261" s="7"/>
      <c r="AR261" s="7"/>
      <c r="AS261" s="7"/>
    </row>
    <row r="262" ht="9.0" customHeight="1">
      <c r="A262" s="1"/>
      <c r="B262" s="2"/>
      <c r="C262" s="2"/>
      <c r="D262" s="60"/>
      <c r="E262" s="60"/>
      <c r="F262" s="2"/>
      <c r="G262" s="60"/>
      <c r="H262" s="60"/>
      <c r="I262" s="61"/>
      <c r="J262" s="61"/>
      <c r="K262" s="61"/>
      <c r="L262" s="61"/>
      <c r="M262" s="61"/>
      <c r="N262" s="61"/>
      <c r="O262" s="61"/>
      <c r="P262" s="61"/>
      <c r="Q262" s="61"/>
      <c r="R262" s="61"/>
      <c r="S262" s="61"/>
      <c r="T262" s="61"/>
      <c r="U262" s="7"/>
      <c r="V262" s="226"/>
      <c r="W262" s="9"/>
      <c r="X262" s="61"/>
      <c r="Y262" s="61"/>
      <c r="Z262" s="61"/>
      <c r="AA262" s="61"/>
      <c r="AB262" s="61"/>
      <c r="AC262" s="61"/>
      <c r="AD262" s="61"/>
      <c r="AE262" s="61"/>
      <c r="AF262" s="61"/>
      <c r="AG262" s="61"/>
      <c r="AH262" s="61"/>
      <c r="AI262" s="61"/>
      <c r="AJ262" s="9"/>
      <c r="AK262" s="226"/>
      <c r="AL262" s="10"/>
      <c r="AM262" s="137"/>
      <c r="AN262" s="7"/>
      <c r="AO262" s="7"/>
      <c r="AP262" s="7"/>
      <c r="AQ262" s="7"/>
      <c r="AR262" s="7"/>
      <c r="AS262" s="7"/>
    </row>
    <row r="263" ht="9.0" customHeight="1">
      <c r="A263" s="1"/>
      <c r="B263" s="2"/>
      <c r="C263" s="2"/>
      <c r="D263" s="60"/>
      <c r="E263" s="60"/>
      <c r="F263" s="2"/>
      <c r="G263" s="60"/>
      <c r="H263" s="60"/>
      <c r="I263" s="61"/>
      <c r="J263" s="61"/>
      <c r="K263" s="61"/>
      <c r="L263" s="61"/>
      <c r="M263" s="61"/>
      <c r="N263" s="61"/>
      <c r="O263" s="61"/>
      <c r="P263" s="61"/>
      <c r="Q263" s="61"/>
      <c r="R263" s="61"/>
      <c r="S263" s="61"/>
      <c r="T263" s="61"/>
      <c r="U263" s="7"/>
      <c r="V263" s="226"/>
      <c r="W263" s="9"/>
      <c r="X263" s="61"/>
      <c r="Y263" s="61"/>
      <c r="Z263" s="61"/>
      <c r="AA263" s="61"/>
      <c r="AB263" s="61"/>
      <c r="AC263" s="61"/>
      <c r="AD263" s="61"/>
      <c r="AE263" s="61"/>
      <c r="AF263" s="61"/>
      <c r="AG263" s="61"/>
      <c r="AH263" s="61"/>
      <c r="AI263" s="61"/>
      <c r="AJ263" s="9"/>
      <c r="AK263" s="226"/>
      <c r="AL263" s="10"/>
      <c r="AM263" s="137"/>
      <c r="AN263" s="7"/>
      <c r="AO263" s="7"/>
      <c r="AP263" s="7"/>
      <c r="AQ263" s="7"/>
      <c r="AR263" s="7"/>
      <c r="AS263" s="7"/>
    </row>
    <row r="264" ht="9.0" customHeight="1">
      <c r="A264" s="1"/>
      <c r="B264" s="2"/>
      <c r="C264" s="2"/>
      <c r="D264" s="60"/>
      <c r="E264" s="60"/>
      <c r="F264" s="2"/>
      <c r="G264" s="60"/>
      <c r="H264" s="60"/>
      <c r="I264" s="61"/>
      <c r="J264" s="61"/>
      <c r="K264" s="61"/>
      <c r="L264" s="61"/>
      <c r="M264" s="61"/>
      <c r="N264" s="61"/>
      <c r="O264" s="61"/>
      <c r="P264" s="61"/>
      <c r="Q264" s="61"/>
      <c r="R264" s="61"/>
      <c r="S264" s="61"/>
      <c r="T264" s="61"/>
      <c r="U264" s="7"/>
      <c r="V264" s="226"/>
      <c r="W264" s="9"/>
      <c r="X264" s="61"/>
      <c r="Y264" s="61"/>
      <c r="Z264" s="61"/>
      <c r="AA264" s="61"/>
      <c r="AB264" s="61"/>
      <c r="AC264" s="61"/>
      <c r="AD264" s="61"/>
      <c r="AE264" s="61"/>
      <c r="AF264" s="61"/>
      <c r="AG264" s="61"/>
      <c r="AH264" s="61"/>
      <c r="AI264" s="61"/>
      <c r="AJ264" s="9"/>
      <c r="AK264" s="226"/>
      <c r="AL264" s="10"/>
      <c r="AM264" s="137"/>
      <c r="AN264" s="7"/>
      <c r="AO264" s="7"/>
      <c r="AP264" s="7"/>
      <c r="AQ264" s="7"/>
      <c r="AR264" s="7"/>
      <c r="AS264" s="7"/>
    </row>
    <row r="265" ht="9.0" customHeight="1">
      <c r="A265" s="1"/>
      <c r="B265" s="2"/>
      <c r="C265" s="2"/>
      <c r="D265" s="60"/>
      <c r="E265" s="60"/>
      <c r="F265" s="2"/>
      <c r="G265" s="60"/>
      <c r="H265" s="60"/>
      <c r="I265" s="61"/>
      <c r="J265" s="61"/>
      <c r="K265" s="61"/>
      <c r="L265" s="61"/>
      <c r="M265" s="61"/>
      <c r="N265" s="61"/>
      <c r="O265" s="61"/>
      <c r="P265" s="61"/>
      <c r="Q265" s="61"/>
      <c r="R265" s="61"/>
      <c r="S265" s="61"/>
      <c r="T265" s="61"/>
      <c r="U265" s="7"/>
      <c r="V265" s="226"/>
      <c r="W265" s="9"/>
      <c r="X265" s="61"/>
      <c r="Y265" s="61"/>
      <c r="Z265" s="61"/>
      <c r="AA265" s="61"/>
      <c r="AB265" s="61"/>
      <c r="AC265" s="61"/>
      <c r="AD265" s="61"/>
      <c r="AE265" s="61"/>
      <c r="AF265" s="61"/>
      <c r="AG265" s="61"/>
      <c r="AH265" s="61"/>
      <c r="AI265" s="61"/>
      <c r="AJ265" s="9"/>
      <c r="AK265" s="226"/>
      <c r="AL265" s="10"/>
      <c r="AM265" s="137"/>
      <c r="AN265" s="7"/>
      <c r="AO265" s="7"/>
      <c r="AP265" s="7"/>
      <c r="AQ265" s="7"/>
      <c r="AR265" s="7"/>
      <c r="AS265" s="7"/>
    </row>
    <row r="266" ht="9.0" customHeight="1">
      <c r="A266" s="1"/>
      <c r="B266" s="2"/>
      <c r="C266" s="2"/>
      <c r="D266" s="60"/>
      <c r="E266" s="60"/>
      <c r="F266" s="2"/>
      <c r="G266" s="60"/>
      <c r="H266" s="60"/>
      <c r="I266" s="61"/>
      <c r="J266" s="61"/>
      <c r="K266" s="61"/>
      <c r="L266" s="61"/>
      <c r="M266" s="61"/>
      <c r="N266" s="61"/>
      <c r="O266" s="61"/>
      <c r="P266" s="61"/>
      <c r="Q266" s="61"/>
      <c r="R266" s="61"/>
      <c r="S266" s="61"/>
      <c r="T266" s="61"/>
      <c r="U266" s="7"/>
      <c r="V266" s="226"/>
      <c r="W266" s="9"/>
      <c r="X266" s="61"/>
      <c r="Y266" s="61"/>
      <c r="Z266" s="61"/>
      <c r="AA266" s="61"/>
      <c r="AB266" s="61"/>
      <c r="AC266" s="61"/>
      <c r="AD266" s="61"/>
      <c r="AE266" s="61"/>
      <c r="AF266" s="61"/>
      <c r="AG266" s="61"/>
      <c r="AH266" s="61"/>
      <c r="AI266" s="61"/>
      <c r="AJ266" s="9"/>
      <c r="AK266" s="226"/>
      <c r="AL266" s="10"/>
      <c r="AM266" s="137"/>
      <c r="AN266" s="7"/>
      <c r="AO266" s="7"/>
      <c r="AP266" s="7"/>
      <c r="AQ266" s="7"/>
      <c r="AR266" s="7"/>
      <c r="AS266" s="7"/>
    </row>
    <row r="267" ht="9.0" customHeight="1">
      <c r="A267" s="1"/>
      <c r="B267" s="2"/>
      <c r="C267" s="2"/>
      <c r="D267" s="60"/>
      <c r="E267" s="60"/>
      <c r="F267" s="2"/>
      <c r="G267" s="60"/>
      <c r="H267" s="60"/>
      <c r="I267" s="61"/>
      <c r="J267" s="61"/>
      <c r="K267" s="61"/>
      <c r="L267" s="61"/>
      <c r="M267" s="61"/>
      <c r="N267" s="61"/>
      <c r="O267" s="61"/>
      <c r="P267" s="61"/>
      <c r="Q267" s="61"/>
      <c r="R267" s="61"/>
      <c r="S267" s="61"/>
      <c r="T267" s="61"/>
      <c r="U267" s="7"/>
      <c r="V267" s="226"/>
      <c r="W267" s="9"/>
      <c r="X267" s="61"/>
      <c r="Y267" s="61"/>
      <c r="Z267" s="61"/>
      <c r="AA267" s="61"/>
      <c r="AB267" s="61"/>
      <c r="AC267" s="61"/>
      <c r="AD267" s="61"/>
      <c r="AE267" s="61"/>
      <c r="AF267" s="61"/>
      <c r="AG267" s="61"/>
      <c r="AH267" s="61"/>
      <c r="AI267" s="61"/>
      <c r="AJ267" s="9"/>
      <c r="AK267" s="226"/>
      <c r="AL267" s="10"/>
      <c r="AM267" s="137"/>
      <c r="AN267" s="7"/>
      <c r="AO267" s="7"/>
      <c r="AP267" s="7"/>
      <c r="AQ267" s="7"/>
      <c r="AR267" s="7"/>
      <c r="AS267" s="7"/>
    </row>
    <row r="268" ht="9.0" customHeight="1">
      <c r="A268" s="1"/>
      <c r="B268" s="2"/>
      <c r="C268" s="2"/>
      <c r="D268" s="60"/>
      <c r="E268" s="60"/>
      <c r="F268" s="2"/>
      <c r="G268" s="60"/>
      <c r="H268" s="60"/>
      <c r="I268" s="61"/>
      <c r="J268" s="61"/>
      <c r="K268" s="61"/>
      <c r="L268" s="61"/>
      <c r="M268" s="61"/>
      <c r="N268" s="61"/>
      <c r="O268" s="61"/>
      <c r="P268" s="61"/>
      <c r="Q268" s="61"/>
      <c r="R268" s="61"/>
      <c r="S268" s="61"/>
      <c r="T268" s="61"/>
      <c r="U268" s="7"/>
      <c r="V268" s="226"/>
      <c r="W268" s="9"/>
      <c r="X268" s="61"/>
      <c r="Y268" s="61"/>
      <c r="Z268" s="61"/>
      <c r="AA268" s="61"/>
      <c r="AB268" s="61"/>
      <c r="AC268" s="61"/>
      <c r="AD268" s="61"/>
      <c r="AE268" s="61"/>
      <c r="AF268" s="61"/>
      <c r="AG268" s="61"/>
      <c r="AH268" s="61"/>
      <c r="AI268" s="61"/>
      <c r="AJ268" s="9"/>
      <c r="AK268" s="226"/>
      <c r="AL268" s="10"/>
      <c r="AM268" s="137"/>
      <c r="AN268" s="7"/>
      <c r="AO268" s="7"/>
      <c r="AP268" s="7"/>
      <c r="AQ268" s="7"/>
      <c r="AR268" s="7"/>
      <c r="AS268" s="7"/>
    </row>
    <row r="269" ht="9.0" customHeight="1">
      <c r="A269" s="1"/>
      <c r="B269" s="2"/>
      <c r="C269" s="2"/>
      <c r="D269" s="60"/>
      <c r="E269" s="60"/>
      <c r="F269" s="2"/>
      <c r="G269" s="60"/>
      <c r="H269" s="60"/>
      <c r="I269" s="61"/>
      <c r="J269" s="61"/>
      <c r="K269" s="61"/>
      <c r="L269" s="61"/>
      <c r="M269" s="61"/>
      <c r="N269" s="61"/>
      <c r="O269" s="61"/>
      <c r="P269" s="61"/>
      <c r="Q269" s="61"/>
      <c r="R269" s="61"/>
      <c r="S269" s="61"/>
      <c r="T269" s="61"/>
      <c r="U269" s="7"/>
      <c r="V269" s="226"/>
      <c r="W269" s="9"/>
      <c r="X269" s="61"/>
      <c r="Y269" s="61"/>
      <c r="Z269" s="61"/>
      <c r="AA269" s="61"/>
      <c r="AB269" s="61"/>
      <c r="AC269" s="61"/>
      <c r="AD269" s="61"/>
      <c r="AE269" s="61"/>
      <c r="AF269" s="61"/>
      <c r="AG269" s="61"/>
      <c r="AH269" s="61"/>
      <c r="AI269" s="61"/>
      <c r="AJ269" s="9"/>
      <c r="AK269" s="226"/>
      <c r="AL269" s="10"/>
      <c r="AM269" s="137"/>
      <c r="AN269" s="7"/>
      <c r="AO269" s="7"/>
      <c r="AP269" s="7"/>
      <c r="AQ269" s="7"/>
      <c r="AR269" s="7"/>
      <c r="AS269" s="7"/>
    </row>
    <row r="270" ht="9.0" customHeight="1">
      <c r="A270" s="1"/>
      <c r="B270" s="2"/>
      <c r="C270" s="2"/>
      <c r="D270" s="60"/>
      <c r="E270" s="60"/>
      <c r="F270" s="2"/>
      <c r="G270" s="60"/>
      <c r="H270" s="60"/>
      <c r="I270" s="61"/>
      <c r="J270" s="61"/>
      <c r="K270" s="61"/>
      <c r="L270" s="61"/>
      <c r="M270" s="61"/>
      <c r="N270" s="61"/>
      <c r="O270" s="61"/>
      <c r="P270" s="61"/>
      <c r="Q270" s="61"/>
      <c r="R270" s="61"/>
      <c r="S270" s="61"/>
      <c r="T270" s="61"/>
      <c r="U270" s="7"/>
      <c r="V270" s="226"/>
      <c r="W270" s="9"/>
      <c r="X270" s="61"/>
      <c r="Y270" s="61"/>
      <c r="Z270" s="61"/>
      <c r="AA270" s="61"/>
      <c r="AB270" s="61"/>
      <c r="AC270" s="61"/>
      <c r="AD270" s="61"/>
      <c r="AE270" s="61"/>
      <c r="AF270" s="61"/>
      <c r="AG270" s="61"/>
      <c r="AH270" s="61"/>
      <c r="AI270" s="61"/>
      <c r="AJ270" s="9"/>
      <c r="AK270" s="226"/>
      <c r="AL270" s="10"/>
      <c r="AM270" s="137"/>
      <c r="AN270" s="7"/>
      <c r="AO270" s="7"/>
      <c r="AP270" s="7"/>
      <c r="AQ270" s="7"/>
      <c r="AR270" s="7"/>
      <c r="AS270" s="7"/>
    </row>
    <row r="271" ht="9.0" customHeight="1">
      <c r="A271" s="1"/>
      <c r="B271" s="2"/>
      <c r="C271" s="2"/>
      <c r="D271" s="60"/>
      <c r="E271" s="60"/>
      <c r="F271" s="2"/>
      <c r="G271" s="60"/>
      <c r="H271" s="60"/>
      <c r="I271" s="61"/>
      <c r="J271" s="61"/>
      <c r="K271" s="61"/>
      <c r="L271" s="61"/>
      <c r="M271" s="61"/>
      <c r="N271" s="61"/>
      <c r="O271" s="61"/>
      <c r="P271" s="61"/>
      <c r="Q271" s="61"/>
      <c r="R271" s="61"/>
      <c r="S271" s="61"/>
      <c r="T271" s="61"/>
      <c r="U271" s="7"/>
      <c r="V271" s="226"/>
      <c r="W271" s="9"/>
      <c r="X271" s="61"/>
      <c r="Y271" s="61"/>
      <c r="Z271" s="61"/>
      <c r="AA271" s="61"/>
      <c r="AB271" s="61"/>
      <c r="AC271" s="61"/>
      <c r="AD271" s="61"/>
      <c r="AE271" s="61"/>
      <c r="AF271" s="61"/>
      <c r="AG271" s="61"/>
      <c r="AH271" s="61"/>
      <c r="AI271" s="61"/>
      <c r="AJ271" s="9"/>
      <c r="AK271" s="226"/>
      <c r="AL271" s="10"/>
      <c r="AM271" s="137"/>
      <c r="AN271" s="7"/>
      <c r="AO271" s="7"/>
      <c r="AP271" s="7"/>
      <c r="AQ271" s="7"/>
      <c r="AR271" s="7"/>
      <c r="AS271" s="7"/>
    </row>
    <row r="272" ht="9.0" customHeight="1">
      <c r="A272" s="1"/>
      <c r="B272" s="2"/>
      <c r="C272" s="2"/>
      <c r="D272" s="60"/>
      <c r="E272" s="60"/>
      <c r="F272" s="2"/>
      <c r="G272" s="60"/>
      <c r="H272" s="60"/>
      <c r="I272" s="61"/>
      <c r="J272" s="61"/>
      <c r="K272" s="61"/>
      <c r="L272" s="61"/>
      <c r="M272" s="61"/>
      <c r="N272" s="61"/>
      <c r="O272" s="61"/>
      <c r="P272" s="61"/>
      <c r="Q272" s="61"/>
      <c r="R272" s="61"/>
      <c r="S272" s="61"/>
      <c r="T272" s="61"/>
      <c r="U272" s="7"/>
      <c r="V272" s="226"/>
      <c r="W272" s="9"/>
      <c r="X272" s="61"/>
      <c r="Y272" s="61"/>
      <c r="Z272" s="61"/>
      <c r="AA272" s="61"/>
      <c r="AB272" s="61"/>
      <c r="AC272" s="61"/>
      <c r="AD272" s="61"/>
      <c r="AE272" s="61"/>
      <c r="AF272" s="61"/>
      <c r="AG272" s="61"/>
      <c r="AH272" s="61"/>
      <c r="AI272" s="61"/>
      <c r="AJ272" s="9"/>
      <c r="AK272" s="226"/>
      <c r="AL272" s="10"/>
      <c r="AM272" s="137"/>
      <c r="AN272" s="7"/>
      <c r="AO272" s="7"/>
      <c r="AP272" s="7"/>
      <c r="AQ272" s="7"/>
      <c r="AR272" s="7"/>
      <c r="AS272" s="7"/>
    </row>
    <row r="273" ht="9.0" customHeight="1">
      <c r="A273" s="1"/>
      <c r="B273" s="2"/>
      <c r="C273" s="2"/>
      <c r="D273" s="60"/>
      <c r="E273" s="60"/>
      <c r="F273" s="2"/>
      <c r="G273" s="60"/>
      <c r="H273" s="60"/>
      <c r="I273" s="61"/>
      <c r="J273" s="61"/>
      <c r="K273" s="61"/>
      <c r="L273" s="61"/>
      <c r="M273" s="61"/>
      <c r="N273" s="61"/>
      <c r="O273" s="61"/>
      <c r="P273" s="61"/>
      <c r="Q273" s="61"/>
      <c r="R273" s="61"/>
      <c r="S273" s="61"/>
      <c r="T273" s="61"/>
      <c r="U273" s="7"/>
      <c r="V273" s="226"/>
      <c r="W273" s="9"/>
      <c r="X273" s="61"/>
      <c r="Y273" s="61"/>
      <c r="Z273" s="61"/>
      <c r="AA273" s="61"/>
      <c r="AB273" s="61"/>
      <c r="AC273" s="61"/>
      <c r="AD273" s="61"/>
      <c r="AE273" s="61"/>
      <c r="AF273" s="61"/>
      <c r="AG273" s="61"/>
      <c r="AH273" s="61"/>
      <c r="AI273" s="61"/>
      <c r="AJ273" s="9"/>
      <c r="AK273" s="226"/>
      <c r="AL273" s="10"/>
      <c r="AM273" s="137"/>
      <c r="AN273" s="7"/>
      <c r="AO273" s="7"/>
      <c r="AP273" s="7"/>
      <c r="AQ273" s="7"/>
      <c r="AR273" s="7"/>
      <c r="AS273" s="7"/>
    </row>
    <row r="274" ht="9.0" customHeight="1">
      <c r="A274" s="1"/>
      <c r="B274" s="2"/>
      <c r="C274" s="2"/>
      <c r="D274" s="60"/>
      <c r="E274" s="60"/>
      <c r="F274" s="2"/>
      <c r="G274" s="60"/>
      <c r="H274" s="60"/>
      <c r="I274" s="61"/>
      <c r="J274" s="61"/>
      <c r="K274" s="61"/>
      <c r="L274" s="61"/>
      <c r="M274" s="61"/>
      <c r="N274" s="61"/>
      <c r="O274" s="61"/>
      <c r="P274" s="61"/>
      <c r="Q274" s="61"/>
      <c r="R274" s="61"/>
      <c r="S274" s="61"/>
      <c r="T274" s="61"/>
      <c r="U274" s="7"/>
      <c r="V274" s="226"/>
      <c r="W274" s="9"/>
      <c r="X274" s="61"/>
      <c r="Y274" s="61"/>
      <c r="Z274" s="61"/>
      <c r="AA274" s="61"/>
      <c r="AB274" s="61"/>
      <c r="AC274" s="61"/>
      <c r="AD274" s="61"/>
      <c r="AE274" s="61"/>
      <c r="AF274" s="61"/>
      <c r="AG274" s="61"/>
      <c r="AH274" s="61"/>
      <c r="AI274" s="61"/>
      <c r="AJ274" s="9"/>
      <c r="AK274" s="226"/>
      <c r="AL274" s="10"/>
      <c r="AM274" s="137"/>
      <c r="AN274" s="7"/>
      <c r="AO274" s="7"/>
      <c r="AP274" s="7"/>
      <c r="AQ274" s="7"/>
      <c r="AR274" s="7"/>
      <c r="AS274" s="7"/>
    </row>
    <row r="275" ht="9.0" customHeight="1">
      <c r="A275" s="1"/>
      <c r="B275" s="2"/>
      <c r="C275" s="2"/>
      <c r="D275" s="60"/>
      <c r="E275" s="60"/>
      <c r="F275" s="2"/>
      <c r="G275" s="60"/>
      <c r="H275" s="60"/>
      <c r="I275" s="61"/>
      <c r="J275" s="61"/>
      <c r="K275" s="61"/>
      <c r="L275" s="61"/>
      <c r="M275" s="61"/>
      <c r="N275" s="61"/>
      <c r="O275" s="61"/>
      <c r="P275" s="61"/>
      <c r="Q275" s="61"/>
      <c r="R275" s="61"/>
      <c r="S275" s="61"/>
      <c r="T275" s="61"/>
      <c r="U275" s="7"/>
      <c r="V275" s="226"/>
      <c r="W275" s="9"/>
      <c r="X275" s="61"/>
      <c r="Y275" s="61"/>
      <c r="Z275" s="61"/>
      <c r="AA275" s="61"/>
      <c r="AB275" s="61"/>
      <c r="AC275" s="61"/>
      <c r="AD275" s="61"/>
      <c r="AE275" s="61"/>
      <c r="AF275" s="61"/>
      <c r="AG275" s="61"/>
      <c r="AH275" s="61"/>
      <c r="AI275" s="61"/>
      <c r="AJ275" s="9"/>
      <c r="AK275" s="226"/>
      <c r="AL275" s="10"/>
      <c r="AM275" s="137"/>
      <c r="AN275" s="7"/>
      <c r="AO275" s="7"/>
      <c r="AP275" s="7"/>
      <c r="AQ275" s="7"/>
      <c r="AR275" s="7"/>
      <c r="AS275" s="7"/>
    </row>
    <row r="276" ht="9.0" customHeight="1">
      <c r="A276" s="1"/>
      <c r="B276" s="2"/>
      <c r="C276" s="2"/>
      <c r="D276" s="60"/>
      <c r="E276" s="60"/>
      <c r="F276" s="2"/>
      <c r="G276" s="60"/>
      <c r="H276" s="60"/>
      <c r="I276" s="61"/>
      <c r="J276" s="61"/>
      <c r="K276" s="61"/>
      <c r="L276" s="61"/>
      <c r="M276" s="61"/>
      <c r="N276" s="61"/>
      <c r="O276" s="61"/>
      <c r="P276" s="61"/>
      <c r="Q276" s="61"/>
      <c r="R276" s="61"/>
      <c r="S276" s="61"/>
      <c r="T276" s="61"/>
      <c r="U276" s="7"/>
      <c r="V276" s="226"/>
      <c r="W276" s="9"/>
      <c r="X276" s="61"/>
      <c r="Y276" s="61"/>
      <c r="Z276" s="61"/>
      <c r="AA276" s="61"/>
      <c r="AB276" s="61"/>
      <c r="AC276" s="61"/>
      <c r="AD276" s="61"/>
      <c r="AE276" s="61"/>
      <c r="AF276" s="61"/>
      <c r="AG276" s="61"/>
      <c r="AH276" s="61"/>
      <c r="AI276" s="61"/>
      <c r="AJ276" s="9"/>
      <c r="AK276" s="226"/>
      <c r="AL276" s="10"/>
      <c r="AM276" s="137"/>
      <c r="AN276" s="7"/>
      <c r="AO276" s="7"/>
      <c r="AP276" s="7"/>
      <c r="AQ276" s="7"/>
      <c r="AR276" s="7"/>
      <c r="AS276" s="7"/>
    </row>
    <row r="277" ht="9.0" customHeight="1">
      <c r="A277" s="1"/>
      <c r="B277" s="2"/>
      <c r="C277" s="2"/>
      <c r="D277" s="60"/>
      <c r="E277" s="60"/>
      <c r="F277" s="2"/>
      <c r="G277" s="60"/>
      <c r="H277" s="60"/>
      <c r="I277" s="61"/>
      <c r="J277" s="61"/>
      <c r="K277" s="61"/>
      <c r="L277" s="61"/>
      <c r="M277" s="61"/>
      <c r="N277" s="61"/>
      <c r="O277" s="61"/>
      <c r="P277" s="61"/>
      <c r="Q277" s="61"/>
      <c r="R277" s="61"/>
      <c r="S277" s="61"/>
      <c r="T277" s="61"/>
      <c r="U277" s="7"/>
      <c r="V277" s="226"/>
      <c r="W277" s="9"/>
      <c r="X277" s="61"/>
      <c r="Y277" s="61"/>
      <c r="Z277" s="61"/>
      <c r="AA277" s="61"/>
      <c r="AB277" s="61"/>
      <c r="AC277" s="61"/>
      <c r="AD277" s="61"/>
      <c r="AE277" s="61"/>
      <c r="AF277" s="61"/>
      <c r="AG277" s="61"/>
      <c r="AH277" s="61"/>
      <c r="AI277" s="61"/>
      <c r="AJ277" s="9"/>
      <c r="AK277" s="226"/>
      <c r="AL277" s="10"/>
      <c r="AM277" s="137"/>
      <c r="AN277" s="7"/>
      <c r="AO277" s="7"/>
      <c r="AP277" s="7"/>
      <c r="AQ277" s="7"/>
      <c r="AR277" s="7"/>
      <c r="AS277" s="7"/>
    </row>
    <row r="278" ht="9.0" customHeight="1">
      <c r="A278" s="1"/>
      <c r="B278" s="2"/>
      <c r="C278" s="2"/>
      <c r="D278" s="60"/>
      <c r="E278" s="60"/>
      <c r="F278" s="2"/>
      <c r="G278" s="60"/>
      <c r="H278" s="60"/>
      <c r="I278" s="61"/>
      <c r="J278" s="61"/>
      <c r="K278" s="61"/>
      <c r="L278" s="61"/>
      <c r="M278" s="61"/>
      <c r="N278" s="61"/>
      <c r="O278" s="61"/>
      <c r="P278" s="61"/>
      <c r="Q278" s="61"/>
      <c r="R278" s="61"/>
      <c r="S278" s="61"/>
      <c r="T278" s="61"/>
      <c r="U278" s="7"/>
      <c r="V278" s="226"/>
      <c r="W278" s="9"/>
      <c r="X278" s="61"/>
      <c r="Y278" s="61"/>
      <c r="Z278" s="61"/>
      <c r="AA278" s="61"/>
      <c r="AB278" s="61"/>
      <c r="AC278" s="61"/>
      <c r="AD278" s="61"/>
      <c r="AE278" s="61"/>
      <c r="AF278" s="61"/>
      <c r="AG278" s="61"/>
      <c r="AH278" s="61"/>
      <c r="AI278" s="61"/>
      <c r="AJ278" s="9"/>
      <c r="AK278" s="226"/>
      <c r="AL278" s="10"/>
      <c r="AM278" s="137"/>
      <c r="AN278" s="7"/>
      <c r="AO278" s="7"/>
      <c r="AP278" s="7"/>
      <c r="AQ278" s="7"/>
      <c r="AR278" s="7"/>
      <c r="AS278" s="7"/>
    </row>
    <row r="279" ht="9.0" customHeight="1">
      <c r="A279" s="1"/>
      <c r="B279" s="2"/>
      <c r="C279" s="2"/>
      <c r="D279" s="60"/>
      <c r="E279" s="60"/>
      <c r="F279" s="2"/>
      <c r="G279" s="60"/>
      <c r="H279" s="60"/>
      <c r="I279" s="61"/>
      <c r="J279" s="61"/>
      <c r="K279" s="61"/>
      <c r="L279" s="61"/>
      <c r="M279" s="61"/>
      <c r="N279" s="61"/>
      <c r="O279" s="61"/>
      <c r="P279" s="61"/>
      <c r="Q279" s="61"/>
      <c r="R279" s="61"/>
      <c r="S279" s="61"/>
      <c r="T279" s="61"/>
      <c r="U279" s="7"/>
      <c r="V279" s="226"/>
      <c r="W279" s="9"/>
      <c r="X279" s="61"/>
      <c r="Y279" s="61"/>
      <c r="Z279" s="61"/>
      <c r="AA279" s="61"/>
      <c r="AB279" s="61"/>
      <c r="AC279" s="61"/>
      <c r="AD279" s="61"/>
      <c r="AE279" s="61"/>
      <c r="AF279" s="61"/>
      <c r="AG279" s="61"/>
      <c r="AH279" s="61"/>
      <c r="AI279" s="61"/>
      <c r="AJ279" s="9"/>
      <c r="AK279" s="226"/>
      <c r="AL279" s="10"/>
      <c r="AM279" s="137"/>
      <c r="AN279" s="7"/>
      <c r="AO279" s="7"/>
      <c r="AP279" s="7"/>
      <c r="AQ279" s="7"/>
      <c r="AR279" s="7"/>
      <c r="AS279" s="7"/>
    </row>
    <row r="280" ht="9.0" customHeight="1">
      <c r="A280" s="1"/>
      <c r="B280" s="2"/>
      <c r="C280" s="2"/>
      <c r="D280" s="60"/>
      <c r="E280" s="60"/>
      <c r="F280" s="2"/>
      <c r="G280" s="60"/>
      <c r="H280" s="60"/>
      <c r="I280" s="61"/>
      <c r="J280" s="61"/>
      <c r="K280" s="61"/>
      <c r="L280" s="61"/>
      <c r="M280" s="61"/>
      <c r="N280" s="61"/>
      <c r="O280" s="61"/>
      <c r="P280" s="61"/>
      <c r="Q280" s="61"/>
      <c r="R280" s="61"/>
      <c r="S280" s="61"/>
      <c r="T280" s="61"/>
      <c r="U280" s="7"/>
      <c r="V280" s="226"/>
      <c r="W280" s="9"/>
      <c r="X280" s="61"/>
      <c r="Y280" s="61"/>
      <c r="Z280" s="61"/>
      <c r="AA280" s="61"/>
      <c r="AB280" s="61"/>
      <c r="AC280" s="61"/>
      <c r="AD280" s="61"/>
      <c r="AE280" s="61"/>
      <c r="AF280" s="61"/>
      <c r="AG280" s="61"/>
      <c r="AH280" s="61"/>
      <c r="AI280" s="61"/>
      <c r="AJ280" s="9"/>
      <c r="AK280" s="226"/>
      <c r="AL280" s="10"/>
      <c r="AM280" s="137"/>
      <c r="AN280" s="7"/>
      <c r="AO280" s="7"/>
      <c r="AP280" s="7"/>
      <c r="AQ280" s="7"/>
      <c r="AR280" s="7"/>
      <c r="AS280" s="7"/>
    </row>
    <row r="281" ht="9.0" customHeight="1">
      <c r="A281" s="1"/>
      <c r="B281" s="2"/>
      <c r="C281" s="2"/>
      <c r="D281" s="60"/>
      <c r="E281" s="60"/>
      <c r="F281" s="2"/>
      <c r="G281" s="60"/>
      <c r="H281" s="60"/>
      <c r="I281" s="61"/>
      <c r="J281" s="61"/>
      <c r="K281" s="61"/>
      <c r="L281" s="61"/>
      <c r="M281" s="61"/>
      <c r="N281" s="61"/>
      <c r="O281" s="61"/>
      <c r="P281" s="61"/>
      <c r="Q281" s="61"/>
      <c r="R281" s="61"/>
      <c r="S281" s="61"/>
      <c r="T281" s="61"/>
      <c r="U281" s="7"/>
      <c r="V281" s="226"/>
      <c r="W281" s="9"/>
      <c r="X281" s="61"/>
      <c r="Y281" s="61"/>
      <c r="Z281" s="61"/>
      <c r="AA281" s="61"/>
      <c r="AB281" s="61"/>
      <c r="AC281" s="61"/>
      <c r="AD281" s="61"/>
      <c r="AE281" s="61"/>
      <c r="AF281" s="61"/>
      <c r="AG281" s="61"/>
      <c r="AH281" s="61"/>
      <c r="AI281" s="61"/>
      <c r="AJ281" s="9"/>
      <c r="AK281" s="226"/>
      <c r="AL281" s="10"/>
      <c r="AM281" s="137"/>
      <c r="AN281" s="7"/>
      <c r="AO281" s="7"/>
      <c r="AP281" s="7"/>
      <c r="AQ281" s="7"/>
      <c r="AR281" s="7"/>
      <c r="AS281" s="7"/>
    </row>
    <row r="282" ht="9.0" customHeight="1">
      <c r="A282" s="1"/>
      <c r="B282" s="2"/>
      <c r="C282" s="2"/>
      <c r="D282" s="60"/>
      <c r="E282" s="60"/>
      <c r="F282" s="2"/>
      <c r="G282" s="60"/>
      <c r="H282" s="60"/>
      <c r="I282" s="61"/>
      <c r="J282" s="61"/>
      <c r="K282" s="61"/>
      <c r="L282" s="61"/>
      <c r="M282" s="61"/>
      <c r="N282" s="61"/>
      <c r="O282" s="61"/>
      <c r="P282" s="61"/>
      <c r="Q282" s="61"/>
      <c r="R282" s="61"/>
      <c r="S282" s="61"/>
      <c r="T282" s="61"/>
      <c r="U282" s="7"/>
      <c r="V282" s="226"/>
      <c r="W282" s="9"/>
      <c r="X282" s="61"/>
      <c r="Y282" s="61"/>
      <c r="Z282" s="61"/>
      <c r="AA282" s="61"/>
      <c r="AB282" s="61"/>
      <c r="AC282" s="61"/>
      <c r="AD282" s="61"/>
      <c r="AE282" s="61"/>
      <c r="AF282" s="61"/>
      <c r="AG282" s="61"/>
      <c r="AH282" s="61"/>
      <c r="AI282" s="61"/>
      <c r="AJ282" s="9"/>
      <c r="AK282" s="226"/>
      <c r="AL282" s="10"/>
      <c r="AM282" s="137"/>
      <c r="AN282" s="7"/>
      <c r="AO282" s="7"/>
      <c r="AP282" s="7"/>
      <c r="AQ282" s="7"/>
      <c r="AR282" s="7"/>
      <c r="AS282" s="7"/>
    </row>
    <row r="283" ht="9.0" customHeight="1">
      <c r="A283" s="1"/>
      <c r="B283" s="2"/>
      <c r="C283" s="2"/>
      <c r="D283" s="60"/>
      <c r="E283" s="60"/>
      <c r="F283" s="2"/>
      <c r="G283" s="60"/>
      <c r="H283" s="60"/>
      <c r="I283" s="61"/>
      <c r="J283" s="61"/>
      <c r="K283" s="61"/>
      <c r="L283" s="61"/>
      <c r="M283" s="61"/>
      <c r="N283" s="61"/>
      <c r="O283" s="61"/>
      <c r="P283" s="61"/>
      <c r="Q283" s="61"/>
      <c r="R283" s="61"/>
      <c r="S283" s="61"/>
      <c r="T283" s="61"/>
      <c r="U283" s="7"/>
      <c r="V283" s="226"/>
      <c r="W283" s="9"/>
      <c r="X283" s="61"/>
      <c r="Y283" s="61"/>
      <c r="Z283" s="61"/>
      <c r="AA283" s="61"/>
      <c r="AB283" s="61"/>
      <c r="AC283" s="61"/>
      <c r="AD283" s="61"/>
      <c r="AE283" s="61"/>
      <c r="AF283" s="61"/>
      <c r="AG283" s="61"/>
      <c r="AH283" s="61"/>
      <c r="AI283" s="61"/>
      <c r="AJ283" s="9"/>
      <c r="AK283" s="226"/>
      <c r="AL283" s="10"/>
      <c r="AM283" s="137"/>
      <c r="AN283" s="7"/>
      <c r="AO283" s="7"/>
      <c r="AP283" s="7"/>
      <c r="AQ283" s="7"/>
      <c r="AR283" s="7"/>
      <c r="AS283" s="7"/>
    </row>
    <row r="284" ht="9.0" customHeight="1">
      <c r="A284" s="1"/>
      <c r="B284" s="2"/>
      <c r="C284" s="2"/>
      <c r="D284" s="60"/>
      <c r="E284" s="60"/>
      <c r="F284" s="2"/>
      <c r="G284" s="60"/>
      <c r="H284" s="60"/>
      <c r="I284" s="61"/>
      <c r="J284" s="61"/>
      <c r="K284" s="61"/>
      <c r="L284" s="61"/>
      <c r="M284" s="61"/>
      <c r="N284" s="61"/>
      <c r="O284" s="61"/>
      <c r="P284" s="61"/>
      <c r="Q284" s="61"/>
      <c r="R284" s="61"/>
      <c r="S284" s="61"/>
      <c r="T284" s="61"/>
      <c r="U284" s="7"/>
      <c r="V284" s="226"/>
      <c r="W284" s="9"/>
      <c r="X284" s="61"/>
      <c r="Y284" s="61"/>
      <c r="Z284" s="61"/>
      <c r="AA284" s="61"/>
      <c r="AB284" s="61"/>
      <c r="AC284" s="61"/>
      <c r="AD284" s="61"/>
      <c r="AE284" s="61"/>
      <c r="AF284" s="61"/>
      <c r="AG284" s="61"/>
      <c r="AH284" s="61"/>
      <c r="AI284" s="61"/>
      <c r="AJ284" s="9"/>
      <c r="AK284" s="226"/>
      <c r="AL284" s="10"/>
      <c r="AM284" s="137"/>
      <c r="AN284" s="7"/>
      <c r="AO284" s="7"/>
      <c r="AP284" s="7"/>
      <c r="AQ284" s="7"/>
      <c r="AR284" s="7"/>
      <c r="AS284" s="7"/>
    </row>
    <row r="285" ht="9.0" customHeight="1">
      <c r="A285" s="1"/>
      <c r="B285" s="2"/>
      <c r="C285" s="2"/>
      <c r="D285" s="60"/>
      <c r="E285" s="60"/>
      <c r="F285" s="2"/>
      <c r="G285" s="60"/>
      <c r="H285" s="60"/>
      <c r="I285" s="61"/>
      <c r="J285" s="61"/>
      <c r="K285" s="61"/>
      <c r="L285" s="61"/>
      <c r="M285" s="61"/>
      <c r="N285" s="61"/>
      <c r="O285" s="61"/>
      <c r="P285" s="61"/>
      <c r="Q285" s="61"/>
      <c r="R285" s="61"/>
      <c r="S285" s="61"/>
      <c r="T285" s="61"/>
      <c r="U285" s="7"/>
      <c r="V285" s="226"/>
      <c r="W285" s="9"/>
      <c r="X285" s="61"/>
      <c r="Y285" s="61"/>
      <c r="Z285" s="61"/>
      <c r="AA285" s="61"/>
      <c r="AB285" s="61"/>
      <c r="AC285" s="61"/>
      <c r="AD285" s="61"/>
      <c r="AE285" s="61"/>
      <c r="AF285" s="61"/>
      <c r="AG285" s="61"/>
      <c r="AH285" s="61"/>
      <c r="AI285" s="61"/>
      <c r="AJ285" s="9"/>
      <c r="AK285" s="226"/>
      <c r="AL285" s="10"/>
      <c r="AM285" s="137"/>
      <c r="AN285" s="7"/>
      <c r="AO285" s="7"/>
      <c r="AP285" s="7"/>
      <c r="AQ285" s="7"/>
      <c r="AR285" s="7"/>
      <c r="AS285" s="7"/>
    </row>
    <row r="286" ht="9.0" customHeight="1">
      <c r="A286" s="1"/>
      <c r="B286" s="2"/>
      <c r="C286" s="2"/>
      <c r="D286" s="60"/>
      <c r="E286" s="60"/>
      <c r="F286" s="2"/>
      <c r="G286" s="60"/>
      <c r="H286" s="60"/>
      <c r="I286" s="61"/>
      <c r="J286" s="61"/>
      <c r="K286" s="61"/>
      <c r="L286" s="61"/>
      <c r="M286" s="61"/>
      <c r="N286" s="61"/>
      <c r="O286" s="61"/>
      <c r="P286" s="61"/>
      <c r="Q286" s="61"/>
      <c r="R286" s="61"/>
      <c r="S286" s="61"/>
      <c r="T286" s="61"/>
      <c r="U286" s="7"/>
      <c r="V286" s="226"/>
      <c r="W286" s="9"/>
      <c r="X286" s="61"/>
      <c r="Y286" s="61"/>
      <c r="Z286" s="61"/>
      <c r="AA286" s="61"/>
      <c r="AB286" s="61"/>
      <c r="AC286" s="61"/>
      <c r="AD286" s="61"/>
      <c r="AE286" s="61"/>
      <c r="AF286" s="61"/>
      <c r="AG286" s="61"/>
      <c r="AH286" s="61"/>
      <c r="AI286" s="61"/>
      <c r="AJ286" s="9"/>
      <c r="AK286" s="226"/>
      <c r="AL286" s="10"/>
      <c r="AM286" s="137"/>
      <c r="AN286" s="7"/>
      <c r="AO286" s="7"/>
      <c r="AP286" s="7"/>
      <c r="AQ286" s="7"/>
      <c r="AR286" s="7"/>
      <c r="AS286" s="7"/>
    </row>
    <row r="287" ht="9.0" customHeight="1">
      <c r="A287" s="1"/>
      <c r="B287" s="2"/>
      <c r="C287" s="2"/>
      <c r="D287" s="60"/>
      <c r="E287" s="60"/>
      <c r="F287" s="2"/>
      <c r="G287" s="60"/>
      <c r="H287" s="60"/>
      <c r="I287" s="61"/>
      <c r="J287" s="61"/>
      <c r="K287" s="61"/>
      <c r="L287" s="61"/>
      <c r="M287" s="61"/>
      <c r="N287" s="61"/>
      <c r="O287" s="61"/>
      <c r="P287" s="61"/>
      <c r="Q287" s="61"/>
      <c r="R287" s="61"/>
      <c r="S287" s="61"/>
      <c r="T287" s="61"/>
      <c r="U287" s="7"/>
      <c r="V287" s="226"/>
      <c r="W287" s="9"/>
      <c r="X287" s="61"/>
      <c r="Y287" s="61"/>
      <c r="Z287" s="61"/>
      <c r="AA287" s="61"/>
      <c r="AB287" s="61"/>
      <c r="AC287" s="61"/>
      <c r="AD287" s="61"/>
      <c r="AE287" s="61"/>
      <c r="AF287" s="61"/>
      <c r="AG287" s="61"/>
      <c r="AH287" s="61"/>
      <c r="AI287" s="61"/>
      <c r="AJ287" s="9"/>
      <c r="AK287" s="226"/>
      <c r="AL287" s="10"/>
      <c r="AM287" s="137"/>
      <c r="AN287" s="7"/>
      <c r="AO287" s="7"/>
      <c r="AP287" s="7"/>
      <c r="AQ287" s="7"/>
      <c r="AR287" s="7"/>
      <c r="AS287" s="7"/>
    </row>
    <row r="288" ht="9.0" customHeight="1">
      <c r="A288" s="1"/>
      <c r="B288" s="2"/>
      <c r="C288" s="2"/>
      <c r="D288" s="60"/>
      <c r="E288" s="60"/>
      <c r="F288" s="2"/>
      <c r="G288" s="60"/>
      <c r="H288" s="60"/>
      <c r="I288" s="61"/>
      <c r="J288" s="61"/>
      <c r="K288" s="61"/>
      <c r="L288" s="61"/>
      <c r="M288" s="61"/>
      <c r="N288" s="61"/>
      <c r="O288" s="61"/>
      <c r="P288" s="61"/>
      <c r="Q288" s="61"/>
      <c r="R288" s="61"/>
      <c r="S288" s="61"/>
      <c r="T288" s="61"/>
      <c r="U288" s="7"/>
      <c r="V288" s="226"/>
      <c r="W288" s="9"/>
      <c r="X288" s="61"/>
      <c r="Y288" s="61"/>
      <c r="Z288" s="61"/>
      <c r="AA288" s="61"/>
      <c r="AB288" s="61"/>
      <c r="AC288" s="61"/>
      <c r="AD288" s="61"/>
      <c r="AE288" s="61"/>
      <c r="AF288" s="61"/>
      <c r="AG288" s="61"/>
      <c r="AH288" s="61"/>
      <c r="AI288" s="61"/>
      <c r="AJ288" s="9"/>
      <c r="AK288" s="226"/>
      <c r="AL288" s="10"/>
      <c r="AM288" s="137"/>
      <c r="AN288" s="7"/>
      <c r="AO288" s="7"/>
      <c r="AP288" s="7"/>
      <c r="AQ288" s="7"/>
      <c r="AR288" s="7"/>
      <c r="AS288" s="7"/>
    </row>
    <row r="289" ht="9.0" customHeight="1">
      <c r="A289" s="1"/>
      <c r="B289" s="2"/>
      <c r="C289" s="2"/>
      <c r="D289" s="60"/>
      <c r="E289" s="60"/>
      <c r="F289" s="2"/>
      <c r="G289" s="60"/>
      <c r="H289" s="60"/>
      <c r="I289" s="61"/>
      <c r="J289" s="61"/>
      <c r="K289" s="61"/>
      <c r="L289" s="61"/>
      <c r="M289" s="61"/>
      <c r="N289" s="61"/>
      <c r="O289" s="61"/>
      <c r="P289" s="61"/>
      <c r="Q289" s="61"/>
      <c r="R289" s="61"/>
      <c r="S289" s="61"/>
      <c r="T289" s="61"/>
      <c r="U289" s="7"/>
      <c r="V289" s="226"/>
      <c r="W289" s="9"/>
      <c r="X289" s="61"/>
      <c r="Y289" s="61"/>
      <c r="Z289" s="61"/>
      <c r="AA289" s="61"/>
      <c r="AB289" s="61"/>
      <c r="AC289" s="61"/>
      <c r="AD289" s="61"/>
      <c r="AE289" s="61"/>
      <c r="AF289" s="61"/>
      <c r="AG289" s="61"/>
      <c r="AH289" s="61"/>
      <c r="AI289" s="61"/>
      <c r="AJ289" s="9"/>
      <c r="AK289" s="226"/>
      <c r="AL289" s="10"/>
      <c r="AM289" s="137"/>
      <c r="AN289" s="7"/>
      <c r="AO289" s="7"/>
      <c r="AP289" s="7"/>
      <c r="AQ289" s="7"/>
      <c r="AR289" s="7"/>
      <c r="AS289" s="7"/>
    </row>
    <row r="290" ht="9.0" customHeight="1">
      <c r="A290" s="1"/>
      <c r="B290" s="2"/>
      <c r="C290" s="2"/>
      <c r="D290" s="60"/>
      <c r="E290" s="60"/>
      <c r="F290" s="2"/>
      <c r="G290" s="60"/>
      <c r="H290" s="60"/>
      <c r="I290" s="61"/>
      <c r="J290" s="61"/>
      <c r="K290" s="61"/>
      <c r="L290" s="61"/>
      <c r="M290" s="61"/>
      <c r="N290" s="61"/>
      <c r="O290" s="61"/>
      <c r="P290" s="61"/>
      <c r="Q290" s="61"/>
      <c r="R290" s="61"/>
      <c r="S290" s="61"/>
      <c r="T290" s="61"/>
      <c r="U290" s="7"/>
      <c r="V290" s="226"/>
      <c r="W290" s="9"/>
      <c r="X290" s="61"/>
      <c r="Y290" s="61"/>
      <c r="Z290" s="61"/>
      <c r="AA290" s="61"/>
      <c r="AB290" s="61"/>
      <c r="AC290" s="61"/>
      <c r="AD290" s="61"/>
      <c r="AE290" s="61"/>
      <c r="AF290" s="61"/>
      <c r="AG290" s="61"/>
      <c r="AH290" s="61"/>
      <c r="AI290" s="61"/>
      <c r="AJ290" s="9"/>
      <c r="AK290" s="226"/>
      <c r="AL290" s="10"/>
      <c r="AM290" s="137"/>
      <c r="AN290" s="7"/>
      <c r="AO290" s="7"/>
      <c r="AP290" s="7"/>
      <c r="AQ290" s="7"/>
      <c r="AR290" s="7"/>
      <c r="AS290" s="7"/>
    </row>
    <row r="291" ht="9.0" customHeight="1">
      <c r="A291" s="1"/>
      <c r="B291" s="2"/>
      <c r="C291" s="2"/>
      <c r="D291" s="60"/>
      <c r="E291" s="60"/>
      <c r="F291" s="2"/>
      <c r="G291" s="60"/>
      <c r="H291" s="60"/>
      <c r="I291" s="61"/>
      <c r="J291" s="61"/>
      <c r="K291" s="61"/>
      <c r="L291" s="61"/>
      <c r="M291" s="61"/>
      <c r="N291" s="61"/>
      <c r="O291" s="61"/>
      <c r="P291" s="61"/>
      <c r="Q291" s="61"/>
      <c r="R291" s="61"/>
      <c r="S291" s="61"/>
      <c r="T291" s="61"/>
      <c r="U291" s="7"/>
      <c r="V291" s="226"/>
      <c r="W291" s="9"/>
      <c r="X291" s="61"/>
      <c r="Y291" s="61"/>
      <c r="Z291" s="61"/>
      <c r="AA291" s="61"/>
      <c r="AB291" s="61"/>
      <c r="AC291" s="61"/>
      <c r="AD291" s="61"/>
      <c r="AE291" s="61"/>
      <c r="AF291" s="61"/>
      <c r="AG291" s="61"/>
      <c r="AH291" s="61"/>
      <c r="AI291" s="61"/>
      <c r="AJ291" s="9"/>
      <c r="AK291" s="226"/>
      <c r="AL291" s="10"/>
      <c r="AM291" s="137"/>
      <c r="AN291" s="7"/>
      <c r="AO291" s="7"/>
      <c r="AP291" s="7"/>
      <c r="AQ291" s="7"/>
      <c r="AR291" s="7"/>
      <c r="AS291" s="7"/>
    </row>
    <row r="292" ht="9.0" customHeight="1">
      <c r="A292" s="1"/>
      <c r="B292" s="2"/>
      <c r="C292" s="2"/>
      <c r="D292" s="60"/>
      <c r="E292" s="60"/>
      <c r="F292" s="2"/>
      <c r="G292" s="60"/>
      <c r="H292" s="60"/>
      <c r="I292" s="61"/>
      <c r="J292" s="61"/>
      <c r="K292" s="61"/>
      <c r="L292" s="61"/>
      <c r="M292" s="61"/>
      <c r="N292" s="61"/>
      <c r="O292" s="61"/>
      <c r="P292" s="61"/>
      <c r="Q292" s="61"/>
      <c r="R292" s="61"/>
      <c r="S292" s="61"/>
      <c r="T292" s="61"/>
      <c r="U292" s="7"/>
      <c r="V292" s="226"/>
      <c r="W292" s="9"/>
      <c r="X292" s="61"/>
      <c r="Y292" s="61"/>
      <c r="Z292" s="61"/>
      <c r="AA292" s="61"/>
      <c r="AB292" s="61"/>
      <c r="AC292" s="61"/>
      <c r="AD292" s="61"/>
      <c r="AE292" s="61"/>
      <c r="AF292" s="61"/>
      <c r="AG292" s="61"/>
      <c r="AH292" s="61"/>
      <c r="AI292" s="61"/>
      <c r="AJ292" s="9"/>
      <c r="AK292" s="226"/>
      <c r="AL292" s="10"/>
      <c r="AM292" s="137"/>
      <c r="AN292" s="7"/>
      <c r="AO292" s="7"/>
      <c r="AP292" s="7"/>
      <c r="AQ292" s="7"/>
      <c r="AR292" s="7"/>
      <c r="AS292" s="7"/>
    </row>
    <row r="293" ht="9.0" customHeight="1">
      <c r="A293" s="1"/>
      <c r="B293" s="2"/>
      <c r="C293" s="2"/>
      <c r="D293" s="60"/>
      <c r="E293" s="60"/>
      <c r="F293" s="2"/>
      <c r="G293" s="60"/>
      <c r="H293" s="60"/>
      <c r="I293" s="61"/>
      <c r="J293" s="61"/>
      <c r="K293" s="61"/>
      <c r="L293" s="61"/>
      <c r="M293" s="61"/>
      <c r="N293" s="61"/>
      <c r="O293" s="61"/>
      <c r="P293" s="61"/>
      <c r="Q293" s="61"/>
      <c r="R293" s="61"/>
      <c r="S293" s="61"/>
      <c r="T293" s="61"/>
      <c r="U293" s="7"/>
      <c r="V293" s="226"/>
      <c r="W293" s="9"/>
      <c r="X293" s="61"/>
      <c r="Y293" s="61"/>
      <c r="Z293" s="61"/>
      <c r="AA293" s="61"/>
      <c r="AB293" s="61"/>
      <c r="AC293" s="61"/>
      <c r="AD293" s="61"/>
      <c r="AE293" s="61"/>
      <c r="AF293" s="61"/>
      <c r="AG293" s="61"/>
      <c r="AH293" s="61"/>
      <c r="AI293" s="61"/>
      <c r="AJ293" s="9"/>
      <c r="AK293" s="226"/>
      <c r="AL293" s="10"/>
      <c r="AM293" s="137"/>
      <c r="AN293" s="7"/>
      <c r="AO293" s="7"/>
      <c r="AP293" s="7"/>
      <c r="AQ293" s="7"/>
      <c r="AR293" s="7"/>
      <c r="AS293" s="7"/>
    </row>
    <row r="294" ht="9.0" customHeight="1">
      <c r="A294" s="1"/>
      <c r="B294" s="2"/>
      <c r="C294" s="2"/>
      <c r="D294" s="60"/>
      <c r="E294" s="60"/>
      <c r="F294" s="2"/>
      <c r="G294" s="60"/>
      <c r="H294" s="60"/>
      <c r="I294" s="61"/>
      <c r="J294" s="61"/>
      <c r="K294" s="61"/>
      <c r="L294" s="61"/>
      <c r="M294" s="61"/>
      <c r="N294" s="61"/>
      <c r="O294" s="61"/>
      <c r="P294" s="61"/>
      <c r="Q294" s="61"/>
      <c r="R294" s="61"/>
      <c r="S294" s="61"/>
      <c r="T294" s="61"/>
      <c r="U294" s="7"/>
      <c r="V294" s="226"/>
      <c r="W294" s="9"/>
      <c r="X294" s="61"/>
      <c r="Y294" s="61"/>
      <c r="Z294" s="61"/>
      <c r="AA294" s="61"/>
      <c r="AB294" s="61"/>
      <c r="AC294" s="61"/>
      <c r="AD294" s="61"/>
      <c r="AE294" s="61"/>
      <c r="AF294" s="61"/>
      <c r="AG294" s="61"/>
      <c r="AH294" s="61"/>
      <c r="AI294" s="61"/>
      <c r="AJ294" s="9"/>
      <c r="AK294" s="226"/>
      <c r="AL294" s="10"/>
      <c r="AM294" s="137"/>
      <c r="AN294" s="7"/>
      <c r="AO294" s="7"/>
      <c r="AP294" s="7"/>
      <c r="AQ294" s="7"/>
      <c r="AR294" s="7"/>
      <c r="AS294" s="7"/>
    </row>
    <row r="295" ht="9.0" customHeight="1">
      <c r="A295" s="1"/>
      <c r="B295" s="2"/>
      <c r="C295" s="2"/>
      <c r="D295" s="60"/>
      <c r="E295" s="60"/>
      <c r="F295" s="2"/>
      <c r="G295" s="60"/>
      <c r="H295" s="60"/>
      <c r="I295" s="61"/>
      <c r="J295" s="61"/>
      <c r="K295" s="61"/>
      <c r="L295" s="61"/>
      <c r="M295" s="61"/>
      <c r="N295" s="61"/>
      <c r="O295" s="61"/>
      <c r="P295" s="61"/>
      <c r="Q295" s="61"/>
      <c r="R295" s="61"/>
      <c r="S295" s="61"/>
      <c r="T295" s="61"/>
      <c r="U295" s="7"/>
      <c r="V295" s="226"/>
      <c r="W295" s="9"/>
      <c r="X295" s="61"/>
      <c r="Y295" s="61"/>
      <c r="Z295" s="61"/>
      <c r="AA295" s="61"/>
      <c r="AB295" s="61"/>
      <c r="AC295" s="61"/>
      <c r="AD295" s="61"/>
      <c r="AE295" s="61"/>
      <c r="AF295" s="61"/>
      <c r="AG295" s="61"/>
      <c r="AH295" s="61"/>
      <c r="AI295" s="61"/>
      <c r="AJ295" s="9"/>
      <c r="AK295" s="226"/>
      <c r="AL295" s="10"/>
      <c r="AM295" s="137"/>
      <c r="AN295" s="7"/>
      <c r="AO295" s="7"/>
      <c r="AP295" s="7"/>
      <c r="AQ295" s="7"/>
      <c r="AR295" s="7"/>
      <c r="AS295" s="7"/>
    </row>
    <row r="296" ht="9.0" customHeight="1">
      <c r="A296" s="1"/>
      <c r="B296" s="2"/>
      <c r="C296" s="2"/>
      <c r="D296" s="60"/>
      <c r="E296" s="60"/>
      <c r="F296" s="2"/>
      <c r="G296" s="60"/>
      <c r="H296" s="60"/>
      <c r="I296" s="61"/>
      <c r="J296" s="61"/>
      <c r="K296" s="61"/>
      <c r="L296" s="61"/>
      <c r="M296" s="61"/>
      <c r="N296" s="61"/>
      <c r="O296" s="61"/>
      <c r="P296" s="61"/>
      <c r="Q296" s="61"/>
      <c r="R296" s="61"/>
      <c r="S296" s="61"/>
      <c r="T296" s="61"/>
      <c r="U296" s="7"/>
      <c r="V296" s="226"/>
      <c r="W296" s="9"/>
      <c r="X296" s="61"/>
      <c r="Y296" s="61"/>
      <c r="Z296" s="61"/>
      <c r="AA296" s="61"/>
      <c r="AB296" s="61"/>
      <c r="AC296" s="61"/>
      <c r="AD296" s="61"/>
      <c r="AE296" s="61"/>
      <c r="AF296" s="61"/>
      <c r="AG296" s="61"/>
      <c r="AH296" s="61"/>
      <c r="AI296" s="61"/>
      <c r="AJ296" s="9"/>
      <c r="AK296" s="226"/>
      <c r="AL296" s="10"/>
      <c r="AM296" s="137"/>
      <c r="AN296" s="7"/>
      <c r="AO296" s="7"/>
      <c r="AP296" s="7"/>
      <c r="AQ296" s="7"/>
      <c r="AR296" s="7"/>
      <c r="AS296" s="7"/>
    </row>
    <row r="297" ht="9.0" customHeight="1">
      <c r="A297" s="1"/>
      <c r="B297" s="2"/>
      <c r="C297" s="2"/>
      <c r="D297" s="60"/>
      <c r="E297" s="60"/>
      <c r="F297" s="2"/>
      <c r="G297" s="60"/>
      <c r="H297" s="60"/>
      <c r="I297" s="61"/>
      <c r="J297" s="61"/>
      <c r="K297" s="61"/>
      <c r="L297" s="61"/>
      <c r="M297" s="61"/>
      <c r="N297" s="61"/>
      <c r="O297" s="61"/>
      <c r="P297" s="61"/>
      <c r="Q297" s="61"/>
      <c r="R297" s="61"/>
      <c r="S297" s="61"/>
      <c r="T297" s="61"/>
      <c r="U297" s="7"/>
      <c r="V297" s="226"/>
      <c r="W297" s="9"/>
      <c r="X297" s="61"/>
      <c r="Y297" s="61"/>
      <c r="Z297" s="61"/>
      <c r="AA297" s="61"/>
      <c r="AB297" s="61"/>
      <c r="AC297" s="61"/>
      <c r="AD297" s="61"/>
      <c r="AE297" s="61"/>
      <c r="AF297" s="61"/>
      <c r="AG297" s="61"/>
      <c r="AH297" s="61"/>
      <c r="AI297" s="61"/>
      <c r="AJ297" s="9"/>
      <c r="AK297" s="226"/>
      <c r="AL297" s="10"/>
      <c r="AM297" s="137"/>
      <c r="AN297" s="7"/>
      <c r="AO297" s="7"/>
      <c r="AP297" s="7"/>
      <c r="AQ297" s="7"/>
      <c r="AR297" s="7"/>
      <c r="AS297" s="7"/>
    </row>
    <row r="298" ht="9.0" customHeight="1">
      <c r="A298" s="1"/>
      <c r="B298" s="2"/>
      <c r="C298" s="2"/>
      <c r="D298" s="60"/>
      <c r="E298" s="60"/>
      <c r="F298" s="2"/>
      <c r="G298" s="60"/>
      <c r="H298" s="60"/>
      <c r="I298" s="61"/>
      <c r="J298" s="61"/>
      <c r="K298" s="61"/>
      <c r="L298" s="61"/>
      <c r="M298" s="61"/>
      <c r="N298" s="61"/>
      <c r="O298" s="61"/>
      <c r="P298" s="61"/>
      <c r="Q298" s="61"/>
      <c r="R298" s="61"/>
      <c r="S298" s="61"/>
      <c r="T298" s="61"/>
      <c r="U298" s="7"/>
      <c r="V298" s="226"/>
      <c r="W298" s="9"/>
      <c r="X298" s="61"/>
      <c r="Y298" s="61"/>
      <c r="Z298" s="61"/>
      <c r="AA298" s="61"/>
      <c r="AB298" s="61"/>
      <c r="AC298" s="61"/>
      <c r="AD298" s="61"/>
      <c r="AE298" s="61"/>
      <c r="AF298" s="61"/>
      <c r="AG298" s="61"/>
      <c r="AH298" s="61"/>
      <c r="AI298" s="61"/>
      <c r="AJ298" s="9"/>
      <c r="AK298" s="226"/>
      <c r="AL298" s="10"/>
      <c r="AM298" s="137"/>
      <c r="AN298" s="7"/>
      <c r="AO298" s="7"/>
      <c r="AP298" s="7"/>
      <c r="AQ298" s="7"/>
      <c r="AR298" s="7"/>
      <c r="AS298" s="7"/>
    </row>
    <row r="299" ht="9.0" customHeight="1">
      <c r="A299" s="1"/>
      <c r="B299" s="2"/>
      <c r="C299" s="2"/>
      <c r="D299" s="60"/>
      <c r="E299" s="60"/>
      <c r="F299" s="2"/>
      <c r="G299" s="60"/>
      <c r="H299" s="60"/>
      <c r="I299" s="61"/>
      <c r="J299" s="61"/>
      <c r="K299" s="61"/>
      <c r="L299" s="61"/>
      <c r="M299" s="61"/>
      <c r="N299" s="61"/>
      <c r="O299" s="61"/>
      <c r="P299" s="61"/>
      <c r="Q299" s="61"/>
      <c r="R299" s="61"/>
      <c r="S299" s="61"/>
      <c r="T299" s="61"/>
      <c r="U299" s="7"/>
      <c r="V299" s="226"/>
      <c r="W299" s="9"/>
      <c r="X299" s="61"/>
      <c r="Y299" s="61"/>
      <c r="Z299" s="61"/>
      <c r="AA299" s="61"/>
      <c r="AB299" s="61"/>
      <c r="AC299" s="61"/>
      <c r="AD299" s="61"/>
      <c r="AE299" s="61"/>
      <c r="AF299" s="61"/>
      <c r="AG299" s="61"/>
      <c r="AH299" s="61"/>
      <c r="AI299" s="61"/>
      <c r="AJ299" s="9"/>
      <c r="AK299" s="226"/>
      <c r="AL299" s="10"/>
      <c r="AM299" s="137"/>
      <c r="AN299" s="7"/>
      <c r="AO299" s="7"/>
      <c r="AP299" s="7"/>
      <c r="AQ299" s="7"/>
      <c r="AR299" s="7"/>
      <c r="AS299" s="7"/>
    </row>
    <row r="300" ht="9.0" customHeight="1">
      <c r="A300" s="1"/>
      <c r="B300" s="2"/>
      <c r="C300" s="2"/>
      <c r="D300" s="60"/>
      <c r="E300" s="60"/>
      <c r="F300" s="2"/>
      <c r="G300" s="60"/>
      <c r="H300" s="60"/>
      <c r="I300" s="61"/>
      <c r="J300" s="61"/>
      <c r="K300" s="61"/>
      <c r="L300" s="61"/>
      <c r="M300" s="61"/>
      <c r="N300" s="61"/>
      <c r="O300" s="61"/>
      <c r="P300" s="61"/>
      <c r="Q300" s="61"/>
      <c r="R300" s="61"/>
      <c r="S300" s="61"/>
      <c r="T300" s="61"/>
      <c r="U300" s="7"/>
      <c r="V300" s="226"/>
      <c r="W300" s="9"/>
      <c r="X300" s="61"/>
      <c r="Y300" s="61"/>
      <c r="Z300" s="61"/>
      <c r="AA300" s="61"/>
      <c r="AB300" s="61"/>
      <c r="AC300" s="61"/>
      <c r="AD300" s="61"/>
      <c r="AE300" s="61"/>
      <c r="AF300" s="61"/>
      <c r="AG300" s="61"/>
      <c r="AH300" s="61"/>
      <c r="AI300" s="61"/>
      <c r="AJ300" s="9"/>
      <c r="AK300" s="226"/>
      <c r="AL300" s="10"/>
      <c r="AM300" s="137"/>
      <c r="AN300" s="7"/>
      <c r="AO300" s="7"/>
      <c r="AP300" s="7"/>
      <c r="AQ300" s="7"/>
      <c r="AR300" s="7"/>
      <c r="AS300" s="7"/>
    </row>
    <row r="301" ht="9.0" customHeight="1">
      <c r="A301" s="1"/>
      <c r="B301" s="2"/>
      <c r="C301" s="2"/>
      <c r="D301" s="60"/>
      <c r="E301" s="60"/>
      <c r="F301" s="2"/>
      <c r="G301" s="60"/>
      <c r="H301" s="60"/>
      <c r="I301" s="61"/>
      <c r="J301" s="61"/>
      <c r="K301" s="61"/>
      <c r="L301" s="61"/>
      <c r="M301" s="61"/>
      <c r="N301" s="61"/>
      <c r="O301" s="61"/>
      <c r="P301" s="61"/>
      <c r="Q301" s="61"/>
      <c r="R301" s="61"/>
      <c r="S301" s="61"/>
      <c r="T301" s="61"/>
      <c r="U301" s="7"/>
      <c r="V301" s="226"/>
      <c r="W301" s="9"/>
      <c r="X301" s="61"/>
      <c r="Y301" s="61"/>
      <c r="Z301" s="61"/>
      <c r="AA301" s="61"/>
      <c r="AB301" s="61"/>
      <c r="AC301" s="61"/>
      <c r="AD301" s="61"/>
      <c r="AE301" s="61"/>
      <c r="AF301" s="61"/>
      <c r="AG301" s="61"/>
      <c r="AH301" s="61"/>
      <c r="AI301" s="61"/>
      <c r="AJ301" s="9"/>
      <c r="AK301" s="226"/>
      <c r="AL301" s="10"/>
      <c r="AM301" s="137"/>
      <c r="AN301" s="7"/>
      <c r="AO301" s="7"/>
      <c r="AP301" s="7"/>
      <c r="AQ301" s="7"/>
      <c r="AR301" s="7"/>
      <c r="AS301" s="7"/>
    </row>
    <row r="302" ht="9.0" customHeight="1">
      <c r="A302" s="1"/>
      <c r="B302" s="2"/>
      <c r="C302" s="2"/>
      <c r="D302" s="60"/>
      <c r="E302" s="60"/>
      <c r="F302" s="2"/>
      <c r="G302" s="60"/>
      <c r="H302" s="60"/>
      <c r="I302" s="61"/>
      <c r="J302" s="61"/>
      <c r="K302" s="61"/>
      <c r="L302" s="61"/>
      <c r="M302" s="61"/>
      <c r="N302" s="61"/>
      <c r="O302" s="61"/>
      <c r="P302" s="61"/>
      <c r="Q302" s="61"/>
      <c r="R302" s="61"/>
      <c r="S302" s="61"/>
      <c r="T302" s="61"/>
      <c r="U302" s="7"/>
      <c r="V302" s="226"/>
      <c r="W302" s="9"/>
      <c r="X302" s="61"/>
      <c r="Y302" s="61"/>
      <c r="Z302" s="61"/>
      <c r="AA302" s="61"/>
      <c r="AB302" s="61"/>
      <c r="AC302" s="61"/>
      <c r="AD302" s="61"/>
      <c r="AE302" s="61"/>
      <c r="AF302" s="61"/>
      <c r="AG302" s="61"/>
      <c r="AH302" s="61"/>
      <c r="AI302" s="61"/>
      <c r="AJ302" s="9"/>
      <c r="AK302" s="226"/>
      <c r="AL302" s="10"/>
      <c r="AM302" s="137"/>
      <c r="AN302" s="7"/>
      <c r="AO302" s="7"/>
      <c r="AP302" s="7"/>
      <c r="AQ302" s="7"/>
      <c r="AR302" s="7"/>
      <c r="AS302" s="7"/>
    </row>
    <row r="303" ht="9.0" customHeight="1">
      <c r="A303" s="1"/>
      <c r="B303" s="2"/>
      <c r="C303" s="2"/>
      <c r="D303" s="60"/>
      <c r="E303" s="60"/>
      <c r="F303" s="2"/>
      <c r="G303" s="60"/>
      <c r="H303" s="60"/>
      <c r="I303" s="61"/>
      <c r="J303" s="61"/>
      <c r="K303" s="61"/>
      <c r="L303" s="61"/>
      <c r="M303" s="61"/>
      <c r="N303" s="61"/>
      <c r="O303" s="61"/>
      <c r="P303" s="61"/>
      <c r="Q303" s="61"/>
      <c r="R303" s="61"/>
      <c r="S303" s="61"/>
      <c r="T303" s="61"/>
      <c r="U303" s="7"/>
      <c r="V303" s="226"/>
      <c r="W303" s="9"/>
      <c r="X303" s="61"/>
      <c r="Y303" s="61"/>
      <c r="Z303" s="61"/>
      <c r="AA303" s="61"/>
      <c r="AB303" s="61"/>
      <c r="AC303" s="61"/>
      <c r="AD303" s="61"/>
      <c r="AE303" s="61"/>
      <c r="AF303" s="61"/>
      <c r="AG303" s="61"/>
      <c r="AH303" s="61"/>
      <c r="AI303" s="61"/>
      <c r="AJ303" s="9"/>
      <c r="AK303" s="226"/>
      <c r="AL303" s="10"/>
      <c r="AM303" s="137"/>
      <c r="AN303" s="7"/>
      <c r="AO303" s="7"/>
      <c r="AP303" s="7"/>
      <c r="AQ303" s="7"/>
      <c r="AR303" s="7"/>
      <c r="AS303" s="7"/>
    </row>
    <row r="304" ht="9.0" customHeight="1">
      <c r="A304" s="1"/>
      <c r="B304" s="2"/>
      <c r="C304" s="2"/>
      <c r="D304" s="60"/>
      <c r="E304" s="60"/>
      <c r="F304" s="2"/>
      <c r="G304" s="60"/>
      <c r="H304" s="60"/>
      <c r="I304" s="61"/>
      <c r="J304" s="61"/>
      <c r="K304" s="61"/>
      <c r="L304" s="61"/>
      <c r="M304" s="61"/>
      <c r="N304" s="61"/>
      <c r="O304" s="61"/>
      <c r="P304" s="61"/>
      <c r="Q304" s="61"/>
      <c r="R304" s="61"/>
      <c r="S304" s="61"/>
      <c r="T304" s="61"/>
      <c r="U304" s="7"/>
      <c r="V304" s="226"/>
      <c r="W304" s="9"/>
      <c r="X304" s="61"/>
      <c r="Y304" s="61"/>
      <c r="Z304" s="61"/>
      <c r="AA304" s="61"/>
      <c r="AB304" s="61"/>
      <c r="AC304" s="61"/>
      <c r="AD304" s="61"/>
      <c r="AE304" s="61"/>
      <c r="AF304" s="61"/>
      <c r="AG304" s="61"/>
      <c r="AH304" s="61"/>
      <c r="AI304" s="61"/>
      <c r="AJ304" s="9"/>
      <c r="AK304" s="226"/>
      <c r="AL304" s="10"/>
      <c r="AM304" s="137"/>
      <c r="AN304" s="7"/>
      <c r="AO304" s="7"/>
      <c r="AP304" s="7"/>
      <c r="AQ304" s="7"/>
      <c r="AR304" s="7"/>
      <c r="AS304" s="7"/>
    </row>
    <row r="305" ht="9.0" customHeight="1">
      <c r="A305" s="1"/>
      <c r="B305" s="2"/>
      <c r="C305" s="2"/>
      <c r="D305" s="60"/>
      <c r="E305" s="60"/>
      <c r="F305" s="2"/>
      <c r="G305" s="60"/>
      <c r="H305" s="60"/>
      <c r="I305" s="61"/>
      <c r="J305" s="61"/>
      <c r="K305" s="61"/>
      <c r="L305" s="61"/>
      <c r="M305" s="61"/>
      <c r="N305" s="61"/>
      <c r="O305" s="61"/>
      <c r="P305" s="61"/>
      <c r="Q305" s="61"/>
      <c r="R305" s="61"/>
      <c r="S305" s="61"/>
      <c r="T305" s="61"/>
      <c r="U305" s="7"/>
      <c r="V305" s="226"/>
      <c r="W305" s="9"/>
      <c r="X305" s="61"/>
      <c r="Y305" s="61"/>
      <c r="Z305" s="61"/>
      <c r="AA305" s="61"/>
      <c r="AB305" s="61"/>
      <c r="AC305" s="61"/>
      <c r="AD305" s="61"/>
      <c r="AE305" s="61"/>
      <c r="AF305" s="61"/>
      <c r="AG305" s="61"/>
      <c r="AH305" s="61"/>
      <c r="AI305" s="61"/>
      <c r="AJ305" s="9"/>
      <c r="AK305" s="226"/>
      <c r="AL305" s="10"/>
      <c r="AM305" s="137"/>
      <c r="AN305" s="7"/>
      <c r="AO305" s="7"/>
      <c r="AP305" s="7"/>
      <c r="AQ305" s="7"/>
      <c r="AR305" s="7"/>
      <c r="AS305" s="7"/>
    </row>
    <row r="306" ht="9.0" customHeight="1">
      <c r="A306" s="1"/>
      <c r="B306" s="2"/>
      <c r="C306" s="2"/>
      <c r="D306" s="60"/>
      <c r="E306" s="60"/>
      <c r="F306" s="2"/>
      <c r="G306" s="60"/>
      <c r="H306" s="60"/>
      <c r="I306" s="61"/>
      <c r="J306" s="61"/>
      <c r="K306" s="61"/>
      <c r="L306" s="61"/>
      <c r="M306" s="61"/>
      <c r="N306" s="61"/>
      <c r="O306" s="61"/>
      <c r="P306" s="61"/>
      <c r="Q306" s="61"/>
      <c r="R306" s="61"/>
      <c r="S306" s="61"/>
      <c r="T306" s="61"/>
      <c r="U306" s="7"/>
      <c r="V306" s="226"/>
      <c r="W306" s="9"/>
      <c r="X306" s="61"/>
      <c r="Y306" s="61"/>
      <c r="Z306" s="61"/>
      <c r="AA306" s="61"/>
      <c r="AB306" s="61"/>
      <c r="AC306" s="61"/>
      <c r="AD306" s="61"/>
      <c r="AE306" s="61"/>
      <c r="AF306" s="61"/>
      <c r="AG306" s="61"/>
      <c r="AH306" s="61"/>
      <c r="AI306" s="61"/>
      <c r="AJ306" s="9"/>
      <c r="AK306" s="226"/>
      <c r="AL306" s="10"/>
      <c r="AM306" s="137"/>
      <c r="AN306" s="7"/>
      <c r="AO306" s="7"/>
      <c r="AP306" s="7"/>
      <c r="AQ306" s="7"/>
      <c r="AR306" s="7"/>
      <c r="AS306" s="7"/>
    </row>
    <row r="307" ht="9.0" customHeight="1">
      <c r="A307" s="1"/>
      <c r="B307" s="2"/>
      <c r="C307" s="2"/>
      <c r="D307" s="60"/>
      <c r="E307" s="60"/>
      <c r="F307" s="2"/>
      <c r="G307" s="60"/>
      <c r="H307" s="60"/>
      <c r="I307" s="61"/>
      <c r="J307" s="61"/>
      <c r="K307" s="61"/>
      <c r="L307" s="61"/>
      <c r="M307" s="61"/>
      <c r="N307" s="61"/>
      <c r="O307" s="61"/>
      <c r="P307" s="61"/>
      <c r="Q307" s="61"/>
      <c r="R307" s="61"/>
      <c r="S307" s="61"/>
      <c r="T307" s="61"/>
      <c r="U307" s="7"/>
      <c r="V307" s="226"/>
      <c r="W307" s="9"/>
      <c r="X307" s="61"/>
      <c r="Y307" s="61"/>
      <c r="Z307" s="61"/>
      <c r="AA307" s="61"/>
      <c r="AB307" s="61"/>
      <c r="AC307" s="61"/>
      <c r="AD307" s="61"/>
      <c r="AE307" s="61"/>
      <c r="AF307" s="61"/>
      <c r="AG307" s="61"/>
      <c r="AH307" s="61"/>
      <c r="AI307" s="61"/>
      <c r="AJ307" s="9"/>
      <c r="AK307" s="226"/>
      <c r="AL307" s="10"/>
      <c r="AM307" s="137"/>
      <c r="AN307" s="7"/>
      <c r="AO307" s="7"/>
      <c r="AP307" s="7"/>
      <c r="AQ307" s="7"/>
      <c r="AR307" s="7"/>
      <c r="AS307" s="7"/>
    </row>
    <row r="308" ht="9.0" customHeight="1">
      <c r="A308" s="1"/>
      <c r="B308" s="2"/>
      <c r="C308" s="2"/>
      <c r="D308" s="60"/>
      <c r="E308" s="60"/>
      <c r="F308" s="2"/>
      <c r="G308" s="60"/>
      <c r="H308" s="60"/>
      <c r="I308" s="61"/>
      <c r="J308" s="61"/>
      <c r="K308" s="61"/>
      <c r="L308" s="61"/>
      <c r="M308" s="61"/>
      <c r="N308" s="61"/>
      <c r="O308" s="61"/>
      <c r="P308" s="61"/>
      <c r="Q308" s="61"/>
      <c r="R308" s="61"/>
      <c r="S308" s="61"/>
      <c r="T308" s="61"/>
      <c r="U308" s="7"/>
      <c r="V308" s="226"/>
      <c r="W308" s="9"/>
      <c r="X308" s="61"/>
      <c r="Y308" s="61"/>
      <c r="Z308" s="61"/>
      <c r="AA308" s="61"/>
      <c r="AB308" s="61"/>
      <c r="AC308" s="61"/>
      <c r="AD308" s="61"/>
      <c r="AE308" s="61"/>
      <c r="AF308" s="61"/>
      <c r="AG308" s="61"/>
      <c r="AH308" s="61"/>
      <c r="AI308" s="61"/>
      <c r="AJ308" s="9"/>
      <c r="AK308" s="226"/>
      <c r="AL308" s="10"/>
      <c r="AM308" s="137"/>
      <c r="AN308" s="7"/>
      <c r="AO308" s="7"/>
      <c r="AP308" s="7"/>
      <c r="AQ308" s="7"/>
      <c r="AR308" s="7"/>
      <c r="AS308" s="7"/>
    </row>
    <row r="309" ht="9.0" customHeight="1">
      <c r="A309" s="1"/>
      <c r="B309" s="2"/>
      <c r="C309" s="2"/>
      <c r="D309" s="60"/>
      <c r="E309" s="60"/>
      <c r="F309" s="2"/>
      <c r="G309" s="60"/>
      <c r="H309" s="60"/>
      <c r="I309" s="61"/>
      <c r="J309" s="61"/>
      <c r="K309" s="61"/>
      <c r="L309" s="61"/>
      <c r="M309" s="61"/>
      <c r="N309" s="61"/>
      <c r="O309" s="61"/>
      <c r="P309" s="61"/>
      <c r="Q309" s="61"/>
      <c r="R309" s="61"/>
      <c r="S309" s="61"/>
      <c r="T309" s="61"/>
      <c r="U309" s="7"/>
      <c r="V309" s="226"/>
      <c r="W309" s="9"/>
      <c r="X309" s="61"/>
      <c r="Y309" s="61"/>
      <c r="Z309" s="61"/>
      <c r="AA309" s="61"/>
      <c r="AB309" s="61"/>
      <c r="AC309" s="61"/>
      <c r="AD309" s="61"/>
      <c r="AE309" s="61"/>
      <c r="AF309" s="61"/>
      <c r="AG309" s="61"/>
      <c r="AH309" s="61"/>
      <c r="AI309" s="61"/>
      <c r="AJ309" s="9"/>
      <c r="AK309" s="226"/>
      <c r="AL309" s="10"/>
      <c r="AM309" s="137"/>
      <c r="AN309" s="7"/>
      <c r="AO309" s="7"/>
      <c r="AP309" s="7"/>
      <c r="AQ309" s="7"/>
      <c r="AR309" s="7"/>
      <c r="AS309" s="7"/>
    </row>
    <row r="310" ht="9.0" customHeight="1">
      <c r="A310" s="1"/>
      <c r="B310" s="2"/>
      <c r="C310" s="2"/>
      <c r="D310" s="60"/>
      <c r="E310" s="60"/>
      <c r="F310" s="2"/>
      <c r="G310" s="60"/>
      <c r="H310" s="60"/>
      <c r="I310" s="61"/>
      <c r="J310" s="61"/>
      <c r="K310" s="61"/>
      <c r="L310" s="61"/>
      <c r="M310" s="61"/>
      <c r="N310" s="61"/>
      <c r="O310" s="61"/>
      <c r="P310" s="61"/>
      <c r="Q310" s="61"/>
      <c r="R310" s="61"/>
      <c r="S310" s="61"/>
      <c r="T310" s="61"/>
      <c r="U310" s="7"/>
      <c r="V310" s="226"/>
      <c r="W310" s="9"/>
      <c r="X310" s="61"/>
      <c r="Y310" s="61"/>
      <c r="Z310" s="61"/>
      <c r="AA310" s="61"/>
      <c r="AB310" s="61"/>
      <c r="AC310" s="61"/>
      <c r="AD310" s="61"/>
      <c r="AE310" s="61"/>
      <c r="AF310" s="61"/>
      <c r="AG310" s="61"/>
      <c r="AH310" s="61"/>
      <c r="AI310" s="61"/>
      <c r="AJ310" s="9"/>
      <c r="AK310" s="226"/>
      <c r="AL310" s="10"/>
      <c r="AM310" s="137"/>
      <c r="AN310" s="7"/>
      <c r="AO310" s="7"/>
      <c r="AP310" s="7"/>
      <c r="AQ310" s="7"/>
      <c r="AR310" s="7"/>
      <c r="AS310" s="7"/>
    </row>
    <row r="311" ht="9.0" customHeight="1">
      <c r="A311" s="1"/>
      <c r="B311" s="2"/>
      <c r="C311" s="2"/>
      <c r="D311" s="60"/>
      <c r="E311" s="60"/>
      <c r="F311" s="2"/>
      <c r="G311" s="60"/>
      <c r="H311" s="60"/>
      <c r="I311" s="61"/>
      <c r="J311" s="61"/>
      <c r="K311" s="61"/>
      <c r="L311" s="61"/>
      <c r="M311" s="61"/>
      <c r="N311" s="61"/>
      <c r="O311" s="61"/>
      <c r="P311" s="61"/>
      <c r="Q311" s="61"/>
      <c r="R311" s="61"/>
      <c r="S311" s="61"/>
      <c r="T311" s="61"/>
      <c r="U311" s="7"/>
      <c r="V311" s="226"/>
      <c r="W311" s="9"/>
      <c r="X311" s="61"/>
      <c r="Y311" s="61"/>
      <c r="Z311" s="61"/>
      <c r="AA311" s="61"/>
      <c r="AB311" s="61"/>
      <c r="AC311" s="61"/>
      <c r="AD311" s="61"/>
      <c r="AE311" s="61"/>
      <c r="AF311" s="61"/>
      <c r="AG311" s="61"/>
      <c r="AH311" s="61"/>
      <c r="AI311" s="61"/>
      <c r="AJ311" s="9"/>
      <c r="AK311" s="226"/>
      <c r="AL311" s="10"/>
      <c r="AM311" s="137"/>
      <c r="AN311" s="7"/>
      <c r="AO311" s="7"/>
      <c r="AP311" s="7"/>
      <c r="AQ311" s="7"/>
      <c r="AR311" s="7"/>
      <c r="AS311" s="7"/>
    </row>
    <row r="312" ht="9.0" customHeight="1">
      <c r="A312" s="1"/>
      <c r="B312" s="2"/>
      <c r="C312" s="2"/>
      <c r="D312" s="60"/>
      <c r="E312" s="60"/>
      <c r="F312" s="2"/>
      <c r="G312" s="60"/>
      <c r="H312" s="60"/>
      <c r="I312" s="61"/>
      <c r="J312" s="61"/>
      <c r="K312" s="61"/>
      <c r="L312" s="61"/>
      <c r="M312" s="61"/>
      <c r="N312" s="61"/>
      <c r="O312" s="61"/>
      <c r="P312" s="61"/>
      <c r="Q312" s="61"/>
      <c r="R312" s="61"/>
      <c r="S312" s="61"/>
      <c r="T312" s="61"/>
      <c r="U312" s="7"/>
      <c r="V312" s="226"/>
      <c r="W312" s="9"/>
      <c r="X312" s="61"/>
      <c r="Y312" s="61"/>
      <c r="Z312" s="61"/>
      <c r="AA312" s="61"/>
      <c r="AB312" s="61"/>
      <c r="AC312" s="61"/>
      <c r="AD312" s="61"/>
      <c r="AE312" s="61"/>
      <c r="AF312" s="61"/>
      <c r="AG312" s="61"/>
      <c r="AH312" s="61"/>
      <c r="AI312" s="61"/>
      <c r="AJ312" s="9"/>
      <c r="AK312" s="226"/>
      <c r="AL312" s="10"/>
      <c r="AM312" s="137"/>
      <c r="AN312" s="7"/>
      <c r="AO312" s="7"/>
      <c r="AP312" s="7"/>
      <c r="AQ312" s="7"/>
      <c r="AR312" s="7"/>
      <c r="AS312" s="7"/>
    </row>
    <row r="313" ht="9.0" customHeight="1">
      <c r="A313" s="1"/>
      <c r="B313" s="2"/>
      <c r="C313" s="2"/>
      <c r="D313" s="60"/>
      <c r="E313" s="60"/>
      <c r="F313" s="2"/>
      <c r="G313" s="60"/>
      <c r="H313" s="60"/>
      <c r="I313" s="61"/>
      <c r="J313" s="61"/>
      <c r="K313" s="61"/>
      <c r="L313" s="61"/>
      <c r="M313" s="61"/>
      <c r="N313" s="61"/>
      <c r="O313" s="61"/>
      <c r="P313" s="61"/>
      <c r="Q313" s="61"/>
      <c r="R313" s="61"/>
      <c r="S313" s="61"/>
      <c r="T313" s="61"/>
      <c r="U313" s="7"/>
      <c r="V313" s="226"/>
      <c r="W313" s="9"/>
      <c r="X313" s="61"/>
      <c r="Y313" s="61"/>
      <c r="Z313" s="61"/>
      <c r="AA313" s="61"/>
      <c r="AB313" s="61"/>
      <c r="AC313" s="61"/>
      <c r="AD313" s="61"/>
      <c r="AE313" s="61"/>
      <c r="AF313" s="61"/>
      <c r="AG313" s="61"/>
      <c r="AH313" s="61"/>
      <c r="AI313" s="61"/>
      <c r="AJ313" s="9"/>
      <c r="AK313" s="226"/>
      <c r="AL313" s="10"/>
      <c r="AM313" s="137"/>
      <c r="AN313" s="7"/>
      <c r="AO313" s="7"/>
      <c r="AP313" s="7"/>
      <c r="AQ313" s="7"/>
      <c r="AR313" s="7"/>
      <c r="AS313" s="7"/>
    </row>
    <row r="314" ht="9.0" customHeight="1">
      <c r="A314" s="1"/>
      <c r="B314" s="2"/>
      <c r="C314" s="2"/>
      <c r="D314" s="60"/>
      <c r="E314" s="60"/>
      <c r="F314" s="2"/>
      <c r="G314" s="60"/>
      <c r="H314" s="60"/>
      <c r="I314" s="61"/>
      <c r="J314" s="61"/>
      <c r="K314" s="61"/>
      <c r="L314" s="61"/>
      <c r="M314" s="61"/>
      <c r="N314" s="61"/>
      <c r="O314" s="61"/>
      <c r="P314" s="61"/>
      <c r="Q314" s="61"/>
      <c r="R314" s="61"/>
      <c r="S314" s="61"/>
      <c r="T314" s="61"/>
      <c r="U314" s="7"/>
      <c r="V314" s="226"/>
      <c r="W314" s="9"/>
      <c r="X314" s="61"/>
      <c r="Y314" s="61"/>
      <c r="Z314" s="61"/>
      <c r="AA314" s="61"/>
      <c r="AB314" s="61"/>
      <c r="AC314" s="61"/>
      <c r="AD314" s="61"/>
      <c r="AE314" s="61"/>
      <c r="AF314" s="61"/>
      <c r="AG314" s="61"/>
      <c r="AH314" s="61"/>
      <c r="AI314" s="61"/>
      <c r="AJ314" s="9"/>
      <c r="AK314" s="226"/>
      <c r="AL314" s="10"/>
      <c r="AM314" s="137"/>
      <c r="AN314" s="7"/>
      <c r="AO314" s="7"/>
      <c r="AP314" s="7"/>
      <c r="AQ314" s="7"/>
      <c r="AR314" s="7"/>
      <c r="AS314" s="7"/>
    </row>
    <row r="315" ht="9.0" customHeight="1">
      <c r="A315" s="1"/>
      <c r="B315" s="2"/>
      <c r="C315" s="2"/>
      <c r="D315" s="60"/>
      <c r="E315" s="60"/>
      <c r="F315" s="2"/>
      <c r="G315" s="60"/>
      <c r="H315" s="60"/>
      <c r="I315" s="61"/>
      <c r="J315" s="61"/>
      <c r="K315" s="61"/>
      <c r="L315" s="61"/>
      <c r="M315" s="61"/>
      <c r="N315" s="61"/>
      <c r="O315" s="61"/>
      <c r="P315" s="61"/>
      <c r="Q315" s="61"/>
      <c r="R315" s="61"/>
      <c r="S315" s="61"/>
      <c r="T315" s="61"/>
      <c r="U315" s="7"/>
      <c r="V315" s="226"/>
      <c r="W315" s="9"/>
      <c r="X315" s="61"/>
      <c r="Y315" s="61"/>
      <c r="Z315" s="61"/>
      <c r="AA315" s="61"/>
      <c r="AB315" s="61"/>
      <c r="AC315" s="61"/>
      <c r="AD315" s="61"/>
      <c r="AE315" s="61"/>
      <c r="AF315" s="61"/>
      <c r="AG315" s="61"/>
      <c r="AH315" s="61"/>
      <c r="AI315" s="61"/>
      <c r="AJ315" s="9"/>
      <c r="AK315" s="226"/>
      <c r="AL315" s="10"/>
      <c r="AM315" s="137"/>
      <c r="AN315" s="7"/>
      <c r="AO315" s="7"/>
      <c r="AP315" s="7"/>
      <c r="AQ315" s="7"/>
      <c r="AR315" s="7"/>
      <c r="AS315" s="7"/>
    </row>
    <row r="316" ht="9.0" customHeight="1">
      <c r="A316" s="1"/>
      <c r="B316" s="2"/>
      <c r="C316" s="2"/>
      <c r="D316" s="60"/>
      <c r="E316" s="60"/>
      <c r="F316" s="2"/>
      <c r="G316" s="60"/>
      <c r="H316" s="60"/>
      <c r="I316" s="61"/>
      <c r="J316" s="61"/>
      <c r="K316" s="61"/>
      <c r="L316" s="61"/>
      <c r="M316" s="61"/>
      <c r="N316" s="61"/>
      <c r="O316" s="61"/>
      <c r="P316" s="61"/>
      <c r="Q316" s="61"/>
      <c r="R316" s="61"/>
      <c r="S316" s="61"/>
      <c r="T316" s="61"/>
      <c r="U316" s="7"/>
      <c r="V316" s="226"/>
      <c r="W316" s="9"/>
      <c r="X316" s="61"/>
      <c r="Y316" s="61"/>
      <c r="Z316" s="61"/>
      <c r="AA316" s="61"/>
      <c r="AB316" s="61"/>
      <c r="AC316" s="61"/>
      <c r="AD316" s="61"/>
      <c r="AE316" s="61"/>
      <c r="AF316" s="61"/>
      <c r="AG316" s="61"/>
      <c r="AH316" s="61"/>
      <c r="AI316" s="61"/>
      <c r="AJ316" s="9"/>
      <c r="AK316" s="226"/>
      <c r="AL316" s="10"/>
      <c r="AM316" s="137"/>
      <c r="AN316" s="7"/>
      <c r="AO316" s="7"/>
      <c r="AP316" s="7"/>
      <c r="AQ316" s="7"/>
      <c r="AR316" s="7"/>
      <c r="AS316" s="7"/>
    </row>
    <row r="317" ht="9.0" customHeight="1">
      <c r="A317" s="1"/>
      <c r="B317" s="2"/>
      <c r="C317" s="2"/>
      <c r="D317" s="60"/>
      <c r="E317" s="60"/>
      <c r="F317" s="2"/>
      <c r="G317" s="60"/>
      <c r="H317" s="60"/>
      <c r="I317" s="61"/>
      <c r="J317" s="61"/>
      <c r="K317" s="61"/>
      <c r="L317" s="61"/>
      <c r="M317" s="61"/>
      <c r="N317" s="61"/>
      <c r="O317" s="61"/>
      <c r="P317" s="61"/>
      <c r="Q317" s="61"/>
      <c r="R317" s="61"/>
      <c r="S317" s="61"/>
      <c r="T317" s="61"/>
      <c r="U317" s="7"/>
      <c r="V317" s="226"/>
      <c r="W317" s="9"/>
      <c r="X317" s="61"/>
      <c r="Y317" s="61"/>
      <c r="Z317" s="61"/>
      <c r="AA317" s="61"/>
      <c r="AB317" s="61"/>
      <c r="AC317" s="61"/>
      <c r="AD317" s="61"/>
      <c r="AE317" s="61"/>
      <c r="AF317" s="61"/>
      <c r="AG317" s="61"/>
      <c r="AH317" s="61"/>
      <c r="AI317" s="61"/>
      <c r="AJ317" s="9"/>
      <c r="AK317" s="226"/>
      <c r="AL317" s="10"/>
      <c r="AM317" s="137"/>
      <c r="AN317" s="7"/>
      <c r="AO317" s="7"/>
      <c r="AP317" s="7"/>
      <c r="AQ317" s="7"/>
      <c r="AR317" s="7"/>
      <c r="AS317" s="7"/>
    </row>
    <row r="318" ht="9.0" customHeight="1">
      <c r="A318" s="1"/>
      <c r="B318" s="2"/>
      <c r="C318" s="2"/>
      <c r="D318" s="60"/>
      <c r="E318" s="60"/>
      <c r="F318" s="2"/>
      <c r="G318" s="60"/>
      <c r="H318" s="60"/>
      <c r="I318" s="61"/>
      <c r="J318" s="61"/>
      <c r="K318" s="61"/>
      <c r="L318" s="61"/>
      <c r="M318" s="61"/>
      <c r="N318" s="61"/>
      <c r="O318" s="61"/>
      <c r="P318" s="61"/>
      <c r="Q318" s="61"/>
      <c r="R318" s="61"/>
      <c r="S318" s="61"/>
      <c r="T318" s="61"/>
      <c r="U318" s="7"/>
      <c r="V318" s="226"/>
      <c r="W318" s="9"/>
      <c r="X318" s="61"/>
      <c r="Y318" s="61"/>
      <c r="Z318" s="61"/>
      <c r="AA318" s="61"/>
      <c r="AB318" s="61"/>
      <c r="AC318" s="61"/>
      <c r="AD318" s="61"/>
      <c r="AE318" s="61"/>
      <c r="AF318" s="61"/>
      <c r="AG318" s="61"/>
      <c r="AH318" s="61"/>
      <c r="AI318" s="61"/>
      <c r="AJ318" s="9"/>
      <c r="AK318" s="226"/>
      <c r="AL318" s="10"/>
      <c r="AM318" s="137"/>
      <c r="AN318" s="7"/>
      <c r="AO318" s="7"/>
      <c r="AP318" s="7"/>
      <c r="AQ318" s="7"/>
      <c r="AR318" s="7"/>
      <c r="AS318" s="7"/>
    </row>
    <row r="319" ht="9.0" customHeight="1">
      <c r="A319" s="1"/>
      <c r="B319" s="2"/>
      <c r="C319" s="2"/>
      <c r="D319" s="60"/>
      <c r="E319" s="60"/>
      <c r="F319" s="2"/>
      <c r="G319" s="60"/>
      <c r="H319" s="60"/>
      <c r="I319" s="61"/>
      <c r="J319" s="61"/>
      <c r="K319" s="61"/>
      <c r="L319" s="61"/>
      <c r="M319" s="61"/>
      <c r="N319" s="61"/>
      <c r="O319" s="61"/>
      <c r="P319" s="61"/>
      <c r="Q319" s="61"/>
      <c r="R319" s="61"/>
      <c r="S319" s="61"/>
      <c r="T319" s="61"/>
      <c r="U319" s="7"/>
      <c r="V319" s="226"/>
      <c r="W319" s="9"/>
      <c r="X319" s="61"/>
      <c r="Y319" s="61"/>
      <c r="Z319" s="61"/>
      <c r="AA319" s="61"/>
      <c r="AB319" s="61"/>
      <c r="AC319" s="61"/>
      <c r="AD319" s="61"/>
      <c r="AE319" s="61"/>
      <c r="AF319" s="61"/>
      <c r="AG319" s="61"/>
      <c r="AH319" s="61"/>
      <c r="AI319" s="61"/>
      <c r="AJ319" s="9"/>
      <c r="AK319" s="226"/>
      <c r="AL319" s="10"/>
      <c r="AM319" s="137"/>
      <c r="AN319" s="7"/>
      <c r="AO319" s="7"/>
      <c r="AP319" s="7"/>
      <c r="AQ319" s="7"/>
      <c r="AR319" s="7"/>
      <c r="AS319" s="7"/>
    </row>
    <row r="320" ht="9.0" customHeight="1">
      <c r="A320" s="1"/>
      <c r="B320" s="2"/>
      <c r="C320" s="2"/>
      <c r="D320" s="60"/>
      <c r="E320" s="60"/>
      <c r="F320" s="2"/>
      <c r="G320" s="60"/>
      <c r="H320" s="60"/>
      <c r="I320" s="61"/>
      <c r="J320" s="61"/>
      <c r="K320" s="61"/>
      <c r="L320" s="61"/>
      <c r="M320" s="61"/>
      <c r="N320" s="61"/>
      <c r="O320" s="61"/>
      <c r="P320" s="61"/>
      <c r="Q320" s="61"/>
      <c r="R320" s="61"/>
      <c r="S320" s="61"/>
      <c r="T320" s="61"/>
      <c r="U320" s="7"/>
      <c r="V320" s="226"/>
      <c r="W320" s="9"/>
      <c r="X320" s="61"/>
      <c r="Y320" s="61"/>
      <c r="Z320" s="61"/>
      <c r="AA320" s="61"/>
      <c r="AB320" s="61"/>
      <c r="AC320" s="61"/>
      <c r="AD320" s="61"/>
      <c r="AE320" s="61"/>
      <c r="AF320" s="61"/>
      <c r="AG320" s="61"/>
      <c r="AH320" s="61"/>
      <c r="AI320" s="61"/>
      <c r="AJ320" s="9"/>
      <c r="AK320" s="226"/>
      <c r="AL320" s="10"/>
      <c r="AM320" s="137"/>
      <c r="AN320" s="7"/>
      <c r="AO320" s="7"/>
      <c r="AP320" s="7"/>
      <c r="AQ320" s="7"/>
      <c r="AR320" s="7"/>
      <c r="AS320" s="7"/>
    </row>
    <row r="321" ht="9.0" customHeight="1">
      <c r="A321" s="1"/>
      <c r="B321" s="2"/>
      <c r="C321" s="2"/>
      <c r="D321" s="60"/>
      <c r="E321" s="60"/>
      <c r="F321" s="2"/>
      <c r="G321" s="60"/>
      <c r="H321" s="60"/>
      <c r="I321" s="61"/>
      <c r="J321" s="61"/>
      <c r="K321" s="61"/>
      <c r="L321" s="61"/>
      <c r="M321" s="61"/>
      <c r="N321" s="61"/>
      <c r="O321" s="61"/>
      <c r="P321" s="61"/>
      <c r="Q321" s="61"/>
      <c r="R321" s="61"/>
      <c r="S321" s="61"/>
      <c r="T321" s="61"/>
      <c r="U321" s="7"/>
      <c r="V321" s="226"/>
      <c r="W321" s="9"/>
      <c r="X321" s="61"/>
      <c r="Y321" s="61"/>
      <c r="Z321" s="61"/>
      <c r="AA321" s="61"/>
      <c r="AB321" s="61"/>
      <c r="AC321" s="61"/>
      <c r="AD321" s="61"/>
      <c r="AE321" s="61"/>
      <c r="AF321" s="61"/>
      <c r="AG321" s="61"/>
      <c r="AH321" s="61"/>
      <c r="AI321" s="61"/>
      <c r="AJ321" s="9"/>
      <c r="AK321" s="226"/>
      <c r="AL321" s="10"/>
      <c r="AM321" s="137"/>
      <c r="AN321" s="7"/>
      <c r="AO321" s="7"/>
      <c r="AP321" s="7"/>
      <c r="AQ321" s="7"/>
      <c r="AR321" s="7"/>
      <c r="AS321" s="7"/>
    </row>
    <row r="322" ht="9.0" customHeight="1">
      <c r="A322" s="1"/>
      <c r="B322" s="2"/>
      <c r="C322" s="2"/>
      <c r="D322" s="60"/>
      <c r="E322" s="60"/>
      <c r="F322" s="2"/>
      <c r="G322" s="60"/>
      <c r="H322" s="60"/>
      <c r="I322" s="61"/>
      <c r="J322" s="61"/>
      <c r="K322" s="61"/>
      <c r="L322" s="61"/>
      <c r="M322" s="61"/>
      <c r="N322" s="61"/>
      <c r="O322" s="61"/>
      <c r="P322" s="61"/>
      <c r="Q322" s="61"/>
      <c r="R322" s="61"/>
      <c r="S322" s="61"/>
      <c r="T322" s="61"/>
      <c r="U322" s="7"/>
      <c r="V322" s="226"/>
      <c r="W322" s="9"/>
      <c r="X322" s="61"/>
      <c r="Y322" s="61"/>
      <c r="Z322" s="61"/>
      <c r="AA322" s="61"/>
      <c r="AB322" s="61"/>
      <c r="AC322" s="61"/>
      <c r="AD322" s="61"/>
      <c r="AE322" s="61"/>
      <c r="AF322" s="61"/>
      <c r="AG322" s="61"/>
      <c r="AH322" s="61"/>
      <c r="AI322" s="61"/>
      <c r="AJ322" s="9"/>
      <c r="AK322" s="226"/>
      <c r="AL322" s="10"/>
      <c r="AM322" s="137"/>
      <c r="AN322" s="7"/>
      <c r="AO322" s="7"/>
      <c r="AP322" s="7"/>
      <c r="AQ322" s="7"/>
      <c r="AR322" s="7"/>
      <c r="AS322" s="7"/>
    </row>
    <row r="323" ht="9.0" customHeight="1">
      <c r="A323" s="1"/>
      <c r="B323" s="2"/>
      <c r="C323" s="2"/>
      <c r="D323" s="60"/>
      <c r="E323" s="60"/>
      <c r="F323" s="2"/>
      <c r="G323" s="60"/>
      <c r="H323" s="60"/>
      <c r="I323" s="61"/>
      <c r="J323" s="61"/>
      <c r="K323" s="61"/>
      <c r="L323" s="61"/>
      <c r="M323" s="61"/>
      <c r="N323" s="61"/>
      <c r="O323" s="61"/>
      <c r="P323" s="61"/>
      <c r="Q323" s="61"/>
      <c r="R323" s="61"/>
      <c r="S323" s="61"/>
      <c r="T323" s="61"/>
      <c r="U323" s="7"/>
      <c r="V323" s="226"/>
      <c r="W323" s="9"/>
      <c r="X323" s="61"/>
      <c r="Y323" s="61"/>
      <c r="Z323" s="61"/>
      <c r="AA323" s="61"/>
      <c r="AB323" s="61"/>
      <c r="AC323" s="61"/>
      <c r="AD323" s="61"/>
      <c r="AE323" s="61"/>
      <c r="AF323" s="61"/>
      <c r="AG323" s="61"/>
      <c r="AH323" s="61"/>
      <c r="AI323" s="61"/>
      <c r="AJ323" s="9"/>
      <c r="AK323" s="226"/>
      <c r="AL323" s="10"/>
      <c r="AM323" s="137"/>
      <c r="AN323" s="7"/>
      <c r="AO323" s="7"/>
      <c r="AP323" s="7"/>
      <c r="AQ323" s="7"/>
      <c r="AR323" s="7"/>
      <c r="AS323" s="7"/>
    </row>
    <row r="324" ht="9.0" customHeight="1">
      <c r="A324" s="1"/>
      <c r="B324" s="2"/>
      <c r="C324" s="2"/>
      <c r="D324" s="60"/>
      <c r="E324" s="60"/>
      <c r="F324" s="2"/>
      <c r="G324" s="60"/>
      <c r="H324" s="60"/>
      <c r="I324" s="61"/>
      <c r="J324" s="61"/>
      <c r="K324" s="61"/>
      <c r="L324" s="61"/>
      <c r="M324" s="61"/>
      <c r="N324" s="61"/>
      <c r="O324" s="61"/>
      <c r="P324" s="61"/>
      <c r="Q324" s="61"/>
      <c r="R324" s="61"/>
      <c r="S324" s="61"/>
      <c r="T324" s="61"/>
      <c r="U324" s="7"/>
      <c r="V324" s="226"/>
      <c r="W324" s="9"/>
      <c r="X324" s="61"/>
      <c r="Y324" s="61"/>
      <c r="Z324" s="61"/>
      <c r="AA324" s="61"/>
      <c r="AB324" s="61"/>
      <c r="AC324" s="61"/>
      <c r="AD324" s="61"/>
      <c r="AE324" s="61"/>
      <c r="AF324" s="61"/>
      <c r="AG324" s="61"/>
      <c r="AH324" s="61"/>
      <c r="AI324" s="61"/>
      <c r="AJ324" s="9"/>
      <c r="AK324" s="226"/>
      <c r="AL324" s="10"/>
      <c r="AM324" s="137"/>
      <c r="AN324" s="7"/>
      <c r="AO324" s="7"/>
      <c r="AP324" s="7"/>
      <c r="AQ324" s="7"/>
      <c r="AR324" s="7"/>
      <c r="AS324" s="7"/>
    </row>
    <row r="325" ht="9.0" customHeight="1">
      <c r="A325" s="1"/>
      <c r="B325" s="2"/>
      <c r="C325" s="2"/>
      <c r="D325" s="60"/>
      <c r="E325" s="60"/>
      <c r="F325" s="2"/>
      <c r="G325" s="60"/>
      <c r="H325" s="60"/>
      <c r="I325" s="61"/>
      <c r="J325" s="61"/>
      <c r="K325" s="61"/>
      <c r="L325" s="61"/>
      <c r="M325" s="61"/>
      <c r="N325" s="61"/>
      <c r="O325" s="61"/>
      <c r="P325" s="61"/>
      <c r="Q325" s="61"/>
      <c r="R325" s="61"/>
      <c r="S325" s="61"/>
      <c r="T325" s="61"/>
      <c r="U325" s="7"/>
      <c r="V325" s="226"/>
      <c r="W325" s="9"/>
      <c r="X325" s="61"/>
      <c r="Y325" s="61"/>
      <c r="Z325" s="61"/>
      <c r="AA325" s="61"/>
      <c r="AB325" s="61"/>
      <c r="AC325" s="61"/>
      <c r="AD325" s="61"/>
      <c r="AE325" s="61"/>
      <c r="AF325" s="61"/>
      <c r="AG325" s="61"/>
      <c r="AH325" s="61"/>
      <c r="AI325" s="61"/>
      <c r="AJ325" s="9"/>
      <c r="AK325" s="226"/>
      <c r="AL325" s="10"/>
      <c r="AM325" s="137"/>
      <c r="AN325" s="7"/>
      <c r="AO325" s="7"/>
      <c r="AP325" s="7"/>
      <c r="AQ325" s="7"/>
      <c r="AR325" s="7"/>
      <c r="AS325" s="7"/>
    </row>
    <row r="326" ht="9.0" customHeight="1">
      <c r="A326" s="1"/>
      <c r="B326" s="2"/>
      <c r="C326" s="2"/>
      <c r="D326" s="60"/>
      <c r="E326" s="60"/>
      <c r="F326" s="2"/>
      <c r="G326" s="60"/>
      <c r="H326" s="60"/>
      <c r="I326" s="61"/>
      <c r="J326" s="61"/>
      <c r="K326" s="61"/>
      <c r="L326" s="61"/>
      <c r="M326" s="61"/>
      <c r="N326" s="61"/>
      <c r="O326" s="61"/>
      <c r="P326" s="61"/>
      <c r="Q326" s="61"/>
      <c r="R326" s="61"/>
      <c r="S326" s="61"/>
      <c r="T326" s="61"/>
      <c r="U326" s="7"/>
      <c r="V326" s="226"/>
      <c r="W326" s="9"/>
      <c r="X326" s="61"/>
      <c r="Y326" s="61"/>
      <c r="Z326" s="61"/>
      <c r="AA326" s="61"/>
      <c r="AB326" s="61"/>
      <c r="AC326" s="61"/>
      <c r="AD326" s="61"/>
      <c r="AE326" s="61"/>
      <c r="AF326" s="61"/>
      <c r="AG326" s="61"/>
      <c r="AH326" s="61"/>
      <c r="AI326" s="61"/>
      <c r="AJ326" s="9"/>
      <c r="AK326" s="226"/>
      <c r="AL326" s="10"/>
      <c r="AM326" s="137"/>
      <c r="AN326" s="7"/>
      <c r="AO326" s="7"/>
      <c r="AP326" s="7"/>
      <c r="AQ326" s="7"/>
      <c r="AR326" s="7"/>
      <c r="AS326" s="7"/>
    </row>
    <row r="327" ht="9.0" customHeight="1">
      <c r="A327" s="1"/>
      <c r="B327" s="2"/>
      <c r="C327" s="2"/>
      <c r="D327" s="60"/>
      <c r="E327" s="60"/>
      <c r="F327" s="2"/>
      <c r="G327" s="60"/>
      <c r="H327" s="60"/>
      <c r="I327" s="61"/>
      <c r="J327" s="61"/>
      <c r="K327" s="61"/>
      <c r="L327" s="61"/>
      <c r="M327" s="61"/>
      <c r="N327" s="61"/>
      <c r="O327" s="61"/>
      <c r="P327" s="61"/>
      <c r="Q327" s="61"/>
      <c r="R327" s="61"/>
      <c r="S327" s="61"/>
      <c r="T327" s="61"/>
      <c r="U327" s="7"/>
      <c r="V327" s="226"/>
      <c r="W327" s="9"/>
      <c r="X327" s="61"/>
      <c r="Y327" s="61"/>
      <c r="Z327" s="61"/>
      <c r="AA327" s="61"/>
      <c r="AB327" s="61"/>
      <c r="AC327" s="61"/>
      <c r="AD327" s="61"/>
      <c r="AE327" s="61"/>
      <c r="AF327" s="61"/>
      <c r="AG327" s="61"/>
      <c r="AH327" s="61"/>
      <c r="AI327" s="61"/>
      <c r="AJ327" s="9"/>
      <c r="AK327" s="226"/>
      <c r="AL327" s="10"/>
      <c r="AM327" s="137"/>
      <c r="AN327" s="7"/>
      <c r="AO327" s="7"/>
      <c r="AP327" s="7"/>
      <c r="AQ327" s="7"/>
      <c r="AR327" s="7"/>
      <c r="AS327" s="7"/>
    </row>
    <row r="328" ht="9.0" customHeight="1">
      <c r="A328" s="1"/>
      <c r="B328" s="2"/>
      <c r="C328" s="2"/>
      <c r="D328" s="60"/>
      <c r="E328" s="60"/>
      <c r="F328" s="2"/>
      <c r="G328" s="60"/>
      <c r="H328" s="60"/>
      <c r="I328" s="61"/>
      <c r="J328" s="61"/>
      <c r="K328" s="61"/>
      <c r="L328" s="61"/>
      <c r="M328" s="61"/>
      <c r="N328" s="61"/>
      <c r="O328" s="61"/>
      <c r="P328" s="61"/>
      <c r="Q328" s="61"/>
      <c r="R328" s="61"/>
      <c r="S328" s="61"/>
      <c r="T328" s="61"/>
      <c r="U328" s="7"/>
      <c r="V328" s="226"/>
      <c r="W328" s="9"/>
      <c r="X328" s="61"/>
      <c r="Y328" s="61"/>
      <c r="Z328" s="61"/>
      <c r="AA328" s="61"/>
      <c r="AB328" s="61"/>
      <c r="AC328" s="61"/>
      <c r="AD328" s="61"/>
      <c r="AE328" s="61"/>
      <c r="AF328" s="61"/>
      <c r="AG328" s="61"/>
      <c r="AH328" s="61"/>
      <c r="AI328" s="61"/>
      <c r="AJ328" s="9"/>
      <c r="AK328" s="226"/>
      <c r="AL328" s="10"/>
      <c r="AM328" s="137"/>
      <c r="AN328" s="7"/>
      <c r="AO328" s="7"/>
      <c r="AP328" s="7"/>
      <c r="AQ328" s="7"/>
      <c r="AR328" s="7"/>
      <c r="AS328" s="7"/>
    </row>
    <row r="329" ht="9.0" customHeight="1">
      <c r="A329" s="1"/>
      <c r="B329" s="2"/>
      <c r="C329" s="2"/>
      <c r="D329" s="60"/>
      <c r="E329" s="60"/>
      <c r="F329" s="2"/>
      <c r="G329" s="60"/>
      <c r="H329" s="60"/>
      <c r="I329" s="61"/>
      <c r="J329" s="61"/>
      <c r="K329" s="61"/>
      <c r="L329" s="61"/>
      <c r="M329" s="61"/>
      <c r="N329" s="61"/>
      <c r="O329" s="61"/>
      <c r="P329" s="61"/>
      <c r="Q329" s="61"/>
      <c r="R329" s="61"/>
      <c r="S329" s="61"/>
      <c r="T329" s="61"/>
      <c r="U329" s="7"/>
      <c r="V329" s="226"/>
      <c r="W329" s="9"/>
      <c r="X329" s="61"/>
      <c r="Y329" s="61"/>
      <c r="Z329" s="61"/>
      <c r="AA329" s="61"/>
      <c r="AB329" s="61"/>
      <c r="AC329" s="61"/>
      <c r="AD329" s="61"/>
      <c r="AE329" s="61"/>
      <c r="AF329" s="61"/>
      <c r="AG329" s="61"/>
      <c r="AH329" s="61"/>
      <c r="AI329" s="61"/>
      <c r="AJ329" s="9"/>
      <c r="AK329" s="226"/>
      <c r="AL329" s="10"/>
      <c r="AM329" s="137"/>
      <c r="AN329" s="7"/>
      <c r="AO329" s="7"/>
      <c r="AP329" s="7"/>
      <c r="AQ329" s="7"/>
      <c r="AR329" s="7"/>
      <c r="AS329" s="7"/>
    </row>
    <row r="330" ht="9.0" customHeight="1">
      <c r="A330" s="1"/>
      <c r="B330" s="2"/>
      <c r="C330" s="2"/>
      <c r="D330" s="60"/>
      <c r="E330" s="60"/>
      <c r="F330" s="2"/>
      <c r="G330" s="60"/>
      <c r="H330" s="60"/>
      <c r="I330" s="61"/>
      <c r="J330" s="61"/>
      <c r="K330" s="61"/>
      <c r="L330" s="61"/>
      <c r="M330" s="61"/>
      <c r="N330" s="61"/>
      <c r="O330" s="61"/>
      <c r="P330" s="61"/>
      <c r="Q330" s="61"/>
      <c r="R330" s="61"/>
      <c r="S330" s="61"/>
      <c r="T330" s="61"/>
      <c r="U330" s="7"/>
      <c r="V330" s="226"/>
      <c r="W330" s="9"/>
      <c r="X330" s="61"/>
      <c r="Y330" s="61"/>
      <c r="Z330" s="61"/>
      <c r="AA330" s="61"/>
      <c r="AB330" s="61"/>
      <c r="AC330" s="61"/>
      <c r="AD330" s="61"/>
      <c r="AE330" s="61"/>
      <c r="AF330" s="61"/>
      <c r="AG330" s="61"/>
      <c r="AH330" s="61"/>
      <c r="AI330" s="61"/>
      <c r="AJ330" s="9"/>
      <c r="AK330" s="226"/>
      <c r="AL330" s="10"/>
      <c r="AM330" s="137"/>
      <c r="AN330" s="7"/>
      <c r="AO330" s="7"/>
      <c r="AP330" s="7"/>
      <c r="AQ330" s="7"/>
      <c r="AR330" s="7"/>
      <c r="AS330" s="7"/>
    </row>
    <row r="331" ht="9.0" customHeight="1">
      <c r="A331" s="1"/>
      <c r="B331" s="2"/>
      <c r="C331" s="2"/>
      <c r="D331" s="60"/>
      <c r="E331" s="60"/>
      <c r="F331" s="2"/>
      <c r="G331" s="60"/>
      <c r="H331" s="60"/>
      <c r="I331" s="61"/>
      <c r="J331" s="61"/>
      <c r="K331" s="61"/>
      <c r="L331" s="61"/>
      <c r="M331" s="61"/>
      <c r="N331" s="61"/>
      <c r="O331" s="61"/>
      <c r="P331" s="61"/>
      <c r="Q331" s="61"/>
      <c r="R331" s="61"/>
      <c r="S331" s="61"/>
      <c r="T331" s="61"/>
      <c r="U331" s="7"/>
      <c r="V331" s="226"/>
      <c r="W331" s="9"/>
      <c r="X331" s="61"/>
      <c r="Y331" s="61"/>
      <c r="Z331" s="61"/>
      <c r="AA331" s="61"/>
      <c r="AB331" s="61"/>
      <c r="AC331" s="61"/>
      <c r="AD331" s="61"/>
      <c r="AE331" s="61"/>
      <c r="AF331" s="61"/>
      <c r="AG331" s="61"/>
      <c r="AH331" s="61"/>
      <c r="AI331" s="61"/>
      <c r="AJ331" s="9"/>
      <c r="AK331" s="226"/>
      <c r="AL331" s="10"/>
      <c r="AM331" s="137"/>
      <c r="AN331" s="7"/>
      <c r="AO331" s="7"/>
      <c r="AP331" s="7"/>
      <c r="AQ331" s="7"/>
      <c r="AR331" s="7"/>
      <c r="AS331" s="7"/>
    </row>
    <row r="332" ht="9.0" customHeight="1">
      <c r="A332" s="1"/>
      <c r="B332" s="2"/>
      <c r="C332" s="2"/>
      <c r="D332" s="60"/>
      <c r="E332" s="60"/>
      <c r="F332" s="2"/>
      <c r="G332" s="60"/>
      <c r="H332" s="60"/>
      <c r="I332" s="61"/>
      <c r="J332" s="61"/>
      <c r="K332" s="61"/>
      <c r="L332" s="61"/>
      <c r="M332" s="61"/>
      <c r="N332" s="61"/>
      <c r="O332" s="61"/>
      <c r="P332" s="61"/>
      <c r="Q332" s="61"/>
      <c r="R332" s="61"/>
      <c r="S332" s="61"/>
      <c r="T332" s="61"/>
      <c r="U332" s="7"/>
      <c r="V332" s="226"/>
      <c r="W332" s="9"/>
      <c r="X332" s="61"/>
      <c r="Y332" s="61"/>
      <c r="Z332" s="61"/>
      <c r="AA332" s="61"/>
      <c r="AB332" s="61"/>
      <c r="AC332" s="61"/>
      <c r="AD332" s="61"/>
      <c r="AE332" s="61"/>
      <c r="AF332" s="61"/>
      <c r="AG332" s="61"/>
      <c r="AH332" s="61"/>
      <c r="AI332" s="61"/>
      <c r="AJ332" s="9"/>
      <c r="AK332" s="226"/>
      <c r="AL332" s="10"/>
      <c r="AM332" s="137"/>
      <c r="AN332" s="7"/>
      <c r="AO332" s="7"/>
      <c r="AP332" s="7"/>
      <c r="AQ332" s="7"/>
      <c r="AR332" s="7"/>
      <c r="AS332" s="7"/>
    </row>
    <row r="333" ht="9.0" customHeight="1">
      <c r="A333" s="1"/>
      <c r="B333" s="2"/>
      <c r="C333" s="2"/>
      <c r="D333" s="60"/>
      <c r="E333" s="60"/>
      <c r="F333" s="2"/>
      <c r="G333" s="60"/>
      <c r="H333" s="60"/>
      <c r="I333" s="61"/>
      <c r="J333" s="61"/>
      <c r="K333" s="61"/>
      <c r="L333" s="61"/>
      <c r="M333" s="61"/>
      <c r="N333" s="61"/>
      <c r="O333" s="61"/>
      <c r="P333" s="61"/>
      <c r="Q333" s="61"/>
      <c r="R333" s="61"/>
      <c r="S333" s="61"/>
      <c r="T333" s="61"/>
      <c r="U333" s="7"/>
      <c r="V333" s="226"/>
      <c r="W333" s="9"/>
      <c r="X333" s="61"/>
      <c r="Y333" s="61"/>
      <c r="Z333" s="61"/>
      <c r="AA333" s="61"/>
      <c r="AB333" s="61"/>
      <c r="AC333" s="61"/>
      <c r="AD333" s="61"/>
      <c r="AE333" s="61"/>
      <c r="AF333" s="61"/>
      <c r="AG333" s="61"/>
      <c r="AH333" s="61"/>
      <c r="AI333" s="61"/>
      <c r="AJ333" s="9"/>
      <c r="AK333" s="226"/>
      <c r="AL333" s="10"/>
      <c r="AM333" s="137"/>
      <c r="AN333" s="7"/>
      <c r="AO333" s="7"/>
      <c r="AP333" s="7"/>
      <c r="AQ333" s="7"/>
      <c r="AR333" s="7"/>
      <c r="AS333" s="7"/>
    </row>
    <row r="334" ht="9.0" customHeight="1">
      <c r="A334" s="1"/>
      <c r="B334" s="2"/>
      <c r="C334" s="2"/>
      <c r="D334" s="60"/>
      <c r="E334" s="60"/>
      <c r="F334" s="2"/>
      <c r="G334" s="60"/>
      <c r="H334" s="60"/>
      <c r="I334" s="61"/>
      <c r="J334" s="61"/>
      <c r="K334" s="61"/>
      <c r="L334" s="61"/>
      <c r="M334" s="61"/>
      <c r="N334" s="61"/>
      <c r="O334" s="61"/>
      <c r="P334" s="61"/>
      <c r="Q334" s="61"/>
      <c r="R334" s="61"/>
      <c r="S334" s="61"/>
      <c r="T334" s="61"/>
      <c r="U334" s="7"/>
      <c r="V334" s="226"/>
      <c r="W334" s="9"/>
      <c r="X334" s="61"/>
      <c r="Y334" s="61"/>
      <c r="Z334" s="61"/>
      <c r="AA334" s="61"/>
      <c r="AB334" s="61"/>
      <c r="AC334" s="61"/>
      <c r="AD334" s="61"/>
      <c r="AE334" s="61"/>
      <c r="AF334" s="61"/>
      <c r="AG334" s="61"/>
      <c r="AH334" s="61"/>
      <c r="AI334" s="61"/>
      <c r="AJ334" s="9"/>
      <c r="AK334" s="226"/>
      <c r="AL334" s="10"/>
      <c r="AM334" s="137"/>
      <c r="AN334" s="7"/>
      <c r="AO334" s="7"/>
      <c r="AP334" s="7"/>
      <c r="AQ334" s="7"/>
      <c r="AR334" s="7"/>
      <c r="AS334" s="7"/>
    </row>
    <row r="335" ht="9.0" customHeight="1">
      <c r="A335" s="1"/>
      <c r="B335" s="2"/>
      <c r="C335" s="2"/>
      <c r="D335" s="60"/>
      <c r="E335" s="60"/>
      <c r="F335" s="2"/>
      <c r="G335" s="60"/>
      <c r="H335" s="60"/>
      <c r="I335" s="61"/>
      <c r="J335" s="61"/>
      <c r="K335" s="61"/>
      <c r="L335" s="61"/>
      <c r="M335" s="61"/>
      <c r="N335" s="61"/>
      <c r="O335" s="61"/>
      <c r="P335" s="61"/>
      <c r="Q335" s="61"/>
      <c r="R335" s="61"/>
      <c r="S335" s="61"/>
      <c r="T335" s="61"/>
      <c r="U335" s="7"/>
      <c r="V335" s="226"/>
      <c r="W335" s="9"/>
      <c r="X335" s="61"/>
      <c r="Y335" s="61"/>
      <c r="Z335" s="61"/>
      <c r="AA335" s="61"/>
      <c r="AB335" s="61"/>
      <c r="AC335" s="61"/>
      <c r="AD335" s="61"/>
      <c r="AE335" s="61"/>
      <c r="AF335" s="61"/>
      <c r="AG335" s="61"/>
      <c r="AH335" s="61"/>
      <c r="AI335" s="61"/>
      <c r="AJ335" s="9"/>
      <c r="AK335" s="226"/>
      <c r="AL335" s="10"/>
      <c r="AM335" s="137"/>
      <c r="AN335" s="7"/>
      <c r="AO335" s="7"/>
      <c r="AP335" s="7"/>
      <c r="AQ335" s="7"/>
      <c r="AR335" s="7"/>
      <c r="AS335" s="7"/>
    </row>
    <row r="336" ht="9.0" customHeight="1">
      <c r="A336" s="1"/>
      <c r="B336" s="2"/>
      <c r="C336" s="2"/>
      <c r="D336" s="60"/>
      <c r="E336" s="60"/>
      <c r="F336" s="2"/>
      <c r="G336" s="60"/>
      <c r="H336" s="60"/>
      <c r="I336" s="61"/>
      <c r="J336" s="61"/>
      <c r="K336" s="61"/>
      <c r="L336" s="61"/>
      <c r="M336" s="61"/>
      <c r="N336" s="61"/>
      <c r="O336" s="61"/>
      <c r="P336" s="61"/>
      <c r="Q336" s="61"/>
      <c r="R336" s="61"/>
      <c r="S336" s="61"/>
      <c r="T336" s="61"/>
      <c r="U336" s="7"/>
      <c r="V336" s="226"/>
      <c r="W336" s="9"/>
      <c r="X336" s="61"/>
      <c r="Y336" s="61"/>
      <c r="Z336" s="61"/>
      <c r="AA336" s="61"/>
      <c r="AB336" s="61"/>
      <c r="AC336" s="61"/>
      <c r="AD336" s="61"/>
      <c r="AE336" s="61"/>
      <c r="AF336" s="61"/>
      <c r="AG336" s="61"/>
      <c r="AH336" s="61"/>
      <c r="AI336" s="61"/>
      <c r="AJ336" s="9"/>
      <c r="AK336" s="226"/>
      <c r="AL336" s="10"/>
      <c r="AM336" s="137"/>
      <c r="AN336" s="7"/>
      <c r="AO336" s="7"/>
      <c r="AP336" s="7"/>
      <c r="AQ336" s="7"/>
      <c r="AR336" s="7"/>
      <c r="AS336" s="7"/>
    </row>
    <row r="337" ht="9.0" customHeight="1">
      <c r="A337" s="1"/>
      <c r="B337" s="2"/>
      <c r="C337" s="2"/>
      <c r="D337" s="60"/>
      <c r="E337" s="60"/>
      <c r="F337" s="2"/>
      <c r="G337" s="60"/>
      <c r="H337" s="60"/>
      <c r="I337" s="61"/>
      <c r="J337" s="61"/>
      <c r="K337" s="61"/>
      <c r="L337" s="61"/>
      <c r="M337" s="61"/>
      <c r="N337" s="61"/>
      <c r="O337" s="61"/>
      <c r="P337" s="61"/>
      <c r="Q337" s="61"/>
      <c r="R337" s="61"/>
      <c r="S337" s="61"/>
      <c r="T337" s="61"/>
      <c r="U337" s="7"/>
      <c r="V337" s="226"/>
      <c r="W337" s="9"/>
      <c r="X337" s="61"/>
      <c r="Y337" s="61"/>
      <c r="Z337" s="61"/>
      <c r="AA337" s="61"/>
      <c r="AB337" s="61"/>
      <c r="AC337" s="61"/>
      <c r="AD337" s="61"/>
      <c r="AE337" s="61"/>
      <c r="AF337" s="61"/>
      <c r="AG337" s="61"/>
      <c r="AH337" s="61"/>
      <c r="AI337" s="61"/>
      <c r="AJ337" s="9"/>
      <c r="AK337" s="226"/>
      <c r="AL337" s="10"/>
      <c r="AM337" s="137"/>
      <c r="AN337" s="7"/>
      <c r="AO337" s="7"/>
      <c r="AP337" s="7"/>
      <c r="AQ337" s="7"/>
      <c r="AR337" s="7"/>
      <c r="AS337" s="7"/>
    </row>
    <row r="338" ht="9.0" customHeight="1">
      <c r="A338" s="1"/>
      <c r="B338" s="2"/>
      <c r="C338" s="2"/>
      <c r="D338" s="60"/>
      <c r="E338" s="60"/>
      <c r="F338" s="2"/>
      <c r="G338" s="60"/>
      <c r="H338" s="60"/>
      <c r="I338" s="61"/>
      <c r="J338" s="61"/>
      <c r="K338" s="61"/>
      <c r="L338" s="61"/>
      <c r="M338" s="61"/>
      <c r="N338" s="61"/>
      <c r="O338" s="61"/>
      <c r="P338" s="61"/>
      <c r="Q338" s="61"/>
      <c r="R338" s="61"/>
      <c r="S338" s="61"/>
      <c r="T338" s="61"/>
      <c r="U338" s="7"/>
      <c r="V338" s="226"/>
      <c r="W338" s="9"/>
      <c r="X338" s="61"/>
      <c r="Y338" s="61"/>
      <c r="Z338" s="61"/>
      <c r="AA338" s="61"/>
      <c r="AB338" s="61"/>
      <c r="AC338" s="61"/>
      <c r="AD338" s="61"/>
      <c r="AE338" s="61"/>
      <c r="AF338" s="61"/>
      <c r="AG338" s="61"/>
      <c r="AH338" s="61"/>
      <c r="AI338" s="61"/>
      <c r="AJ338" s="9"/>
      <c r="AK338" s="226"/>
      <c r="AL338" s="10"/>
      <c r="AM338" s="137"/>
      <c r="AN338" s="7"/>
      <c r="AO338" s="7"/>
      <c r="AP338" s="7"/>
      <c r="AQ338" s="7"/>
      <c r="AR338" s="7"/>
      <c r="AS338" s="7"/>
    </row>
    <row r="339" ht="9.0" customHeight="1">
      <c r="A339" s="1"/>
      <c r="B339" s="2"/>
      <c r="C339" s="2"/>
      <c r="D339" s="60"/>
      <c r="E339" s="60"/>
      <c r="F339" s="2"/>
      <c r="G339" s="60"/>
      <c r="H339" s="60"/>
      <c r="I339" s="61"/>
      <c r="J339" s="61"/>
      <c r="K339" s="61"/>
      <c r="L339" s="61"/>
      <c r="M339" s="61"/>
      <c r="N339" s="61"/>
      <c r="O339" s="61"/>
      <c r="P339" s="61"/>
      <c r="Q339" s="61"/>
      <c r="R339" s="61"/>
      <c r="S339" s="61"/>
      <c r="T339" s="61"/>
      <c r="U339" s="7"/>
      <c r="V339" s="226"/>
      <c r="W339" s="9"/>
      <c r="X339" s="61"/>
      <c r="Y339" s="61"/>
      <c r="Z339" s="61"/>
      <c r="AA339" s="61"/>
      <c r="AB339" s="61"/>
      <c r="AC339" s="61"/>
      <c r="AD339" s="61"/>
      <c r="AE339" s="61"/>
      <c r="AF339" s="61"/>
      <c r="AG339" s="61"/>
      <c r="AH339" s="61"/>
      <c r="AI339" s="61"/>
      <c r="AJ339" s="9"/>
      <c r="AK339" s="226"/>
      <c r="AL339" s="10"/>
      <c r="AM339" s="137"/>
      <c r="AN339" s="7"/>
      <c r="AO339" s="7"/>
      <c r="AP339" s="7"/>
      <c r="AQ339" s="7"/>
      <c r="AR339" s="7"/>
      <c r="AS339" s="7"/>
    </row>
    <row r="340" ht="9.0" customHeight="1">
      <c r="A340" s="1"/>
      <c r="B340" s="2"/>
      <c r="C340" s="2"/>
      <c r="D340" s="60"/>
      <c r="E340" s="60"/>
      <c r="F340" s="2"/>
      <c r="G340" s="60"/>
      <c r="H340" s="60"/>
      <c r="I340" s="61"/>
      <c r="J340" s="61"/>
      <c r="K340" s="61"/>
      <c r="L340" s="61"/>
      <c r="M340" s="61"/>
      <c r="N340" s="61"/>
      <c r="O340" s="61"/>
      <c r="P340" s="61"/>
      <c r="Q340" s="61"/>
      <c r="R340" s="61"/>
      <c r="S340" s="61"/>
      <c r="T340" s="61"/>
      <c r="U340" s="7"/>
      <c r="V340" s="226"/>
      <c r="W340" s="9"/>
      <c r="X340" s="61"/>
      <c r="Y340" s="61"/>
      <c r="Z340" s="61"/>
      <c r="AA340" s="61"/>
      <c r="AB340" s="61"/>
      <c r="AC340" s="61"/>
      <c r="AD340" s="61"/>
      <c r="AE340" s="61"/>
      <c r="AF340" s="61"/>
      <c r="AG340" s="61"/>
      <c r="AH340" s="61"/>
      <c r="AI340" s="61"/>
      <c r="AJ340" s="9"/>
      <c r="AK340" s="226"/>
      <c r="AL340" s="10"/>
      <c r="AM340" s="137"/>
      <c r="AN340" s="7"/>
      <c r="AO340" s="7"/>
      <c r="AP340" s="7"/>
      <c r="AQ340" s="7"/>
      <c r="AR340" s="7"/>
      <c r="AS340" s="7"/>
    </row>
    <row r="341" ht="9.0" customHeight="1">
      <c r="A341" s="1"/>
      <c r="B341" s="2"/>
      <c r="C341" s="2"/>
      <c r="D341" s="60"/>
      <c r="E341" s="60"/>
      <c r="F341" s="2"/>
      <c r="G341" s="60"/>
      <c r="H341" s="60"/>
      <c r="I341" s="61"/>
      <c r="J341" s="61"/>
      <c r="K341" s="61"/>
      <c r="L341" s="61"/>
      <c r="M341" s="61"/>
      <c r="N341" s="61"/>
      <c r="O341" s="61"/>
      <c r="P341" s="61"/>
      <c r="Q341" s="61"/>
      <c r="R341" s="61"/>
      <c r="S341" s="61"/>
      <c r="T341" s="61"/>
      <c r="U341" s="7"/>
      <c r="V341" s="226"/>
      <c r="W341" s="9"/>
      <c r="X341" s="61"/>
      <c r="Y341" s="61"/>
      <c r="Z341" s="61"/>
      <c r="AA341" s="61"/>
      <c r="AB341" s="61"/>
      <c r="AC341" s="61"/>
      <c r="AD341" s="61"/>
      <c r="AE341" s="61"/>
      <c r="AF341" s="61"/>
      <c r="AG341" s="61"/>
      <c r="AH341" s="61"/>
      <c r="AI341" s="61"/>
      <c r="AJ341" s="9"/>
      <c r="AK341" s="226"/>
      <c r="AL341" s="10"/>
      <c r="AM341" s="137"/>
      <c r="AN341" s="7"/>
      <c r="AO341" s="7"/>
      <c r="AP341" s="7"/>
      <c r="AQ341" s="7"/>
      <c r="AR341" s="7"/>
      <c r="AS341" s="7"/>
    </row>
    <row r="342" ht="9.0" customHeight="1">
      <c r="A342" s="1"/>
      <c r="B342" s="2"/>
      <c r="C342" s="2"/>
      <c r="D342" s="60"/>
      <c r="E342" s="60"/>
      <c r="F342" s="2"/>
      <c r="G342" s="60"/>
      <c r="H342" s="60"/>
      <c r="I342" s="61"/>
      <c r="J342" s="61"/>
      <c r="K342" s="61"/>
      <c r="L342" s="61"/>
      <c r="M342" s="61"/>
      <c r="N342" s="61"/>
      <c r="O342" s="61"/>
      <c r="P342" s="61"/>
      <c r="Q342" s="61"/>
      <c r="R342" s="61"/>
      <c r="S342" s="61"/>
      <c r="T342" s="61"/>
      <c r="U342" s="7"/>
      <c r="V342" s="226"/>
      <c r="W342" s="9"/>
      <c r="X342" s="61"/>
      <c r="Y342" s="61"/>
      <c r="Z342" s="61"/>
      <c r="AA342" s="61"/>
      <c r="AB342" s="61"/>
      <c r="AC342" s="61"/>
      <c r="AD342" s="61"/>
      <c r="AE342" s="61"/>
      <c r="AF342" s="61"/>
      <c r="AG342" s="61"/>
      <c r="AH342" s="61"/>
      <c r="AI342" s="61"/>
      <c r="AJ342" s="9"/>
      <c r="AK342" s="226"/>
      <c r="AL342" s="10"/>
      <c r="AM342" s="137"/>
      <c r="AN342" s="7"/>
      <c r="AO342" s="7"/>
      <c r="AP342" s="7"/>
      <c r="AQ342" s="7"/>
      <c r="AR342" s="7"/>
      <c r="AS342" s="7"/>
    </row>
    <row r="343" ht="9.0" customHeight="1">
      <c r="A343" s="1"/>
      <c r="B343" s="2"/>
      <c r="C343" s="2"/>
      <c r="D343" s="60"/>
      <c r="E343" s="60"/>
      <c r="F343" s="2"/>
      <c r="G343" s="60"/>
      <c r="H343" s="60"/>
      <c r="I343" s="61"/>
      <c r="J343" s="61"/>
      <c r="K343" s="61"/>
      <c r="L343" s="61"/>
      <c r="M343" s="61"/>
      <c r="N343" s="61"/>
      <c r="O343" s="61"/>
      <c r="P343" s="61"/>
      <c r="Q343" s="61"/>
      <c r="R343" s="61"/>
      <c r="S343" s="61"/>
      <c r="T343" s="61"/>
      <c r="U343" s="7"/>
      <c r="V343" s="226"/>
      <c r="W343" s="9"/>
      <c r="X343" s="61"/>
      <c r="Y343" s="61"/>
      <c r="Z343" s="61"/>
      <c r="AA343" s="61"/>
      <c r="AB343" s="61"/>
      <c r="AC343" s="61"/>
      <c r="AD343" s="61"/>
      <c r="AE343" s="61"/>
      <c r="AF343" s="61"/>
      <c r="AG343" s="61"/>
      <c r="AH343" s="61"/>
      <c r="AI343" s="61"/>
      <c r="AJ343" s="9"/>
      <c r="AK343" s="226"/>
      <c r="AL343" s="10"/>
      <c r="AM343" s="137"/>
      <c r="AN343" s="7"/>
      <c r="AO343" s="7"/>
      <c r="AP343" s="7"/>
      <c r="AQ343" s="7"/>
      <c r="AR343" s="7"/>
      <c r="AS343" s="7"/>
    </row>
    <row r="344" ht="9.0" customHeight="1">
      <c r="A344" s="1"/>
      <c r="B344" s="2"/>
      <c r="C344" s="2"/>
      <c r="D344" s="60"/>
      <c r="E344" s="60"/>
      <c r="F344" s="2"/>
      <c r="G344" s="60"/>
      <c r="H344" s="60"/>
      <c r="I344" s="61"/>
      <c r="J344" s="61"/>
      <c r="K344" s="61"/>
      <c r="L344" s="61"/>
      <c r="M344" s="61"/>
      <c r="N344" s="61"/>
      <c r="O344" s="61"/>
      <c r="P344" s="61"/>
      <c r="Q344" s="61"/>
      <c r="R344" s="61"/>
      <c r="S344" s="61"/>
      <c r="T344" s="61"/>
      <c r="U344" s="7"/>
      <c r="V344" s="226"/>
      <c r="W344" s="9"/>
      <c r="X344" s="61"/>
      <c r="Y344" s="61"/>
      <c r="Z344" s="61"/>
      <c r="AA344" s="61"/>
      <c r="AB344" s="61"/>
      <c r="AC344" s="61"/>
      <c r="AD344" s="61"/>
      <c r="AE344" s="61"/>
      <c r="AF344" s="61"/>
      <c r="AG344" s="61"/>
      <c r="AH344" s="61"/>
      <c r="AI344" s="61"/>
      <c r="AJ344" s="9"/>
      <c r="AK344" s="226"/>
      <c r="AL344" s="10"/>
      <c r="AM344" s="137"/>
      <c r="AN344" s="7"/>
      <c r="AO344" s="7"/>
      <c r="AP344" s="7"/>
      <c r="AQ344" s="7"/>
      <c r="AR344" s="7"/>
      <c r="AS344" s="7"/>
    </row>
    <row r="345" ht="9.0" customHeight="1">
      <c r="A345" s="1"/>
      <c r="B345" s="2"/>
      <c r="C345" s="2"/>
      <c r="D345" s="60"/>
      <c r="E345" s="60"/>
      <c r="F345" s="2"/>
      <c r="G345" s="60"/>
      <c r="H345" s="60"/>
      <c r="I345" s="61"/>
      <c r="J345" s="61"/>
      <c r="K345" s="61"/>
      <c r="L345" s="61"/>
      <c r="M345" s="61"/>
      <c r="N345" s="61"/>
      <c r="O345" s="61"/>
      <c r="P345" s="61"/>
      <c r="Q345" s="61"/>
      <c r="R345" s="61"/>
      <c r="S345" s="61"/>
      <c r="T345" s="61"/>
      <c r="U345" s="7"/>
      <c r="V345" s="226"/>
      <c r="W345" s="9"/>
      <c r="X345" s="61"/>
      <c r="Y345" s="61"/>
      <c r="Z345" s="61"/>
      <c r="AA345" s="61"/>
      <c r="AB345" s="61"/>
      <c r="AC345" s="61"/>
      <c r="AD345" s="61"/>
      <c r="AE345" s="61"/>
      <c r="AF345" s="61"/>
      <c r="AG345" s="61"/>
      <c r="AH345" s="61"/>
      <c r="AI345" s="61"/>
      <c r="AJ345" s="9"/>
      <c r="AK345" s="226"/>
      <c r="AL345" s="10"/>
      <c r="AM345" s="137"/>
      <c r="AN345" s="7"/>
      <c r="AO345" s="7"/>
      <c r="AP345" s="7"/>
      <c r="AQ345" s="7"/>
      <c r="AR345" s="7"/>
      <c r="AS345" s="7"/>
    </row>
    <row r="346" ht="9.0" customHeight="1">
      <c r="A346" s="1"/>
      <c r="B346" s="2"/>
      <c r="C346" s="2"/>
      <c r="D346" s="60"/>
      <c r="E346" s="60"/>
      <c r="F346" s="2"/>
      <c r="G346" s="60"/>
      <c r="H346" s="60"/>
      <c r="I346" s="61"/>
      <c r="J346" s="61"/>
      <c r="K346" s="61"/>
      <c r="L346" s="61"/>
      <c r="M346" s="61"/>
      <c r="N346" s="61"/>
      <c r="O346" s="61"/>
      <c r="P346" s="61"/>
      <c r="Q346" s="61"/>
      <c r="R346" s="61"/>
      <c r="S346" s="61"/>
      <c r="T346" s="61"/>
      <c r="U346" s="7"/>
      <c r="V346" s="226"/>
      <c r="W346" s="9"/>
      <c r="X346" s="61"/>
      <c r="Y346" s="61"/>
      <c r="Z346" s="61"/>
      <c r="AA346" s="61"/>
      <c r="AB346" s="61"/>
      <c r="AC346" s="61"/>
      <c r="AD346" s="61"/>
      <c r="AE346" s="61"/>
      <c r="AF346" s="61"/>
      <c r="AG346" s="61"/>
      <c r="AH346" s="61"/>
      <c r="AI346" s="61"/>
      <c r="AJ346" s="9"/>
      <c r="AK346" s="226"/>
      <c r="AL346" s="10"/>
      <c r="AM346" s="137"/>
      <c r="AN346" s="7"/>
      <c r="AO346" s="7"/>
      <c r="AP346" s="7"/>
      <c r="AQ346" s="7"/>
      <c r="AR346" s="7"/>
      <c r="AS346" s="7"/>
    </row>
    <row r="347" ht="9.0" customHeight="1">
      <c r="A347" s="1"/>
      <c r="B347" s="2"/>
      <c r="C347" s="2"/>
      <c r="D347" s="60"/>
      <c r="E347" s="60"/>
      <c r="F347" s="2"/>
      <c r="G347" s="60"/>
      <c r="H347" s="60"/>
      <c r="I347" s="61"/>
      <c r="J347" s="61"/>
      <c r="K347" s="61"/>
      <c r="L347" s="61"/>
      <c r="M347" s="61"/>
      <c r="N347" s="61"/>
      <c r="O347" s="61"/>
      <c r="P347" s="61"/>
      <c r="Q347" s="61"/>
      <c r="R347" s="61"/>
      <c r="S347" s="61"/>
      <c r="T347" s="61"/>
      <c r="U347" s="7"/>
      <c r="V347" s="226"/>
      <c r="W347" s="9"/>
      <c r="X347" s="61"/>
      <c r="Y347" s="61"/>
      <c r="Z347" s="61"/>
      <c r="AA347" s="61"/>
      <c r="AB347" s="61"/>
      <c r="AC347" s="61"/>
      <c r="AD347" s="61"/>
      <c r="AE347" s="61"/>
      <c r="AF347" s="61"/>
      <c r="AG347" s="61"/>
      <c r="AH347" s="61"/>
      <c r="AI347" s="61"/>
      <c r="AJ347" s="9"/>
      <c r="AK347" s="226"/>
      <c r="AL347" s="10"/>
      <c r="AM347" s="137"/>
      <c r="AN347" s="7"/>
      <c r="AO347" s="7"/>
      <c r="AP347" s="7"/>
      <c r="AQ347" s="7"/>
      <c r="AR347" s="7"/>
      <c r="AS347" s="7"/>
    </row>
    <row r="348" ht="9.0" customHeight="1">
      <c r="A348" s="1"/>
      <c r="B348" s="2"/>
      <c r="C348" s="2"/>
      <c r="D348" s="60"/>
      <c r="E348" s="60"/>
      <c r="F348" s="2"/>
      <c r="G348" s="60"/>
      <c r="H348" s="60"/>
      <c r="I348" s="61"/>
      <c r="J348" s="61"/>
      <c r="K348" s="61"/>
      <c r="L348" s="61"/>
      <c r="M348" s="61"/>
      <c r="N348" s="61"/>
      <c r="O348" s="61"/>
      <c r="P348" s="61"/>
      <c r="Q348" s="61"/>
      <c r="R348" s="61"/>
      <c r="S348" s="61"/>
      <c r="T348" s="61"/>
      <c r="U348" s="7"/>
      <c r="V348" s="226"/>
      <c r="W348" s="9"/>
      <c r="X348" s="61"/>
      <c r="Y348" s="61"/>
      <c r="Z348" s="61"/>
      <c r="AA348" s="61"/>
      <c r="AB348" s="61"/>
      <c r="AC348" s="61"/>
      <c r="AD348" s="61"/>
      <c r="AE348" s="61"/>
      <c r="AF348" s="61"/>
      <c r="AG348" s="61"/>
      <c r="AH348" s="61"/>
      <c r="AI348" s="61"/>
      <c r="AJ348" s="9"/>
      <c r="AK348" s="226"/>
      <c r="AL348" s="10"/>
      <c r="AM348" s="137"/>
      <c r="AN348" s="7"/>
      <c r="AO348" s="7"/>
      <c r="AP348" s="7"/>
      <c r="AQ348" s="7"/>
      <c r="AR348" s="7"/>
      <c r="AS348" s="7"/>
    </row>
    <row r="349" ht="9.0" customHeight="1">
      <c r="A349" s="1"/>
      <c r="B349" s="2"/>
      <c r="C349" s="2"/>
      <c r="D349" s="60"/>
      <c r="E349" s="60"/>
      <c r="F349" s="2"/>
      <c r="G349" s="60"/>
      <c r="H349" s="60"/>
      <c r="I349" s="61"/>
      <c r="J349" s="61"/>
      <c r="K349" s="61"/>
      <c r="L349" s="61"/>
      <c r="M349" s="61"/>
      <c r="N349" s="61"/>
      <c r="O349" s="61"/>
      <c r="P349" s="61"/>
      <c r="Q349" s="61"/>
      <c r="R349" s="61"/>
      <c r="S349" s="61"/>
      <c r="T349" s="61"/>
      <c r="U349" s="7"/>
      <c r="V349" s="226"/>
      <c r="W349" s="9"/>
      <c r="X349" s="61"/>
      <c r="Y349" s="61"/>
      <c r="Z349" s="61"/>
      <c r="AA349" s="61"/>
      <c r="AB349" s="61"/>
      <c r="AC349" s="61"/>
      <c r="AD349" s="61"/>
      <c r="AE349" s="61"/>
      <c r="AF349" s="61"/>
      <c r="AG349" s="61"/>
      <c r="AH349" s="61"/>
      <c r="AI349" s="61"/>
      <c r="AJ349" s="9"/>
      <c r="AK349" s="226"/>
      <c r="AL349" s="10"/>
      <c r="AM349" s="137"/>
      <c r="AN349" s="7"/>
      <c r="AO349" s="7"/>
      <c r="AP349" s="7"/>
      <c r="AQ349" s="7"/>
      <c r="AR349" s="7"/>
      <c r="AS349" s="7"/>
    </row>
    <row r="350" ht="9.0" customHeight="1">
      <c r="A350" s="1"/>
      <c r="B350" s="2"/>
      <c r="C350" s="2"/>
      <c r="D350" s="60"/>
      <c r="E350" s="60"/>
      <c r="F350" s="2"/>
      <c r="G350" s="60"/>
      <c r="H350" s="60"/>
      <c r="I350" s="61"/>
      <c r="J350" s="61"/>
      <c r="K350" s="61"/>
      <c r="L350" s="61"/>
      <c r="M350" s="61"/>
      <c r="N350" s="61"/>
      <c r="O350" s="61"/>
      <c r="P350" s="61"/>
      <c r="Q350" s="61"/>
      <c r="R350" s="61"/>
      <c r="S350" s="61"/>
      <c r="T350" s="61"/>
      <c r="U350" s="7"/>
      <c r="V350" s="226"/>
      <c r="W350" s="9"/>
      <c r="X350" s="61"/>
      <c r="Y350" s="61"/>
      <c r="Z350" s="61"/>
      <c r="AA350" s="61"/>
      <c r="AB350" s="61"/>
      <c r="AC350" s="61"/>
      <c r="AD350" s="61"/>
      <c r="AE350" s="61"/>
      <c r="AF350" s="61"/>
      <c r="AG350" s="61"/>
      <c r="AH350" s="61"/>
      <c r="AI350" s="61"/>
      <c r="AJ350" s="9"/>
      <c r="AK350" s="226"/>
      <c r="AL350" s="10"/>
      <c r="AM350" s="137"/>
      <c r="AN350" s="7"/>
      <c r="AO350" s="7"/>
      <c r="AP350" s="7"/>
      <c r="AQ350" s="7"/>
      <c r="AR350" s="7"/>
      <c r="AS350" s="7"/>
    </row>
    <row r="351" ht="9.0" customHeight="1">
      <c r="A351" s="1"/>
      <c r="B351" s="2"/>
      <c r="C351" s="2"/>
      <c r="D351" s="60"/>
      <c r="E351" s="60"/>
      <c r="F351" s="2"/>
      <c r="G351" s="60"/>
      <c r="H351" s="60"/>
      <c r="I351" s="61"/>
      <c r="J351" s="61"/>
      <c r="K351" s="61"/>
      <c r="L351" s="61"/>
      <c r="M351" s="61"/>
      <c r="N351" s="61"/>
      <c r="O351" s="61"/>
      <c r="P351" s="61"/>
      <c r="Q351" s="61"/>
      <c r="R351" s="61"/>
      <c r="S351" s="61"/>
      <c r="T351" s="61"/>
      <c r="U351" s="7"/>
      <c r="V351" s="226"/>
      <c r="W351" s="9"/>
      <c r="X351" s="61"/>
      <c r="Y351" s="61"/>
      <c r="Z351" s="61"/>
      <c r="AA351" s="61"/>
      <c r="AB351" s="61"/>
      <c r="AC351" s="61"/>
      <c r="AD351" s="61"/>
      <c r="AE351" s="61"/>
      <c r="AF351" s="61"/>
      <c r="AG351" s="61"/>
      <c r="AH351" s="61"/>
      <c r="AI351" s="61"/>
      <c r="AJ351" s="9"/>
      <c r="AK351" s="226"/>
      <c r="AL351" s="10"/>
      <c r="AM351" s="137"/>
      <c r="AN351" s="7"/>
      <c r="AO351" s="7"/>
      <c r="AP351" s="7"/>
      <c r="AQ351" s="7"/>
      <c r="AR351" s="7"/>
      <c r="AS351" s="7"/>
    </row>
    <row r="352" ht="9.0" customHeight="1">
      <c r="A352" s="1"/>
      <c r="B352" s="2"/>
      <c r="C352" s="2"/>
      <c r="D352" s="60"/>
      <c r="E352" s="60"/>
      <c r="F352" s="2"/>
      <c r="G352" s="60"/>
      <c r="H352" s="60"/>
      <c r="I352" s="61"/>
      <c r="J352" s="61"/>
      <c r="K352" s="61"/>
      <c r="L352" s="61"/>
      <c r="M352" s="61"/>
      <c r="N352" s="61"/>
      <c r="O352" s="61"/>
      <c r="P352" s="61"/>
      <c r="Q352" s="61"/>
      <c r="R352" s="61"/>
      <c r="S352" s="61"/>
      <c r="T352" s="61"/>
      <c r="U352" s="7"/>
      <c r="V352" s="226"/>
      <c r="W352" s="9"/>
      <c r="X352" s="61"/>
      <c r="Y352" s="61"/>
      <c r="Z352" s="61"/>
      <c r="AA352" s="61"/>
      <c r="AB352" s="61"/>
      <c r="AC352" s="61"/>
      <c r="AD352" s="61"/>
      <c r="AE352" s="61"/>
      <c r="AF352" s="61"/>
      <c r="AG352" s="61"/>
      <c r="AH352" s="61"/>
      <c r="AI352" s="61"/>
      <c r="AJ352" s="9"/>
      <c r="AK352" s="226"/>
      <c r="AL352" s="10"/>
      <c r="AM352" s="137"/>
      <c r="AN352" s="7"/>
      <c r="AO352" s="7"/>
      <c r="AP352" s="7"/>
      <c r="AQ352" s="7"/>
      <c r="AR352" s="7"/>
      <c r="AS352" s="7"/>
    </row>
    <row r="353" ht="9.0" customHeight="1">
      <c r="A353" s="1"/>
      <c r="B353" s="2"/>
      <c r="C353" s="2"/>
      <c r="D353" s="60"/>
      <c r="E353" s="60"/>
      <c r="F353" s="2"/>
      <c r="G353" s="60"/>
      <c r="H353" s="60"/>
      <c r="I353" s="61"/>
      <c r="J353" s="61"/>
      <c r="K353" s="61"/>
      <c r="L353" s="61"/>
      <c r="M353" s="61"/>
      <c r="N353" s="61"/>
      <c r="O353" s="61"/>
      <c r="P353" s="61"/>
      <c r="Q353" s="61"/>
      <c r="R353" s="61"/>
      <c r="S353" s="61"/>
      <c r="T353" s="61"/>
      <c r="U353" s="7"/>
      <c r="V353" s="226"/>
      <c r="W353" s="9"/>
      <c r="X353" s="61"/>
      <c r="Y353" s="61"/>
      <c r="Z353" s="61"/>
      <c r="AA353" s="61"/>
      <c r="AB353" s="61"/>
      <c r="AC353" s="61"/>
      <c r="AD353" s="61"/>
      <c r="AE353" s="61"/>
      <c r="AF353" s="61"/>
      <c r="AG353" s="61"/>
      <c r="AH353" s="61"/>
      <c r="AI353" s="61"/>
      <c r="AJ353" s="9"/>
      <c r="AK353" s="226"/>
      <c r="AL353" s="10"/>
      <c r="AM353" s="137"/>
      <c r="AN353" s="7"/>
      <c r="AO353" s="7"/>
      <c r="AP353" s="7"/>
      <c r="AQ353" s="7"/>
      <c r="AR353" s="7"/>
      <c r="AS353" s="7"/>
    </row>
    <row r="354" ht="9.0" customHeight="1">
      <c r="A354" s="1"/>
      <c r="B354" s="2"/>
      <c r="C354" s="2"/>
      <c r="D354" s="60"/>
      <c r="E354" s="60"/>
      <c r="F354" s="2"/>
      <c r="G354" s="60"/>
      <c r="H354" s="60"/>
      <c r="I354" s="61"/>
      <c r="J354" s="61"/>
      <c r="K354" s="61"/>
      <c r="L354" s="61"/>
      <c r="M354" s="61"/>
      <c r="N354" s="61"/>
      <c r="O354" s="61"/>
      <c r="P354" s="61"/>
      <c r="Q354" s="61"/>
      <c r="R354" s="61"/>
      <c r="S354" s="61"/>
      <c r="T354" s="61"/>
      <c r="U354" s="7"/>
      <c r="V354" s="226"/>
      <c r="W354" s="9"/>
      <c r="X354" s="61"/>
      <c r="Y354" s="61"/>
      <c r="Z354" s="61"/>
      <c r="AA354" s="61"/>
      <c r="AB354" s="61"/>
      <c r="AC354" s="61"/>
      <c r="AD354" s="61"/>
      <c r="AE354" s="61"/>
      <c r="AF354" s="61"/>
      <c r="AG354" s="61"/>
      <c r="AH354" s="61"/>
      <c r="AI354" s="61"/>
      <c r="AJ354" s="9"/>
      <c r="AK354" s="226"/>
      <c r="AL354" s="10"/>
      <c r="AM354" s="137"/>
      <c r="AN354" s="7"/>
      <c r="AO354" s="7"/>
      <c r="AP354" s="7"/>
      <c r="AQ354" s="7"/>
      <c r="AR354" s="7"/>
      <c r="AS354" s="7"/>
    </row>
    <row r="355" ht="9.0" customHeight="1">
      <c r="A355" s="1"/>
      <c r="B355" s="2"/>
      <c r="C355" s="2"/>
      <c r="D355" s="60"/>
      <c r="E355" s="60"/>
      <c r="F355" s="2"/>
      <c r="G355" s="60"/>
      <c r="H355" s="60"/>
      <c r="I355" s="61"/>
      <c r="J355" s="61"/>
      <c r="K355" s="61"/>
      <c r="L355" s="61"/>
      <c r="M355" s="61"/>
      <c r="N355" s="61"/>
      <c r="O355" s="61"/>
      <c r="P355" s="61"/>
      <c r="Q355" s="61"/>
      <c r="R355" s="61"/>
      <c r="S355" s="61"/>
      <c r="T355" s="61"/>
      <c r="U355" s="7"/>
      <c r="V355" s="226"/>
      <c r="W355" s="9"/>
      <c r="X355" s="61"/>
      <c r="Y355" s="61"/>
      <c r="Z355" s="61"/>
      <c r="AA355" s="61"/>
      <c r="AB355" s="61"/>
      <c r="AC355" s="61"/>
      <c r="AD355" s="61"/>
      <c r="AE355" s="61"/>
      <c r="AF355" s="61"/>
      <c r="AG355" s="61"/>
      <c r="AH355" s="61"/>
      <c r="AI355" s="61"/>
      <c r="AJ355" s="9"/>
      <c r="AK355" s="226"/>
      <c r="AL355" s="10"/>
      <c r="AM355" s="137"/>
      <c r="AN355" s="7"/>
      <c r="AO355" s="7"/>
      <c r="AP355" s="7"/>
      <c r="AQ355" s="7"/>
      <c r="AR355" s="7"/>
      <c r="AS355" s="7"/>
    </row>
    <row r="356" ht="9.0" customHeight="1">
      <c r="A356" s="1"/>
      <c r="B356" s="2"/>
      <c r="C356" s="2"/>
      <c r="D356" s="60"/>
      <c r="E356" s="60"/>
      <c r="F356" s="2"/>
      <c r="G356" s="60"/>
      <c r="H356" s="60"/>
      <c r="I356" s="61"/>
      <c r="J356" s="61"/>
      <c r="K356" s="61"/>
      <c r="L356" s="61"/>
      <c r="M356" s="61"/>
      <c r="N356" s="61"/>
      <c r="O356" s="61"/>
      <c r="P356" s="61"/>
      <c r="Q356" s="61"/>
      <c r="R356" s="61"/>
      <c r="S356" s="61"/>
      <c r="T356" s="61"/>
      <c r="U356" s="7"/>
      <c r="V356" s="226"/>
      <c r="W356" s="9"/>
      <c r="X356" s="61"/>
      <c r="Y356" s="61"/>
      <c r="Z356" s="61"/>
      <c r="AA356" s="61"/>
      <c r="AB356" s="61"/>
      <c r="AC356" s="61"/>
      <c r="AD356" s="61"/>
      <c r="AE356" s="61"/>
      <c r="AF356" s="61"/>
      <c r="AG356" s="61"/>
      <c r="AH356" s="61"/>
      <c r="AI356" s="61"/>
      <c r="AJ356" s="9"/>
      <c r="AK356" s="226"/>
      <c r="AL356" s="10"/>
      <c r="AM356" s="137"/>
      <c r="AN356" s="7"/>
      <c r="AO356" s="7"/>
      <c r="AP356" s="7"/>
      <c r="AQ356" s="7"/>
      <c r="AR356" s="7"/>
      <c r="AS356" s="7"/>
    </row>
    <row r="357" ht="9.0" customHeight="1">
      <c r="A357" s="1"/>
      <c r="B357" s="2"/>
      <c r="C357" s="2"/>
      <c r="D357" s="60"/>
      <c r="E357" s="60"/>
      <c r="F357" s="2"/>
      <c r="G357" s="60"/>
      <c r="H357" s="60"/>
      <c r="I357" s="61"/>
      <c r="J357" s="61"/>
      <c r="K357" s="61"/>
      <c r="L357" s="61"/>
      <c r="M357" s="61"/>
      <c r="N357" s="61"/>
      <c r="O357" s="61"/>
      <c r="P357" s="61"/>
      <c r="Q357" s="61"/>
      <c r="R357" s="61"/>
      <c r="S357" s="61"/>
      <c r="T357" s="61"/>
      <c r="U357" s="7"/>
      <c r="V357" s="226"/>
      <c r="W357" s="9"/>
      <c r="X357" s="61"/>
      <c r="Y357" s="61"/>
      <c r="Z357" s="61"/>
      <c r="AA357" s="61"/>
      <c r="AB357" s="61"/>
      <c r="AC357" s="61"/>
      <c r="AD357" s="61"/>
      <c r="AE357" s="61"/>
      <c r="AF357" s="61"/>
      <c r="AG357" s="61"/>
      <c r="AH357" s="61"/>
      <c r="AI357" s="61"/>
      <c r="AJ357" s="9"/>
      <c r="AK357" s="226"/>
      <c r="AL357" s="10"/>
      <c r="AM357" s="137"/>
      <c r="AN357" s="7"/>
      <c r="AO357" s="7"/>
      <c r="AP357" s="7"/>
      <c r="AQ357" s="7"/>
      <c r="AR357" s="7"/>
      <c r="AS357" s="7"/>
    </row>
    <row r="358" ht="9.0" customHeight="1">
      <c r="A358" s="1"/>
      <c r="B358" s="2"/>
      <c r="C358" s="2"/>
      <c r="D358" s="60"/>
      <c r="E358" s="60"/>
      <c r="F358" s="2"/>
      <c r="G358" s="60"/>
      <c r="H358" s="60"/>
      <c r="I358" s="61"/>
      <c r="J358" s="61"/>
      <c r="K358" s="61"/>
      <c r="L358" s="61"/>
      <c r="M358" s="61"/>
      <c r="N358" s="61"/>
      <c r="O358" s="61"/>
      <c r="P358" s="61"/>
      <c r="Q358" s="61"/>
      <c r="R358" s="61"/>
      <c r="S358" s="61"/>
      <c r="T358" s="61"/>
      <c r="U358" s="7"/>
      <c r="V358" s="226"/>
      <c r="W358" s="9"/>
      <c r="X358" s="61"/>
      <c r="Y358" s="61"/>
      <c r="Z358" s="61"/>
      <c r="AA358" s="61"/>
      <c r="AB358" s="61"/>
      <c r="AC358" s="61"/>
      <c r="AD358" s="61"/>
      <c r="AE358" s="61"/>
      <c r="AF358" s="61"/>
      <c r="AG358" s="61"/>
      <c r="AH358" s="61"/>
      <c r="AI358" s="61"/>
      <c r="AJ358" s="9"/>
      <c r="AK358" s="226"/>
      <c r="AL358" s="10"/>
      <c r="AM358" s="137"/>
      <c r="AN358" s="7"/>
      <c r="AO358" s="7"/>
      <c r="AP358" s="7"/>
      <c r="AQ358" s="7"/>
      <c r="AR358" s="7"/>
      <c r="AS358" s="7"/>
    </row>
    <row r="359" ht="9.0" customHeight="1">
      <c r="A359" s="1"/>
      <c r="B359" s="2"/>
      <c r="C359" s="2"/>
      <c r="D359" s="60"/>
      <c r="E359" s="60"/>
      <c r="F359" s="2"/>
      <c r="G359" s="60"/>
      <c r="H359" s="60"/>
      <c r="I359" s="61"/>
      <c r="J359" s="61"/>
      <c r="K359" s="61"/>
      <c r="L359" s="61"/>
      <c r="M359" s="61"/>
      <c r="N359" s="61"/>
      <c r="O359" s="61"/>
      <c r="P359" s="61"/>
      <c r="Q359" s="61"/>
      <c r="R359" s="61"/>
      <c r="S359" s="61"/>
      <c r="T359" s="61"/>
      <c r="U359" s="7"/>
      <c r="V359" s="226"/>
      <c r="W359" s="9"/>
      <c r="X359" s="61"/>
      <c r="Y359" s="61"/>
      <c r="Z359" s="61"/>
      <c r="AA359" s="61"/>
      <c r="AB359" s="61"/>
      <c r="AC359" s="61"/>
      <c r="AD359" s="61"/>
      <c r="AE359" s="61"/>
      <c r="AF359" s="61"/>
      <c r="AG359" s="61"/>
      <c r="AH359" s="61"/>
      <c r="AI359" s="61"/>
      <c r="AJ359" s="9"/>
      <c r="AK359" s="226"/>
      <c r="AL359" s="10"/>
      <c r="AM359" s="137"/>
      <c r="AN359" s="7"/>
      <c r="AO359" s="7"/>
      <c r="AP359" s="7"/>
      <c r="AQ359" s="7"/>
      <c r="AR359" s="7"/>
      <c r="AS359" s="7"/>
    </row>
    <row r="360" ht="9.0" customHeight="1">
      <c r="A360" s="1"/>
      <c r="B360" s="2"/>
      <c r="C360" s="2"/>
      <c r="D360" s="60"/>
      <c r="E360" s="60"/>
      <c r="F360" s="2"/>
      <c r="G360" s="60"/>
      <c r="H360" s="60"/>
      <c r="I360" s="61"/>
      <c r="J360" s="61"/>
      <c r="K360" s="61"/>
      <c r="L360" s="61"/>
      <c r="M360" s="61"/>
      <c r="N360" s="61"/>
      <c r="O360" s="61"/>
      <c r="P360" s="61"/>
      <c r="Q360" s="61"/>
      <c r="R360" s="61"/>
      <c r="S360" s="61"/>
      <c r="T360" s="61"/>
      <c r="U360" s="7"/>
      <c r="V360" s="226"/>
      <c r="W360" s="9"/>
      <c r="X360" s="61"/>
      <c r="Y360" s="61"/>
      <c r="Z360" s="61"/>
      <c r="AA360" s="61"/>
      <c r="AB360" s="61"/>
      <c r="AC360" s="61"/>
      <c r="AD360" s="61"/>
      <c r="AE360" s="61"/>
      <c r="AF360" s="61"/>
      <c r="AG360" s="61"/>
      <c r="AH360" s="61"/>
      <c r="AI360" s="61"/>
      <c r="AJ360" s="9"/>
      <c r="AK360" s="226"/>
      <c r="AL360" s="10"/>
      <c r="AM360" s="137"/>
      <c r="AN360" s="7"/>
      <c r="AO360" s="7"/>
      <c r="AP360" s="7"/>
      <c r="AQ360" s="7"/>
      <c r="AR360" s="7"/>
      <c r="AS360" s="7"/>
    </row>
    <row r="361" ht="9.0" customHeight="1">
      <c r="A361" s="1"/>
      <c r="B361" s="2"/>
      <c r="C361" s="2"/>
      <c r="D361" s="60"/>
      <c r="E361" s="60"/>
      <c r="F361" s="2"/>
      <c r="G361" s="60"/>
      <c r="H361" s="60"/>
      <c r="I361" s="61"/>
      <c r="J361" s="61"/>
      <c r="K361" s="61"/>
      <c r="L361" s="61"/>
      <c r="M361" s="61"/>
      <c r="N361" s="61"/>
      <c r="O361" s="61"/>
      <c r="P361" s="61"/>
      <c r="Q361" s="61"/>
      <c r="R361" s="61"/>
      <c r="S361" s="61"/>
      <c r="T361" s="61"/>
      <c r="U361" s="7"/>
      <c r="V361" s="226"/>
      <c r="W361" s="9"/>
      <c r="X361" s="61"/>
      <c r="Y361" s="61"/>
      <c r="Z361" s="61"/>
      <c r="AA361" s="61"/>
      <c r="AB361" s="61"/>
      <c r="AC361" s="61"/>
      <c r="AD361" s="61"/>
      <c r="AE361" s="61"/>
      <c r="AF361" s="61"/>
      <c r="AG361" s="61"/>
      <c r="AH361" s="61"/>
      <c r="AI361" s="61"/>
      <c r="AJ361" s="9"/>
      <c r="AK361" s="226"/>
      <c r="AL361" s="10"/>
      <c r="AM361" s="137"/>
      <c r="AN361" s="7"/>
      <c r="AO361" s="7"/>
      <c r="AP361" s="7"/>
      <c r="AQ361" s="7"/>
      <c r="AR361" s="7"/>
      <c r="AS361" s="7"/>
    </row>
    <row r="362" ht="9.0" customHeight="1">
      <c r="A362" s="1"/>
      <c r="B362" s="2"/>
      <c r="C362" s="2"/>
      <c r="D362" s="60"/>
      <c r="E362" s="60"/>
      <c r="F362" s="2"/>
      <c r="G362" s="60"/>
      <c r="H362" s="60"/>
      <c r="I362" s="61"/>
      <c r="J362" s="61"/>
      <c r="K362" s="61"/>
      <c r="L362" s="61"/>
      <c r="M362" s="61"/>
      <c r="N362" s="61"/>
      <c r="O362" s="61"/>
      <c r="P362" s="61"/>
      <c r="Q362" s="61"/>
      <c r="R362" s="61"/>
      <c r="S362" s="61"/>
      <c r="T362" s="61"/>
      <c r="U362" s="7"/>
      <c r="V362" s="226"/>
      <c r="W362" s="9"/>
      <c r="X362" s="61"/>
      <c r="Y362" s="61"/>
      <c r="Z362" s="61"/>
      <c r="AA362" s="61"/>
      <c r="AB362" s="61"/>
      <c r="AC362" s="61"/>
      <c r="AD362" s="61"/>
      <c r="AE362" s="61"/>
      <c r="AF362" s="61"/>
      <c r="AG362" s="61"/>
      <c r="AH362" s="61"/>
      <c r="AI362" s="61"/>
      <c r="AJ362" s="9"/>
      <c r="AK362" s="226"/>
      <c r="AL362" s="10"/>
      <c r="AM362" s="137"/>
      <c r="AN362" s="7"/>
      <c r="AO362" s="7"/>
      <c r="AP362" s="7"/>
      <c r="AQ362" s="7"/>
      <c r="AR362" s="7"/>
      <c r="AS362" s="7"/>
    </row>
    <row r="363" ht="9.0" customHeight="1">
      <c r="A363" s="1"/>
      <c r="B363" s="2"/>
      <c r="C363" s="2"/>
      <c r="D363" s="60"/>
      <c r="E363" s="60"/>
      <c r="F363" s="2"/>
      <c r="G363" s="60"/>
      <c r="H363" s="60"/>
      <c r="I363" s="61"/>
      <c r="J363" s="61"/>
      <c r="K363" s="61"/>
      <c r="L363" s="61"/>
      <c r="M363" s="61"/>
      <c r="N363" s="61"/>
      <c r="O363" s="61"/>
      <c r="P363" s="61"/>
      <c r="Q363" s="61"/>
      <c r="R363" s="61"/>
      <c r="S363" s="61"/>
      <c r="T363" s="61"/>
      <c r="U363" s="7"/>
      <c r="V363" s="226"/>
      <c r="W363" s="9"/>
      <c r="X363" s="61"/>
      <c r="Y363" s="61"/>
      <c r="Z363" s="61"/>
      <c r="AA363" s="61"/>
      <c r="AB363" s="61"/>
      <c r="AC363" s="61"/>
      <c r="AD363" s="61"/>
      <c r="AE363" s="61"/>
      <c r="AF363" s="61"/>
      <c r="AG363" s="61"/>
      <c r="AH363" s="61"/>
      <c r="AI363" s="61"/>
      <c r="AJ363" s="9"/>
      <c r="AK363" s="226"/>
      <c r="AL363" s="10"/>
      <c r="AM363" s="137"/>
      <c r="AN363" s="7"/>
      <c r="AO363" s="7"/>
      <c r="AP363" s="7"/>
      <c r="AQ363" s="7"/>
      <c r="AR363" s="7"/>
      <c r="AS363" s="7"/>
    </row>
    <row r="364" ht="9.0" customHeight="1">
      <c r="A364" s="1"/>
      <c r="B364" s="2"/>
      <c r="C364" s="2"/>
      <c r="D364" s="60"/>
      <c r="E364" s="60"/>
      <c r="F364" s="2"/>
      <c r="G364" s="60"/>
      <c r="H364" s="60"/>
      <c r="I364" s="61"/>
      <c r="J364" s="61"/>
      <c r="K364" s="61"/>
      <c r="L364" s="61"/>
      <c r="M364" s="61"/>
      <c r="N364" s="61"/>
      <c r="O364" s="61"/>
      <c r="P364" s="61"/>
      <c r="Q364" s="61"/>
      <c r="R364" s="61"/>
      <c r="S364" s="61"/>
      <c r="T364" s="61"/>
      <c r="U364" s="7"/>
      <c r="V364" s="226"/>
      <c r="W364" s="9"/>
      <c r="X364" s="61"/>
      <c r="Y364" s="61"/>
      <c r="Z364" s="61"/>
      <c r="AA364" s="61"/>
      <c r="AB364" s="61"/>
      <c r="AC364" s="61"/>
      <c r="AD364" s="61"/>
      <c r="AE364" s="61"/>
      <c r="AF364" s="61"/>
      <c r="AG364" s="61"/>
      <c r="AH364" s="61"/>
      <c r="AI364" s="61"/>
      <c r="AJ364" s="9"/>
      <c r="AK364" s="226"/>
      <c r="AL364" s="10"/>
      <c r="AM364" s="137"/>
      <c r="AN364" s="7"/>
      <c r="AO364" s="7"/>
      <c r="AP364" s="7"/>
      <c r="AQ364" s="7"/>
      <c r="AR364" s="7"/>
      <c r="AS364" s="7"/>
    </row>
    <row r="365" ht="9.0" customHeight="1">
      <c r="A365" s="1"/>
      <c r="B365" s="2"/>
      <c r="C365" s="2"/>
      <c r="D365" s="60"/>
      <c r="E365" s="60"/>
      <c r="F365" s="2"/>
      <c r="G365" s="60"/>
      <c r="H365" s="60"/>
      <c r="I365" s="61"/>
      <c r="J365" s="61"/>
      <c r="K365" s="61"/>
      <c r="L365" s="61"/>
      <c r="M365" s="61"/>
      <c r="N365" s="61"/>
      <c r="O365" s="61"/>
      <c r="P365" s="61"/>
      <c r="Q365" s="61"/>
      <c r="R365" s="61"/>
      <c r="S365" s="61"/>
      <c r="T365" s="61"/>
      <c r="U365" s="7"/>
      <c r="V365" s="226"/>
      <c r="W365" s="9"/>
      <c r="X365" s="61"/>
      <c r="Y365" s="61"/>
      <c r="Z365" s="61"/>
      <c r="AA365" s="61"/>
      <c r="AB365" s="61"/>
      <c r="AC365" s="61"/>
      <c r="AD365" s="61"/>
      <c r="AE365" s="61"/>
      <c r="AF365" s="61"/>
      <c r="AG365" s="61"/>
      <c r="AH365" s="61"/>
      <c r="AI365" s="61"/>
      <c r="AJ365" s="9"/>
      <c r="AK365" s="226"/>
      <c r="AL365" s="10"/>
      <c r="AM365" s="137"/>
      <c r="AN365" s="7"/>
      <c r="AO365" s="7"/>
      <c r="AP365" s="7"/>
      <c r="AQ365" s="7"/>
      <c r="AR365" s="7"/>
      <c r="AS365" s="7"/>
    </row>
    <row r="366" ht="9.0" customHeight="1">
      <c r="A366" s="1"/>
      <c r="B366" s="2"/>
      <c r="C366" s="2"/>
      <c r="D366" s="60"/>
      <c r="E366" s="60"/>
      <c r="F366" s="2"/>
      <c r="G366" s="60"/>
      <c r="H366" s="60"/>
      <c r="I366" s="61"/>
      <c r="J366" s="61"/>
      <c r="K366" s="61"/>
      <c r="L366" s="61"/>
      <c r="M366" s="61"/>
      <c r="N366" s="61"/>
      <c r="O366" s="61"/>
      <c r="P366" s="61"/>
      <c r="Q366" s="61"/>
      <c r="R366" s="61"/>
      <c r="S366" s="61"/>
      <c r="T366" s="61"/>
      <c r="U366" s="7"/>
      <c r="V366" s="226"/>
      <c r="W366" s="9"/>
      <c r="X366" s="61"/>
      <c r="Y366" s="61"/>
      <c r="Z366" s="61"/>
      <c r="AA366" s="61"/>
      <c r="AB366" s="61"/>
      <c r="AC366" s="61"/>
      <c r="AD366" s="61"/>
      <c r="AE366" s="61"/>
      <c r="AF366" s="61"/>
      <c r="AG366" s="61"/>
      <c r="AH366" s="61"/>
      <c r="AI366" s="61"/>
      <c r="AJ366" s="9"/>
      <c r="AK366" s="226"/>
      <c r="AL366" s="10"/>
      <c r="AM366" s="137"/>
      <c r="AN366" s="7"/>
      <c r="AO366" s="7"/>
      <c r="AP366" s="7"/>
      <c r="AQ366" s="7"/>
      <c r="AR366" s="7"/>
      <c r="AS366" s="7"/>
    </row>
    <row r="367" ht="9.0" customHeight="1">
      <c r="A367" s="1"/>
      <c r="B367" s="2"/>
      <c r="C367" s="2"/>
      <c r="D367" s="60"/>
      <c r="E367" s="60"/>
      <c r="F367" s="2"/>
      <c r="G367" s="60"/>
      <c r="H367" s="60"/>
      <c r="I367" s="61"/>
      <c r="J367" s="61"/>
      <c r="K367" s="61"/>
      <c r="L367" s="61"/>
      <c r="M367" s="61"/>
      <c r="N367" s="61"/>
      <c r="O367" s="61"/>
      <c r="P367" s="61"/>
      <c r="Q367" s="61"/>
      <c r="R367" s="61"/>
      <c r="S367" s="61"/>
      <c r="T367" s="61"/>
      <c r="U367" s="7"/>
      <c r="V367" s="226"/>
      <c r="W367" s="9"/>
      <c r="X367" s="61"/>
      <c r="Y367" s="61"/>
      <c r="Z367" s="61"/>
      <c r="AA367" s="61"/>
      <c r="AB367" s="61"/>
      <c r="AC367" s="61"/>
      <c r="AD367" s="61"/>
      <c r="AE367" s="61"/>
      <c r="AF367" s="61"/>
      <c r="AG367" s="61"/>
      <c r="AH367" s="61"/>
      <c r="AI367" s="61"/>
      <c r="AJ367" s="9"/>
      <c r="AK367" s="226"/>
      <c r="AL367" s="10"/>
      <c r="AM367" s="137"/>
      <c r="AN367" s="7"/>
      <c r="AO367" s="7"/>
      <c r="AP367" s="7"/>
      <c r="AQ367" s="7"/>
      <c r="AR367" s="7"/>
      <c r="AS367" s="7"/>
    </row>
    <row r="368" ht="9.0" customHeight="1">
      <c r="A368" s="1"/>
      <c r="B368" s="2"/>
      <c r="C368" s="2"/>
      <c r="D368" s="60"/>
      <c r="E368" s="60"/>
      <c r="F368" s="2"/>
      <c r="G368" s="60"/>
      <c r="H368" s="60"/>
      <c r="I368" s="61"/>
      <c r="J368" s="61"/>
      <c r="K368" s="61"/>
      <c r="L368" s="61"/>
      <c r="M368" s="61"/>
      <c r="N368" s="61"/>
      <c r="O368" s="61"/>
      <c r="P368" s="61"/>
      <c r="Q368" s="61"/>
      <c r="R368" s="61"/>
      <c r="S368" s="61"/>
      <c r="T368" s="61"/>
      <c r="U368" s="7"/>
      <c r="V368" s="226"/>
      <c r="W368" s="9"/>
      <c r="X368" s="61"/>
      <c r="Y368" s="61"/>
      <c r="Z368" s="61"/>
      <c r="AA368" s="61"/>
      <c r="AB368" s="61"/>
      <c r="AC368" s="61"/>
      <c r="AD368" s="61"/>
      <c r="AE368" s="61"/>
      <c r="AF368" s="61"/>
      <c r="AG368" s="61"/>
      <c r="AH368" s="61"/>
      <c r="AI368" s="61"/>
      <c r="AJ368" s="9"/>
      <c r="AK368" s="226"/>
      <c r="AL368" s="10"/>
      <c r="AM368" s="137"/>
      <c r="AN368" s="7"/>
      <c r="AO368" s="7"/>
      <c r="AP368" s="7"/>
      <c r="AQ368" s="7"/>
      <c r="AR368" s="7"/>
      <c r="AS368" s="7"/>
    </row>
    <row r="369" ht="9.0" customHeight="1">
      <c r="A369" s="1"/>
      <c r="B369" s="2"/>
      <c r="C369" s="2"/>
      <c r="D369" s="60"/>
      <c r="E369" s="60"/>
      <c r="F369" s="2"/>
      <c r="G369" s="60"/>
      <c r="H369" s="60"/>
      <c r="I369" s="61"/>
      <c r="J369" s="61"/>
      <c r="K369" s="61"/>
      <c r="L369" s="61"/>
      <c r="M369" s="61"/>
      <c r="N369" s="61"/>
      <c r="O369" s="61"/>
      <c r="P369" s="61"/>
      <c r="Q369" s="61"/>
      <c r="R369" s="61"/>
      <c r="S369" s="61"/>
      <c r="T369" s="61"/>
      <c r="U369" s="7"/>
      <c r="V369" s="226"/>
      <c r="W369" s="9"/>
      <c r="X369" s="61"/>
      <c r="Y369" s="61"/>
      <c r="Z369" s="61"/>
      <c r="AA369" s="61"/>
      <c r="AB369" s="61"/>
      <c r="AC369" s="61"/>
      <c r="AD369" s="61"/>
      <c r="AE369" s="61"/>
      <c r="AF369" s="61"/>
      <c r="AG369" s="61"/>
      <c r="AH369" s="61"/>
      <c r="AI369" s="61"/>
      <c r="AJ369" s="9"/>
      <c r="AK369" s="226"/>
      <c r="AL369" s="10"/>
      <c r="AM369" s="137"/>
      <c r="AN369" s="7"/>
      <c r="AO369" s="7"/>
      <c r="AP369" s="7"/>
      <c r="AQ369" s="7"/>
      <c r="AR369" s="7"/>
      <c r="AS369" s="7"/>
    </row>
    <row r="370" ht="9.0" customHeight="1">
      <c r="A370" s="1"/>
      <c r="B370" s="2"/>
      <c r="C370" s="2"/>
      <c r="D370" s="60"/>
      <c r="E370" s="60"/>
      <c r="F370" s="2"/>
      <c r="G370" s="60"/>
      <c r="H370" s="60"/>
      <c r="I370" s="61"/>
      <c r="J370" s="61"/>
      <c r="K370" s="61"/>
      <c r="L370" s="61"/>
      <c r="M370" s="61"/>
      <c r="N370" s="61"/>
      <c r="O370" s="61"/>
      <c r="P370" s="61"/>
      <c r="Q370" s="61"/>
      <c r="R370" s="61"/>
      <c r="S370" s="61"/>
      <c r="T370" s="61"/>
      <c r="U370" s="7"/>
      <c r="V370" s="226"/>
      <c r="W370" s="9"/>
      <c r="X370" s="61"/>
      <c r="Y370" s="61"/>
      <c r="Z370" s="61"/>
      <c r="AA370" s="61"/>
      <c r="AB370" s="61"/>
      <c r="AC370" s="61"/>
      <c r="AD370" s="61"/>
      <c r="AE370" s="61"/>
      <c r="AF370" s="61"/>
      <c r="AG370" s="61"/>
      <c r="AH370" s="61"/>
      <c r="AI370" s="61"/>
      <c r="AJ370" s="9"/>
      <c r="AK370" s="226"/>
      <c r="AL370" s="10"/>
      <c r="AM370" s="137"/>
      <c r="AN370" s="7"/>
      <c r="AO370" s="7"/>
      <c r="AP370" s="7"/>
      <c r="AQ370" s="7"/>
      <c r="AR370" s="7"/>
      <c r="AS370" s="7"/>
    </row>
    <row r="371" ht="9.0" customHeight="1">
      <c r="A371" s="1"/>
      <c r="B371" s="2"/>
      <c r="C371" s="2"/>
      <c r="D371" s="60"/>
      <c r="E371" s="60"/>
      <c r="F371" s="2"/>
      <c r="G371" s="60"/>
      <c r="H371" s="60"/>
      <c r="I371" s="61"/>
      <c r="J371" s="61"/>
      <c r="K371" s="61"/>
      <c r="L371" s="61"/>
      <c r="M371" s="61"/>
      <c r="N371" s="61"/>
      <c r="O371" s="61"/>
      <c r="P371" s="61"/>
      <c r="Q371" s="61"/>
      <c r="R371" s="61"/>
      <c r="S371" s="61"/>
      <c r="T371" s="61"/>
      <c r="U371" s="7"/>
      <c r="V371" s="226"/>
      <c r="W371" s="9"/>
      <c r="X371" s="61"/>
      <c r="Y371" s="61"/>
      <c r="Z371" s="61"/>
      <c r="AA371" s="61"/>
      <c r="AB371" s="61"/>
      <c r="AC371" s="61"/>
      <c r="AD371" s="61"/>
      <c r="AE371" s="61"/>
      <c r="AF371" s="61"/>
      <c r="AG371" s="61"/>
      <c r="AH371" s="61"/>
      <c r="AI371" s="61"/>
      <c r="AJ371" s="9"/>
      <c r="AK371" s="226"/>
      <c r="AL371" s="10"/>
      <c r="AM371" s="137"/>
      <c r="AN371" s="7"/>
      <c r="AO371" s="7"/>
      <c r="AP371" s="7"/>
      <c r="AQ371" s="7"/>
      <c r="AR371" s="7"/>
      <c r="AS371" s="7"/>
    </row>
    <row r="372" ht="9.0" customHeight="1">
      <c r="A372" s="1"/>
      <c r="B372" s="2"/>
      <c r="C372" s="2"/>
      <c r="D372" s="60"/>
      <c r="E372" s="60"/>
      <c r="F372" s="2"/>
      <c r="G372" s="60"/>
      <c r="H372" s="60"/>
      <c r="I372" s="61"/>
      <c r="J372" s="61"/>
      <c r="K372" s="61"/>
      <c r="L372" s="61"/>
      <c r="M372" s="61"/>
      <c r="N372" s="61"/>
      <c r="O372" s="61"/>
      <c r="P372" s="61"/>
      <c r="Q372" s="61"/>
      <c r="R372" s="61"/>
      <c r="S372" s="61"/>
      <c r="T372" s="61"/>
      <c r="U372" s="7"/>
      <c r="V372" s="226"/>
      <c r="W372" s="9"/>
      <c r="X372" s="61"/>
      <c r="Y372" s="61"/>
      <c r="Z372" s="61"/>
      <c r="AA372" s="61"/>
      <c r="AB372" s="61"/>
      <c r="AC372" s="61"/>
      <c r="AD372" s="61"/>
      <c r="AE372" s="61"/>
      <c r="AF372" s="61"/>
      <c r="AG372" s="61"/>
      <c r="AH372" s="61"/>
      <c r="AI372" s="61"/>
      <c r="AJ372" s="9"/>
      <c r="AK372" s="226"/>
      <c r="AL372" s="10"/>
      <c r="AM372" s="137"/>
      <c r="AN372" s="7"/>
      <c r="AO372" s="7"/>
      <c r="AP372" s="7"/>
      <c r="AQ372" s="7"/>
      <c r="AR372" s="7"/>
      <c r="AS372" s="7"/>
    </row>
    <row r="373" ht="9.0" customHeight="1">
      <c r="A373" s="1"/>
      <c r="B373" s="2"/>
      <c r="C373" s="2"/>
      <c r="D373" s="60"/>
      <c r="E373" s="60"/>
      <c r="F373" s="2"/>
      <c r="G373" s="60"/>
      <c r="H373" s="60"/>
      <c r="I373" s="61"/>
      <c r="J373" s="61"/>
      <c r="K373" s="61"/>
      <c r="L373" s="61"/>
      <c r="M373" s="61"/>
      <c r="N373" s="61"/>
      <c r="O373" s="61"/>
      <c r="P373" s="61"/>
      <c r="Q373" s="61"/>
      <c r="R373" s="61"/>
      <c r="S373" s="61"/>
      <c r="T373" s="61"/>
      <c r="U373" s="7"/>
      <c r="V373" s="226"/>
      <c r="W373" s="9"/>
      <c r="X373" s="61"/>
      <c r="Y373" s="61"/>
      <c r="Z373" s="61"/>
      <c r="AA373" s="61"/>
      <c r="AB373" s="61"/>
      <c r="AC373" s="61"/>
      <c r="AD373" s="61"/>
      <c r="AE373" s="61"/>
      <c r="AF373" s="61"/>
      <c r="AG373" s="61"/>
      <c r="AH373" s="61"/>
      <c r="AI373" s="61"/>
      <c r="AJ373" s="9"/>
      <c r="AK373" s="226"/>
      <c r="AL373" s="10"/>
      <c r="AM373" s="137"/>
      <c r="AN373" s="7"/>
      <c r="AO373" s="7"/>
      <c r="AP373" s="7"/>
      <c r="AQ373" s="7"/>
      <c r="AR373" s="7"/>
      <c r="AS373" s="7"/>
    </row>
    <row r="374" ht="9.0" customHeight="1">
      <c r="A374" s="1"/>
      <c r="B374" s="2"/>
      <c r="C374" s="2"/>
      <c r="D374" s="60"/>
      <c r="E374" s="60"/>
      <c r="F374" s="2"/>
      <c r="G374" s="60"/>
      <c r="H374" s="60"/>
      <c r="I374" s="61"/>
      <c r="J374" s="61"/>
      <c r="K374" s="61"/>
      <c r="L374" s="61"/>
      <c r="M374" s="61"/>
      <c r="N374" s="61"/>
      <c r="O374" s="61"/>
      <c r="P374" s="61"/>
      <c r="Q374" s="61"/>
      <c r="R374" s="61"/>
      <c r="S374" s="61"/>
      <c r="T374" s="61"/>
      <c r="U374" s="7"/>
      <c r="V374" s="226"/>
      <c r="W374" s="9"/>
      <c r="X374" s="61"/>
      <c r="Y374" s="61"/>
      <c r="Z374" s="61"/>
      <c r="AA374" s="61"/>
      <c r="AB374" s="61"/>
      <c r="AC374" s="61"/>
      <c r="AD374" s="61"/>
      <c r="AE374" s="61"/>
      <c r="AF374" s="61"/>
      <c r="AG374" s="61"/>
      <c r="AH374" s="61"/>
      <c r="AI374" s="61"/>
      <c r="AJ374" s="9"/>
      <c r="AK374" s="226"/>
      <c r="AL374" s="10"/>
      <c r="AM374" s="137"/>
      <c r="AN374" s="7"/>
      <c r="AO374" s="7"/>
      <c r="AP374" s="7"/>
      <c r="AQ374" s="7"/>
      <c r="AR374" s="7"/>
      <c r="AS374" s="7"/>
    </row>
    <row r="375" ht="9.0" customHeight="1">
      <c r="A375" s="1"/>
      <c r="B375" s="2"/>
      <c r="C375" s="2"/>
      <c r="D375" s="60"/>
      <c r="E375" s="60"/>
      <c r="F375" s="2"/>
      <c r="G375" s="60"/>
      <c r="H375" s="60"/>
      <c r="I375" s="61"/>
      <c r="J375" s="61"/>
      <c r="K375" s="61"/>
      <c r="L375" s="61"/>
      <c r="M375" s="61"/>
      <c r="N375" s="61"/>
      <c r="O375" s="61"/>
      <c r="P375" s="61"/>
      <c r="Q375" s="61"/>
      <c r="R375" s="61"/>
      <c r="S375" s="61"/>
      <c r="T375" s="61"/>
      <c r="U375" s="7"/>
      <c r="V375" s="226"/>
      <c r="W375" s="9"/>
      <c r="X375" s="61"/>
      <c r="Y375" s="61"/>
      <c r="Z375" s="61"/>
      <c r="AA375" s="61"/>
      <c r="AB375" s="61"/>
      <c r="AC375" s="61"/>
      <c r="AD375" s="61"/>
      <c r="AE375" s="61"/>
      <c r="AF375" s="61"/>
      <c r="AG375" s="61"/>
      <c r="AH375" s="61"/>
      <c r="AI375" s="61"/>
      <c r="AJ375" s="9"/>
      <c r="AK375" s="226"/>
      <c r="AL375" s="10"/>
      <c r="AM375" s="137"/>
      <c r="AN375" s="7"/>
      <c r="AO375" s="7"/>
      <c r="AP375" s="7"/>
      <c r="AQ375" s="7"/>
      <c r="AR375" s="7"/>
      <c r="AS375" s="7"/>
    </row>
    <row r="376" ht="9.0" customHeight="1">
      <c r="A376" s="1"/>
      <c r="B376" s="2"/>
      <c r="C376" s="2"/>
      <c r="D376" s="60"/>
      <c r="E376" s="60"/>
      <c r="F376" s="2"/>
      <c r="G376" s="60"/>
      <c r="H376" s="60"/>
      <c r="I376" s="61"/>
      <c r="J376" s="61"/>
      <c r="K376" s="61"/>
      <c r="L376" s="61"/>
      <c r="M376" s="61"/>
      <c r="N376" s="61"/>
      <c r="O376" s="61"/>
      <c r="P376" s="61"/>
      <c r="Q376" s="61"/>
      <c r="R376" s="61"/>
      <c r="S376" s="61"/>
      <c r="T376" s="61"/>
      <c r="U376" s="7"/>
      <c r="V376" s="226"/>
      <c r="W376" s="9"/>
      <c r="X376" s="61"/>
      <c r="Y376" s="61"/>
      <c r="Z376" s="61"/>
      <c r="AA376" s="61"/>
      <c r="AB376" s="61"/>
      <c r="AC376" s="61"/>
      <c r="AD376" s="61"/>
      <c r="AE376" s="61"/>
      <c r="AF376" s="61"/>
      <c r="AG376" s="61"/>
      <c r="AH376" s="61"/>
      <c r="AI376" s="61"/>
      <c r="AJ376" s="9"/>
      <c r="AK376" s="226"/>
      <c r="AL376" s="10"/>
      <c r="AM376" s="137"/>
      <c r="AN376" s="7"/>
      <c r="AO376" s="7"/>
      <c r="AP376" s="7"/>
      <c r="AQ376" s="7"/>
      <c r="AR376" s="7"/>
      <c r="AS376" s="7"/>
    </row>
    <row r="377" ht="9.0" customHeight="1">
      <c r="A377" s="1"/>
      <c r="B377" s="2"/>
      <c r="C377" s="2"/>
      <c r="D377" s="60"/>
      <c r="E377" s="60"/>
      <c r="F377" s="2"/>
      <c r="G377" s="60"/>
      <c r="H377" s="60"/>
      <c r="I377" s="61"/>
      <c r="J377" s="61"/>
      <c r="K377" s="61"/>
      <c r="L377" s="61"/>
      <c r="M377" s="61"/>
      <c r="N377" s="61"/>
      <c r="O377" s="61"/>
      <c r="P377" s="61"/>
      <c r="Q377" s="61"/>
      <c r="R377" s="61"/>
      <c r="S377" s="61"/>
      <c r="T377" s="61"/>
      <c r="U377" s="7"/>
      <c r="V377" s="226"/>
      <c r="W377" s="9"/>
      <c r="X377" s="61"/>
      <c r="Y377" s="61"/>
      <c r="Z377" s="61"/>
      <c r="AA377" s="61"/>
      <c r="AB377" s="61"/>
      <c r="AC377" s="61"/>
      <c r="AD377" s="61"/>
      <c r="AE377" s="61"/>
      <c r="AF377" s="61"/>
      <c r="AG377" s="61"/>
      <c r="AH377" s="61"/>
      <c r="AI377" s="61"/>
      <c r="AJ377" s="9"/>
      <c r="AK377" s="226"/>
      <c r="AL377" s="10"/>
      <c r="AM377" s="137"/>
      <c r="AN377" s="7"/>
      <c r="AO377" s="7"/>
      <c r="AP377" s="7"/>
      <c r="AQ377" s="7"/>
      <c r="AR377" s="7"/>
      <c r="AS377" s="7"/>
    </row>
    <row r="378" ht="9.0" customHeight="1">
      <c r="A378" s="1"/>
      <c r="B378" s="2"/>
      <c r="C378" s="2"/>
      <c r="D378" s="60"/>
      <c r="E378" s="60"/>
      <c r="F378" s="2"/>
      <c r="G378" s="60"/>
      <c r="H378" s="60"/>
      <c r="I378" s="61"/>
      <c r="J378" s="61"/>
      <c r="K378" s="61"/>
      <c r="L378" s="61"/>
      <c r="M378" s="61"/>
      <c r="N378" s="61"/>
      <c r="O378" s="61"/>
      <c r="P378" s="61"/>
      <c r="Q378" s="61"/>
      <c r="R378" s="61"/>
      <c r="S378" s="61"/>
      <c r="T378" s="61"/>
      <c r="U378" s="7"/>
      <c r="V378" s="226"/>
      <c r="W378" s="9"/>
      <c r="X378" s="61"/>
      <c r="Y378" s="61"/>
      <c r="Z378" s="61"/>
      <c r="AA378" s="61"/>
      <c r="AB378" s="61"/>
      <c r="AC378" s="61"/>
      <c r="AD378" s="61"/>
      <c r="AE378" s="61"/>
      <c r="AF378" s="61"/>
      <c r="AG378" s="61"/>
      <c r="AH378" s="61"/>
      <c r="AI378" s="61"/>
      <c r="AJ378" s="9"/>
      <c r="AK378" s="226"/>
      <c r="AL378" s="10"/>
      <c r="AM378" s="137"/>
      <c r="AN378" s="7"/>
      <c r="AO378" s="7"/>
      <c r="AP378" s="7"/>
      <c r="AQ378" s="7"/>
      <c r="AR378" s="7"/>
      <c r="AS378" s="7"/>
    </row>
    <row r="379" ht="9.0" customHeight="1">
      <c r="A379" s="1"/>
      <c r="B379" s="2"/>
      <c r="C379" s="2"/>
      <c r="D379" s="60"/>
      <c r="E379" s="60"/>
      <c r="F379" s="2"/>
      <c r="G379" s="60"/>
      <c r="H379" s="60"/>
      <c r="I379" s="61"/>
      <c r="J379" s="61"/>
      <c r="K379" s="61"/>
      <c r="L379" s="61"/>
      <c r="M379" s="61"/>
      <c r="N379" s="61"/>
      <c r="O379" s="61"/>
      <c r="P379" s="61"/>
      <c r="Q379" s="61"/>
      <c r="R379" s="61"/>
      <c r="S379" s="61"/>
      <c r="T379" s="61"/>
      <c r="U379" s="7"/>
      <c r="V379" s="226"/>
      <c r="W379" s="9"/>
      <c r="X379" s="61"/>
      <c r="Y379" s="61"/>
      <c r="Z379" s="61"/>
      <c r="AA379" s="61"/>
      <c r="AB379" s="61"/>
      <c r="AC379" s="61"/>
      <c r="AD379" s="61"/>
      <c r="AE379" s="61"/>
      <c r="AF379" s="61"/>
      <c r="AG379" s="61"/>
      <c r="AH379" s="61"/>
      <c r="AI379" s="61"/>
      <c r="AJ379" s="9"/>
      <c r="AK379" s="226"/>
      <c r="AL379" s="10"/>
      <c r="AM379" s="137"/>
      <c r="AN379" s="7"/>
      <c r="AO379" s="7"/>
      <c r="AP379" s="7"/>
      <c r="AQ379" s="7"/>
      <c r="AR379" s="7"/>
      <c r="AS379" s="7"/>
    </row>
    <row r="380" ht="9.0" customHeight="1">
      <c r="A380" s="1"/>
      <c r="B380" s="2"/>
      <c r="C380" s="2"/>
      <c r="D380" s="60"/>
      <c r="E380" s="60"/>
      <c r="F380" s="2"/>
      <c r="G380" s="60"/>
      <c r="H380" s="60"/>
      <c r="I380" s="61"/>
      <c r="J380" s="61"/>
      <c r="K380" s="61"/>
      <c r="L380" s="61"/>
      <c r="M380" s="61"/>
      <c r="N380" s="61"/>
      <c r="O380" s="61"/>
      <c r="P380" s="61"/>
      <c r="Q380" s="61"/>
      <c r="R380" s="61"/>
      <c r="S380" s="61"/>
      <c r="T380" s="61"/>
      <c r="U380" s="7"/>
      <c r="V380" s="226"/>
      <c r="W380" s="9"/>
      <c r="X380" s="61"/>
      <c r="Y380" s="61"/>
      <c r="Z380" s="61"/>
      <c r="AA380" s="61"/>
      <c r="AB380" s="61"/>
      <c r="AC380" s="61"/>
      <c r="AD380" s="61"/>
      <c r="AE380" s="61"/>
      <c r="AF380" s="61"/>
      <c r="AG380" s="61"/>
      <c r="AH380" s="61"/>
      <c r="AI380" s="61"/>
      <c r="AJ380" s="9"/>
      <c r="AK380" s="226"/>
      <c r="AL380" s="10"/>
      <c r="AM380" s="137"/>
      <c r="AN380" s="7"/>
      <c r="AO380" s="7"/>
      <c r="AP380" s="7"/>
      <c r="AQ380" s="7"/>
      <c r="AR380" s="7"/>
      <c r="AS380" s="7"/>
    </row>
    <row r="381" ht="9.0" customHeight="1">
      <c r="A381" s="1"/>
      <c r="B381" s="2"/>
      <c r="C381" s="2"/>
      <c r="D381" s="60"/>
      <c r="E381" s="60"/>
      <c r="F381" s="2"/>
      <c r="G381" s="60"/>
      <c r="H381" s="60"/>
      <c r="I381" s="61"/>
      <c r="J381" s="61"/>
      <c r="K381" s="61"/>
      <c r="L381" s="61"/>
      <c r="M381" s="61"/>
      <c r="N381" s="61"/>
      <c r="O381" s="61"/>
      <c r="P381" s="61"/>
      <c r="Q381" s="61"/>
      <c r="R381" s="61"/>
      <c r="S381" s="61"/>
      <c r="T381" s="61"/>
      <c r="U381" s="7"/>
      <c r="V381" s="226"/>
      <c r="W381" s="9"/>
      <c r="X381" s="61"/>
      <c r="Y381" s="61"/>
      <c r="Z381" s="61"/>
      <c r="AA381" s="61"/>
      <c r="AB381" s="61"/>
      <c r="AC381" s="61"/>
      <c r="AD381" s="61"/>
      <c r="AE381" s="61"/>
      <c r="AF381" s="61"/>
      <c r="AG381" s="61"/>
      <c r="AH381" s="61"/>
      <c r="AI381" s="61"/>
      <c r="AJ381" s="9"/>
      <c r="AK381" s="226"/>
      <c r="AL381" s="10"/>
      <c r="AM381" s="137"/>
      <c r="AN381" s="7"/>
      <c r="AO381" s="7"/>
      <c r="AP381" s="7"/>
      <c r="AQ381" s="7"/>
      <c r="AR381" s="7"/>
      <c r="AS381" s="7"/>
    </row>
    <row r="382" ht="9.0" customHeight="1">
      <c r="A382" s="1"/>
      <c r="B382" s="2"/>
      <c r="C382" s="2"/>
      <c r="D382" s="60"/>
      <c r="E382" s="60"/>
      <c r="F382" s="2"/>
      <c r="G382" s="60"/>
      <c r="H382" s="60"/>
      <c r="I382" s="61"/>
      <c r="J382" s="61"/>
      <c r="K382" s="61"/>
      <c r="L382" s="61"/>
      <c r="M382" s="61"/>
      <c r="N382" s="61"/>
      <c r="O382" s="61"/>
      <c r="P382" s="61"/>
      <c r="Q382" s="61"/>
      <c r="R382" s="61"/>
      <c r="S382" s="61"/>
      <c r="T382" s="61"/>
      <c r="U382" s="7"/>
      <c r="V382" s="226"/>
      <c r="W382" s="9"/>
      <c r="X382" s="61"/>
      <c r="Y382" s="61"/>
      <c r="Z382" s="61"/>
      <c r="AA382" s="61"/>
      <c r="AB382" s="61"/>
      <c r="AC382" s="61"/>
      <c r="AD382" s="61"/>
      <c r="AE382" s="61"/>
      <c r="AF382" s="61"/>
      <c r="AG382" s="61"/>
      <c r="AH382" s="61"/>
      <c r="AI382" s="61"/>
      <c r="AJ382" s="9"/>
      <c r="AK382" s="226"/>
      <c r="AL382" s="10"/>
      <c r="AM382" s="137"/>
      <c r="AN382" s="7"/>
      <c r="AO382" s="7"/>
      <c r="AP382" s="7"/>
      <c r="AQ382" s="7"/>
      <c r="AR382" s="7"/>
      <c r="AS382" s="7"/>
    </row>
    <row r="383" ht="9.0" customHeight="1">
      <c r="A383" s="1"/>
      <c r="B383" s="2"/>
      <c r="C383" s="2"/>
      <c r="D383" s="60"/>
      <c r="E383" s="60"/>
      <c r="F383" s="2"/>
      <c r="G383" s="60"/>
      <c r="H383" s="60"/>
      <c r="I383" s="61"/>
      <c r="J383" s="61"/>
      <c r="K383" s="61"/>
      <c r="L383" s="61"/>
      <c r="M383" s="61"/>
      <c r="N383" s="61"/>
      <c r="O383" s="61"/>
      <c r="P383" s="61"/>
      <c r="Q383" s="61"/>
      <c r="R383" s="61"/>
      <c r="S383" s="61"/>
      <c r="T383" s="61"/>
      <c r="U383" s="7"/>
      <c r="V383" s="226"/>
      <c r="W383" s="9"/>
      <c r="X383" s="61"/>
      <c r="Y383" s="61"/>
      <c r="Z383" s="61"/>
      <c r="AA383" s="61"/>
      <c r="AB383" s="61"/>
      <c r="AC383" s="61"/>
      <c r="AD383" s="61"/>
      <c r="AE383" s="61"/>
      <c r="AF383" s="61"/>
      <c r="AG383" s="61"/>
      <c r="AH383" s="61"/>
      <c r="AI383" s="61"/>
      <c r="AJ383" s="9"/>
      <c r="AK383" s="226"/>
      <c r="AL383" s="10"/>
      <c r="AM383" s="137"/>
      <c r="AN383" s="7"/>
      <c r="AO383" s="7"/>
      <c r="AP383" s="7"/>
      <c r="AQ383" s="7"/>
      <c r="AR383" s="7"/>
      <c r="AS383" s="7"/>
    </row>
    <row r="384" ht="9.0" customHeight="1">
      <c r="A384" s="1"/>
      <c r="B384" s="2"/>
      <c r="C384" s="2"/>
      <c r="D384" s="60"/>
      <c r="E384" s="60"/>
      <c r="F384" s="2"/>
      <c r="G384" s="60"/>
      <c r="H384" s="60"/>
      <c r="I384" s="61"/>
      <c r="J384" s="61"/>
      <c r="K384" s="61"/>
      <c r="L384" s="61"/>
      <c r="M384" s="61"/>
      <c r="N384" s="61"/>
      <c r="O384" s="61"/>
      <c r="P384" s="61"/>
      <c r="Q384" s="61"/>
      <c r="R384" s="61"/>
      <c r="S384" s="61"/>
      <c r="T384" s="61"/>
      <c r="U384" s="7"/>
      <c r="V384" s="226"/>
      <c r="W384" s="9"/>
      <c r="X384" s="61"/>
      <c r="Y384" s="61"/>
      <c r="Z384" s="61"/>
      <c r="AA384" s="61"/>
      <c r="AB384" s="61"/>
      <c r="AC384" s="61"/>
      <c r="AD384" s="61"/>
      <c r="AE384" s="61"/>
      <c r="AF384" s="61"/>
      <c r="AG384" s="61"/>
      <c r="AH384" s="61"/>
      <c r="AI384" s="61"/>
      <c r="AJ384" s="9"/>
      <c r="AK384" s="226"/>
      <c r="AL384" s="10"/>
      <c r="AM384" s="137"/>
      <c r="AN384" s="7"/>
      <c r="AO384" s="7"/>
      <c r="AP384" s="7"/>
      <c r="AQ384" s="7"/>
      <c r="AR384" s="7"/>
      <c r="AS384" s="7"/>
    </row>
    <row r="385" ht="9.0" customHeight="1">
      <c r="A385" s="1"/>
      <c r="B385" s="2"/>
      <c r="C385" s="2"/>
      <c r="D385" s="60"/>
      <c r="E385" s="60"/>
      <c r="F385" s="2"/>
      <c r="G385" s="60"/>
      <c r="H385" s="60"/>
      <c r="I385" s="61"/>
      <c r="J385" s="61"/>
      <c r="K385" s="61"/>
      <c r="L385" s="61"/>
      <c r="M385" s="61"/>
      <c r="N385" s="61"/>
      <c r="O385" s="61"/>
      <c r="P385" s="61"/>
      <c r="Q385" s="61"/>
      <c r="R385" s="61"/>
      <c r="S385" s="61"/>
      <c r="T385" s="61"/>
      <c r="U385" s="7"/>
      <c r="V385" s="226"/>
      <c r="W385" s="9"/>
      <c r="X385" s="61"/>
      <c r="Y385" s="61"/>
      <c r="Z385" s="61"/>
      <c r="AA385" s="61"/>
      <c r="AB385" s="61"/>
      <c r="AC385" s="61"/>
      <c r="AD385" s="61"/>
      <c r="AE385" s="61"/>
      <c r="AF385" s="61"/>
      <c r="AG385" s="61"/>
      <c r="AH385" s="61"/>
      <c r="AI385" s="61"/>
      <c r="AJ385" s="9"/>
      <c r="AK385" s="226"/>
      <c r="AL385" s="10"/>
      <c r="AM385" s="137"/>
      <c r="AN385" s="7"/>
      <c r="AO385" s="7"/>
      <c r="AP385" s="7"/>
      <c r="AQ385" s="7"/>
      <c r="AR385" s="7"/>
      <c r="AS385" s="7"/>
    </row>
    <row r="386" ht="9.0" customHeight="1">
      <c r="A386" s="1"/>
      <c r="B386" s="2"/>
      <c r="C386" s="2"/>
      <c r="D386" s="60"/>
      <c r="E386" s="60"/>
      <c r="F386" s="2"/>
      <c r="G386" s="60"/>
      <c r="H386" s="60"/>
      <c r="I386" s="61"/>
      <c r="J386" s="61"/>
      <c r="K386" s="61"/>
      <c r="L386" s="61"/>
      <c r="M386" s="61"/>
      <c r="N386" s="61"/>
      <c r="O386" s="61"/>
      <c r="P386" s="61"/>
      <c r="Q386" s="61"/>
      <c r="R386" s="61"/>
      <c r="S386" s="61"/>
      <c r="T386" s="61"/>
      <c r="U386" s="7"/>
      <c r="V386" s="226"/>
      <c r="W386" s="9"/>
      <c r="X386" s="61"/>
      <c r="Y386" s="61"/>
      <c r="Z386" s="61"/>
      <c r="AA386" s="61"/>
      <c r="AB386" s="61"/>
      <c r="AC386" s="61"/>
      <c r="AD386" s="61"/>
      <c r="AE386" s="61"/>
      <c r="AF386" s="61"/>
      <c r="AG386" s="61"/>
      <c r="AH386" s="61"/>
      <c r="AI386" s="61"/>
      <c r="AJ386" s="9"/>
      <c r="AK386" s="226"/>
      <c r="AL386" s="10"/>
      <c r="AM386" s="137"/>
      <c r="AN386" s="7"/>
      <c r="AO386" s="7"/>
      <c r="AP386" s="7"/>
      <c r="AQ386" s="7"/>
      <c r="AR386" s="7"/>
      <c r="AS386" s="7"/>
    </row>
    <row r="387" ht="9.0" customHeight="1">
      <c r="A387" s="1"/>
      <c r="B387" s="2"/>
      <c r="C387" s="2"/>
      <c r="D387" s="60"/>
      <c r="E387" s="60"/>
      <c r="F387" s="2"/>
      <c r="G387" s="60"/>
      <c r="H387" s="60"/>
      <c r="I387" s="61"/>
      <c r="J387" s="61"/>
      <c r="K387" s="61"/>
      <c r="L387" s="61"/>
      <c r="M387" s="61"/>
      <c r="N387" s="61"/>
      <c r="O387" s="61"/>
      <c r="P387" s="61"/>
      <c r="Q387" s="61"/>
      <c r="R387" s="61"/>
      <c r="S387" s="61"/>
      <c r="T387" s="61"/>
      <c r="U387" s="7"/>
      <c r="V387" s="226"/>
      <c r="W387" s="9"/>
      <c r="X387" s="61"/>
      <c r="Y387" s="61"/>
      <c r="Z387" s="61"/>
      <c r="AA387" s="61"/>
      <c r="AB387" s="61"/>
      <c r="AC387" s="61"/>
      <c r="AD387" s="61"/>
      <c r="AE387" s="61"/>
      <c r="AF387" s="61"/>
      <c r="AG387" s="61"/>
      <c r="AH387" s="61"/>
      <c r="AI387" s="61"/>
      <c r="AJ387" s="9"/>
      <c r="AK387" s="226"/>
      <c r="AL387" s="10"/>
      <c r="AM387" s="137"/>
      <c r="AN387" s="7"/>
      <c r="AO387" s="7"/>
      <c r="AP387" s="7"/>
      <c r="AQ387" s="7"/>
      <c r="AR387" s="7"/>
      <c r="AS387" s="7"/>
    </row>
    <row r="388" ht="9.0" customHeight="1">
      <c r="A388" s="1"/>
      <c r="B388" s="2"/>
      <c r="C388" s="2"/>
      <c r="D388" s="60"/>
      <c r="E388" s="60"/>
      <c r="F388" s="2"/>
      <c r="G388" s="60"/>
      <c r="H388" s="60"/>
      <c r="I388" s="61"/>
      <c r="J388" s="61"/>
      <c r="K388" s="61"/>
      <c r="L388" s="61"/>
      <c r="M388" s="61"/>
      <c r="N388" s="61"/>
      <c r="O388" s="61"/>
      <c r="P388" s="61"/>
      <c r="Q388" s="61"/>
      <c r="R388" s="61"/>
      <c r="S388" s="61"/>
      <c r="T388" s="61"/>
      <c r="U388" s="7"/>
      <c r="V388" s="226"/>
      <c r="W388" s="9"/>
      <c r="X388" s="61"/>
      <c r="Y388" s="61"/>
      <c r="Z388" s="61"/>
      <c r="AA388" s="61"/>
      <c r="AB388" s="61"/>
      <c r="AC388" s="61"/>
      <c r="AD388" s="61"/>
      <c r="AE388" s="61"/>
      <c r="AF388" s="61"/>
      <c r="AG388" s="61"/>
      <c r="AH388" s="61"/>
      <c r="AI388" s="61"/>
      <c r="AJ388" s="9"/>
      <c r="AK388" s="226"/>
      <c r="AL388" s="10"/>
      <c r="AM388" s="137"/>
      <c r="AN388" s="7"/>
      <c r="AO388" s="7"/>
      <c r="AP388" s="7"/>
      <c r="AQ388" s="7"/>
      <c r="AR388" s="7"/>
      <c r="AS388" s="7"/>
    </row>
    <row r="389" ht="9.0" customHeight="1">
      <c r="A389" s="1"/>
      <c r="B389" s="2"/>
      <c r="C389" s="2"/>
      <c r="D389" s="60"/>
      <c r="E389" s="60"/>
      <c r="F389" s="2"/>
      <c r="G389" s="60"/>
      <c r="H389" s="60"/>
      <c r="I389" s="61"/>
      <c r="J389" s="61"/>
      <c r="K389" s="61"/>
      <c r="L389" s="61"/>
      <c r="M389" s="61"/>
      <c r="N389" s="61"/>
      <c r="O389" s="61"/>
      <c r="P389" s="61"/>
      <c r="Q389" s="61"/>
      <c r="R389" s="61"/>
      <c r="S389" s="61"/>
      <c r="T389" s="61"/>
      <c r="U389" s="7"/>
      <c r="V389" s="226"/>
      <c r="W389" s="9"/>
      <c r="X389" s="61"/>
      <c r="Y389" s="61"/>
      <c r="Z389" s="61"/>
      <c r="AA389" s="61"/>
      <c r="AB389" s="61"/>
      <c r="AC389" s="61"/>
      <c r="AD389" s="61"/>
      <c r="AE389" s="61"/>
      <c r="AF389" s="61"/>
      <c r="AG389" s="61"/>
      <c r="AH389" s="61"/>
      <c r="AI389" s="61"/>
      <c r="AJ389" s="9"/>
      <c r="AK389" s="226"/>
      <c r="AL389" s="10"/>
      <c r="AM389" s="137"/>
      <c r="AN389" s="7"/>
      <c r="AO389" s="7"/>
      <c r="AP389" s="7"/>
      <c r="AQ389" s="7"/>
      <c r="AR389" s="7"/>
      <c r="AS389" s="7"/>
    </row>
    <row r="390" ht="9.0" customHeight="1">
      <c r="A390" s="1"/>
      <c r="B390" s="2"/>
      <c r="C390" s="2"/>
      <c r="D390" s="60"/>
      <c r="E390" s="60"/>
      <c r="F390" s="2"/>
      <c r="G390" s="60"/>
      <c r="H390" s="60"/>
      <c r="I390" s="61"/>
      <c r="J390" s="61"/>
      <c r="K390" s="61"/>
      <c r="L390" s="61"/>
      <c r="M390" s="61"/>
      <c r="N390" s="61"/>
      <c r="O390" s="61"/>
      <c r="P390" s="61"/>
      <c r="Q390" s="61"/>
      <c r="R390" s="61"/>
      <c r="S390" s="61"/>
      <c r="T390" s="61"/>
      <c r="U390" s="7"/>
      <c r="V390" s="226"/>
      <c r="W390" s="9"/>
      <c r="X390" s="61"/>
      <c r="Y390" s="61"/>
      <c r="Z390" s="61"/>
      <c r="AA390" s="61"/>
      <c r="AB390" s="61"/>
      <c r="AC390" s="61"/>
      <c r="AD390" s="61"/>
      <c r="AE390" s="61"/>
      <c r="AF390" s="61"/>
      <c r="AG390" s="61"/>
      <c r="AH390" s="61"/>
      <c r="AI390" s="61"/>
      <c r="AJ390" s="9"/>
      <c r="AK390" s="226"/>
      <c r="AL390" s="10"/>
      <c r="AM390" s="137"/>
      <c r="AN390" s="7"/>
      <c r="AO390" s="7"/>
      <c r="AP390" s="7"/>
      <c r="AQ390" s="7"/>
      <c r="AR390" s="7"/>
      <c r="AS390" s="7"/>
    </row>
    <row r="391" ht="9.0" customHeight="1">
      <c r="A391" s="1"/>
      <c r="B391" s="2"/>
      <c r="C391" s="2"/>
      <c r="D391" s="60"/>
      <c r="E391" s="60"/>
      <c r="F391" s="2"/>
      <c r="G391" s="60"/>
      <c r="H391" s="60"/>
      <c r="I391" s="61"/>
      <c r="J391" s="61"/>
      <c r="K391" s="61"/>
      <c r="L391" s="61"/>
      <c r="M391" s="61"/>
      <c r="N391" s="61"/>
      <c r="O391" s="61"/>
      <c r="P391" s="61"/>
      <c r="Q391" s="61"/>
      <c r="R391" s="61"/>
      <c r="S391" s="61"/>
      <c r="T391" s="61"/>
      <c r="U391" s="7"/>
      <c r="V391" s="226"/>
      <c r="W391" s="9"/>
      <c r="X391" s="61"/>
      <c r="Y391" s="61"/>
      <c r="Z391" s="61"/>
      <c r="AA391" s="61"/>
      <c r="AB391" s="61"/>
      <c r="AC391" s="61"/>
      <c r="AD391" s="61"/>
      <c r="AE391" s="61"/>
      <c r="AF391" s="61"/>
      <c r="AG391" s="61"/>
      <c r="AH391" s="61"/>
      <c r="AI391" s="61"/>
      <c r="AJ391" s="9"/>
      <c r="AK391" s="226"/>
      <c r="AL391" s="10"/>
      <c r="AM391" s="137"/>
      <c r="AN391" s="7"/>
      <c r="AO391" s="7"/>
      <c r="AP391" s="7"/>
      <c r="AQ391" s="7"/>
      <c r="AR391" s="7"/>
      <c r="AS391" s="7"/>
    </row>
    <row r="392" ht="9.0" customHeight="1">
      <c r="A392" s="1"/>
      <c r="B392" s="2"/>
      <c r="C392" s="2"/>
      <c r="D392" s="60"/>
      <c r="E392" s="60"/>
      <c r="F392" s="2"/>
      <c r="G392" s="60"/>
      <c r="H392" s="60"/>
      <c r="I392" s="61"/>
      <c r="J392" s="61"/>
      <c r="K392" s="61"/>
      <c r="L392" s="61"/>
      <c r="M392" s="61"/>
      <c r="N392" s="61"/>
      <c r="O392" s="61"/>
      <c r="P392" s="61"/>
      <c r="Q392" s="61"/>
      <c r="R392" s="61"/>
      <c r="S392" s="61"/>
      <c r="T392" s="61"/>
      <c r="U392" s="7"/>
      <c r="V392" s="226"/>
      <c r="W392" s="9"/>
      <c r="X392" s="61"/>
      <c r="Y392" s="61"/>
      <c r="Z392" s="61"/>
      <c r="AA392" s="61"/>
      <c r="AB392" s="61"/>
      <c r="AC392" s="61"/>
      <c r="AD392" s="61"/>
      <c r="AE392" s="61"/>
      <c r="AF392" s="61"/>
      <c r="AG392" s="61"/>
      <c r="AH392" s="61"/>
      <c r="AI392" s="61"/>
      <c r="AJ392" s="9"/>
      <c r="AK392" s="226"/>
      <c r="AL392" s="10"/>
      <c r="AM392" s="137"/>
      <c r="AN392" s="7"/>
      <c r="AO392" s="7"/>
      <c r="AP392" s="7"/>
      <c r="AQ392" s="7"/>
      <c r="AR392" s="7"/>
      <c r="AS392" s="7"/>
    </row>
    <row r="393" ht="9.0" customHeight="1">
      <c r="A393" s="1"/>
      <c r="B393" s="2"/>
      <c r="C393" s="2"/>
      <c r="D393" s="60"/>
      <c r="E393" s="60"/>
      <c r="F393" s="2"/>
      <c r="G393" s="60"/>
      <c r="H393" s="60"/>
      <c r="I393" s="61"/>
      <c r="J393" s="61"/>
      <c r="K393" s="61"/>
      <c r="L393" s="61"/>
      <c r="M393" s="61"/>
      <c r="N393" s="61"/>
      <c r="O393" s="61"/>
      <c r="P393" s="61"/>
      <c r="Q393" s="61"/>
      <c r="R393" s="61"/>
      <c r="S393" s="61"/>
      <c r="T393" s="61"/>
      <c r="U393" s="7"/>
      <c r="V393" s="226"/>
      <c r="W393" s="9"/>
      <c r="X393" s="61"/>
      <c r="Y393" s="61"/>
      <c r="Z393" s="61"/>
      <c r="AA393" s="61"/>
      <c r="AB393" s="61"/>
      <c r="AC393" s="61"/>
      <c r="AD393" s="61"/>
      <c r="AE393" s="61"/>
      <c r="AF393" s="61"/>
      <c r="AG393" s="61"/>
      <c r="AH393" s="61"/>
      <c r="AI393" s="61"/>
      <c r="AJ393" s="9"/>
      <c r="AK393" s="226"/>
      <c r="AL393" s="10"/>
      <c r="AM393" s="137"/>
      <c r="AN393" s="7"/>
      <c r="AO393" s="7"/>
      <c r="AP393" s="7"/>
      <c r="AQ393" s="7"/>
      <c r="AR393" s="7"/>
      <c r="AS393" s="7"/>
    </row>
    <row r="394" ht="9.0" customHeight="1">
      <c r="A394" s="1"/>
      <c r="B394" s="2"/>
      <c r="C394" s="2"/>
      <c r="D394" s="60"/>
      <c r="E394" s="60"/>
      <c r="F394" s="2"/>
      <c r="G394" s="60"/>
      <c r="H394" s="60"/>
      <c r="I394" s="61"/>
      <c r="J394" s="61"/>
      <c r="K394" s="61"/>
      <c r="L394" s="61"/>
      <c r="M394" s="61"/>
      <c r="N394" s="61"/>
      <c r="O394" s="61"/>
      <c r="P394" s="61"/>
      <c r="Q394" s="61"/>
      <c r="R394" s="61"/>
      <c r="S394" s="61"/>
      <c r="T394" s="61"/>
      <c r="U394" s="7"/>
      <c r="V394" s="226"/>
      <c r="W394" s="9"/>
      <c r="X394" s="61"/>
      <c r="Y394" s="61"/>
      <c r="Z394" s="61"/>
      <c r="AA394" s="61"/>
      <c r="AB394" s="61"/>
      <c r="AC394" s="61"/>
      <c r="AD394" s="61"/>
      <c r="AE394" s="61"/>
      <c r="AF394" s="61"/>
      <c r="AG394" s="61"/>
      <c r="AH394" s="61"/>
      <c r="AI394" s="61"/>
      <c r="AJ394" s="9"/>
      <c r="AK394" s="226"/>
      <c r="AL394" s="10"/>
      <c r="AM394" s="137"/>
      <c r="AN394" s="7"/>
      <c r="AO394" s="7"/>
      <c r="AP394" s="7"/>
      <c r="AQ394" s="7"/>
      <c r="AR394" s="7"/>
      <c r="AS394" s="7"/>
    </row>
    <row r="395" ht="9.0" customHeight="1">
      <c r="A395" s="1"/>
      <c r="B395" s="2"/>
      <c r="C395" s="2"/>
      <c r="D395" s="60"/>
      <c r="E395" s="60"/>
      <c r="F395" s="2"/>
      <c r="G395" s="60"/>
      <c r="H395" s="60"/>
      <c r="I395" s="61"/>
      <c r="J395" s="61"/>
      <c r="K395" s="61"/>
      <c r="L395" s="61"/>
      <c r="M395" s="61"/>
      <c r="N395" s="61"/>
      <c r="O395" s="61"/>
      <c r="P395" s="61"/>
      <c r="Q395" s="61"/>
      <c r="R395" s="61"/>
      <c r="S395" s="61"/>
      <c r="T395" s="61"/>
      <c r="U395" s="7"/>
      <c r="V395" s="226"/>
      <c r="W395" s="9"/>
      <c r="X395" s="61"/>
      <c r="Y395" s="61"/>
      <c r="Z395" s="61"/>
      <c r="AA395" s="61"/>
      <c r="AB395" s="61"/>
      <c r="AC395" s="61"/>
      <c r="AD395" s="61"/>
      <c r="AE395" s="61"/>
      <c r="AF395" s="61"/>
      <c r="AG395" s="61"/>
      <c r="AH395" s="61"/>
      <c r="AI395" s="61"/>
      <c r="AJ395" s="9"/>
      <c r="AK395" s="226"/>
      <c r="AL395" s="10"/>
      <c r="AM395" s="137"/>
      <c r="AN395" s="7"/>
      <c r="AO395" s="7"/>
      <c r="AP395" s="7"/>
      <c r="AQ395" s="7"/>
      <c r="AR395" s="7"/>
      <c r="AS395" s="7"/>
    </row>
    <row r="396" ht="15.75" customHeight="1">
      <c r="A396" s="272"/>
      <c r="B396" s="7"/>
      <c r="C396" s="7"/>
      <c r="D396" s="7"/>
      <c r="E396" s="7"/>
      <c r="F396" s="7"/>
      <c r="G396" s="7"/>
      <c r="H396" s="7"/>
      <c r="I396" s="273"/>
      <c r="J396" s="273"/>
      <c r="K396" s="273"/>
      <c r="L396" s="273"/>
      <c r="M396" s="273"/>
      <c r="N396" s="273"/>
      <c r="O396" s="273"/>
      <c r="P396" s="273"/>
      <c r="Q396" s="273"/>
      <c r="R396" s="273"/>
      <c r="S396" s="273"/>
      <c r="T396" s="273"/>
      <c r="U396" s="7"/>
      <c r="V396" s="274"/>
      <c r="W396" s="9"/>
      <c r="X396" s="273"/>
      <c r="Y396" s="273"/>
      <c r="Z396" s="273"/>
      <c r="AA396" s="273"/>
      <c r="AB396" s="273"/>
      <c r="AC396" s="273"/>
      <c r="AD396" s="273"/>
      <c r="AE396" s="273"/>
      <c r="AF396" s="273"/>
      <c r="AG396" s="273"/>
      <c r="AH396" s="273"/>
      <c r="AI396" s="273"/>
      <c r="AJ396" s="9"/>
      <c r="AK396" s="274"/>
      <c r="AL396" s="10"/>
      <c r="AM396" s="137"/>
      <c r="AN396" s="7"/>
      <c r="AO396" s="7"/>
      <c r="AP396" s="7"/>
      <c r="AQ396" s="7"/>
      <c r="AR396" s="7"/>
      <c r="AS396" s="7"/>
    </row>
    <row r="397" ht="15.75" customHeight="1">
      <c r="A397" s="272"/>
      <c r="B397" s="7"/>
      <c r="C397" s="7"/>
      <c r="D397" s="7"/>
      <c r="E397" s="7"/>
      <c r="F397" s="7"/>
      <c r="G397" s="7"/>
      <c r="H397" s="7"/>
      <c r="I397" s="273"/>
      <c r="J397" s="273"/>
      <c r="K397" s="273"/>
      <c r="L397" s="273"/>
      <c r="M397" s="273"/>
      <c r="N397" s="273"/>
      <c r="O397" s="273"/>
      <c r="P397" s="273"/>
      <c r="Q397" s="273"/>
      <c r="R397" s="273"/>
      <c r="S397" s="273"/>
      <c r="T397" s="273"/>
      <c r="U397" s="7"/>
      <c r="V397" s="274"/>
      <c r="W397" s="9"/>
      <c r="X397" s="273"/>
      <c r="Y397" s="273"/>
      <c r="Z397" s="273"/>
      <c r="AA397" s="273"/>
      <c r="AB397" s="273"/>
      <c r="AC397" s="273"/>
      <c r="AD397" s="273"/>
      <c r="AE397" s="273"/>
      <c r="AF397" s="273"/>
      <c r="AG397" s="273"/>
      <c r="AH397" s="273"/>
      <c r="AI397" s="273"/>
      <c r="AJ397" s="9"/>
      <c r="AK397" s="274"/>
      <c r="AL397" s="10"/>
      <c r="AM397" s="137"/>
      <c r="AN397" s="7"/>
      <c r="AO397" s="7"/>
      <c r="AP397" s="7"/>
      <c r="AQ397" s="7"/>
      <c r="AR397" s="7"/>
      <c r="AS397" s="7"/>
    </row>
    <row r="398" ht="15.75" customHeight="1">
      <c r="A398" s="272"/>
      <c r="B398" s="7"/>
      <c r="C398" s="7"/>
      <c r="D398" s="7"/>
      <c r="E398" s="7"/>
      <c r="F398" s="7"/>
      <c r="G398" s="7"/>
      <c r="H398" s="7"/>
      <c r="I398" s="273"/>
      <c r="J398" s="273"/>
      <c r="K398" s="273"/>
      <c r="L398" s="273"/>
      <c r="M398" s="273"/>
      <c r="N398" s="273"/>
      <c r="O398" s="273"/>
      <c r="P398" s="273"/>
      <c r="Q398" s="273"/>
      <c r="R398" s="273"/>
      <c r="S398" s="273"/>
      <c r="T398" s="273"/>
      <c r="U398" s="7"/>
      <c r="V398" s="274"/>
      <c r="W398" s="9"/>
      <c r="X398" s="273"/>
      <c r="Y398" s="273"/>
      <c r="Z398" s="273"/>
      <c r="AA398" s="273"/>
      <c r="AB398" s="273"/>
      <c r="AC398" s="273"/>
      <c r="AD398" s="273"/>
      <c r="AE398" s="273"/>
      <c r="AF398" s="273"/>
      <c r="AG398" s="273"/>
      <c r="AH398" s="273"/>
      <c r="AI398" s="273"/>
      <c r="AJ398" s="9"/>
      <c r="AK398" s="274"/>
      <c r="AL398" s="10"/>
      <c r="AM398" s="137"/>
      <c r="AN398" s="7"/>
      <c r="AO398" s="7"/>
      <c r="AP398" s="7"/>
      <c r="AQ398" s="7"/>
      <c r="AR398" s="7"/>
      <c r="AS398" s="7"/>
    </row>
    <row r="399" ht="15.75" customHeight="1">
      <c r="A399" s="272"/>
      <c r="B399" s="7"/>
      <c r="C399" s="7"/>
      <c r="D399" s="7"/>
      <c r="E399" s="7"/>
      <c r="F399" s="7"/>
      <c r="G399" s="7"/>
      <c r="H399" s="7"/>
      <c r="I399" s="273"/>
      <c r="J399" s="273"/>
      <c r="K399" s="273"/>
      <c r="L399" s="273"/>
      <c r="M399" s="273"/>
      <c r="N399" s="273"/>
      <c r="O399" s="273"/>
      <c r="P399" s="273"/>
      <c r="Q399" s="273"/>
      <c r="R399" s="273"/>
      <c r="S399" s="273"/>
      <c r="T399" s="273"/>
      <c r="U399" s="7"/>
      <c r="V399" s="274"/>
      <c r="W399" s="9"/>
      <c r="X399" s="273"/>
      <c r="Y399" s="273"/>
      <c r="Z399" s="273"/>
      <c r="AA399" s="273"/>
      <c r="AB399" s="273"/>
      <c r="AC399" s="273"/>
      <c r="AD399" s="273"/>
      <c r="AE399" s="273"/>
      <c r="AF399" s="273"/>
      <c r="AG399" s="273"/>
      <c r="AH399" s="273"/>
      <c r="AI399" s="273"/>
      <c r="AJ399" s="9"/>
      <c r="AK399" s="274"/>
      <c r="AL399" s="10"/>
      <c r="AM399" s="137"/>
      <c r="AN399" s="7"/>
      <c r="AO399" s="7"/>
      <c r="AP399" s="7"/>
      <c r="AQ399" s="7"/>
      <c r="AR399" s="7"/>
      <c r="AS399" s="7"/>
    </row>
    <row r="400" ht="15.75" customHeight="1">
      <c r="A400" s="272"/>
      <c r="B400" s="7"/>
      <c r="C400" s="7"/>
      <c r="D400" s="7"/>
      <c r="E400" s="7"/>
      <c r="F400" s="7"/>
      <c r="G400" s="7"/>
      <c r="H400" s="7"/>
      <c r="I400" s="273"/>
      <c r="J400" s="273"/>
      <c r="K400" s="273"/>
      <c r="L400" s="273"/>
      <c r="M400" s="273"/>
      <c r="N400" s="273"/>
      <c r="O400" s="273"/>
      <c r="P400" s="273"/>
      <c r="Q400" s="273"/>
      <c r="R400" s="273"/>
      <c r="S400" s="273"/>
      <c r="T400" s="273"/>
      <c r="U400" s="7"/>
      <c r="V400" s="274"/>
      <c r="W400" s="9"/>
      <c r="X400" s="273"/>
      <c r="Y400" s="273"/>
      <c r="Z400" s="273"/>
      <c r="AA400" s="273"/>
      <c r="AB400" s="273"/>
      <c r="AC400" s="273"/>
      <c r="AD400" s="273"/>
      <c r="AE400" s="273"/>
      <c r="AF400" s="273"/>
      <c r="AG400" s="273"/>
      <c r="AH400" s="273"/>
      <c r="AI400" s="273"/>
      <c r="AJ400" s="9"/>
      <c r="AK400" s="274"/>
      <c r="AL400" s="10"/>
      <c r="AM400" s="137"/>
      <c r="AN400" s="7"/>
      <c r="AO400" s="7"/>
      <c r="AP400" s="7"/>
      <c r="AQ400" s="7"/>
      <c r="AR400" s="7"/>
      <c r="AS400" s="7"/>
    </row>
    <row r="401" ht="15.75" customHeight="1">
      <c r="A401" s="272"/>
      <c r="B401" s="7"/>
      <c r="C401" s="7"/>
      <c r="D401" s="7"/>
      <c r="E401" s="7"/>
      <c r="F401" s="7"/>
      <c r="G401" s="7"/>
      <c r="H401" s="7"/>
      <c r="I401" s="273"/>
      <c r="J401" s="273"/>
      <c r="K401" s="273"/>
      <c r="L401" s="273"/>
      <c r="M401" s="273"/>
      <c r="N401" s="273"/>
      <c r="O401" s="273"/>
      <c r="P401" s="273"/>
      <c r="Q401" s="273"/>
      <c r="R401" s="273"/>
      <c r="S401" s="273"/>
      <c r="T401" s="273"/>
      <c r="U401" s="7"/>
      <c r="V401" s="274"/>
      <c r="W401" s="9"/>
      <c r="X401" s="273"/>
      <c r="Y401" s="273"/>
      <c r="Z401" s="273"/>
      <c r="AA401" s="273"/>
      <c r="AB401" s="273"/>
      <c r="AC401" s="273"/>
      <c r="AD401" s="273"/>
      <c r="AE401" s="273"/>
      <c r="AF401" s="273"/>
      <c r="AG401" s="273"/>
      <c r="AH401" s="273"/>
      <c r="AI401" s="273"/>
      <c r="AJ401" s="9"/>
      <c r="AK401" s="274"/>
      <c r="AL401" s="10"/>
      <c r="AM401" s="137"/>
      <c r="AN401" s="7"/>
      <c r="AO401" s="7"/>
      <c r="AP401" s="7"/>
      <c r="AQ401" s="7"/>
      <c r="AR401" s="7"/>
      <c r="AS401" s="7"/>
    </row>
    <row r="402" ht="15.75" customHeight="1">
      <c r="A402" s="272"/>
      <c r="B402" s="7"/>
      <c r="C402" s="7"/>
      <c r="D402" s="7"/>
      <c r="E402" s="7"/>
      <c r="F402" s="7"/>
      <c r="G402" s="7"/>
      <c r="H402" s="7"/>
      <c r="I402" s="273"/>
      <c r="J402" s="273"/>
      <c r="K402" s="273"/>
      <c r="L402" s="273"/>
      <c r="M402" s="273"/>
      <c r="N402" s="273"/>
      <c r="O402" s="273"/>
      <c r="P402" s="273"/>
      <c r="Q402" s="273"/>
      <c r="R402" s="273"/>
      <c r="S402" s="273"/>
      <c r="T402" s="273"/>
      <c r="U402" s="7"/>
      <c r="V402" s="274"/>
      <c r="W402" s="9"/>
      <c r="X402" s="273"/>
      <c r="Y402" s="273"/>
      <c r="Z402" s="273"/>
      <c r="AA402" s="273"/>
      <c r="AB402" s="273"/>
      <c r="AC402" s="273"/>
      <c r="AD402" s="273"/>
      <c r="AE402" s="273"/>
      <c r="AF402" s="273"/>
      <c r="AG402" s="273"/>
      <c r="AH402" s="273"/>
      <c r="AI402" s="273"/>
      <c r="AJ402" s="9"/>
      <c r="AK402" s="274"/>
      <c r="AL402" s="10"/>
      <c r="AM402" s="137"/>
      <c r="AN402" s="7"/>
      <c r="AO402" s="7"/>
      <c r="AP402" s="7"/>
      <c r="AQ402" s="7"/>
      <c r="AR402" s="7"/>
      <c r="AS402" s="7"/>
    </row>
    <row r="403" ht="15.75" customHeight="1">
      <c r="A403" s="272"/>
      <c r="B403" s="7"/>
      <c r="C403" s="7"/>
      <c r="D403" s="7"/>
      <c r="E403" s="7"/>
      <c r="F403" s="7"/>
      <c r="G403" s="7"/>
      <c r="H403" s="7"/>
      <c r="I403" s="273"/>
      <c r="J403" s="273"/>
      <c r="K403" s="273"/>
      <c r="L403" s="273"/>
      <c r="M403" s="273"/>
      <c r="N403" s="273"/>
      <c r="O403" s="273"/>
      <c r="P403" s="273"/>
      <c r="Q403" s="273"/>
      <c r="R403" s="273"/>
      <c r="S403" s="273"/>
      <c r="T403" s="273"/>
      <c r="U403" s="7"/>
      <c r="V403" s="274"/>
      <c r="W403" s="9"/>
      <c r="X403" s="273"/>
      <c r="Y403" s="273"/>
      <c r="Z403" s="273"/>
      <c r="AA403" s="273"/>
      <c r="AB403" s="273"/>
      <c r="AC403" s="273"/>
      <c r="AD403" s="273"/>
      <c r="AE403" s="273"/>
      <c r="AF403" s="273"/>
      <c r="AG403" s="273"/>
      <c r="AH403" s="273"/>
      <c r="AI403" s="273"/>
      <c r="AJ403" s="9"/>
      <c r="AK403" s="274"/>
      <c r="AL403" s="10"/>
      <c r="AM403" s="137"/>
      <c r="AN403" s="7"/>
      <c r="AO403" s="7"/>
      <c r="AP403" s="7"/>
      <c r="AQ403" s="7"/>
      <c r="AR403" s="7"/>
      <c r="AS403" s="7"/>
    </row>
    <row r="404" ht="15.75" customHeight="1">
      <c r="A404" s="272"/>
      <c r="B404" s="7"/>
      <c r="C404" s="7"/>
      <c r="D404" s="7"/>
      <c r="E404" s="7"/>
      <c r="F404" s="7"/>
      <c r="G404" s="7"/>
      <c r="H404" s="7"/>
      <c r="I404" s="273"/>
      <c r="J404" s="273"/>
      <c r="K404" s="273"/>
      <c r="L404" s="273"/>
      <c r="M404" s="273"/>
      <c r="N404" s="273"/>
      <c r="O404" s="273"/>
      <c r="P404" s="273"/>
      <c r="Q404" s="273"/>
      <c r="R404" s="273"/>
      <c r="S404" s="273"/>
      <c r="T404" s="273"/>
      <c r="U404" s="7"/>
      <c r="V404" s="274"/>
      <c r="W404" s="9"/>
      <c r="X404" s="273"/>
      <c r="Y404" s="273"/>
      <c r="Z404" s="273"/>
      <c r="AA404" s="273"/>
      <c r="AB404" s="273"/>
      <c r="AC404" s="273"/>
      <c r="AD404" s="273"/>
      <c r="AE404" s="273"/>
      <c r="AF404" s="273"/>
      <c r="AG404" s="273"/>
      <c r="AH404" s="273"/>
      <c r="AI404" s="273"/>
      <c r="AJ404" s="9"/>
      <c r="AK404" s="274"/>
      <c r="AL404" s="10"/>
      <c r="AM404" s="137"/>
      <c r="AN404" s="7"/>
      <c r="AO404" s="7"/>
      <c r="AP404" s="7"/>
      <c r="AQ404" s="7"/>
      <c r="AR404" s="7"/>
      <c r="AS404" s="7"/>
    </row>
    <row r="405" ht="15.75" customHeight="1">
      <c r="A405" s="272"/>
      <c r="B405" s="7"/>
      <c r="C405" s="7"/>
      <c r="D405" s="7"/>
      <c r="E405" s="7"/>
      <c r="F405" s="7"/>
      <c r="G405" s="7"/>
      <c r="H405" s="7"/>
      <c r="I405" s="273"/>
      <c r="J405" s="273"/>
      <c r="K405" s="273"/>
      <c r="L405" s="273"/>
      <c r="M405" s="273"/>
      <c r="N405" s="273"/>
      <c r="O405" s="273"/>
      <c r="P405" s="273"/>
      <c r="Q405" s="273"/>
      <c r="R405" s="273"/>
      <c r="S405" s="273"/>
      <c r="T405" s="273"/>
      <c r="U405" s="7"/>
      <c r="V405" s="274"/>
      <c r="W405" s="9"/>
      <c r="X405" s="273"/>
      <c r="Y405" s="273"/>
      <c r="Z405" s="273"/>
      <c r="AA405" s="273"/>
      <c r="AB405" s="273"/>
      <c r="AC405" s="273"/>
      <c r="AD405" s="273"/>
      <c r="AE405" s="273"/>
      <c r="AF405" s="273"/>
      <c r="AG405" s="273"/>
      <c r="AH405" s="273"/>
      <c r="AI405" s="273"/>
      <c r="AJ405" s="9"/>
      <c r="AK405" s="274"/>
      <c r="AL405" s="10"/>
      <c r="AM405" s="137"/>
      <c r="AN405" s="7"/>
      <c r="AO405" s="7"/>
      <c r="AP405" s="7"/>
      <c r="AQ405" s="7"/>
      <c r="AR405" s="7"/>
      <c r="AS405" s="7"/>
    </row>
    <row r="406" ht="15.75" customHeight="1">
      <c r="A406" s="272"/>
      <c r="B406" s="7"/>
      <c r="C406" s="7"/>
      <c r="D406" s="7"/>
      <c r="E406" s="7"/>
      <c r="F406" s="7"/>
      <c r="G406" s="7"/>
      <c r="H406" s="7"/>
      <c r="I406" s="273"/>
      <c r="J406" s="273"/>
      <c r="K406" s="273"/>
      <c r="L406" s="273"/>
      <c r="M406" s="273"/>
      <c r="N406" s="273"/>
      <c r="O406" s="273"/>
      <c r="P406" s="273"/>
      <c r="Q406" s="273"/>
      <c r="R406" s="273"/>
      <c r="S406" s="273"/>
      <c r="T406" s="273"/>
      <c r="U406" s="7"/>
      <c r="V406" s="274"/>
      <c r="W406" s="9"/>
      <c r="X406" s="273"/>
      <c r="Y406" s="273"/>
      <c r="Z406" s="273"/>
      <c r="AA406" s="273"/>
      <c r="AB406" s="273"/>
      <c r="AC406" s="273"/>
      <c r="AD406" s="273"/>
      <c r="AE406" s="273"/>
      <c r="AF406" s="273"/>
      <c r="AG406" s="273"/>
      <c r="AH406" s="273"/>
      <c r="AI406" s="273"/>
      <c r="AJ406" s="9"/>
      <c r="AK406" s="274"/>
      <c r="AL406" s="10"/>
      <c r="AM406" s="137"/>
      <c r="AN406" s="7"/>
      <c r="AO406" s="7"/>
      <c r="AP406" s="7"/>
      <c r="AQ406" s="7"/>
      <c r="AR406" s="7"/>
      <c r="AS406" s="7"/>
    </row>
    <row r="407" ht="15.75" customHeight="1">
      <c r="A407" s="272"/>
      <c r="B407" s="7"/>
      <c r="C407" s="7"/>
      <c r="D407" s="7"/>
      <c r="E407" s="7"/>
      <c r="F407" s="7"/>
      <c r="G407" s="7"/>
      <c r="H407" s="7"/>
      <c r="I407" s="273"/>
      <c r="J407" s="273"/>
      <c r="K407" s="273"/>
      <c r="L407" s="273"/>
      <c r="M407" s="273"/>
      <c r="N407" s="273"/>
      <c r="O407" s="273"/>
      <c r="P407" s="273"/>
      <c r="Q407" s="273"/>
      <c r="R407" s="273"/>
      <c r="S407" s="273"/>
      <c r="T407" s="273"/>
      <c r="U407" s="7"/>
      <c r="V407" s="274"/>
      <c r="W407" s="9"/>
      <c r="X407" s="273"/>
      <c r="Y407" s="273"/>
      <c r="Z407" s="273"/>
      <c r="AA407" s="273"/>
      <c r="AB407" s="273"/>
      <c r="AC407" s="273"/>
      <c r="AD407" s="273"/>
      <c r="AE407" s="273"/>
      <c r="AF407" s="273"/>
      <c r="AG407" s="273"/>
      <c r="AH407" s="273"/>
      <c r="AI407" s="273"/>
      <c r="AJ407" s="9"/>
      <c r="AK407" s="274"/>
      <c r="AL407" s="10"/>
      <c r="AM407" s="137"/>
      <c r="AN407" s="7"/>
      <c r="AO407" s="7"/>
      <c r="AP407" s="7"/>
      <c r="AQ407" s="7"/>
      <c r="AR407" s="7"/>
      <c r="AS407" s="7"/>
    </row>
    <row r="408" ht="15.75" customHeight="1">
      <c r="A408" s="272"/>
      <c r="B408" s="7"/>
      <c r="C408" s="7"/>
      <c r="D408" s="7"/>
      <c r="E408" s="7"/>
      <c r="F408" s="7"/>
      <c r="G408" s="7"/>
      <c r="H408" s="7"/>
      <c r="I408" s="273"/>
      <c r="J408" s="273"/>
      <c r="K408" s="273"/>
      <c r="L408" s="273"/>
      <c r="M408" s="273"/>
      <c r="N408" s="273"/>
      <c r="O408" s="273"/>
      <c r="P408" s="273"/>
      <c r="Q408" s="273"/>
      <c r="R408" s="273"/>
      <c r="S408" s="273"/>
      <c r="T408" s="273"/>
      <c r="U408" s="7"/>
      <c r="V408" s="274"/>
      <c r="W408" s="9"/>
      <c r="X408" s="273"/>
      <c r="Y408" s="273"/>
      <c r="Z408" s="273"/>
      <c r="AA408" s="273"/>
      <c r="AB408" s="273"/>
      <c r="AC408" s="273"/>
      <c r="AD408" s="273"/>
      <c r="AE408" s="273"/>
      <c r="AF408" s="273"/>
      <c r="AG408" s="273"/>
      <c r="AH408" s="273"/>
      <c r="AI408" s="273"/>
      <c r="AJ408" s="9"/>
      <c r="AK408" s="274"/>
      <c r="AL408" s="10"/>
      <c r="AM408" s="137"/>
      <c r="AN408" s="7"/>
      <c r="AO408" s="7"/>
      <c r="AP408" s="7"/>
      <c r="AQ408" s="7"/>
      <c r="AR408" s="7"/>
      <c r="AS408" s="7"/>
    </row>
    <row r="409" ht="15.75" customHeight="1">
      <c r="A409" s="272"/>
      <c r="B409" s="7"/>
      <c r="C409" s="7"/>
      <c r="D409" s="7"/>
      <c r="E409" s="7"/>
      <c r="F409" s="7"/>
      <c r="G409" s="7"/>
      <c r="H409" s="7"/>
      <c r="I409" s="273"/>
      <c r="J409" s="273"/>
      <c r="K409" s="273"/>
      <c r="L409" s="273"/>
      <c r="M409" s="273"/>
      <c r="N409" s="273"/>
      <c r="O409" s="273"/>
      <c r="P409" s="273"/>
      <c r="Q409" s="273"/>
      <c r="R409" s="273"/>
      <c r="S409" s="273"/>
      <c r="T409" s="273"/>
      <c r="U409" s="7"/>
      <c r="V409" s="274"/>
      <c r="W409" s="9"/>
      <c r="X409" s="273"/>
      <c r="Y409" s="273"/>
      <c r="Z409" s="273"/>
      <c r="AA409" s="273"/>
      <c r="AB409" s="273"/>
      <c r="AC409" s="273"/>
      <c r="AD409" s="273"/>
      <c r="AE409" s="273"/>
      <c r="AF409" s="273"/>
      <c r="AG409" s="273"/>
      <c r="AH409" s="273"/>
      <c r="AI409" s="273"/>
      <c r="AJ409" s="9"/>
      <c r="AK409" s="274"/>
      <c r="AL409" s="10"/>
      <c r="AM409" s="137"/>
      <c r="AN409" s="7"/>
      <c r="AO409" s="7"/>
      <c r="AP409" s="7"/>
      <c r="AQ409" s="7"/>
      <c r="AR409" s="7"/>
      <c r="AS409" s="7"/>
    </row>
    <row r="410" ht="15.75" customHeight="1">
      <c r="A410" s="272"/>
      <c r="B410" s="272"/>
      <c r="C410" s="272"/>
      <c r="D410" s="272"/>
      <c r="E410" s="272"/>
      <c r="F410" s="272"/>
      <c r="G410" s="272"/>
      <c r="H410" s="272"/>
      <c r="I410" s="272"/>
      <c r="J410" s="272"/>
      <c r="K410" s="272"/>
      <c r="L410" s="272"/>
      <c r="M410" s="272"/>
      <c r="N410" s="272"/>
      <c r="O410" s="272"/>
      <c r="P410" s="272"/>
      <c r="Q410" s="272"/>
      <c r="R410" s="272"/>
      <c r="S410" s="272"/>
      <c r="T410" s="272"/>
      <c r="U410" s="272"/>
      <c r="V410" s="275"/>
      <c r="W410" s="266"/>
      <c r="X410" s="272"/>
      <c r="Y410" s="272"/>
      <c r="Z410" s="272"/>
      <c r="AA410" s="272"/>
      <c r="AB410" s="272"/>
      <c r="AC410" s="272"/>
      <c r="AD410" s="272"/>
      <c r="AE410" s="272"/>
      <c r="AF410" s="272"/>
      <c r="AG410" s="272"/>
      <c r="AH410" s="272"/>
      <c r="AI410" s="272"/>
      <c r="AJ410" s="266"/>
      <c r="AK410" s="275"/>
      <c r="AL410" s="268"/>
      <c r="AM410" s="137"/>
      <c r="AN410" s="272"/>
      <c r="AO410" s="272"/>
      <c r="AP410" s="272"/>
      <c r="AQ410" s="272"/>
      <c r="AR410" s="272"/>
      <c r="AS410" s="272"/>
    </row>
    <row r="411" ht="15.75" customHeight="1">
      <c r="A411" s="272"/>
      <c r="B411" s="272"/>
      <c r="C411" s="272"/>
      <c r="D411" s="272"/>
      <c r="E411" s="272"/>
      <c r="F411" s="272"/>
      <c r="G411" s="272"/>
      <c r="H411" s="272"/>
      <c r="I411" s="272"/>
      <c r="J411" s="272"/>
      <c r="K411" s="272"/>
      <c r="L411" s="272"/>
      <c r="M411" s="272"/>
      <c r="N411" s="272"/>
      <c r="O411" s="272"/>
      <c r="P411" s="272"/>
      <c r="Q411" s="272"/>
      <c r="R411" s="272"/>
      <c r="S411" s="272"/>
      <c r="T411" s="272"/>
      <c r="U411" s="272"/>
      <c r="V411" s="275"/>
      <c r="W411" s="266"/>
      <c r="X411" s="272"/>
      <c r="Y411" s="272"/>
      <c r="Z411" s="272"/>
      <c r="AA411" s="272"/>
      <c r="AB411" s="272"/>
      <c r="AC411" s="272"/>
      <c r="AD411" s="272"/>
      <c r="AE411" s="272"/>
      <c r="AF411" s="272"/>
      <c r="AG411" s="272"/>
      <c r="AH411" s="272"/>
      <c r="AI411" s="272"/>
      <c r="AJ411" s="266"/>
      <c r="AK411" s="275"/>
      <c r="AL411" s="268"/>
      <c r="AM411" s="137"/>
      <c r="AN411" s="272"/>
      <c r="AO411" s="272"/>
      <c r="AP411" s="272"/>
      <c r="AQ411" s="272"/>
      <c r="AR411" s="272"/>
      <c r="AS411" s="272"/>
    </row>
    <row r="412" ht="15.75" customHeight="1">
      <c r="A412" s="272"/>
      <c r="B412" s="272"/>
      <c r="C412" s="272"/>
      <c r="D412" s="272"/>
      <c r="E412" s="272"/>
      <c r="F412" s="272"/>
      <c r="G412" s="272"/>
      <c r="H412" s="272"/>
      <c r="I412" s="272"/>
      <c r="J412" s="272"/>
      <c r="K412" s="272"/>
      <c r="L412" s="272"/>
      <c r="M412" s="272"/>
      <c r="N412" s="272"/>
      <c r="O412" s="272"/>
      <c r="P412" s="272"/>
      <c r="Q412" s="272"/>
      <c r="R412" s="272"/>
      <c r="S412" s="272"/>
      <c r="T412" s="272"/>
      <c r="U412" s="272"/>
      <c r="V412" s="275"/>
      <c r="W412" s="266"/>
      <c r="X412" s="272"/>
      <c r="Y412" s="272"/>
      <c r="Z412" s="272"/>
      <c r="AA412" s="272"/>
      <c r="AB412" s="272"/>
      <c r="AC412" s="272"/>
      <c r="AD412" s="272"/>
      <c r="AE412" s="272"/>
      <c r="AF412" s="272"/>
      <c r="AG412" s="272"/>
      <c r="AH412" s="272"/>
      <c r="AI412" s="272"/>
      <c r="AJ412" s="266"/>
      <c r="AK412" s="275"/>
      <c r="AL412" s="268"/>
      <c r="AM412" s="137"/>
      <c r="AN412" s="272"/>
      <c r="AO412" s="272"/>
      <c r="AP412" s="272"/>
      <c r="AQ412" s="272"/>
      <c r="AR412" s="272"/>
      <c r="AS412" s="272"/>
    </row>
    <row r="413" ht="15.75" customHeight="1">
      <c r="A413" s="272"/>
      <c r="B413" s="272"/>
      <c r="C413" s="272"/>
      <c r="D413" s="272"/>
      <c r="E413" s="272"/>
      <c r="F413" s="272"/>
      <c r="G413" s="272"/>
      <c r="H413" s="272"/>
      <c r="I413" s="272"/>
      <c r="J413" s="272"/>
      <c r="K413" s="272"/>
      <c r="L413" s="272"/>
      <c r="M413" s="272"/>
      <c r="N413" s="272"/>
      <c r="O413" s="272"/>
      <c r="P413" s="272"/>
      <c r="Q413" s="272"/>
      <c r="R413" s="272"/>
      <c r="S413" s="272"/>
      <c r="T413" s="272"/>
      <c r="U413" s="272"/>
      <c r="V413" s="275"/>
      <c r="W413" s="266"/>
      <c r="X413" s="272"/>
      <c r="Y413" s="272"/>
      <c r="Z413" s="272"/>
      <c r="AA413" s="272"/>
      <c r="AB413" s="272"/>
      <c r="AC413" s="272"/>
      <c r="AD413" s="272"/>
      <c r="AE413" s="272"/>
      <c r="AF413" s="272"/>
      <c r="AG413" s="272"/>
      <c r="AH413" s="272"/>
      <c r="AI413" s="272"/>
      <c r="AJ413" s="266"/>
      <c r="AK413" s="275"/>
      <c r="AL413" s="268"/>
      <c r="AM413" s="137"/>
      <c r="AN413" s="272"/>
      <c r="AO413" s="272"/>
      <c r="AP413" s="272"/>
      <c r="AQ413" s="272"/>
      <c r="AR413" s="272"/>
      <c r="AS413" s="272"/>
    </row>
    <row r="414" ht="15.75" customHeight="1">
      <c r="A414" s="272"/>
      <c r="B414" s="272"/>
      <c r="C414" s="272"/>
      <c r="D414" s="272"/>
      <c r="E414" s="272"/>
      <c r="F414" s="272"/>
      <c r="G414" s="272"/>
      <c r="H414" s="272"/>
      <c r="I414" s="272"/>
      <c r="J414" s="272"/>
      <c r="K414" s="272"/>
      <c r="L414" s="272"/>
      <c r="M414" s="272"/>
      <c r="N414" s="272"/>
      <c r="O414" s="272"/>
      <c r="P414" s="272"/>
      <c r="Q414" s="272"/>
      <c r="R414" s="272"/>
      <c r="S414" s="272"/>
      <c r="T414" s="272"/>
      <c r="U414" s="272"/>
      <c r="V414" s="275"/>
      <c r="W414" s="266"/>
      <c r="X414" s="272"/>
      <c r="Y414" s="272"/>
      <c r="Z414" s="272"/>
      <c r="AA414" s="272"/>
      <c r="AB414" s="272"/>
      <c r="AC414" s="272"/>
      <c r="AD414" s="272"/>
      <c r="AE414" s="272"/>
      <c r="AF414" s="272"/>
      <c r="AG414" s="272"/>
      <c r="AH414" s="272"/>
      <c r="AI414" s="272"/>
      <c r="AJ414" s="266"/>
      <c r="AK414" s="275"/>
      <c r="AL414" s="268"/>
      <c r="AM414" s="137"/>
      <c r="AN414" s="272"/>
      <c r="AO414" s="272"/>
      <c r="AP414" s="272"/>
      <c r="AQ414" s="272"/>
      <c r="AR414" s="272"/>
      <c r="AS414" s="272"/>
    </row>
    <row r="415" ht="15.75" customHeight="1">
      <c r="A415" s="7"/>
      <c r="B415" s="7"/>
      <c r="C415" s="7"/>
      <c r="D415" s="7"/>
      <c r="E415" s="7"/>
      <c r="F415" s="7"/>
      <c r="G415" s="7"/>
      <c r="H415" s="7"/>
      <c r="I415" s="7"/>
      <c r="J415" s="7"/>
      <c r="K415" s="7"/>
      <c r="L415" s="7"/>
      <c r="M415" s="7"/>
      <c r="N415" s="7"/>
      <c r="O415" s="7"/>
      <c r="P415" s="7"/>
      <c r="Q415" s="7"/>
      <c r="R415" s="7"/>
      <c r="S415" s="7"/>
      <c r="T415" s="7"/>
      <c r="U415" s="7"/>
      <c r="V415" s="182"/>
      <c r="W415" s="9"/>
      <c r="X415" s="7"/>
      <c r="Y415" s="7"/>
      <c r="Z415" s="7"/>
      <c r="AA415" s="7"/>
      <c r="AB415" s="7"/>
      <c r="AC415" s="7"/>
      <c r="AD415" s="7"/>
      <c r="AE415" s="7"/>
      <c r="AF415" s="7"/>
      <c r="AG415" s="7"/>
      <c r="AH415" s="7"/>
      <c r="AI415" s="7"/>
      <c r="AJ415" s="9"/>
      <c r="AK415" s="182"/>
      <c r="AL415" s="10"/>
      <c r="AM415" s="137"/>
      <c r="AN415" s="7"/>
      <c r="AO415" s="7"/>
      <c r="AP415" s="7"/>
      <c r="AQ415" s="7"/>
      <c r="AR415" s="7"/>
      <c r="AS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182"/>
      <c r="W416" s="9"/>
      <c r="X416" s="7"/>
      <c r="Y416" s="7"/>
      <c r="Z416" s="7"/>
      <c r="AA416" s="7"/>
      <c r="AB416" s="7"/>
      <c r="AC416" s="7"/>
      <c r="AD416" s="7"/>
      <c r="AE416" s="7"/>
      <c r="AF416" s="7"/>
      <c r="AG416" s="7"/>
      <c r="AH416" s="7"/>
      <c r="AI416" s="7"/>
      <c r="AJ416" s="9"/>
      <c r="AK416" s="182"/>
      <c r="AL416" s="10"/>
      <c r="AM416" s="137"/>
      <c r="AN416" s="7"/>
      <c r="AO416" s="7"/>
      <c r="AP416" s="7"/>
      <c r="AQ416" s="7"/>
      <c r="AR416" s="7"/>
      <c r="AS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182"/>
      <c r="W417" s="9"/>
      <c r="X417" s="7"/>
      <c r="Y417" s="7"/>
      <c r="Z417" s="7"/>
      <c r="AA417" s="7"/>
      <c r="AB417" s="7"/>
      <c r="AC417" s="7"/>
      <c r="AD417" s="7"/>
      <c r="AE417" s="7"/>
      <c r="AF417" s="7"/>
      <c r="AG417" s="7"/>
      <c r="AH417" s="7"/>
      <c r="AI417" s="7"/>
      <c r="AJ417" s="9"/>
      <c r="AK417" s="182"/>
      <c r="AL417" s="10"/>
      <c r="AM417" s="137"/>
      <c r="AN417" s="7"/>
      <c r="AO417" s="7"/>
      <c r="AP417" s="7"/>
      <c r="AQ417" s="7"/>
      <c r="AR417" s="7"/>
      <c r="AS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182"/>
      <c r="W418" s="9"/>
      <c r="X418" s="7"/>
      <c r="Y418" s="7"/>
      <c r="Z418" s="7"/>
      <c r="AA418" s="7"/>
      <c r="AB418" s="7"/>
      <c r="AC418" s="7"/>
      <c r="AD418" s="7"/>
      <c r="AE418" s="7"/>
      <c r="AF418" s="7"/>
      <c r="AG418" s="7"/>
      <c r="AH418" s="7"/>
      <c r="AI418" s="7"/>
      <c r="AJ418" s="9"/>
      <c r="AK418" s="182"/>
      <c r="AL418" s="10"/>
      <c r="AM418" s="137"/>
      <c r="AN418" s="7"/>
      <c r="AO418" s="7"/>
      <c r="AP418" s="7"/>
      <c r="AQ418" s="7"/>
      <c r="AR418" s="7"/>
      <c r="AS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182"/>
      <c r="W419" s="9"/>
      <c r="X419" s="7"/>
      <c r="Y419" s="7"/>
      <c r="Z419" s="7"/>
      <c r="AA419" s="7"/>
      <c r="AB419" s="7"/>
      <c r="AC419" s="7"/>
      <c r="AD419" s="7"/>
      <c r="AE419" s="7"/>
      <c r="AF419" s="7"/>
      <c r="AG419" s="7"/>
      <c r="AH419" s="7"/>
      <c r="AI419" s="7"/>
      <c r="AJ419" s="9"/>
      <c r="AK419" s="182"/>
      <c r="AL419" s="10"/>
      <c r="AM419" s="137"/>
      <c r="AN419" s="7"/>
      <c r="AO419" s="7"/>
      <c r="AP419" s="7"/>
      <c r="AQ419" s="7"/>
      <c r="AR419" s="7"/>
      <c r="AS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182"/>
      <c r="W420" s="9"/>
      <c r="X420" s="7"/>
      <c r="Y420" s="7"/>
      <c r="Z420" s="7"/>
      <c r="AA420" s="7"/>
      <c r="AB420" s="7"/>
      <c r="AC420" s="7"/>
      <c r="AD420" s="7"/>
      <c r="AE420" s="7"/>
      <c r="AF420" s="7"/>
      <c r="AG420" s="7"/>
      <c r="AH420" s="7"/>
      <c r="AI420" s="7"/>
      <c r="AJ420" s="9"/>
      <c r="AK420" s="182"/>
      <c r="AL420" s="10"/>
      <c r="AM420" s="137"/>
      <c r="AN420" s="7"/>
      <c r="AO420" s="7"/>
      <c r="AP420" s="7"/>
      <c r="AQ420" s="7"/>
      <c r="AR420" s="7"/>
      <c r="AS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182"/>
      <c r="W421" s="9"/>
      <c r="X421" s="7"/>
      <c r="Y421" s="7"/>
      <c r="Z421" s="7"/>
      <c r="AA421" s="7"/>
      <c r="AB421" s="7"/>
      <c r="AC421" s="7"/>
      <c r="AD421" s="7"/>
      <c r="AE421" s="7"/>
      <c r="AF421" s="7"/>
      <c r="AG421" s="7"/>
      <c r="AH421" s="7"/>
      <c r="AI421" s="7"/>
      <c r="AJ421" s="9"/>
      <c r="AK421" s="182"/>
      <c r="AL421" s="10"/>
      <c r="AM421" s="137"/>
      <c r="AN421" s="7"/>
      <c r="AO421" s="7"/>
      <c r="AP421" s="7"/>
      <c r="AQ421" s="7"/>
      <c r="AR421" s="7"/>
      <c r="AS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182"/>
      <c r="W422" s="9"/>
      <c r="X422" s="7"/>
      <c r="Y422" s="7"/>
      <c r="Z422" s="7"/>
      <c r="AA422" s="7"/>
      <c r="AB422" s="7"/>
      <c r="AC422" s="7"/>
      <c r="AD422" s="7"/>
      <c r="AE422" s="7"/>
      <c r="AF422" s="7"/>
      <c r="AG422" s="7"/>
      <c r="AH422" s="7"/>
      <c r="AI422" s="7"/>
      <c r="AJ422" s="9"/>
      <c r="AK422" s="182"/>
      <c r="AL422" s="10"/>
      <c r="AM422" s="137"/>
      <c r="AN422" s="7"/>
      <c r="AO422" s="7"/>
      <c r="AP422" s="7"/>
      <c r="AQ422" s="7"/>
      <c r="AR422" s="7"/>
      <c r="AS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182"/>
      <c r="W423" s="9"/>
      <c r="X423" s="7"/>
      <c r="Y423" s="7"/>
      <c r="Z423" s="7"/>
      <c r="AA423" s="7"/>
      <c r="AB423" s="7"/>
      <c r="AC423" s="7"/>
      <c r="AD423" s="7"/>
      <c r="AE423" s="7"/>
      <c r="AF423" s="7"/>
      <c r="AG423" s="7"/>
      <c r="AH423" s="7"/>
      <c r="AI423" s="7"/>
      <c r="AJ423" s="9"/>
      <c r="AK423" s="182"/>
      <c r="AL423" s="10"/>
      <c r="AM423" s="137"/>
      <c r="AN423" s="7"/>
      <c r="AO423" s="7"/>
      <c r="AP423" s="7"/>
      <c r="AQ423" s="7"/>
      <c r="AR423" s="7"/>
      <c r="AS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182"/>
      <c r="W424" s="9"/>
      <c r="X424" s="7"/>
      <c r="Y424" s="7"/>
      <c r="Z424" s="7"/>
      <c r="AA424" s="7"/>
      <c r="AB424" s="7"/>
      <c r="AC424" s="7"/>
      <c r="AD424" s="7"/>
      <c r="AE424" s="7"/>
      <c r="AF424" s="7"/>
      <c r="AG424" s="7"/>
      <c r="AH424" s="7"/>
      <c r="AI424" s="7"/>
      <c r="AJ424" s="9"/>
      <c r="AK424" s="182"/>
      <c r="AL424" s="10"/>
      <c r="AM424" s="137"/>
      <c r="AN424" s="7"/>
      <c r="AO424" s="7"/>
      <c r="AP424" s="7"/>
      <c r="AQ424" s="7"/>
      <c r="AR424" s="7"/>
      <c r="AS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182"/>
      <c r="W425" s="9"/>
      <c r="X425" s="7"/>
      <c r="Y425" s="7"/>
      <c r="Z425" s="7"/>
      <c r="AA425" s="7"/>
      <c r="AB425" s="7"/>
      <c r="AC425" s="7"/>
      <c r="AD425" s="7"/>
      <c r="AE425" s="7"/>
      <c r="AF425" s="7"/>
      <c r="AG425" s="7"/>
      <c r="AH425" s="7"/>
      <c r="AI425" s="7"/>
      <c r="AJ425" s="9"/>
      <c r="AK425" s="182"/>
      <c r="AL425" s="10"/>
      <c r="AM425" s="137"/>
      <c r="AN425" s="7"/>
      <c r="AO425" s="7"/>
      <c r="AP425" s="7"/>
      <c r="AQ425" s="7"/>
      <c r="AR425" s="7"/>
      <c r="AS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182"/>
      <c r="W426" s="9"/>
      <c r="X426" s="7"/>
      <c r="Y426" s="7"/>
      <c r="Z426" s="7"/>
      <c r="AA426" s="7"/>
      <c r="AB426" s="7"/>
      <c r="AC426" s="7"/>
      <c r="AD426" s="7"/>
      <c r="AE426" s="7"/>
      <c r="AF426" s="7"/>
      <c r="AG426" s="7"/>
      <c r="AH426" s="7"/>
      <c r="AI426" s="7"/>
      <c r="AJ426" s="9"/>
      <c r="AK426" s="182"/>
      <c r="AL426" s="10"/>
      <c r="AM426" s="137"/>
      <c r="AN426" s="7"/>
      <c r="AO426" s="7"/>
      <c r="AP426" s="7"/>
      <c r="AQ426" s="7"/>
      <c r="AR426" s="7"/>
      <c r="AS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182"/>
      <c r="W427" s="9"/>
      <c r="X427" s="7"/>
      <c r="Y427" s="7"/>
      <c r="Z427" s="7"/>
      <c r="AA427" s="7"/>
      <c r="AB427" s="7"/>
      <c r="AC427" s="7"/>
      <c r="AD427" s="7"/>
      <c r="AE427" s="7"/>
      <c r="AF427" s="7"/>
      <c r="AG427" s="7"/>
      <c r="AH427" s="7"/>
      <c r="AI427" s="7"/>
      <c r="AJ427" s="9"/>
      <c r="AK427" s="182"/>
      <c r="AL427" s="10"/>
      <c r="AM427" s="137"/>
      <c r="AN427" s="7"/>
      <c r="AO427" s="7"/>
      <c r="AP427" s="7"/>
      <c r="AQ427" s="7"/>
      <c r="AR427" s="7"/>
      <c r="AS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182"/>
      <c r="W428" s="9"/>
      <c r="X428" s="7"/>
      <c r="Y428" s="7"/>
      <c r="Z428" s="7"/>
      <c r="AA428" s="7"/>
      <c r="AB428" s="7"/>
      <c r="AC428" s="7"/>
      <c r="AD428" s="7"/>
      <c r="AE428" s="7"/>
      <c r="AF428" s="7"/>
      <c r="AG428" s="7"/>
      <c r="AH428" s="7"/>
      <c r="AI428" s="7"/>
      <c r="AJ428" s="9"/>
      <c r="AK428" s="182"/>
      <c r="AL428" s="10"/>
      <c r="AM428" s="137"/>
      <c r="AN428" s="7"/>
      <c r="AO428" s="7"/>
      <c r="AP428" s="7"/>
      <c r="AQ428" s="7"/>
      <c r="AR428" s="7"/>
      <c r="AS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182"/>
      <c r="W429" s="9"/>
      <c r="X429" s="7"/>
      <c r="Y429" s="7"/>
      <c r="Z429" s="7"/>
      <c r="AA429" s="7"/>
      <c r="AB429" s="7"/>
      <c r="AC429" s="7"/>
      <c r="AD429" s="7"/>
      <c r="AE429" s="7"/>
      <c r="AF429" s="7"/>
      <c r="AG429" s="7"/>
      <c r="AH429" s="7"/>
      <c r="AI429" s="7"/>
      <c r="AJ429" s="9"/>
      <c r="AK429" s="182"/>
      <c r="AL429" s="10"/>
      <c r="AM429" s="137"/>
      <c r="AN429" s="7"/>
      <c r="AO429" s="7"/>
      <c r="AP429" s="7"/>
      <c r="AQ429" s="7"/>
      <c r="AR429" s="7"/>
      <c r="AS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182"/>
      <c r="W430" s="9"/>
      <c r="X430" s="7"/>
      <c r="Y430" s="7"/>
      <c r="Z430" s="7"/>
      <c r="AA430" s="7"/>
      <c r="AB430" s="7"/>
      <c r="AC430" s="7"/>
      <c r="AD430" s="7"/>
      <c r="AE430" s="7"/>
      <c r="AF430" s="7"/>
      <c r="AG430" s="7"/>
      <c r="AH430" s="7"/>
      <c r="AI430" s="7"/>
      <c r="AJ430" s="9"/>
      <c r="AK430" s="182"/>
      <c r="AL430" s="10"/>
      <c r="AM430" s="137"/>
      <c r="AN430" s="7"/>
      <c r="AO430" s="7"/>
      <c r="AP430" s="7"/>
      <c r="AQ430" s="7"/>
      <c r="AR430" s="7"/>
      <c r="AS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182"/>
      <c r="W431" s="9"/>
      <c r="X431" s="7"/>
      <c r="Y431" s="7"/>
      <c r="Z431" s="7"/>
      <c r="AA431" s="7"/>
      <c r="AB431" s="7"/>
      <c r="AC431" s="7"/>
      <c r="AD431" s="7"/>
      <c r="AE431" s="7"/>
      <c r="AF431" s="7"/>
      <c r="AG431" s="7"/>
      <c r="AH431" s="7"/>
      <c r="AI431" s="7"/>
      <c r="AJ431" s="9"/>
      <c r="AK431" s="182"/>
      <c r="AL431" s="10"/>
      <c r="AM431" s="137"/>
      <c r="AN431" s="7"/>
      <c r="AO431" s="7"/>
      <c r="AP431" s="7"/>
      <c r="AQ431" s="7"/>
      <c r="AR431" s="7"/>
      <c r="AS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182"/>
      <c r="W432" s="9"/>
      <c r="X432" s="7"/>
      <c r="Y432" s="7"/>
      <c r="Z432" s="7"/>
      <c r="AA432" s="7"/>
      <c r="AB432" s="7"/>
      <c r="AC432" s="7"/>
      <c r="AD432" s="7"/>
      <c r="AE432" s="7"/>
      <c r="AF432" s="7"/>
      <c r="AG432" s="7"/>
      <c r="AH432" s="7"/>
      <c r="AI432" s="7"/>
      <c r="AJ432" s="9"/>
      <c r="AK432" s="182"/>
      <c r="AL432" s="10"/>
      <c r="AM432" s="137"/>
      <c r="AN432" s="7"/>
      <c r="AO432" s="7"/>
      <c r="AP432" s="7"/>
      <c r="AQ432" s="7"/>
      <c r="AR432" s="7"/>
      <c r="AS432" s="7"/>
    </row>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G$43:$G$172"/>
  <printOptions/>
  <pageMargins bottom="0.75" footer="0.0" header="0.0" left="0.7" right="0.7" top="0.75"/>
  <pageSetup paperSize="9"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2" width="6.0"/>
    <col customWidth="1" min="3" max="3" width="26.0"/>
    <col customWidth="1" min="4" max="4" width="7.0"/>
    <col customWidth="1" min="5" max="5" width="28.0"/>
    <col customWidth="1" min="6" max="6" width="48.0"/>
    <col customWidth="1" min="7" max="8" width="14.0"/>
    <col customWidth="1" min="9" max="10" width="16.0"/>
    <col customWidth="1" min="11" max="11" width="12.0"/>
  </cols>
  <sheetData>
    <row r="1" ht="21.75" customHeight="1">
      <c r="A1" s="276" t="s">
        <v>296</v>
      </c>
      <c r="B1" s="277"/>
      <c r="C1" s="277"/>
      <c r="D1" s="277"/>
      <c r="E1" s="277"/>
      <c r="F1" s="277"/>
      <c r="G1" s="277"/>
      <c r="H1" s="277"/>
      <c r="I1" s="277"/>
      <c r="J1" s="277"/>
      <c r="K1" s="278"/>
    </row>
    <row r="2">
      <c r="A2" s="279" t="s">
        <v>297</v>
      </c>
      <c r="B2" s="277"/>
      <c r="C2" s="277"/>
      <c r="D2" s="277"/>
      <c r="E2" s="277"/>
      <c r="F2" s="277"/>
      <c r="G2" s="277"/>
      <c r="H2" s="277"/>
      <c r="I2" s="277"/>
      <c r="J2" s="277"/>
      <c r="K2" s="278"/>
    </row>
    <row r="3">
      <c r="A3" s="280" t="s">
        <v>298</v>
      </c>
      <c r="B3" s="281"/>
      <c r="C3" s="7"/>
      <c r="D3" s="280" t="s">
        <v>299</v>
      </c>
      <c r="E3" s="281" t="s">
        <v>300</v>
      </c>
      <c r="F3" s="7"/>
      <c r="G3" s="7"/>
      <c r="H3" s="7"/>
      <c r="I3" s="7"/>
      <c r="J3" s="7"/>
      <c r="K3" s="7"/>
    </row>
    <row r="4">
      <c r="A4" s="282" t="s">
        <v>301</v>
      </c>
      <c r="B4" s="283" t="str">
        <f t="array" ref="B4:B6">IFERROR(INDEX('REAL-BDGT2026'!C:C,B3),"")</f>
        <v/>
      </c>
      <c r="C4" s="278"/>
      <c r="D4" s="282" t="s">
        <v>302</v>
      </c>
      <c r="E4" s="284" t="str">
        <f t="array" ref="E4:E6">IFERROR(IF(E3="Ene",INDEX('REAL-BDGT2026'!I:I,B3),IF(E3="Feb",INDEX('REAL-BDGT2026'!J:J,B3),IF(E3="Mar",INDEX('REAL-BDGT2026'!K:K,B3),IF(E3="Abr",INDEX('REAL-BDGT2026'!L:L,B3),"")))),"")</f>
        <v/>
      </c>
      <c r="F4" s="7"/>
      <c r="G4" s="7"/>
      <c r="H4" s="7"/>
      <c r="I4" s="7"/>
      <c r="J4" s="7"/>
      <c r="K4" s="7"/>
    </row>
    <row r="5" ht="3.75" customHeight="1">
      <c r="A5" s="7"/>
      <c r="B5" s="7"/>
      <c r="C5" s="7"/>
      <c r="D5" s="7"/>
      <c r="E5" s="7" t="s">
        <v>0</v>
      </c>
      <c r="F5" s="7"/>
      <c r="G5" s="7"/>
      <c r="H5" s="7"/>
      <c r="I5" s="7"/>
      <c r="J5" s="7"/>
      <c r="K5" s="7"/>
    </row>
    <row r="6" ht="15.75" customHeight="1">
      <c r="A6" s="285" t="s">
        <v>303</v>
      </c>
      <c r="B6" s="285"/>
      <c r="C6" s="285" t="s">
        <v>304</v>
      </c>
      <c r="D6" s="285" t="s">
        <v>305</v>
      </c>
      <c r="E6" s="285"/>
      <c r="F6" s="285" t="s">
        <v>306</v>
      </c>
      <c r="G6" s="285" t="s">
        <v>307</v>
      </c>
      <c r="H6" s="285" t="s">
        <v>308</v>
      </c>
      <c r="I6" s="285" t="s">
        <v>309</v>
      </c>
      <c r="J6" s="285" t="s">
        <v>310</v>
      </c>
      <c r="K6" s="285" t="s">
        <v>311</v>
      </c>
    </row>
    <row r="7">
      <c r="A7" s="286" t="s">
        <v>312</v>
      </c>
      <c r="B7" s="287">
        <v>8.0</v>
      </c>
      <c r="C7" s="286" t="s">
        <v>10</v>
      </c>
      <c r="D7" s="287" t="s">
        <v>313</v>
      </c>
      <c r="E7" s="286" t="s">
        <v>314</v>
      </c>
      <c r="F7" s="286" t="s">
        <v>315</v>
      </c>
      <c r="G7" s="288">
        <v>0.0</v>
      </c>
      <c r="H7" s="288">
        <v>2.3328759102E8</v>
      </c>
      <c r="I7" s="289">
        <v>-2.3328759102E8</v>
      </c>
      <c r="J7" s="290"/>
      <c r="K7" s="7"/>
    </row>
    <row r="8">
      <c r="A8" s="291" t="s">
        <v>312</v>
      </c>
      <c r="B8" s="292">
        <v>8.0</v>
      </c>
      <c r="C8" s="291" t="s">
        <v>10</v>
      </c>
      <c r="D8" s="292" t="s">
        <v>313</v>
      </c>
      <c r="E8" s="291"/>
      <c r="F8" s="291" t="s">
        <v>316</v>
      </c>
      <c r="G8" s="293">
        <v>2.5604244E8</v>
      </c>
      <c r="H8" s="293">
        <v>0.0</v>
      </c>
      <c r="I8" s="294">
        <v>2.5604244E8</v>
      </c>
      <c r="J8" s="295"/>
      <c r="K8" s="7"/>
    </row>
    <row r="9">
      <c r="A9" s="286" t="s">
        <v>312</v>
      </c>
      <c r="B9" s="287">
        <v>8.0</v>
      </c>
      <c r="C9" s="286" t="s">
        <v>10</v>
      </c>
      <c r="D9" s="287" t="s">
        <v>313</v>
      </c>
      <c r="E9" s="286"/>
      <c r="F9" s="286" t="s">
        <v>317</v>
      </c>
      <c r="G9" s="288">
        <v>2.3328759102E8</v>
      </c>
      <c r="H9" s="288">
        <v>0.0</v>
      </c>
      <c r="I9" s="289">
        <v>2.3328759102E8</v>
      </c>
      <c r="J9" s="290"/>
      <c r="K9" s="7"/>
    </row>
    <row r="10">
      <c r="A10" s="291" t="s">
        <v>312</v>
      </c>
      <c r="B10" s="292">
        <v>8.0</v>
      </c>
      <c r="C10" s="291" t="s">
        <v>10</v>
      </c>
      <c r="D10" s="292" t="s">
        <v>313</v>
      </c>
      <c r="E10" s="291"/>
      <c r="F10" s="291" t="s">
        <v>318</v>
      </c>
      <c r="G10" s="293">
        <v>0.0</v>
      </c>
      <c r="H10" s="293">
        <v>2.5665427329E8</v>
      </c>
      <c r="I10" s="294">
        <v>-2.5665427329E8</v>
      </c>
      <c r="J10" s="295"/>
      <c r="K10" s="7"/>
    </row>
    <row r="11">
      <c r="A11" s="286" t="s">
        <v>312</v>
      </c>
      <c r="B11" s="287">
        <v>8.0</v>
      </c>
      <c r="C11" s="286" t="s">
        <v>10</v>
      </c>
      <c r="D11" s="287" t="s">
        <v>313</v>
      </c>
      <c r="E11" s="286"/>
      <c r="F11" s="286" t="s">
        <v>319</v>
      </c>
      <c r="G11" s="288">
        <v>0.0</v>
      </c>
      <c r="H11" s="288">
        <v>2.542103025E8</v>
      </c>
      <c r="I11" s="289">
        <v>-2.542103025E8</v>
      </c>
      <c r="J11" s="290"/>
      <c r="K11" s="7"/>
    </row>
    <row r="12">
      <c r="A12" s="296" t="s">
        <v>312</v>
      </c>
      <c r="B12" s="296">
        <v>8.0</v>
      </c>
      <c r="C12" s="297" t="s">
        <v>10</v>
      </c>
      <c r="D12" s="296" t="s">
        <v>320</v>
      </c>
      <c r="E12" s="298"/>
      <c r="F12" s="297" t="s">
        <v>321</v>
      </c>
      <c r="G12" s="299">
        <v>4.8933003102E8</v>
      </c>
      <c r="H12" s="299">
        <v>7.4415216681E8</v>
      </c>
      <c r="I12" s="300">
        <v>-2.5482213579E8</v>
      </c>
      <c r="J12" s="300">
        <v>2.5482213579E8</v>
      </c>
      <c r="K12" s="301">
        <v>0.0</v>
      </c>
    </row>
    <row r="13">
      <c r="A13" s="286" t="s">
        <v>312</v>
      </c>
      <c r="B13" s="287">
        <v>9.0</v>
      </c>
      <c r="C13" s="286" t="s">
        <v>11</v>
      </c>
      <c r="D13" s="287" t="s">
        <v>313</v>
      </c>
      <c r="E13" s="286" t="s">
        <v>314</v>
      </c>
      <c r="F13" s="286" t="s">
        <v>322</v>
      </c>
      <c r="G13" s="288">
        <v>0.0</v>
      </c>
      <c r="H13" s="288">
        <v>3.063782574E7</v>
      </c>
      <c r="I13" s="289">
        <v>-3.063782574E7</v>
      </c>
      <c r="J13" s="290"/>
      <c r="K13" s="7"/>
    </row>
    <row r="14">
      <c r="A14" s="291" t="s">
        <v>312</v>
      </c>
      <c r="B14" s="292">
        <v>9.0</v>
      </c>
      <c r="C14" s="291" t="s">
        <v>11</v>
      </c>
      <c r="D14" s="292" t="s">
        <v>313</v>
      </c>
      <c r="E14" s="291"/>
      <c r="F14" s="291" t="s">
        <v>323</v>
      </c>
      <c r="G14" s="293">
        <v>3.063782574E7</v>
      </c>
      <c r="H14" s="293">
        <v>0.0</v>
      </c>
      <c r="I14" s="294">
        <v>3.063782574E7</v>
      </c>
      <c r="J14" s="295"/>
      <c r="K14" s="7"/>
    </row>
    <row r="15">
      <c r="A15" s="286" t="s">
        <v>312</v>
      </c>
      <c r="B15" s="287">
        <v>9.0</v>
      </c>
      <c r="C15" s="286" t="s">
        <v>11</v>
      </c>
      <c r="D15" s="287" t="s">
        <v>313</v>
      </c>
      <c r="E15" s="286"/>
      <c r="F15" s="286" t="s">
        <v>324</v>
      </c>
      <c r="G15" s="288">
        <v>3.0875706E7</v>
      </c>
      <c r="H15" s="288">
        <v>0.0</v>
      </c>
      <c r="I15" s="289">
        <v>3.0875706E7</v>
      </c>
      <c r="J15" s="290"/>
      <c r="K15" s="7"/>
    </row>
    <row r="16">
      <c r="A16" s="291" t="s">
        <v>312</v>
      </c>
      <c r="B16" s="292">
        <v>9.0</v>
      </c>
      <c r="C16" s="291" t="s">
        <v>11</v>
      </c>
      <c r="D16" s="292" t="s">
        <v>313</v>
      </c>
      <c r="E16" s="291"/>
      <c r="F16" s="291" t="s">
        <v>325</v>
      </c>
      <c r="G16" s="293">
        <v>0.0</v>
      </c>
      <c r="H16" s="293">
        <v>3.438180111E7</v>
      </c>
      <c r="I16" s="294">
        <v>-3.438180111E7</v>
      </c>
      <c r="J16" s="295"/>
      <c r="K16" s="7"/>
    </row>
    <row r="17">
      <c r="A17" s="286" t="s">
        <v>312</v>
      </c>
      <c r="B17" s="287">
        <v>9.0</v>
      </c>
      <c r="C17" s="286" t="s">
        <v>11</v>
      </c>
      <c r="D17" s="287" t="s">
        <v>313</v>
      </c>
      <c r="E17" s="286"/>
      <c r="F17" s="286" t="s">
        <v>326</v>
      </c>
      <c r="G17" s="288">
        <v>0.0</v>
      </c>
      <c r="H17" s="288">
        <v>3.081337E7</v>
      </c>
      <c r="I17" s="289">
        <v>-3.081337E7</v>
      </c>
      <c r="J17" s="290"/>
      <c r="K17" s="7"/>
    </row>
    <row r="18">
      <c r="A18" s="296" t="s">
        <v>312</v>
      </c>
      <c r="B18" s="296">
        <v>9.0</v>
      </c>
      <c r="C18" s="297" t="s">
        <v>11</v>
      </c>
      <c r="D18" s="296" t="s">
        <v>320</v>
      </c>
      <c r="E18" s="298"/>
      <c r="F18" s="297" t="s">
        <v>321</v>
      </c>
      <c r="G18" s="299">
        <v>6.151353173999999E7</v>
      </c>
      <c r="H18" s="299">
        <v>9.583299685E7</v>
      </c>
      <c r="I18" s="300">
        <v>-3.431946511E7</v>
      </c>
      <c r="J18" s="300">
        <v>3.431946511E7</v>
      </c>
      <c r="K18" s="301">
        <v>0.0</v>
      </c>
    </row>
    <row r="19">
      <c r="A19" s="286" t="s">
        <v>312</v>
      </c>
      <c r="B19" s="287">
        <v>10.0</v>
      </c>
      <c r="C19" s="286" t="s">
        <v>12</v>
      </c>
      <c r="D19" s="287" t="s">
        <v>313</v>
      </c>
      <c r="E19" s="286" t="s">
        <v>314</v>
      </c>
      <c r="F19" s="286" t="s">
        <v>327</v>
      </c>
      <c r="G19" s="288">
        <v>0.0</v>
      </c>
      <c r="H19" s="288">
        <v>1.2962802006E8</v>
      </c>
      <c r="I19" s="289">
        <v>-1.2962802006E8</v>
      </c>
      <c r="J19" s="290"/>
      <c r="K19" s="7"/>
    </row>
    <row r="20">
      <c r="A20" s="291" t="s">
        <v>312</v>
      </c>
      <c r="B20" s="292">
        <v>10.0</v>
      </c>
      <c r="C20" s="291" t="s">
        <v>12</v>
      </c>
      <c r="D20" s="292" t="s">
        <v>313</v>
      </c>
      <c r="E20" s="291"/>
      <c r="F20" s="291" t="s">
        <v>328</v>
      </c>
      <c r="G20" s="293">
        <v>1.2962802006E8</v>
      </c>
      <c r="H20" s="293">
        <v>0.0</v>
      </c>
      <c r="I20" s="294">
        <v>1.2962802006E8</v>
      </c>
      <c r="J20" s="295"/>
      <c r="K20" s="7"/>
    </row>
    <row r="21" ht="15.75" customHeight="1">
      <c r="A21" s="286" t="s">
        <v>312</v>
      </c>
      <c r="B21" s="287">
        <v>10.0</v>
      </c>
      <c r="C21" s="286" t="s">
        <v>12</v>
      </c>
      <c r="D21" s="287" t="s">
        <v>313</v>
      </c>
      <c r="E21" s="286"/>
      <c r="F21" s="286" t="s">
        <v>329</v>
      </c>
      <c r="G21" s="288">
        <v>1.40576859E8</v>
      </c>
      <c r="H21" s="288">
        <v>0.0</v>
      </c>
      <c r="I21" s="289">
        <v>1.40576859E8</v>
      </c>
      <c r="J21" s="290"/>
      <c r="K21" s="7"/>
    </row>
    <row r="22" ht="15.75" customHeight="1">
      <c r="A22" s="291" t="s">
        <v>312</v>
      </c>
      <c r="B22" s="292">
        <v>10.0</v>
      </c>
      <c r="C22" s="291" t="s">
        <v>12</v>
      </c>
      <c r="D22" s="292" t="s">
        <v>313</v>
      </c>
      <c r="E22" s="291"/>
      <c r="F22" s="291" t="s">
        <v>330</v>
      </c>
      <c r="G22" s="293">
        <v>0.0</v>
      </c>
      <c r="H22" s="293">
        <v>1.4355489203E8</v>
      </c>
      <c r="I22" s="294">
        <v>-1.4355489203E8</v>
      </c>
      <c r="J22" s="295"/>
      <c r="K22" s="7"/>
    </row>
    <row r="23" ht="15.75" customHeight="1">
      <c r="A23" s="286" t="s">
        <v>312</v>
      </c>
      <c r="B23" s="287">
        <v>10.0</v>
      </c>
      <c r="C23" s="286" t="s">
        <v>12</v>
      </c>
      <c r="D23" s="287" t="s">
        <v>313</v>
      </c>
      <c r="E23" s="286"/>
      <c r="F23" s="286" t="s">
        <v>331</v>
      </c>
      <c r="G23" s="288">
        <v>0.0</v>
      </c>
      <c r="H23" s="288">
        <v>1.26347606E8</v>
      </c>
      <c r="I23" s="289">
        <v>-1.26347606E8</v>
      </c>
      <c r="J23" s="290"/>
      <c r="K23" s="7"/>
    </row>
    <row r="24" ht="15.75" customHeight="1">
      <c r="A24" s="296" t="s">
        <v>312</v>
      </c>
      <c r="B24" s="296">
        <v>10.0</v>
      </c>
      <c r="C24" s="297" t="s">
        <v>12</v>
      </c>
      <c r="D24" s="296" t="s">
        <v>320</v>
      </c>
      <c r="E24" s="298"/>
      <c r="F24" s="297" t="s">
        <v>321</v>
      </c>
      <c r="G24" s="299">
        <v>2.7020487906E8</v>
      </c>
      <c r="H24" s="299">
        <v>3.9953051809E8</v>
      </c>
      <c r="I24" s="300">
        <v>-1.2932563903E8</v>
      </c>
      <c r="J24" s="300">
        <v>1.2932563903E8</v>
      </c>
      <c r="K24" s="301">
        <v>0.0</v>
      </c>
    </row>
    <row r="25" ht="15.75" customHeight="1">
      <c r="A25" s="286" t="s">
        <v>312</v>
      </c>
      <c r="B25" s="287">
        <v>11.0</v>
      </c>
      <c r="C25" s="286" t="s">
        <v>13</v>
      </c>
      <c r="D25" s="287" t="s">
        <v>313</v>
      </c>
      <c r="E25" s="286" t="s">
        <v>314</v>
      </c>
      <c r="F25" s="286" t="s">
        <v>332</v>
      </c>
      <c r="G25" s="288">
        <v>0.0</v>
      </c>
      <c r="H25" s="288">
        <v>1.285892877E7</v>
      </c>
      <c r="I25" s="289">
        <v>-1.285892877E7</v>
      </c>
      <c r="J25" s="290"/>
      <c r="K25" s="7"/>
    </row>
    <row r="26" ht="15.75" customHeight="1">
      <c r="A26" s="291" t="s">
        <v>312</v>
      </c>
      <c r="B26" s="292">
        <v>11.0</v>
      </c>
      <c r="C26" s="291" t="s">
        <v>13</v>
      </c>
      <c r="D26" s="292" t="s">
        <v>313</v>
      </c>
      <c r="E26" s="291"/>
      <c r="F26" s="291" t="s">
        <v>333</v>
      </c>
      <c r="G26" s="293">
        <v>1.264851E7</v>
      </c>
      <c r="H26" s="293">
        <v>0.0</v>
      </c>
      <c r="I26" s="294">
        <v>1.264851E7</v>
      </c>
      <c r="J26" s="295"/>
      <c r="K26" s="7"/>
    </row>
    <row r="27" ht="15.75" customHeight="1">
      <c r="A27" s="286" t="s">
        <v>312</v>
      </c>
      <c r="B27" s="287">
        <v>11.0</v>
      </c>
      <c r="C27" s="286" t="s">
        <v>13</v>
      </c>
      <c r="D27" s="287" t="s">
        <v>313</v>
      </c>
      <c r="E27" s="286"/>
      <c r="F27" s="286" t="s">
        <v>334</v>
      </c>
      <c r="G27" s="288">
        <v>1.285892877E7</v>
      </c>
      <c r="H27" s="288">
        <v>0.0</v>
      </c>
      <c r="I27" s="289">
        <v>1.285892877E7</v>
      </c>
      <c r="J27" s="290"/>
      <c r="K27" s="7"/>
    </row>
    <row r="28" ht="15.75" customHeight="1">
      <c r="A28" s="291" t="s">
        <v>312</v>
      </c>
      <c r="B28" s="292">
        <v>11.0</v>
      </c>
      <c r="C28" s="291" t="s">
        <v>13</v>
      </c>
      <c r="D28" s="292" t="s">
        <v>313</v>
      </c>
      <c r="E28" s="291"/>
      <c r="F28" s="291" t="s">
        <v>335</v>
      </c>
      <c r="G28" s="293">
        <v>0.0</v>
      </c>
      <c r="H28" s="293">
        <v>1.442246568E7</v>
      </c>
      <c r="I28" s="294">
        <v>-1.442246568E7</v>
      </c>
      <c r="J28" s="295"/>
      <c r="K28" s="7"/>
    </row>
    <row r="29" ht="15.75" customHeight="1">
      <c r="A29" s="286" t="s">
        <v>312</v>
      </c>
      <c r="B29" s="287">
        <v>11.0</v>
      </c>
      <c r="C29" s="286" t="s">
        <v>13</v>
      </c>
      <c r="D29" s="287" t="s">
        <v>313</v>
      </c>
      <c r="E29" s="286"/>
      <c r="F29" s="286" t="s">
        <v>336</v>
      </c>
      <c r="G29" s="288">
        <v>0.0</v>
      </c>
      <c r="H29" s="288">
        <v>1.004994172E7</v>
      </c>
      <c r="I29" s="289">
        <v>-1.004994172E7</v>
      </c>
      <c r="J29" s="290"/>
      <c r="K29" s="7"/>
    </row>
    <row r="30" ht="15.75" customHeight="1">
      <c r="A30" s="296" t="s">
        <v>312</v>
      </c>
      <c r="B30" s="296">
        <v>11.0</v>
      </c>
      <c r="C30" s="297" t="s">
        <v>13</v>
      </c>
      <c r="D30" s="296" t="s">
        <v>320</v>
      </c>
      <c r="E30" s="298"/>
      <c r="F30" s="297" t="s">
        <v>321</v>
      </c>
      <c r="G30" s="299">
        <v>2.550743877E7</v>
      </c>
      <c r="H30" s="299">
        <v>3.733133617E7</v>
      </c>
      <c r="I30" s="300">
        <v>-1.18238974E7</v>
      </c>
      <c r="J30" s="300">
        <v>1.18238974063E7</v>
      </c>
      <c r="K30" s="301">
        <v>-0.006300000473856926</v>
      </c>
    </row>
    <row r="31" ht="15.75" customHeight="1">
      <c r="A31" s="286" t="s">
        <v>312</v>
      </c>
      <c r="B31" s="287">
        <v>12.0</v>
      </c>
      <c r="C31" s="286" t="s">
        <v>14</v>
      </c>
      <c r="D31" s="287" t="s">
        <v>313</v>
      </c>
      <c r="E31" s="286" t="s">
        <v>314</v>
      </c>
      <c r="F31" s="286" t="s">
        <v>337</v>
      </c>
      <c r="G31" s="288">
        <v>0.0</v>
      </c>
      <c r="H31" s="288">
        <v>2450645.86</v>
      </c>
      <c r="I31" s="289">
        <v>-2450645.86</v>
      </c>
      <c r="J31" s="290"/>
      <c r="K31" s="7"/>
    </row>
    <row r="32" ht="15.75" customHeight="1">
      <c r="A32" s="291" t="s">
        <v>312</v>
      </c>
      <c r="B32" s="292">
        <v>12.0</v>
      </c>
      <c r="C32" s="291" t="s">
        <v>14</v>
      </c>
      <c r="D32" s="292" t="s">
        <v>313</v>
      </c>
      <c r="E32" s="291"/>
      <c r="F32" s="291" t="s">
        <v>338</v>
      </c>
      <c r="G32" s="293">
        <v>2450645.86</v>
      </c>
      <c r="H32" s="293">
        <v>0.0</v>
      </c>
      <c r="I32" s="294">
        <v>2450645.86</v>
      </c>
      <c r="J32" s="295"/>
      <c r="K32" s="7"/>
    </row>
    <row r="33" ht="15.75" customHeight="1">
      <c r="A33" s="286" t="s">
        <v>312</v>
      </c>
      <c r="B33" s="287">
        <v>12.0</v>
      </c>
      <c r="C33" s="286" t="s">
        <v>14</v>
      </c>
      <c r="D33" s="287" t="s">
        <v>313</v>
      </c>
      <c r="E33" s="286"/>
      <c r="F33" s="286" t="s">
        <v>339</v>
      </c>
      <c r="G33" s="288">
        <v>2409240.0</v>
      </c>
      <c r="H33" s="288">
        <v>0.0</v>
      </c>
      <c r="I33" s="289">
        <v>2409240.0</v>
      </c>
      <c r="J33" s="290"/>
      <c r="K33" s="7"/>
    </row>
    <row r="34" ht="15.75" customHeight="1">
      <c r="A34" s="291" t="s">
        <v>312</v>
      </c>
      <c r="B34" s="292">
        <v>12.0</v>
      </c>
      <c r="C34" s="291" t="s">
        <v>14</v>
      </c>
      <c r="D34" s="292" t="s">
        <v>313</v>
      </c>
      <c r="E34" s="291"/>
      <c r="F34" s="291" t="s">
        <v>340</v>
      </c>
      <c r="G34" s="293">
        <v>0.0</v>
      </c>
      <c r="H34" s="293">
        <v>2750304.86</v>
      </c>
      <c r="I34" s="294">
        <v>-2750304.86</v>
      </c>
      <c r="J34" s="295"/>
      <c r="K34" s="7"/>
    </row>
    <row r="35" ht="15.75" customHeight="1">
      <c r="A35" s="286" t="s">
        <v>312</v>
      </c>
      <c r="B35" s="287">
        <v>12.0</v>
      </c>
      <c r="C35" s="286" t="s">
        <v>14</v>
      </c>
      <c r="D35" s="287" t="s">
        <v>313</v>
      </c>
      <c r="E35" s="286"/>
      <c r="F35" s="286" t="s">
        <v>341</v>
      </c>
      <c r="G35" s="288">
        <v>0.0</v>
      </c>
      <c r="H35" s="288">
        <v>2632678.27</v>
      </c>
      <c r="I35" s="289">
        <v>-2632678.27</v>
      </c>
      <c r="J35" s="290"/>
      <c r="K35" s="7"/>
    </row>
    <row r="36" ht="15.75" customHeight="1">
      <c r="A36" s="296" t="s">
        <v>312</v>
      </c>
      <c r="B36" s="296">
        <v>12.0</v>
      </c>
      <c r="C36" s="297" t="s">
        <v>14</v>
      </c>
      <c r="D36" s="296" t="s">
        <v>320</v>
      </c>
      <c r="E36" s="298"/>
      <c r="F36" s="297" t="s">
        <v>321</v>
      </c>
      <c r="G36" s="299">
        <v>4859885.859999999</v>
      </c>
      <c r="H36" s="299">
        <v>7833628.99</v>
      </c>
      <c r="I36" s="300">
        <v>-2973743.13</v>
      </c>
      <c r="J36" s="300">
        <v>2973743.1355</v>
      </c>
      <c r="K36" s="301">
        <v>-0.005499999970197678</v>
      </c>
    </row>
    <row r="37" ht="15.75" customHeight="1">
      <c r="A37" s="286" t="s">
        <v>312</v>
      </c>
      <c r="B37" s="287">
        <v>13.0</v>
      </c>
      <c r="C37" s="286" t="s">
        <v>15</v>
      </c>
      <c r="D37" s="287" t="s">
        <v>313</v>
      </c>
      <c r="E37" s="286" t="s">
        <v>314</v>
      </c>
      <c r="F37" s="286" t="s">
        <v>342</v>
      </c>
      <c r="G37" s="288">
        <v>0.0</v>
      </c>
      <c r="H37" s="288">
        <v>4122534.0</v>
      </c>
      <c r="I37" s="289">
        <v>-4122534.0</v>
      </c>
      <c r="J37" s="290"/>
      <c r="K37" s="7"/>
    </row>
    <row r="38" ht="15.75" customHeight="1">
      <c r="A38" s="291" t="s">
        <v>312</v>
      </c>
      <c r="B38" s="292">
        <v>13.0</v>
      </c>
      <c r="C38" s="291" t="s">
        <v>15</v>
      </c>
      <c r="D38" s="292" t="s">
        <v>313</v>
      </c>
      <c r="E38" s="291"/>
      <c r="F38" s="291" t="s">
        <v>343</v>
      </c>
      <c r="G38" s="293">
        <v>4122534.0</v>
      </c>
      <c r="H38" s="293">
        <v>0.0</v>
      </c>
      <c r="I38" s="294">
        <v>4122534.0</v>
      </c>
      <c r="J38" s="295"/>
      <c r="K38" s="7"/>
    </row>
    <row r="39" ht="15.75" customHeight="1">
      <c r="A39" s="286" t="s">
        <v>312</v>
      </c>
      <c r="B39" s="287">
        <v>13.0</v>
      </c>
      <c r="C39" s="286" t="s">
        <v>15</v>
      </c>
      <c r="D39" s="287" t="s">
        <v>313</v>
      </c>
      <c r="E39" s="286"/>
      <c r="F39" s="286" t="s">
        <v>344</v>
      </c>
      <c r="G39" s="288">
        <v>3901500.0</v>
      </c>
      <c r="H39" s="288">
        <v>0.0</v>
      </c>
      <c r="I39" s="289">
        <v>3901500.0</v>
      </c>
      <c r="J39" s="290"/>
      <c r="K39" s="7"/>
    </row>
    <row r="40" ht="15.75" customHeight="1">
      <c r="A40" s="291" t="s">
        <v>312</v>
      </c>
      <c r="B40" s="292">
        <v>13.0</v>
      </c>
      <c r="C40" s="291" t="s">
        <v>15</v>
      </c>
      <c r="D40" s="292" t="s">
        <v>313</v>
      </c>
      <c r="E40" s="291"/>
      <c r="F40" s="291" t="s">
        <v>345</v>
      </c>
      <c r="G40" s="293">
        <v>0.0</v>
      </c>
      <c r="H40" s="293">
        <v>4722130.23</v>
      </c>
      <c r="I40" s="294">
        <v>-4722130.23</v>
      </c>
      <c r="J40" s="295"/>
      <c r="K40" s="7"/>
    </row>
    <row r="41" ht="15.75" customHeight="1">
      <c r="A41" s="286" t="s">
        <v>312</v>
      </c>
      <c r="B41" s="287">
        <v>13.0</v>
      </c>
      <c r="C41" s="286" t="s">
        <v>15</v>
      </c>
      <c r="D41" s="287" t="s">
        <v>313</v>
      </c>
      <c r="E41" s="286"/>
      <c r="F41" s="286" t="s">
        <v>346</v>
      </c>
      <c r="G41" s="288">
        <v>0.0</v>
      </c>
      <c r="H41" s="288">
        <v>2932439.68</v>
      </c>
      <c r="I41" s="289">
        <v>-2932439.68</v>
      </c>
      <c r="J41" s="290"/>
      <c r="K41" s="7"/>
    </row>
    <row r="42" ht="15.75" customHeight="1">
      <c r="A42" s="296" t="s">
        <v>312</v>
      </c>
      <c r="B42" s="296">
        <v>13.0</v>
      </c>
      <c r="C42" s="297" t="s">
        <v>15</v>
      </c>
      <c r="D42" s="296" t="s">
        <v>320</v>
      </c>
      <c r="E42" s="298"/>
      <c r="F42" s="297" t="s">
        <v>321</v>
      </c>
      <c r="G42" s="299">
        <v>8024034.0</v>
      </c>
      <c r="H42" s="299">
        <v>1.177710391E7</v>
      </c>
      <c r="I42" s="300">
        <v>-3753069.910000001</v>
      </c>
      <c r="J42" s="300">
        <v>3753069.9171</v>
      </c>
      <c r="K42" s="301">
        <v>-0.007099999580532312</v>
      </c>
    </row>
    <row r="43" ht="15.75" customHeight="1">
      <c r="A43" s="286" t="s">
        <v>312</v>
      </c>
      <c r="B43" s="287">
        <v>14.0</v>
      </c>
      <c r="C43" s="286" t="s">
        <v>16</v>
      </c>
      <c r="D43" s="287" t="s">
        <v>313</v>
      </c>
      <c r="E43" s="286" t="s">
        <v>314</v>
      </c>
      <c r="F43" s="286" t="s">
        <v>347</v>
      </c>
      <c r="G43" s="288">
        <v>0.0</v>
      </c>
      <c r="H43" s="288">
        <v>1.268396661E9</v>
      </c>
      <c r="I43" s="289">
        <v>-1.268396661E9</v>
      </c>
      <c r="J43" s="290"/>
      <c r="K43" s="7"/>
    </row>
    <row r="44" ht="15.75" customHeight="1">
      <c r="A44" s="291" t="s">
        <v>312</v>
      </c>
      <c r="B44" s="292">
        <v>14.0</v>
      </c>
      <c r="C44" s="291" t="s">
        <v>16</v>
      </c>
      <c r="D44" s="292" t="s">
        <v>313</v>
      </c>
      <c r="E44" s="291"/>
      <c r="F44" s="291" t="s">
        <v>348</v>
      </c>
      <c r="G44" s="293">
        <v>1.389546E9</v>
      </c>
      <c r="H44" s="293">
        <v>0.0</v>
      </c>
      <c r="I44" s="294">
        <v>1.389546E9</v>
      </c>
      <c r="J44" s="295"/>
      <c r="K44" s="7"/>
    </row>
    <row r="45" ht="15.75" customHeight="1">
      <c r="A45" s="286" t="s">
        <v>312</v>
      </c>
      <c r="B45" s="287">
        <v>14.0</v>
      </c>
      <c r="C45" s="286" t="s">
        <v>16</v>
      </c>
      <c r="D45" s="287" t="s">
        <v>313</v>
      </c>
      <c r="E45" s="286"/>
      <c r="F45" s="286" t="s">
        <v>349</v>
      </c>
      <c r="G45" s="288">
        <v>1.268396661E9</v>
      </c>
      <c r="H45" s="288">
        <v>0.0</v>
      </c>
      <c r="I45" s="289">
        <v>1.268396661E9</v>
      </c>
      <c r="J45" s="290"/>
      <c r="K45" s="7"/>
    </row>
    <row r="46" ht="15.75" customHeight="1">
      <c r="A46" s="291" t="s">
        <v>312</v>
      </c>
      <c r="B46" s="292">
        <v>14.0</v>
      </c>
      <c r="C46" s="291" t="s">
        <v>16</v>
      </c>
      <c r="D46" s="292" t="s">
        <v>313</v>
      </c>
      <c r="E46" s="291"/>
      <c r="F46" s="291" t="s">
        <v>350</v>
      </c>
      <c r="G46" s="293">
        <v>0.0</v>
      </c>
      <c r="H46" s="293">
        <v>1.40499191196E9</v>
      </c>
      <c r="I46" s="294">
        <v>-1.40499191196E9</v>
      </c>
      <c r="J46" s="295"/>
      <c r="K46" s="7"/>
    </row>
    <row r="47" ht="15.75" customHeight="1">
      <c r="A47" s="286" t="s">
        <v>312</v>
      </c>
      <c r="B47" s="287">
        <v>14.0</v>
      </c>
      <c r="C47" s="286" t="s">
        <v>16</v>
      </c>
      <c r="D47" s="287" t="s">
        <v>313</v>
      </c>
      <c r="E47" s="286"/>
      <c r="F47" s="286" t="s">
        <v>351</v>
      </c>
      <c r="G47" s="288">
        <v>0.0</v>
      </c>
      <c r="H47" s="288">
        <v>1.396060029E9</v>
      </c>
      <c r="I47" s="289">
        <v>-1.396060029E9</v>
      </c>
      <c r="J47" s="290"/>
      <c r="K47" s="7"/>
    </row>
    <row r="48" ht="15.75" customHeight="1">
      <c r="A48" s="296" t="s">
        <v>312</v>
      </c>
      <c r="B48" s="296">
        <v>14.0</v>
      </c>
      <c r="C48" s="297" t="s">
        <v>16</v>
      </c>
      <c r="D48" s="296" t="s">
        <v>320</v>
      </c>
      <c r="E48" s="298"/>
      <c r="F48" s="297" t="s">
        <v>321</v>
      </c>
      <c r="G48" s="299">
        <v>2.657942661E9</v>
      </c>
      <c r="H48" s="299">
        <v>4.06944860196E9</v>
      </c>
      <c r="I48" s="300">
        <v>-1.41150594096E9</v>
      </c>
      <c r="J48" s="300">
        <v>1.41150594096E9</v>
      </c>
      <c r="K48" s="301">
        <v>0.0</v>
      </c>
    </row>
    <row r="49" ht="15.75" customHeight="1">
      <c r="A49" s="286" t="s">
        <v>312</v>
      </c>
      <c r="B49" s="287">
        <v>15.0</v>
      </c>
      <c r="C49" s="286" t="s">
        <v>17</v>
      </c>
      <c r="D49" s="287" t="s">
        <v>313</v>
      </c>
      <c r="E49" s="286" t="s">
        <v>314</v>
      </c>
      <c r="F49" s="286" t="s">
        <v>352</v>
      </c>
      <c r="G49" s="288">
        <v>0.0</v>
      </c>
      <c r="H49" s="288">
        <v>3.74925252E7</v>
      </c>
      <c r="I49" s="289">
        <v>-3.74925252E7</v>
      </c>
      <c r="J49" s="290"/>
      <c r="K49" s="7"/>
    </row>
    <row r="50" ht="15.75" customHeight="1">
      <c r="A50" s="291" t="s">
        <v>312</v>
      </c>
      <c r="B50" s="292">
        <v>15.0</v>
      </c>
      <c r="C50" s="291" t="s">
        <v>17</v>
      </c>
      <c r="D50" s="292" t="s">
        <v>313</v>
      </c>
      <c r="E50" s="291"/>
      <c r="F50" s="291" t="s">
        <v>353</v>
      </c>
      <c r="G50" s="293">
        <v>3.74925252E7</v>
      </c>
      <c r="H50" s="293">
        <v>0.0</v>
      </c>
      <c r="I50" s="294">
        <v>3.74925252E7</v>
      </c>
      <c r="J50" s="295"/>
      <c r="K50" s="7"/>
    </row>
    <row r="51" ht="15.75" customHeight="1">
      <c r="A51" s="286" t="s">
        <v>312</v>
      </c>
      <c r="B51" s="287">
        <v>15.0</v>
      </c>
      <c r="C51" s="286" t="s">
        <v>17</v>
      </c>
      <c r="D51" s="287" t="s">
        <v>313</v>
      </c>
      <c r="E51" s="286"/>
      <c r="F51" s="286" t="s">
        <v>354</v>
      </c>
      <c r="G51" s="288">
        <v>3.7791E7</v>
      </c>
      <c r="H51" s="288">
        <v>0.0</v>
      </c>
      <c r="I51" s="289">
        <v>3.7791E7</v>
      </c>
      <c r="J51" s="290"/>
      <c r="K51" s="7"/>
    </row>
    <row r="52" ht="15.75" customHeight="1">
      <c r="A52" s="291" t="s">
        <v>312</v>
      </c>
      <c r="B52" s="292">
        <v>15.0</v>
      </c>
      <c r="C52" s="291" t="s">
        <v>17</v>
      </c>
      <c r="D52" s="292" t="s">
        <v>313</v>
      </c>
      <c r="E52" s="291"/>
      <c r="F52" s="291" t="s">
        <v>355</v>
      </c>
      <c r="G52" s="293">
        <v>0.0</v>
      </c>
      <c r="H52" s="293">
        <v>4.108664376E7</v>
      </c>
      <c r="I52" s="294">
        <v>-4.108664376E7</v>
      </c>
      <c r="J52" s="295"/>
      <c r="K52" s="7"/>
    </row>
    <row r="53" ht="15.75" customHeight="1">
      <c r="A53" s="286" t="s">
        <v>312</v>
      </c>
      <c r="B53" s="287">
        <v>15.0</v>
      </c>
      <c r="C53" s="286" t="s">
        <v>17</v>
      </c>
      <c r="D53" s="287" t="s">
        <v>313</v>
      </c>
      <c r="E53" s="286"/>
      <c r="F53" s="286" t="s">
        <v>356</v>
      </c>
      <c r="G53" s="288">
        <v>0.0</v>
      </c>
      <c r="H53" s="288">
        <v>3.86715E7</v>
      </c>
      <c r="I53" s="289">
        <v>-3.86715E7</v>
      </c>
      <c r="J53" s="290"/>
      <c r="K53" s="7"/>
    </row>
    <row r="54" ht="15.75" customHeight="1">
      <c r="A54" s="296" t="s">
        <v>312</v>
      </c>
      <c r="B54" s="296">
        <v>15.0</v>
      </c>
      <c r="C54" s="297" t="s">
        <v>17</v>
      </c>
      <c r="D54" s="296" t="s">
        <v>320</v>
      </c>
      <c r="E54" s="298"/>
      <c r="F54" s="297" t="s">
        <v>321</v>
      </c>
      <c r="G54" s="299">
        <v>7.52835252E7</v>
      </c>
      <c r="H54" s="299">
        <v>1.1725066896E8</v>
      </c>
      <c r="I54" s="300">
        <v>-4.196714376E7</v>
      </c>
      <c r="J54" s="300">
        <v>4.196714376E7</v>
      </c>
      <c r="K54" s="301">
        <v>0.0</v>
      </c>
    </row>
    <row r="55" ht="15.75" customHeight="1">
      <c r="A55" s="286" t="s">
        <v>312</v>
      </c>
      <c r="B55" s="287">
        <v>17.0</v>
      </c>
      <c r="C55" s="286" t="s">
        <v>19</v>
      </c>
      <c r="D55" s="287" t="s">
        <v>313</v>
      </c>
      <c r="E55" s="286" t="s">
        <v>19</v>
      </c>
      <c r="F55" s="286" t="s">
        <v>357</v>
      </c>
      <c r="G55" s="288">
        <v>0.0</v>
      </c>
      <c r="H55" s="288">
        <v>1215432.5</v>
      </c>
      <c r="I55" s="289">
        <v>-1215432.5</v>
      </c>
      <c r="J55" s="290"/>
      <c r="K55" s="7"/>
    </row>
    <row r="56" ht="15.75" customHeight="1">
      <c r="A56" s="291" t="s">
        <v>312</v>
      </c>
      <c r="B56" s="292">
        <v>17.0</v>
      </c>
      <c r="C56" s="291" t="s">
        <v>19</v>
      </c>
      <c r="D56" s="292" t="s">
        <v>313</v>
      </c>
      <c r="E56" s="291"/>
      <c r="F56" s="291" t="s">
        <v>358</v>
      </c>
      <c r="G56" s="293">
        <v>1000000.0</v>
      </c>
      <c r="H56" s="293">
        <v>0.0</v>
      </c>
      <c r="I56" s="294">
        <v>1000000.0</v>
      </c>
      <c r="J56" s="295"/>
      <c r="K56" s="7"/>
    </row>
    <row r="57" ht="15.75" customHeight="1">
      <c r="A57" s="286" t="s">
        <v>312</v>
      </c>
      <c r="B57" s="287">
        <v>17.0</v>
      </c>
      <c r="C57" s="286" t="s">
        <v>19</v>
      </c>
      <c r="D57" s="287" t="s">
        <v>313</v>
      </c>
      <c r="E57" s="286"/>
      <c r="F57" s="286" t="s">
        <v>359</v>
      </c>
      <c r="G57" s="288">
        <v>0.0</v>
      </c>
      <c r="H57" s="288">
        <v>1000000.0</v>
      </c>
      <c r="I57" s="289">
        <v>-1000000.0</v>
      </c>
      <c r="J57" s="290"/>
      <c r="K57" s="7"/>
    </row>
    <row r="58" ht="15.75" customHeight="1">
      <c r="A58" s="296" t="s">
        <v>312</v>
      </c>
      <c r="B58" s="296">
        <v>17.0</v>
      </c>
      <c r="C58" s="297" t="s">
        <v>19</v>
      </c>
      <c r="D58" s="296" t="s">
        <v>320</v>
      </c>
      <c r="E58" s="298"/>
      <c r="F58" s="297" t="s">
        <v>321</v>
      </c>
      <c r="G58" s="299">
        <v>1000000.0</v>
      </c>
      <c r="H58" s="299">
        <v>2215432.5</v>
      </c>
      <c r="I58" s="300">
        <v>-1215432.5</v>
      </c>
      <c r="J58" s="300">
        <v>1215432.5</v>
      </c>
      <c r="K58" s="301">
        <v>0.0</v>
      </c>
    </row>
    <row r="59" ht="15.75" customHeight="1">
      <c r="A59" s="286" t="s">
        <v>312</v>
      </c>
      <c r="B59" s="287">
        <v>21.0</v>
      </c>
      <c r="C59" s="286" t="s">
        <v>21</v>
      </c>
      <c r="D59" s="287" t="s">
        <v>313</v>
      </c>
      <c r="E59" s="286" t="s">
        <v>21</v>
      </c>
      <c r="F59" s="286" t="s">
        <v>360</v>
      </c>
      <c r="G59" s="288">
        <v>0.0</v>
      </c>
      <c r="H59" s="288">
        <v>2.116671743E7</v>
      </c>
      <c r="I59" s="289">
        <v>-2.116671743E7</v>
      </c>
      <c r="J59" s="290"/>
      <c r="K59" s="7"/>
    </row>
    <row r="60" ht="15.75" customHeight="1">
      <c r="A60" s="291" t="s">
        <v>312</v>
      </c>
      <c r="B60" s="292">
        <v>21.0</v>
      </c>
      <c r="C60" s="291" t="s">
        <v>21</v>
      </c>
      <c r="D60" s="292" t="s">
        <v>313</v>
      </c>
      <c r="E60" s="291"/>
      <c r="F60" s="291" t="s">
        <v>361</v>
      </c>
      <c r="G60" s="293">
        <v>2.0E7</v>
      </c>
      <c r="H60" s="293">
        <v>0.0</v>
      </c>
      <c r="I60" s="294">
        <v>2.0E7</v>
      </c>
      <c r="J60" s="295"/>
      <c r="K60" s="7"/>
    </row>
    <row r="61" ht="15.75" customHeight="1">
      <c r="A61" s="286" t="s">
        <v>312</v>
      </c>
      <c r="B61" s="287">
        <v>21.0</v>
      </c>
      <c r="C61" s="286" t="s">
        <v>21</v>
      </c>
      <c r="D61" s="287" t="s">
        <v>313</v>
      </c>
      <c r="E61" s="286"/>
      <c r="F61" s="286" t="s">
        <v>362</v>
      </c>
      <c r="G61" s="288">
        <v>0.0</v>
      </c>
      <c r="H61" s="288">
        <v>2.1E7</v>
      </c>
      <c r="I61" s="289">
        <v>-2.1E7</v>
      </c>
      <c r="J61" s="290"/>
      <c r="K61" s="7"/>
    </row>
    <row r="62" ht="15.75" customHeight="1">
      <c r="A62" s="296" t="s">
        <v>312</v>
      </c>
      <c r="B62" s="296">
        <v>21.0</v>
      </c>
      <c r="C62" s="297" t="s">
        <v>21</v>
      </c>
      <c r="D62" s="296" t="s">
        <v>320</v>
      </c>
      <c r="E62" s="298"/>
      <c r="F62" s="297" t="s">
        <v>321</v>
      </c>
      <c r="G62" s="299">
        <v>2.0E7</v>
      </c>
      <c r="H62" s="299">
        <v>4.216671743E7</v>
      </c>
      <c r="I62" s="300">
        <v>-2.216671743E7</v>
      </c>
      <c r="J62" s="300">
        <v>2.216671743E7</v>
      </c>
      <c r="K62" s="301">
        <v>0.0</v>
      </c>
    </row>
    <row r="63" ht="15.75" customHeight="1">
      <c r="A63" s="286" t="s">
        <v>312</v>
      </c>
      <c r="B63" s="287">
        <v>22.0</v>
      </c>
      <c r="C63" s="286" t="s">
        <v>22</v>
      </c>
      <c r="D63" s="287" t="s">
        <v>313</v>
      </c>
      <c r="E63" s="286" t="s">
        <v>22</v>
      </c>
      <c r="F63" s="286" t="s">
        <v>363</v>
      </c>
      <c r="G63" s="288">
        <v>0.0</v>
      </c>
      <c r="H63" s="288">
        <v>1.090156937E7</v>
      </c>
      <c r="I63" s="289">
        <v>-1.090156937E7</v>
      </c>
      <c r="J63" s="290"/>
      <c r="K63" s="7"/>
    </row>
    <row r="64" ht="15.75" customHeight="1">
      <c r="A64" s="291" t="s">
        <v>312</v>
      </c>
      <c r="B64" s="292">
        <v>22.0</v>
      </c>
      <c r="C64" s="291" t="s">
        <v>22</v>
      </c>
      <c r="D64" s="292" t="s">
        <v>313</v>
      </c>
      <c r="E64" s="291" t="s">
        <v>22</v>
      </c>
      <c r="F64" s="291" t="s">
        <v>364</v>
      </c>
      <c r="G64" s="293">
        <v>0.0</v>
      </c>
      <c r="H64" s="293">
        <v>3.350615516E7</v>
      </c>
      <c r="I64" s="294">
        <v>-3.350615516E7</v>
      </c>
      <c r="J64" s="295"/>
      <c r="K64" s="7"/>
    </row>
    <row r="65" ht="15.75" customHeight="1">
      <c r="A65" s="286" t="s">
        <v>312</v>
      </c>
      <c r="B65" s="287">
        <v>22.0</v>
      </c>
      <c r="C65" s="286" t="s">
        <v>22</v>
      </c>
      <c r="D65" s="287" t="s">
        <v>313</v>
      </c>
      <c r="E65" s="286" t="s">
        <v>22</v>
      </c>
      <c r="F65" s="286" t="s">
        <v>365</v>
      </c>
      <c r="G65" s="288">
        <v>0.0</v>
      </c>
      <c r="H65" s="288">
        <v>2722403.82</v>
      </c>
      <c r="I65" s="289">
        <v>-2722403.82</v>
      </c>
      <c r="J65" s="290"/>
      <c r="K65" s="7"/>
    </row>
    <row r="66" ht="15.75" customHeight="1">
      <c r="A66" s="291" t="s">
        <v>312</v>
      </c>
      <c r="B66" s="292">
        <v>22.0</v>
      </c>
      <c r="C66" s="291" t="s">
        <v>22</v>
      </c>
      <c r="D66" s="292" t="s">
        <v>313</v>
      </c>
      <c r="E66" s="291"/>
      <c r="F66" s="291" t="s">
        <v>366</v>
      </c>
      <c r="G66" s="293">
        <v>4.5E7</v>
      </c>
      <c r="H66" s="293">
        <v>0.0</v>
      </c>
      <c r="I66" s="294">
        <v>4.5E7</v>
      </c>
      <c r="J66" s="295"/>
      <c r="K66" s="7"/>
    </row>
    <row r="67" ht="15.75" customHeight="1">
      <c r="A67" s="286" t="s">
        <v>312</v>
      </c>
      <c r="B67" s="287">
        <v>22.0</v>
      </c>
      <c r="C67" s="286" t="s">
        <v>22</v>
      </c>
      <c r="D67" s="287" t="s">
        <v>313</v>
      </c>
      <c r="E67" s="286"/>
      <c r="F67" s="286" t="s">
        <v>367</v>
      </c>
      <c r="G67" s="288">
        <v>0.0</v>
      </c>
      <c r="H67" s="288">
        <v>6.0E7</v>
      </c>
      <c r="I67" s="289">
        <v>-6.0E7</v>
      </c>
      <c r="J67" s="290"/>
      <c r="K67" s="7"/>
    </row>
    <row r="68" ht="15.75" customHeight="1">
      <c r="A68" s="296" t="s">
        <v>312</v>
      </c>
      <c r="B68" s="296">
        <v>22.0</v>
      </c>
      <c r="C68" s="297" t="s">
        <v>22</v>
      </c>
      <c r="D68" s="296" t="s">
        <v>320</v>
      </c>
      <c r="E68" s="298"/>
      <c r="F68" s="297" t="s">
        <v>321</v>
      </c>
      <c r="G68" s="299">
        <v>4.5E7</v>
      </c>
      <c r="H68" s="299">
        <v>1.0713012835E8</v>
      </c>
      <c r="I68" s="300">
        <v>-6.213012835E7</v>
      </c>
      <c r="J68" s="300">
        <v>6.213012835E7</v>
      </c>
      <c r="K68" s="301">
        <v>0.0</v>
      </c>
    </row>
    <row r="69" ht="15.75" customHeight="1">
      <c r="A69" s="286" t="s">
        <v>312</v>
      </c>
      <c r="B69" s="287">
        <v>24.0</v>
      </c>
      <c r="C69" s="286" t="s">
        <v>25</v>
      </c>
      <c r="D69" s="287" t="s">
        <v>313</v>
      </c>
      <c r="E69" s="286" t="s">
        <v>25</v>
      </c>
      <c r="F69" s="286" t="s">
        <v>368</v>
      </c>
      <c r="G69" s="288">
        <v>0.0</v>
      </c>
      <c r="H69" s="288">
        <v>987716.02</v>
      </c>
      <c r="I69" s="289">
        <v>-987716.02</v>
      </c>
      <c r="J69" s="290"/>
      <c r="K69" s="7"/>
    </row>
    <row r="70" ht="15.75" customHeight="1">
      <c r="A70" s="291" t="s">
        <v>312</v>
      </c>
      <c r="B70" s="292">
        <v>24.0</v>
      </c>
      <c r="C70" s="291" t="s">
        <v>25</v>
      </c>
      <c r="D70" s="292" t="s">
        <v>313</v>
      </c>
      <c r="E70" s="291"/>
      <c r="F70" s="291" t="s">
        <v>369</v>
      </c>
      <c r="G70" s="293">
        <v>987000.0</v>
      </c>
      <c r="H70" s="293">
        <v>0.0</v>
      </c>
      <c r="I70" s="294">
        <v>987000.0</v>
      </c>
      <c r="J70" s="295"/>
      <c r="K70" s="7"/>
    </row>
    <row r="71" ht="15.75" customHeight="1">
      <c r="A71" s="286" t="s">
        <v>312</v>
      </c>
      <c r="B71" s="287">
        <v>24.0</v>
      </c>
      <c r="C71" s="286" t="s">
        <v>25</v>
      </c>
      <c r="D71" s="287" t="s">
        <v>313</v>
      </c>
      <c r="E71" s="286"/>
      <c r="F71" s="286" t="s">
        <v>370</v>
      </c>
      <c r="G71" s="288">
        <v>0.0</v>
      </c>
      <c r="H71" s="288">
        <v>987000.0</v>
      </c>
      <c r="I71" s="289">
        <v>-987000.0</v>
      </c>
      <c r="J71" s="290"/>
      <c r="K71" s="7"/>
    </row>
    <row r="72" ht="15.75" customHeight="1">
      <c r="A72" s="296" t="s">
        <v>312</v>
      </c>
      <c r="B72" s="296">
        <v>24.0</v>
      </c>
      <c r="C72" s="297" t="s">
        <v>25</v>
      </c>
      <c r="D72" s="296" t="s">
        <v>320</v>
      </c>
      <c r="E72" s="298"/>
      <c r="F72" s="297" t="s">
        <v>321</v>
      </c>
      <c r="G72" s="299">
        <v>987000.0</v>
      </c>
      <c r="H72" s="299">
        <v>1974716.02</v>
      </c>
      <c r="I72" s="300">
        <v>-987716.02</v>
      </c>
      <c r="J72" s="300">
        <v>987716.02</v>
      </c>
      <c r="K72" s="301">
        <v>0.0</v>
      </c>
    </row>
    <row r="73" ht="15.75" customHeight="1">
      <c r="A73" s="286" t="s">
        <v>312</v>
      </c>
      <c r="B73" s="287">
        <v>25.0</v>
      </c>
      <c r="C73" s="286" t="s">
        <v>26</v>
      </c>
      <c r="D73" s="287" t="s">
        <v>313</v>
      </c>
      <c r="E73" s="286" t="s">
        <v>26</v>
      </c>
      <c r="F73" s="286" t="s">
        <v>371</v>
      </c>
      <c r="G73" s="288">
        <v>0.0</v>
      </c>
      <c r="H73" s="288">
        <v>567084.6</v>
      </c>
      <c r="I73" s="289">
        <v>-567084.6</v>
      </c>
      <c r="J73" s="290"/>
      <c r="K73" s="7"/>
    </row>
    <row r="74" ht="15.75" customHeight="1">
      <c r="A74" s="291" t="s">
        <v>312</v>
      </c>
      <c r="B74" s="292">
        <v>25.0</v>
      </c>
      <c r="C74" s="291" t="s">
        <v>26</v>
      </c>
      <c r="D74" s="292" t="s">
        <v>313</v>
      </c>
      <c r="E74" s="291"/>
      <c r="F74" s="291" t="s">
        <v>372</v>
      </c>
      <c r="G74" s="293">
        <v>567000.0</v>
      </c>
      <c r="H74" s="293">
        <v>0.0</v>
      </c>
      <c r="I74" s="294">
        <v>567000.0</v>
      </c>
      <c r="J74" s="295"/>
      <c r="K74" s="7"/>
    </row>
    <row r="75" ht="15.75" customHeight="1">
      <c r="A75" s="286" t="s">
        <v>312</v>
      </c>
      <c r="B75" s="287">
        <v>25.0</v>
      </c>
      <c r="C75" s="286" t="s">
        <v>26</v>
      </c>
      <c r="D75" s="287" t="s">
        <v>313</v>
      </c>
      <c r="E75" s="286"/>
      <c r="F75" s="286" t="s">
        <v>373</v>
      </c>
      <c r="G75" s="288">
        <v>0.0</v>
      </c>
      <c r="H75" s="288">
        <v>567000.0</v>
      </c>
      <c r="I75" s="289">
        <v>-567000.0</v>
      </c>
      <c r="J75" s="290"/>
      <c r="K75" s="7"/>
    </row>
    <row r="76" ht="15.75" customHeight="1">
      <c r="A76" s="296" t="s">
        <v>312</v>
      </c>
      <c r="B76" s="296">
        <v>25.0</v>
      </c>
      <c r="C76" s="297" t="s">
        <v>26</v>
      </c>
      <c r="D76" s="296" t="s">
        <v>320</v>
      </c>
      <c r="E76" s="298"/>
      <c r="F76" s="297" t="s">
        <v>321</v>
      </c>
      <c r="G76" s="299">
        <v>567000.0</v>
      </c>
      <c r="H76" s="299">
        <v>1134084.6</v>
      </c>
      <c r="I76" s="300">
        <v>-567084.6</v>
      </c>
      <c r="J76" s="300">
        <v>567084.6</v>
      </c>
      <c r="K76" s="301">
        <v>0.0</v>
      </c>
    </row>
    <row r="77" ht="15.75" customHeight="1">
      <c r="A77" s="286" t="s">
        <v>312</v>
      </c>
      <c r="B77" s="287">
        <v>27.0</v>
      </c>
      <c r="C77" s="286" t="s">
        <v>28</v>
      </c>
      <c r="D77" s="287" t="s">
        <v>313</v>
      </c>
      <c r="E77" s="286" t="s">
        <v>374</v>
      </c>
      <c r="F77" s="286" t="s">
        <v>375</v>
      </c>
      <c r="G77" s="288">
        <v>0.0</v>
      </c>
      <c r="H77" s="288">
        <v>1170304.46</v>
      </c>
      <c r="I77" s="289">
        <v>-1170304.46</v>
      </c>
      <c r="J77" s="290"/>
      <c r="K77" s="7"/>
    </row>
    <row r="78" ht="15.75" customHeight="1">
      <c r="A78" s="291" t="s">
        <v>312</v>
      </c>
      <c r="B78" s="292">
        <v>27.0</v>
      </c>
      <c r="C78" s="291" t="s">
        <v>28</v>
      </c>
      <c r="D78" s="292" t="s">
        <v>313</v>
      </c>
      <c r="E78" s="291"/>
      <c r="F78" s="291" t="s">
        <v>376</v>
      </c>
      <c r="G78" s="293">
        <v>1000000.0</v>
      </c>
      <c r="H78" s="293">
        <v>0.0</v>
      </c>
      <c r="I78" s="294">
        <v>1000000.0</v>
      </c>
      <c r="J78" s="295"/>
      <c r="K78" s="7"/>
    </row>
    <row r="79" ht="15.75" customHeight="1">
      <c r="A79" s="286" t="s">
        <v>312</v>
      </c>
      <c r="B79" s="287">
        <v>27.0</v>
      </c>
      <c r="C79" s="286" t="s">
        <v>28</v>
      </c>
      <c r="D79" s="287" t="s">
        <v>313</v>
      </c>
      <c r="E79" s="286"/>
      <c r="F79" s="286" t="s">
        <v>377</v>
      </c>
      <c r="G79" s="288">
        <v>0.0</v>
      </c>
      <c r="H79" s="288">
        <v>1000000.0</v>
      </c>
      <c r="I79" s="289">
        <v>-1000000.0</v>
      </c>
      <c r="J79" s="290"/>
      <c r="K79" s="7"/>
    </row>
    <row r="80" ht="15.75" customHeight="1">
      <c r="A80" s="296" t="s">
        <v>312</v>
      </c>
      <c r="B80" s="296">
        <v>27.0</v>
      </c>
      <c r="C80" s="297" t="s">
        <v>28</v>
      </c>
      <c r="D80" s="296" t="s">
        <v>320</v>
      </c>
      <c r="E80" s="298"/>
      <c r="F80" s="297" t="s">
        <v>321</v>
      </c>
      <c r="G80" s="299">
        <v>1000000.0</v>
      </c>
      <c r="H80" s="299">
        <v>2170304.46</v>
      </c>
      <c r="I80" s="300">
        <v>-1170304.46</v>
      </c>
      <c r="J80" s="300">
        <v>1170304.46</v>
      </c>
      <c r="K80" s="301">
        <v>0.0</v>
      </c>
    </row>
    <row r="81" ht="15.75" customHeight="1">
      <c r="A81" s="286" t="s">
        <v>312</v>
      </c>
      <c r="B81" s="287">
        <v>28.0</v>
      </c>
      <c r="C81" s="286" t="s">
        <v>29</v>
      </c>
      <c r="D81" s="287" t="s">
        <v>313</v>
      </c>
      <c r="E81" s="286" t="s">
        <v>29</v>
      </c>
      <c r="F81" s="286" t="s">
        <v>378</v>
      </c>
      <c r="G81" s="288">
        <v>0.0</v>
      </c>
      <c r="H81" s="288">
        <v>1.104418332E7</v>
      </c>
      <c r="I81" s="289">
        <v>-1.104418332E7</v>
      </c>
      <c r="J81" s="290"/>
      <c r="K81" s="7"/>
    </row>
    <row r="82" ht="15.75" customHeight="1">
      <c r="A82" s="296" t="s">
        <v>312</v>
      </c>
      <c r="B82" s="296">
        <v>28.0</v>
      </c>
      <c r="C82" s="297" t="s">
        <v>29</v>
      </c>
      <c r="D82" s="296" t="s">
        <v>320</v>
      </c>
      <c r="E82" s="298"/>
      <c r="F82" s="297" t="s">
        <v>321</v>
      </c>
      <c r="G82" s="299">
        <v>0.0</v>
      </c>
      <c r="H82" s="299">
        <v>1.104418332E7</v>
      </c>
      <c r="I82" s="300">
        <v>-1.104418332E7</v>
      </c>
      <c r="J82" s="300">
        <v>1.104418332E7</v>
      </c>
      <c r="K82" s="301">
        <v>0.0</v>
      </c>
    </row>
    <row r="83" ht="15.75" customHeight="1">
      <c r="A83" s="286" t="s">
        <v>312</v>
      </c>
      <c r="B83" s="287">
        <v>29.0</v>
      </c>
      <c r="C83" s="286" t="s">
        <v>29</v>
      </c>
      <c r="D83" s="287" t="s">
        <v>313</v>
      </c>
      <c r="E83" s="286" t="s">
        <v>29</v>
      </c>
      <c r="F83" s="286" t="s">
        <v>379</v>
      </c>
      <c r="G83" s="288">
        <v>0.0</v>
      </c>
      <c r="H83" s="288">
        <v>2.601262983E7</v>
      </c>
      <c r="I83" s="289">
        <v>-2.601262983E7</v>
      </c>
      <c r="J83" s="290"/>
      <c r="K83" s="7"/>
    </row>
    <row r="84" ht="15.75" customHeight="1">
      <c r="A84" s="291" t="s">
        <v>312</v>
      </c>
      <c r="B84" s="292">
        <v>29.0</v>
      </c>
      <c r="C84" s="291" t="s">
        <v>29</v>
      </c>
      <c r="D84" s="292" t="s">
        <v>313</v>
      </c>
      <c r="E84" s="291"/>
      <c r="F84" s="291" t="s">
        <v>380</v>
      </c>
      <c r="G84" s="293">
        <v>3.0E7</v>
      </c>
      <c r="H84" s="293">
        <v>0.0</v>
      </c>
      <c r="I84" s="294">
        <v>3.0E7</v>
      </c>
      <c r="J84" s="295"/>
      <c r="K84" s="7"/>
    </row>
    <row r="85" ht="15.75" customHeight="1">
      <c r="A85" s="286" t="s">
        <v>312</v>
      </c>
      <c r="B85" s="287">
        <v>29.0</v>
      </c>
      <c r="C85" s="286" t="s">
        <v>29</v>
      </c>
      <c r="D85" s="287" t="s">
        <v>313</v>
      </c>
      <c r="E85" s="286"/>
      <c r="F85" s="286" t="s">
        <v>381</v>
      </c>
      <c r="G85" s="288">
        <v>0.0</v>
      </c>
      <c r="H85" s="288">
        <v>3.0E7</v>
      </c>
      <c r="I85" s="289">
        <v>-3.0E7</v>
      </c>
      <c r="J85" s="290"/>
      <c r="K85" s="7"/>
    </row>
    <row r="86" ht="15.75" customHeight="1">
      <c r="A86" s="296" t="s">
        <v>312</v>
      </c>
      <c r="B86" s="296">
        <v>29.0</v>
      </c>
      <c r="C86" s="297" t="s">
        <v>29</v>
      </c>
      <c r="D86" s="296" t="s">
        <v>320</v>
      </c>
      <c r="E86" s="298"/>
      <c r="F86" s="297" t="s">
        <v>321</v>
      </c>
      <c r="G86" s="299">
        <v>3.0E7</v>
      </c>
      <c r="H86" s="299">
        <v>5.601262983E7</v>
      </c>
      <c r="I86" s="300">
        <v>-2.601262983E7</v>
      </c>
      <c r="J86" s="300">
        <v>2.601262983E7</v>
      </c>
      <c r="K86" s="301">
        <v>0.0</v>
      </c>
    </row>
    <row r="87" ht="15.75" customHeight="1">
      <c r="A87" s="286" t="s">
        <v>312</v>
      </c>
      <c r="B87" s="287">
        <v>30.0</v>
      </c>
      <c r="C87" s="286" t="s">
        <v>32</v>
      </c>
      <c r="D87" s="287" t="s">
        <v>313</v>
      </c>
      <c r="E87" s="286" t="s">
        <v>32</v>
      </c>
      <c r="F87" s="286" t="s">
        <v>382</v>
      </c>
      <c r="G87" s="288">
        <v>0.0</v>
      </c>
      <c r="H87" s="288">
        <v>2732192.76</v>
      </c>
      <c r="I87" s="289">
        <v>-2732192.76</v>
      </c>
      <c r="J87" s="290"/>
      <c r="K87" s="7"/>
    </row>
    <row r="88" ht="15.75" customHeight="1">
      <c r="A88" s="291" t="s">
        <v>312</v>
      </c>
      <c r="B88" s="292">
        <v>30.0</v>
      </c>
      <c r="C88" s="291" t="s">
        <v>32</v>
      </c>
      <c r="D88" s="292" t="s">
        <v>313</v>
      </c>
      <c r="E88" s="291"/>
      <c r="F88" s="291" t="s">
        <v>383</v>
      </c>
      <c r="G88" s="293">
        <v>2300000.0</v>
      </c>
      <c r="H88" s="293">
        <v>0.0</v>
      </c>
      <c r="I88" s="294">
        <v>2300000.0</v>
      </c>
      <c r="J88" s="295"/>
      <c r="K88" s="7"/>
    </row>
    <row r="89" ht="15.75" customHeight="1">
      <c r="A89" s="286" t="s">
        <v>312</v>
      </c>
      <c r="B89" s="287">
        <v>30.0</v>
      </c>
      <c r="C89" s="286" t="s">
        <v>32</v>
      </c>
      <c r="D89" s="287" t="s">
        <v>313</v>
      </c>
      <c r="E89" s="286"/>
      <c r="F89" s="286" t="s">
        <v>384</v>
      </c>
      <c r="G89" s="288">
        <v>0.0</v>
      </c>
      <c r="H89" s="288">
        <v>2300000.0</v>
      </c>
      <c r="I89" s="289">
        <v>-2300000.0</v>
      </c>
      <c r="J89" s="290"/>
      <c r="K89" s="7"/>
    </row>
    <row r="90" ht="15.75" customHeight="1">
      <c r="A90" s="296" t="s">
        <v>312</v>
      </c>
      <c r="B90" s="296">
        <v>30.0</v>
      </c>
      <c r="C90" s="297" t="s">
        <v>32</v>
      </c>
      <c r="D90" s="296" t="s">
        <v>320</v>
      </c>
      <c r="E90" s="298"/>
      <c r="F90" s="297" t="s">
        <v>321</v>
      </c>
      <c r="G90" s="299">
        <v>2300000.0</v>
      </c>
      <c r="H90" s="299">
        <v>5032192.76</v>
      </c>
      <c r="I90" s="300">
        <v>-2732192.76</v>
      </c>
      <c r="J90" s="300">
        <v>2732192.76</v>
      </c>
      <c r="K90" s="301">
        <v>0.0</v>
      </c>
    </row>
    <row r="91" ht="15.75" customHeight="1">
      <c r="A91" s="286" t="s">
        <v>312</v>
      </c>
      <c r="B91" s="287">
        <v>31.0</v>
      </c>
      <c r="C91" s="286" t="s">
        <v>33</v>
      </c>
      <c r="D91" s="287" t="s">
        <v>313</v>
      </c>
      <c r="E91" s="286" t="s">
        <v>33</v>
      </c>
      <c r="F91" s="286" t="s">
        <v>385</v>
      </c>
      <c r="G91" s="288">
        <v>0.0</v>
      </c>
      <c r="H91" s="288">
        <v>766721.67</v>
      </c>
      <c r="I91" s="289">
        <v>-766721.67</v>
      </c>
      <c r="J91" s="290"/>
      <c r="K91" s="7"/>
    </row>
    <row r="92" ht="15.75" customHeight="1">
      <c r="A92" s="291" t="s">
        <v>312</v>
      </c>
      <c r="B92" s="292">
        <v>31.0</v>
      </c>
      <c r="C92" s="291" t="s">
        <v>33</v>
      </c>
      <c r="D92" s="292" t="s">
        <v>313</v>
      </c>
      <c r="E92" s="291"/>
      <c r="F92" s="291" t="s">
        <v>386</v>
      </c>
      <c r="G92" s="293">
        <v>300000.0</v>
      </c>
      <c r="H92" s="293">
        <v>0.0</v>
      </c>
      <c r="I92" s="294">
        <v>300000.0</v>
      </c>
      <c r="J92" s="295"/>
      <c r="K92" s="7"/>
    </row>
    <row r="93" ht="15.75" customHeight="1">
      <c r="A93" s="286" t="s">
        <v>312</v>
      </c>
      <c r="B93" s="287">
        <v>31.0</v>
      </c>
      <c r="C93" s="286" t="s">
        <v>33</v>
      </c>
      <c r="D93" s="287" t="s">
        <v>313</v>
      </c>
      <c r="E93" s="286"/>
      <c r="F93" s="286" t="s">
        <v>387</v>
      </c>
      <c r="G93" s="288">
        <v>0.0</v>
      </c>
      <c r="H93" s="288">
        <v>766722.0</v>
      </c>
      <c r="I93" s="289">
        <v>-766722.0</v>
      </c>
      <c r="J93" s="290"/>
      <c r="K93" s="7"/>
    </row>
    <row r="94" ht="15.75" customHeight="1">
      <c r="A94" s="296" t="s">
        <v>312</v>
      </c>
      <c r="B94" s="296">
        <v>31.0</v>
      </c>
      <c r="C94" s="297" t="s">
        <v>33</v>
      </c>
      <c r="D94" s="296" t="s">
        <v>320</v>
      </c>
      <c r="E94" s="298"/>
      <c r="F94" s="297" t="s">
        <v>321</v>
      </c>
      <c r="G94" s="299">
        <v>300000.0</v>
      </c>
      <c r="H94" s="299">
        <v>1533443.67</v>
      </c>
      <c r="I94" s="300">
        <v>-1233443.67</v>
      </c>
      <c r="J94" s="300">
        <v>1233443.67</v>
      </c>
      <c r="K94" s="301">
        <v>0.0</v>
      </c>
    </row>
    <row r="95" ht="15.75" customHeight="1">
      <c r="A95" s="286" t="s">
        <v>312</v>
      </c>
      <c r="B95" s="287">
        <v>32.0</v>
      </c>
      <c r="C95" s="286" t="s">
        <v>34</v>
      </c>
      <c r="D95" s="287" t="s">
        <v>313</v>
      </c>
      <c r="E95" s="286" t="s">
        <v>388</v>
      </c>
      <c r="F95" s="286" t="s">
        <v>389</v>
      </c>
      <c r="G95" s="288">
        <v>0.0</v>
      </c>
      <c r="H95" s="288">
        <v>7990.89</v>
      </c>
      <c r="I95" s="289">
        <v>-7990.89</v>
      </c>
      <c r="J95" s="290"/>
      <c r="K95" s="7"/>
    </row>
    <row r="96" ht="15.75" customHeight="1">
      <c r="A96" s="291" t="s">
        <v>312</v>
      </c>
      <c r="B96" s="292">
        <v>32.0</v>
      </c>
      <c r="C96" s="291" t="s">
        <v>34</v>
      </c>
      <c r="D96" s="292" t="s">
        <v>313</v>
      </c>
      <c r="E96" s="291"/>
      <c r="F96" s="291" t="s">
        <v>390</v>
      </c>
      <c r="G96" s="293">
        <v>10000.0</v>
      </c>
      <c r="H96" s="293">
        <v>0.0</v>
      </c>
      <c r="I96" s="294">
        <v>10000.0</v>
      </c>
      <c r="J96" s="295"/>
      <c r="K96" s="7"/>
    </row>
    <row r="97" ht="15.75" customHeight="1">
      <c r="A97" s="286" t="s">
        <v>312</v>
      </c>
      <c r="B97" s="287">
        <v>32.0</v>
      </c>
      <c r="C97" s="286" t="s">
        <v>34</v>
      </c>
      <c r="D97" s="287" t="s">
        <v>313</v>
      </c>
      <c r="E97" s="286"/>
      <c r="F97" s="286" t="s">
        <v>391</v>
      </c>
      <c r="G97" s="288">
        <v>0.0</v>
      </c>
      <c r="H97" s="288">
        <v>10000.0</v>
      </c>
      <c r="I97" s="289">
        <v>-10000.0</v>
      </c>
      <c r="J97" s="290"/>
      <c r="K97" s="7"/>
    </row>
    <row r="98" ht="15.75" customHeight="1">
      <c r="A98" s="296" t="s">
        <v>312</v>
      </c>
      <c r="B98" s="296">
        <v>32.0</v>
      </c>
      <c r="C98" s="297" t="s">
        <v>34</v>
      </c>
      <c r="D98" s="296" t="s">
        <v>320</v>
      </c>
      <c r="E98" s="298"/>
      <c r="F98" s="297" t="s">
        <v>321</v>
      </c>
      <c r="G98" s="299">
        <v>10000.0</v>
      </c>
      <c r="H98" s="299">
        <v>17990.89</v>
      </c>
      <c r="I98" s="300">
        <v>-7990.89</v>
      </c>
      <c r="J98" s="300">
        <v>7990.89</v>
      </c>
      <c r="K98" s="301">
        <v>0.0</v>
      </c>
    </row>
    <row r="99" ht="15.75" customHeight="1">
      <c r="A99" s="286" t="s">
        <v>312</v>
      </c>
      <c r="B99" s="287">
        <v>33.0</v>
      </c>
      <c r="C99" s="286" t="s">
        <v>35</v>
      </c>
      <c r="D99" s="287" t="s">
        <v>313</v>
      </c>
      <c r="E99" s="286" t="s">
        <v>35</v>
      </c>
      <c r="F99" s="286" t="s">
        <v>392</v>
      </c>
      <c r="G99" s="288">
        <v>0.0</v>
      </c>
      <c r="H99" s="288">
        <v>371875.5</v>
      </c>
      <c r="I99" s="289">
        <v>-371875.5</v>
      </c>
      <c r="J99" s="290"/>
      <c r="K99" s="7"/>
    </row>
    <row r="100" ht="15.75" customHeight="1">
      <c r="A100" s="291" t="s">
        <v>312</v>
      </c>
      <c r="B100" s="292">
        <v>33.0</v>
      </c>
      <c r="C100" s="291" t="s">
        <v>35</v>
      </c>
      <c r="D100" s="292" t="s">
        <v>313</v>
      </c>
      <c r="E100" s="291"/>
      <c r="F100" s="291" t="s">
        <v>393</v>
      </c>
      <c r="G100" s="293">
        <v>345000.0</v>
      </c>
      <c r="H100" s="293">
        <v>0.0</v>
      </c>
      <c r="I100" s="294">
        <v>345000.0</v>
      </c>
      <c r="J100" s="295"/>
      <c r="K100" s="7"/>
    </row>
    <row r="101" ht="15.75" customHeight="1">
      <c r="A101" s="286" t="s">
        <v>312</v>
      </c>
      <c r="B101" s="287">
        <v>33.0</v>
      </c>
      <c r="C101" s="286" t="s">
        <v>35</v>
      </c>
      <c r="D101" s="287" t="s">
        <v>313</v>
      </c>
      <c r="E101" s="286"/>
      <c r="F101" s="286" t="s">
        <v>394</v>
      </c>
      <c r="G101" s="288">
        <v>0.0</v>
      </c>
      <c r="H101" s="288">
        <v>370000.0</v>
      </c>
      <c r="I101" s="289">
        <v>-370000.0</v>
      </c>
      <c r="J101" s="290"/>
      <c r="K101" s="7"/>
    </row>
    <row r="102" ht="15.75" customHeight="1">
      <c r="A102" s="296" t="s">
        <v>312</v>
      </c>
      <c r="B102" s="296">
        <v>33.0</v>
      </c>
      <c r="C102" s="297" t="s">
        <v>35</v>
      </c>
      <c r="D102" s="296" t="s">
        <v>320</v>
      </c>
      <c r="E102" s="298"/>
      <c r="F102" s="297" t="s">
        <v>321</v>
      </c>
      <c r="G102" s="299">
        <v>345000.0</v>
      </c>
      <c r="H102" s="299">
        <v>741875.5</v>
      </c>
      <c r="I102" s="300">
        <v>-396875.5</v>
      </c>
      <c r="J102" s="300">
        <v>396875.5</v>
      </c>
      <c r="K102" s="301">
        <v>0.0</v>
      </c>
    </row>
    <row r="103" ht="15.75" customHeight="1">
      <c r="A103" s="286" t="s">
        <v>312</v>
      </c>
      <c r="B103" s="287">
        <v>34.0</v>
      </c>
      <c r="C103" s="286" t="s">
        <v>36</v>
      </c>
      <c r="D103" s="287" t="s">
        <v>313</v>
      </c>
      <c r="E103" s="286" t="s">
        <v>395</v>
      </c>
      <c r="F103" s="286" t="s">
        <v>396</v>
      </c>
      <c r="G103" s="288">
        <v>0.0</v>
      </c>
      <c r="H103" s="288">
        <v>1538550.05</v>
      </c>
      <c r="I103" s="289">
        <v>-1538550.05</v>
      </c>
      <c r="J103" s="290"/>
      <c r="K103" s="7"/>
    </row>
    <row r="104" ht="15.75" customHeight="1">
      <c r="A104" s="291" t="s">
        <v>312</v>
      </c>
      <c r="B104" s="292">
        <v>34.0</v>
      </c>
      <c r="C104" s="291" t="s">
        <v>36</v>
      </c>
      <c r="D104" s="292" t="s">
        <v>313</v>
      </c>
      <c r="E104" s="291"/>
      <c r="F104" s="291" t="s">
        <v>397</v>
      </c>
      <c r="G104" s="293">
        <v>1000000.0</v>
      </c>
      <c r="H104" s="293">
        <v>0.0</v>
      </c>
      <c r="I104" s="294">
        <v>1000000.0</v>
      </c>
      <c r="J104" s="295"/>
      <c r="K104" s="7"/>
    </row>
    <row r="105" ht="15.75" customHeight="1">
      <c r="A105" s="286" t="s">
        <v>312</v>
      </c>
      <c r="B105" s="287">
        <v>34.0</v>
      </c>
      <c r="C105" s="286" t="s">
        <v>36</v>
      </c>
      <c r="D105" s="287" t="s">
        <v>313</v>
      </c>
      <c r="E105" s="286"/>
      <c r="F105" s="286" t="s">
        <v>398</v>
      </c>
      <c r="G105" s="288">
        <v>0.0</v>
      </c>
      <c r="H105" s="288">
        <v>1500000.0</v>
      </c>
      <c r="I105" s="289">
        <v>-1500000.0</v>
      </c>
      <c r="J105" s="290"/>
      <c r="K105" s="7"/>
    </row>
    <row r="106" ht="15.75" customHeight="1">
      <c r="A106" s="296" t="s">
        <v>312</v>
      </c>
      <c r="B106" s="296">
        <v>34.0</v>
      </c>
      <c r="C106" s="297" t="s">
        <v>36</v>
      </c>
      <c r="D106" s="296" t="s">
        <v>320</v>
      </c>
      <c r="E106" s="298"/>
      <c r="F106" s="297" t="s">
        <v>321</v>
      </c>
      <c r="G106" s="299">
        <v>1000000.0</v>
      </c>
      <c r="H106" s="299">
        <v>3038550.05</v>
      </c>
      <c r="I106" s="300">
        <v>-2038550.05</v>
      </c>
      <c r="J106" s="300">
        <v>2038550.05</v>
      </c>
      <c r="K106" s="301">
        <v>0.0</v>
      </c>
    </row>
    <row r="107" ht="15.75" customHeight="1">
      <c r="A107" s="286" t="s">
        <v>312</v>
      </c>
      <c r="B107" s="287">
        <v>38.0</v>
      </c>
      <c r="C107" s="286" t="s">
        <v>39</v>
      </c>
      <c r="D107" s="287" t="s">
        <v>313</v>
      </c>
      <c r="E107" s="286" t="s">
        <v>399</v>
      </c>
      <c r="F107" s="286" t="s">
        <v>400</v>
      </c>
      <c r="G107" s="288">
        <v>0.0</v>
      </c>
      <c r="H107" s="288">
        <v>1.11645316E7</v>
      </c>
      <c r="I107" s="289">
        <v>-1.11645316E7</v>
      </c>
      <c r="J107" s="290"/>
      <c r="K107" s="7"/>
    </row>
    <row r="108" ht="15.75" customHeight="1">
      <c r="A108" s="291" t="s">
        <v>312</v>
      </c>
      <c r="B108" s="292">
        <v>38.0</v>
      </c>
      <c r="C108" s="291" t="s">
        <v>39</v>
      </c>
      <c r="D108" s="292" t="s">
        <v>313</v>
      </c>
      <c r="E108" s="291"/>
      <c r="F108" s="291" t="s">
        <v>401</v>
      </c>
      <c r="G108" s="293">
        <v>1.1164531E7</v>
      </c>
      <c r="H108" s="293">
        <v>0.0</v>
      </c>
      <c r="I108" s="294">
        <v>1.1164531E7</v>
      </c>
      <c r="J108" s="295"/>
      <c r="K108" s="7"/>
    </row>
    <row r="109" ht="15.75" customHeight="1">
      <c r="A109" s="286" t="s">
        <v>312</v>
      </c>
      <c r="B109" s="287">
        <v>38.0</v>
      </c>
      <c r="C109" s="286" t="s">
        <v>39</v>
      </c>
      <c r="D109" s="287" t="s">
        <v>313</v>
      </c>
      <c r="E109" s="286"/>
      <c r="F109" s="286" t="s">
        <v>402</v>
      </c>
      <c r="G109" s="288">
        <v>0.0</v>
      </c>
      <c r="H109" s="288">
        <v>1.1164531E7</v>
      </c>
      <c r="I109" s="289">
        <v>-1.1164531E7</v>
      </c>
      <c r="J109" s="290"/>
      <c r="K109" s="7"/>
    </row>
    <row r="110" ht="15.75" customHeight="1">
      <c r="A110" s="296" t="s">
        <v>312</v>
      </c>
      <c r="B110" s="296">
        <v>38.0</v>
      </c>
      <c r="C110" s="297" t="s">
        <v>39</v>
      </c>
      <c r="D110" s="296" t="s">
        <v>320</v>
      </c>
      <c r="E110" s="298"/>
      <c r="F110" s="297" t="s">
        <v>321</v>
      </c>
      <c r="G110" s="299">
        <v>1.1164531E7</v>
      </c>
      <c r="H110" s="299">
        <v>2.23290626E7</v>
      </c>
      <c r="I110" s="300">
        <v>-1.11645316E7</v>
      </c>
      <c r="J110" s="300">
        <v>1.11645322E7</v>
      </c>
      <c r="K110" s="301">
        <v>-0.599999999627471</v>
      </c>
    </row>
    <row r="111" ht="15.75" customHeight="1">
      <c r="A111" s="286" t="s">
        <v>312</v>
      </c>
      <c r="B111" s="287">
        <v>41.0</v>
      </c>
      <c r="C111" s="286" t="s">
        <v>41</v>
      </c>
      <c r="D111" s="287" t="s">
        <v>403</v>
      </c>
      <c r="E111" s="286"/>
      <c r="F111" s="286" t="s">
        <v>404</v>
      </c>
      <c r="G111" s="288">
        <v>1.2061954686E8</v>
      </c>
      <c r="H111" s="288">
        <v>0.0</v>
      </c>
      <c r="I111" s="289">
        <v>1.2061954686E8</v>
      </c>
      <c r="J111" s="290"/>
      <c r="K111" s="7"/>
    </row>
    <row r="112" ht="15.75" customHeight="1">
      <c r="A112" s="296" t="s">
        <v>312</v>
      </c>
      <c r="B112" s="296">
        <v>41.0</v>
      </c>
      <c r="C112" s="297" t="s">
        <v>41</v>
      </c>
      <c r="D112" s="296" t="s">
        <v>320</v>
      </c>
      <c r="E112" s="298"/>
      <c r="F112" s="297" t="s">
        <v>321</v>
      </c>
      <c r="G112" s="299">
        <v>1.2061954686E8</v>
      </c>
      <c r="H112" s="299">
        <v>0.0</v>
      </c>
      <c r="I112" s="300">
        <v>1.2061954686E8</v>
      </c>
      <c r="J112" s="300">
        <v>-1.2061954686E8</v>
      </c>
      <c r="K112" s="301">
        <v>0.0</v>
      </c>
    </row>
    <row r="113" ht="15.75" customHeight="1">
      <c r="A113" s="286" t="s">
        <v>312</v>
      </c>
      <c r="B113" s="287">
        <v>47.0</v>
      </c>
      <c r="C113" s="286" t="s">
        <v>50</v>
      </c>
      <c r="D113" s="287" t="s">
        <v>405</v>
      </c>
      <c r="E113" s="286" t="s">
        <v>406</v>
      </c>
      <c r="F113" s="286" t="s">
        <v>407</v>
      </c>
      <c r="G113" s="288">
        <v>6756450.0</v>
      </c>
      <c r="H113" s="288">
        <v>0.0</v>
      </c>
      <c r="I113" s="289">
        <v>6756450.0</v>
      </c>
      <c r="J113" s="290"/>
      <c r="K113" s="7"/>
    </row>
    <row r="114" ht="15.75" customHeight="1">
      <c r="A114" s="291" t="s">
        <v>312</v>
      </c>
      <c r="B114" s="292">
        <v>47.0</v>
      </c>
      <c r="C114" s="291" t="s">
        <v>50</v>
      </c>
      <c r="D114" s="292" t="s">
        <v>405</v>
      </c>
      <c r="E114" s="291" t="s">
        <v>406</v>
      </c>
      <c r="F114" s="291" t="s">
        <v>408</v>
      </c>
      <c r="G114" s="293">
        <v>0.0</v>
      </c>
      <c r="H114" s="293">
        <v>972954.37</v>
      </c>
      <c r="I114" s="294">
        <v>-972954.37</v>
      </c>
      <c r="J114" s="295"/>
      <c r="K114" s="7"/>
    </row>
    <row r="115" ht="15.75" customHeight="1">
      <c r="A115" s="296" t="s">
        <v>312</v>
      </c>
      <c r="B115" s="296">
        <v>47.0</v>
      </c>
      <c r="C115" s="297" t="s">
        <v>50</v>
      </c>
      <c r="D115" s="296" t="s">
        <v>320</v>
      </c>
      <c r="E115" s="298"/>
      <c r="F115" s="297" t="s">
        <v>321</v>
      </c>
      <c r="G115" s="299">
        <v>6756450.0</v>
      </c>
      <c r="H115" s="299">
        <v>972954.37</v>
      </c>
      <c r="I115" s="300">
        <v>5783495.63</v>
      </c>
      <c r="J115" s="300">
        <v>5783495.63</v>
      </c>
      <c r="K115" s="301">
        <v>0.0</v>
      </c>
    </row>
    <row r="116" ht="15.75" customHeight="1">
      <c r="A116" s="286" t="s">
        <v>312</v>
      </c>
      <c r="B116" s="287">
        <v>48.0</v>
      </c>
      <c r="C116" s="286" t="s">
        <v>50</v>
      </c>
      <c r="D116" s="287" t="s">
        <v>409</v>
      </c>
      <c r="E116" s="286" t="s">
        <v>406</v>
      </c>
      <c r="F116" s="286" t="s">
        <v>410</v>
      </c>
      <c r="G116" s="288">
        <v>5700000.0</v>
      </c>
      <c r="H116" s="288">
        <v>0.0</v>
      </c>
      <c r="I116" s="289">
        <v>5700000.0</v>
      </c>
      <c r="J116" s="290"/>
      <c r="K116" s="7"/>
    </row>
    <row r="117" ht="15.75" customHeight="1">
      <c r="A117" s="291" t="s">
        <v>312</v>
      </c>
      <c r="B117" s="292">
        <v>48.0</v>
      </c>
      <c r="C117" s="291" t="s">
        <v>50</v>
      </c>
      <c r="D117" s="292" t="s">
        <v>409</v>
      </c>
      <c r="E117" s="291" t="s">
        <v>406</v>
      </c>
      <c r="F117" s="291" t="s">
        <v>411</v>
      </c>
      <c r="G117" s="293">
        <v>0.0</v>
      </c>
      <c r="H117" s="293">
        <v>570000.0</v>
      </c>
      <c r="I117" s="294">
        <v>-570000.0</v>
      </c>
      <c r="J117" s="295"/>
      <c r="K117" s="7"/>
    </row>
    <row r="118" ht="15.75" customHeight="1">
      <c r="A118" s="296" t="s">
        <v>312</v>
      </c>
      <c r="B118" s="296">
        <v>48.0</v>
      </c>
      <c r="C118" s="297" t="s">
        <v>50</v>
      </c>
      <c r="D118" s="296" t="s">
        <v>320</v>
      </c>
      <c r="E118" s="298"/>
      <c r="F118" s="297" t="s">
        <v>321</v>
      </c>
      <c r="G118" s="299">
        <v>5700000.0</v>
      </c>
      <c r="H118" s="299">
        <v>570000.0</v>
      </c>
      <c r="I118" s="300">
        <v>5130000.0</v>
      </c>
      <c r="J118" s="300">
        <v>5130000.0</v>
      </c>
      <c r="K118" s="301">
        <v>0.0</v>
      </c>
    </row>
    <row r="119" ht="15.75" customHeight="1">
      <c r="A119" s="286" t="s">
        <v>312</v>
      </c>
      <c r="B119" s="287">
        <v>53.0</v>
      </c>
      <c r="C119" s="286" t="s">
        <v>60</v>
      </c>
      <c r="D119" s="287" t="s">
        <v>409</v>
      </c>
      <c r="E119" s="286"/>
      <c r="F119" s="286" t="s">
        <v>412</v>
      </c>
      <c r="G119" s="288">
        <v>0.0</v>
      </c>
      <c r="H119" s="288">
        <v>2.5028734E7</v>
      </c>
      <c r="I119" s="289">
        <v>-2.5028734E7</v>
      </c>
      <c r="J119" s="290"/>
      <c r="K119" s="7"/>
    </row>
    <row r="120" ht="15.75" customHeight="1">
      <c r="A120" s="291" t="s">
        <v>312</v>
      </c>
      <c r="B120" s="292">
        <v>53.0</v>
      </c>
      <c r="C120" s="291" t="s">
        <v>60</v>
      </c>
      <c r="D120" s="292" t="s">
        <v>409</v>
      </c>
      <c r="E120" s="291" t="s">
        <v>413</v>
      </c>
      <c r="F120" s="291" t="s">
        <v>414</v>
      </c>
      <c r="G120" s="293">
        <v>0.0</v>
      </c>
      <c r="H120" s="293">
        <v>3000.0</v>
      </c>
      <c r="I120" s="294">
        <v>-3000.0</v>
      </c>
      <c r="J120" s="295"/>
      <c r="K120" s="7"/>
    </row>
    <row r="121" ht="15.75" customHeight="1">
      <c r="A121" s="286" t="s">
        <v>312</v>
      </c>
      <c r="B121" s="287">
        <v>53.0</v>
      </c>
      <c r="C121" s="286" t="s">
        <v>60</v>
      </c>
      <c r="D121" s="287" t="s">
        <v>409</v>
      </c>
      <c r="E121" s="286" t="s">
        <v>413</v>
      </c>
      <c r="F121" s="286" t="s">
        <v>415</v>
      </c>
      <c r="G121" s="288">
        <v>2295743.2</v>
      </c>
      <c r="H121" s="288">
        <v>0.0</v>
      </c>
      <c r="I121" s="289">
        <v>2295743.2</v>
      </c>
      <c r="J121" s="290"/>
      <c r="K121" s="7"/>
    </row>
    <row r="122" ht="15.75" customHeight="1">
      <c r="A122" s="291" t="s">
        <v>312</v>
      </c>
      <c r="B122" s="292">
        <v>53.0</v>
      </c>
      <c r="C122" s="291" t="s">
        <v>60</v>
      </c>
      <c r="D122" s="292" t="s">
        <v>409</v>
      </c>
      <c r="E122" s="291" t="s">
        <v>413</v>
      </c>
      <c r="F122" s="291" t="s">
        <v>416</v>
      </c>
      <c r="G122" s="293">
        <v>2.273299061E7</v>
      </c>
      <c r="H122" s="293">
        <v>0.0</v>
      </c>
      <c r="I122" s="294">
        <v>2.273299061E7</v>
      </c>
      <c r="J122" s="295"/>
      <c r="K122" s="7"/>
    </row>
    <row r="123" ht="15.75" customHeight="1">
      <c r="A123" s="286" t="s">
        <v>312</v>
      </c>
      <c r="B123" s="287">
        <v>53.0</v>
      </c>
      <c r="C123" s="286" t="s">
        <v>60</v>
      </c>
      <c r="D123" s="287" t="s">
        <v>409</v>
      </c>
      <c r="E123" s="286"/>
      <c r="F123" s="286" t="s">
        <v>417</v>
      </c>
      <c r="G123" s="288">
        <v>2.5143521E7</v>
      </c>
      <c r="H123" s="288">
        <v>0.0</v>
      </c>
      <c r="I123" s="289">
        <v>2.5143521E7</v>
      </c>
      <c r="J123" s="290"/>
      <c r="K123" s="7"/>
    </row>
    <row r="124" ht="15.75" customHeight="1">
      <c r="A124" s="296" t="s">
        <v>312</v>
      </c>
      <c r="B124" s="296">
        <v>53.0</v>
      </c>
      <c r="C124" s="297" t="s">
        <v>60</v>
      </c>
      <c r="D124" s="296" t="s">
        <v>320</v>
      </c>
      <c r="E124" s="298"/>
      <c r="F124" s="297" t="s">
        <v>321</v>
      </c>
      <c r="G124" s="299">
        <v>5.017225481E7</v>
      </c>
      <c r="H124" s="299">
        <v>2.5031734E7</v>
      </c>
      <c r="I124" s="300">
        <v>2.514052081E7</v>
      </c>
      <c r="J124" s="300">
        <v>2410530.0</v>
      </c>
      <c r="K124" s="302">
        <v>2.272999081E7</v>
      </c>
    </row>
    <row r="125" ht="15.75" customHeight="1">
      <c r="A125" s="286" t="s">
        <v>312</v>
      </c>
      <c r="B125" s="287">
        <v>54.0</v>
      </c>
      <c r="C125" s="286" t="s">
        <v>50</v>
      </c>
      <c r="D125" s="287" t="s">
        <v>418</v>
      </c>
      <c r="E125" s="286"/>
      <c r="F125" s="286" t="s">
        <v>419</v>
      </c>
      <c r="G125" s="288">
        <v>343167.67</v>
      </c>
      <c r="H125" s="288">
        <v>0.0</v>
      </c>
      <c r="I125" s="289">
        <v>343167.67</v>
      </c>
      <c r="J125" s="290"/>
      <c r="K125" s="7"/>
    </row>
    <row r="126" ht="15.75" customHeight="1">
      <c r="A126" s="291" t="s">
        <v>312</v>
      </c>
      <c r="B126" s="292">
        <v>54.0</v>
      </c>
      <c r="C126" s="291" t="s">
        <v>50</v>
      </c>
      <c r="D126" s="292" t="s">
        <v>418</v>
      </c>
      <c r="E126" s="291"/>
      <c r="F126" s="291" t="s">
        <v>420</v>
      </c>
      <c r="G126" s="293">
        <v>365230.46</v>
      </c>
      <c r="H126" s="293">
        <v>0.0</v>
      </c>
      <c r="I126" s="294">
        <v>365230.46</v>
      </c>
      <c r="J126" s="295"/>
      <c r="K126" s="7"/>
    </row>
    <row r="127" ht="15.75" customHeight="1">
      <c r="A127" s="286" t="s">
        <v>312</v>
      </c>
      <c r="B127" s="287">
        <v>54.0</v>
      </c>
      <c r="C127" s="286" t="s">
        <v>50</v>
      </c>
      <c r="D127" s="287" t="s">
        <v>418</v>
      </c>
      <c r="E127" s="286"/>
      <c r="F127" s="286" t="s">
        <v>421</v>
      </c>
      <c r="G127" s="288">
        <v>354986.14</v>
      </c>
      <c r="H127" s="288">
        <v>0.0</v>
      </c>
      <c r="I127" s="289">
        <v>354986.14</v>
      </c>
      <c r="J127" s="290"/>
      <c r="K127" s="7"/>
    </row>
    <row r="128" ht="15.75" customHeight="1">
      <c r="A128" s="296" t="s">
        <v>312</v>
      </c>
      <c r="B128" s="296">
        <v>54.0</v>
      </c>
      <c r="C128" s="297" t="s">
        <v>50</v>
      </c>
      <c r="D128" s="296" t="s">
        <v>320</v>
      </c>
      <c r="E128" s="298"/>
      <c r="F128" s="297" t="s">
        <v>321</v>
      </c>
      <c r="G128" s="299">
        <v>1063384.27</v>
      </c>
      <c r="H128" s="299">
        <v>0.0</v>
      </c>
      <c r="I128" s="300">
        <v>1063384.27</v>
      </c>
      <c r="J128" s="300">
        <v>1063384.27</v>
      </c>
      <c r="K128" s="301">
        <v>0.0</v>
      </c>
    </row>
    <row r="129" ht="15.75" customHeight="1">
      <c r="A129" s="286" t="s">
        <v>312</v>
      </c>
      <c r="B129" s="287">
        <v>59.0</v>
      </c>
      <c r="C129" s="286" t="s">
        <v>66</v>
      </c>
      <c r="D129" s="287" t="s">
        <v>422</v>
      </c>
      <c r="E129" s="286" t="s">
        <v>423</v>
      </c>
      <c r="F129" s="286" t="s">
        <v>424</v>
      </c>
      <c r="G129" s="288">
        <v>477797.0</v>
      </c>
      <c r="H129" s="288">
        <v>0.0</v>
      </c>
      <c r="I129" s="289">
        <v>477797.0</v>
      </c>
      <c r="J129" s="290"/>
      <c r="K129" s="7"/>
    </row>
    <row r="130" ht="15.75" customHeight="1">
      <c r="A130" s="291" t="s">
        <v>312</v>
      </c>
      <c r="B130" s="292">
        <v>59.0</v>
      </c>
      <c r="C130" s="291" t="s">
        <v>66</v>
      </c>
      <c r="D130" s="292" t="s">
        <v>425</v>
      </c>
      <c r="E130" s="291" t="s">
        <v>423</v>
      </c>
      <c r="F130" s="291" t="s">
        <v>426</v>
      </c>
      <c r="G130" s="293">
        <v>33644.0</v>
      </c>
      <c r="H130" s="293">
        <v>0.0</v>
      </c>
      <c r="I130" s="294">
        <v>33644.0</v>
      </c>
      <c r="J130" s="295"/>
      <c r="K130" s="7"/>
    </row>
    <row r="131" ht="15.75" customHeight="1">
      <c r="A131" s="286" t="s">
        <v>312</v>
      </c>
      <c r="B131" s="287">
        <v>59.0</v>
      </c>
      <c r="C131" s="286" t="s">
        <v>66</v>
      </c>
      <c r="D131" s="287" t="s">
        <v>425</v>
      </c>
      <c r="E131" s="286" t="s">
        <v>423</v>
      </c>
      <c r="F131" s="286" t="s">
        <v>427</v>
      </c>
      <c r="G131" s="288">
        <v>25360.0</v>
      </c>
      <c r="H131" s="288">
        <v>0.0</v>
      </c>
      <c r="I131" s="289">
        <v>25360.0</v>
      </c>
      <c r="J131" s="290"/>
      <c r="K131" s="7"/>
    </row>
    <row r="132" ht="15.75" customHeight="1">
      <c r="A132" s="296" t="s">
        <v>312</v>
      </c>
      <c r="B132" s="296">
        <v>59.0</v>
      </c>
      <c r="C132" s="297" t="s">
        <v>66</v>
      </c>
      <c r="D132" s="296" t="s">
        <v>320</v>
      </c>
      <c r="E132" s="298"/>
      <c r="F132" s="297" t="s">
        <v>321</v>
      </c>
      <c r="G132" s="299">
        <v>536801.0</v>
      </c>
      <c r="H132" s="299">
        <v>0.0</v>
      </c>
      <c r="I132" s="300">
        <v>536801.0</v>
      </c>
      <c r="J132" s="300">
        <v>477797.0</v>
      </c>
      <c r="K132" s="302">
        <v>59004.0</v>
      </c>
    </row>
    <row r="133" ht="15.75" customHeight="1">
      <c r="A133" s="286" t="s">
        <v>312</v>
      </c>
      <c r="B133" s="287">
        <v>60.0</v>
      </c>
      <c r="C133" s="286" t="s">
        <v>68</v>
      </c>
      <c r="D133" s="287" t="s">
        <v>422</v>
      </c>
      <c r="E133" s="286" t="s">
        <v>428</v>
      </c>
      <c r="F133" s="286" t="s">
        <v>429</v>
      </c>
      <c r="G133" s="288">
        <v>879000.0</v>
      </c>
      <c r="H133" s="288">
        <v>0.0</v>
      </c>
      <c r="I133" s="289">
        <v>879000.0</v>
      </c>
      <c r="J133" s="290"/>
      <c r="K133" s="7"/>
    </row>
    <row r="134" ht="15.75" customHeight="1">
      <c r="A134" s="296" t="s">
        <v>312</v>
      </c>
      <c r="B134" s="296">
        <v>60.0</v>
      </c>
      <c r="C134" s="297" t="s">
        <v>68</v>
      </c>
      <c r="D134" s="296" t="s">
        <v>320</v>
      </c>
      <c r="E134" s="298"/>
      <c r="F134" s="297" t="s">
        <v>321</v>
      </c>
      <c r="G134" s="299">
        <v>879000.0</v>
      </c>
      <c r="H134" s="299">
        <v>0.0</v>
      </c>
      <c r="I134" s="300">
        <v>879000.0</v>
      </c>
      <c r="J134" s="300">
        <v>879000.0</v>
      </c>
      <c r="K134" s="301">
        <v>0.0</v>
      </c>
    </row>
    <row r="135" ht="15.75" customHeight="1">
      <c r="A135" s="286" t="s">
        <v>312</v>
      </c>
      <c r="B135" s="287">
        <v>61.0</v>
      </c>
      <c r="C135" s="286" t="s">
        <v>70</v>
      </c>
      <c r="D135" s="287" t="s">
        <v>405</v>
      </c>
      <c r="E135" s="286"/>
      <c r="F135" s="286" t="s">
        <v>430</v>
      </c>
      <c r="G135" s="288">
        <v>0.0</v>
      </c>
      <c r="H135" s="288">
        <v>1172160.0</v>
      </c>
      <c r="I135" s="289">
        <v>-1172160.0</v>
      </c>
      <c r="J135" s="290"/>
      <c r="K135" s="7"/>
    </row>
    <row r="136" ht="15.75" customHeight="1">
      <c r="A136" s="291" t="s">
        <v>312</v>
      </c>
      <c r="B136" s="292">
        <v>61.0</v>
      </c>
      <c r="C136" s="291" t="s">
        <v>70</v>
      </c>
      <c r="D136" s="292" t="s">
        <v>405</v>
      </c>
      <c r="E136" s="291"/>
      <c r="F136" s="291" t="s">
        <v>431</v>
      </c>
      <c r="G136" s="293">
        <v>1740420.0</v>
      </c>
      <c r="H136" s="293">
        <v>0.0</v>
      </c>
      <c r="I136" s="294">
        <v>1740420.0</v>
      </c>
      <c r="J136" s="295"/>
      <c r="K136" s="7"/>
    </row>
    <row r="137" ht="15.75" customHeight="1">
      <c r="A137" s="296" t="s">
        <v>312</v>
      </c>
      <c r="B137" s="296">
        <v>61.0</v>
      </c>
      <c r="C137" s="297" t="s">
        <v>70</v>
      </c>
      <c r="D137" s="296" t="s">
        <v>320</v>
      </c>
      <c r="E137" s="298"/>
      <c r="F137" s="297" t="s">
        <v>321</v>
      </c>
      <c r="G137" s="299">
        <v>1740420.0</v>
      </c>
      <c r="H137" s="299">
        <v>1172160.0</v>
      </c>
      <c r="I137" s="300">
        <v>568260.0</v>
      </c>
      <c r="J137" s="300">
        <v>568260.0</v>
      </c>
      <c r="K137" s="301">
        <v>0.0</v>
      </c>
    </row>
    <row r="138" ht="15.75" customHeight="1">
      <c r="A138" s="286" t="s">
        <v>312</v>
      </c>
      <c r="B138" s="287">
        <v>64.0</v>
      </c>
      <c r="C138" s="286" t="s">
        <v>76</v>
      </c>
      <c r="D138" s="287" t="s">
        <v>405</v>
      </c>
      <c r="E138" s="286"/>
      <c r="F138" s="286" t="s">
        <v>432</v>
      </c>
      <c r="G138" s="288">
        <v>0.0</v>
      </c>
      <c r="H138" s="288">
        <v>644510.0</v>
      </c>
      <c r="I138" s="289">
        <v>-644510.0</v>
      </c>
      <c r="J138" s="290"/>
      <c r="K138" s="7"/>
    </row>
    <row r="139" ht="15.75" customHeight="1">
      <c r="A139" s="291" t="s">
        <v>312</v>
      </c>
      <c r="B139" s="292">
        <v>64.0</v>
      </c>
      <c r="C139" s="291" t="s">
        <v>76</v>
      </c>
      <c r="D139" s="292" t="s">
        <v>405</v>
      </c>
      <c r="E139" s="291" t="s">
        <v>433</v>
      </c>
      <c r="F139" s="291" t="s">
        <v>434</v>
      </c>
      <c r="G139" s="293">
        <v>640155.6</v>
      </c>
      <c r="H139" s="293">
        <v>0.0</v>
      </c>
      <c r="I139" s="294">
        <v>640155.6</v>
      </c>
      <c r="J139" s="295"/>
      <c r="K139" s="7"/>
    </row>
    <row r="140" ht="15.75" customHeight="1">
      <c r="A140" s="286" t="s">
        <v>312</v>
      </c>
      <c r="B140" s="287">
        <v>64.0</v>
      </c>
      <c r="C140" s="286" t="s">
        <v>76</v>
      </c>
      <c r="D140" s="287" t="s">
        <v>405</v>
      </c>
      <c r="E140" s="286" t="s">
        <v>435</v>
      </c>
      <c r="F140" s="286" t="s">
        <v>436</v>
      </c>
      <c r="G140" s="288">
        <v>637978.2</v>
      </c>
      <c r="H140" s="288">
        <v>0.0</v>
      </c>
      <c r="I140" s="289">
        <v>637978.2</v>
      </c>
      <c r="J140" s="290"/>
      <c r="K140" s="7"/>
    </row>
    <row r="141" ht="15.75" customHeight="1">
      <c r="A141" s="291" t="s">
        <v>312</v>
      </c>
      <c r="B141" s="292">
        <v>64.0</v>
      </c>
      <c r="C141" s="291" t="s">
        <v>76</v>
      </c>
      <c r="D141" s="292" t="s">
        <v>405</v>
      </c>
      <c r="E141" s="291"/>
      <c r="F141" s="291" t="s">
        <v>437</v>
      </c>
      <c r="G141" s="293">
        <v>637978.0</v>
      </c>
      <c r="H141" s="293">
        <v>0.0</v>
      </c>
      <c r="I141" s="294">
        <v>637978.0</v>
      </c>
      <c r="J141" s="295"/>
      <c r="K141" s="7"/>
    </row>
    <row r="142" ht="15.75" customHeight="1">
      <c r="A142" s="296" t="s">
        <v>312</v>
      </c>
      <c r="B142" s="296">
        <v>64.0</v>
      </c>
      <c r="C142" s="297" t="s">
        <v>76</v>
      </c>
      <c r="D142" s="296" t="s">
        <v>320</v>
      </c>
      <c r="E142" s="298"/>
      <c r="F142" s="297" t="s">
        <v>321</v>
      </c>
      <c r="G142" s="299">
        <v>1916111.8</v>
      </c>
      <c r="H142" s="299">
        <v>644510.0</v>
      </c>
      <c r="I142" s="300">
        <v>1271601.8</v>
      </c>
      <c r="J142" s="300">
        <v>633623.6</v>
      </c>
      <c r="K142" s="302">
        <v>637978.1999999998</v>
      </c>
    </row>
    <row r="143" ht="15.75" customHeight="1">
      <c r="A143" s="286" t="s">
        <v>312</v>
      </c>
      <c r="B143" s="287">
        <v>66.0</v>
      </c>
      <c r="C143" s="286" t="s">
        <v>80</v>
      </c>
      <c r="D143" s="287" t="s">
        <v>422</v>
      </c>
      <c r="E143" s="286" t="s">
        <v>438</v>
      </c>
      <c r="F143" s="286" t="s">
        <v>439</v>
      </c>
      <c r="G143" s="288">
        <v>364752.0</v>
      </c>
      <c r="H143" s="288">
        <v>0.0</v>
      </c>
      <c r="I143" s="289">
        <v>364752.0</v>
      </c>
      <c r="J143" s="290"/>
      <c r="K143" s="7"/>
    </row>
    <row r="144" ht="15.75" customHeight="1">
      <c r="A144" s="291" t="s">
        <v>312</v>
      </c>
      <c r="B144" s="292">
        <v>66.0</v>
      </c>
      <c r="C144" s="291" t="s">
        <v>80</v>
      </c>
      <c r="D144" s="292" t="s">
        <v>422</v>
      </c>
      <c r="E144" s="291" t="s">
        <v>438</v>
      </c>
      <c r="F144" s="291" t="s">
        <v>439</v>
      </c>
      <c r="G144" s="293">
        <v>41414.55</v>
      </c>
      <c r="H144" s="293">
        <v>0.0</v>
      </c>
      <c r="I144" s="294">
        <v>41414.55</v>
      </c>
      <c r="J144" s="295"/>
      <c r="K144" s="7"/>
    </row>
    <row r="145" ht="15.75" customHeight="1">
      <c r="A145" s="286" t="s">
        <v>312</v>
      </c>
      <c r="B145" s="287">
        <v>66.0</v>
      </c>
      <c r="C145" s="286" t="s">
        <v>80</v>
      </c>
      <c r="D145" s="287" t="s">
        <v>405</v>
      </c>
      <c r="E145" s="286" t="s">
        <v>438</v>
      </c>
      <c r="F145" s="286" t="s">
        <v>440</v>
      </c>
      <c r="G145" s="288">
        <v>31948.13</v>
      </c>
      <c r="H145" s="288">
        <v>0.0</v>
      </c>
      <c r="I145" s="289">
        <v>31948.13</v>
      </c>
      <c r="J145" s="290"/>
      <c r="K145" s="7"/>
    </row>
    <row r="146" ht="15.75" customHeight="1">
      <c r="A146" s="291" t="s">
        <v>312</v>
      </c>
      <c r="B146" s="292">
        <v>66.0</v>
      </c>
      <c r="C146" s="291" t="s">
        <v>80</v>
      </c>
      <c r="D146" s="292" t="s">
        <v>405</v>
      </c>
      <c r="E146" s="291" t="s">
        <v>438</v>
      </c>
      <c r="F146" s="291" t="s">
        <v>441</v>
      </c>
      <c r="G146" s="293">
        <v>23057.05</v>
      </c>
      <c r="H146" s="293">
        <v>0.0</v>
      </c>
      <c r="I146" s="294">
        <v>23057.05</v>
      </c>
      <c r="J146" s="295"/>
      <c r="K146" s="7"/>
    </row>
    <row r="147" ht="15.75" customHeight="1">
      <c r="A147" s="286" t="s">
        <v>312</v>
      </c>
      <c r="B147" s="287">
        <v>66.0</v>
      </c>
      <c r="C147" s="286" t="s">
        <v>80</v>
      </c>
      <c r="D147" s="287" t="s">
        <v>405</v>
      </c>
      <c r="E147" s="286" t="s">
        <v>438</v>
      </c>
      <c r="F147" s="286" t="s">
        <v>442</v>
      </c>
      <c r="G147" s="288">
        <v>23057.05</v>
      </c>
      <c r="H147" s="288">
        <v>0.0</v>
      </c>
      <c r="I147" s="289">
        <v>23057.05</v>
      </c>
      <c r="J147" s="290"/>
      <c r="K147" s="7"/>
    </row>
    <row r="148" ht="15.75" customHeight="1">
      <c r="A148" s="296" t="s">
        <v>312</v>
      </c>
      <c r="B148" s="296">
        <v>66.0</v>
      </c>
      <c r="C148" s="297" t="s">
        <v>80</v>
      </c>
      <c r="D148" s="296" t="s">
        <v>320</v>
      </c>
      <c r="E148" s="298"/>
      <c r="F148" s="297" t="s">
        <v>321</v>
      </c>
      <c r="G148" s="299">
        <v>484228.78</v>
      </c>
      <c r="H148" s="299">
        <v>0.0</v>
      </c>
      <c r="I148" s="300">
        <v>484228.78</v>
      </c>
      <c r="J148" s="300">
        <v>484228.78</v>
      </c>
      <c r="K148" s="301">
        <v>0.0</v>
      </c>
    </row>
    <row r="149" ht="15.75" customHeight="1">
      <c r="A149" s="286" t="s">
        <v>312</v>
      </c>
      <c r="B149" s="287">
        <v>69.0</v>
      </c>
      <c r="C149" s="286" t="s">
        <v>86</v>
      </c>
      <c r="D149" s="287" t="s">
        <v>405</v>
      </c>
      <c r="E149" s="286" t="s">
        <v>438</v>
      </c>
      <c r="F149" s="286" t="s">
        <v>443</v>
      </c>
      <c r="G149" s="288">
        <v>11727.32</v>
      </c>
      <c r="H149" s="288">
        <v>0.0</v>
      </c>
      <c r="I149" s="289">
        <v>11727.32</v>
      </c>
      <c r="J149" s="290"/>
      <c r="K149" s="7"/>
    </row>
    <row r="150" ht="15.75" customHeight="1">
      <c r="A150" s="296" t="s">
        <v>312</v>
      </c>
      <c r="B150" s="296">
        <v>69.0</v>
      </c>
      <c r="C150" s="297" t="s">
        <v>86</v>
      </c>
      <c r="D150" s="296" t="s">
        <v>320</v>
      </c>
      <c r="E150" s="298"/>
      <c r="F150" s="297" t="s">
        <v>321</v>
      </c>
      <c r="G150" s="299">
        <v>11727.32</v>
      </c>
      <c r="H150" s="299">
        <v>0.0</v>
      </c>
      <c r="I150" s="300">
        <v>11727.32</v>
      </c>
      <c r="J150" s="300">
        <v>11727.32</v>
      </c>
      <c r="K150" s="301">
        <v>0.0</v>
      </c>
    </row>
    <row r="151" ht="15.75" customHeight="1">
      <c r="A151" s="286" t="s">
        <v>312</v>
      </c>
      <c r="B151" s="287">
        <v>71.0</v>
      </c>
      <c r="C151" s="286" t="s">
        <v>89</v>
      </c>
      <c r="D151" s="287" t="s">
        <v>444</v>
      </c>
      <c r="E151" s="286"/>
      <c r="F151" s="286" t="s">
        <v>445</v>
      </c>
      <c r="G151" s="288">
        <v>3464932.49</v>
      </c>
      <c r="H151" s="288">
        <v>0.0</v>
      </c>
      <c r="I151" s="289">
        <v>3464932.49</v>
      </c>
      <c r="J151" s="290"/>
      <c r="K151" s="7"/>
    </row>
    <row r="152" ht="15.75" customHeight="1">
      <c r="A152" s="291" t="s">
        <v>312</v>
      </c>
      <c r="B152" s="292">
        <v>71.0</v>
      </c>
      <c r="C152" s="291" t="s">
        <v>89</v>
      </c>
      <c r="D152" s="292" t="s">
        <v>444</v>
      </c>
      <c r="E152" s="291"/>
      <c r="F152" s="291" t="s">
        <v>446</v>
      </c>
      <c r="G152" s="293">
        <v>1817356.27</v>
      </c>
      <c r="H152" s="293">
        <v>0.0</v>
      </c>
      <c r="I152" s="294">
        <v>1817356.27</v>
      </c>
      <c r="J152" s="295"/>
      <c r="K152" s="7"/>
    </row>
    <row r="153" ht="15.75" customHeight="1">
      <c r="A153" s="286" t="s">
        <v>312</v>
      </c>
      <c r="B153" s="287">
        <v>71.0</v>
      </c>
      <c r="C153" s="286" t="s">
        <v>89</v>
      </c>
      <c r="D153" s="287" t="s">
        <v>444</v>
      </c>
      <c r="E153" s="286"/>
      <c r="F153" s="286" t="s">
        <v>447</v>
      </c>
      <c r="G153" s="288">
        <v>40831.88</v>
      </c>
      <c r="H153" s="288">
        <v>0.0</v>
      </c>
      <c r="I153" s="289">
        <v>40831.88</v>
      </c>
      <c r="J153" s="290"/>
      <c r="K153" s="7"/>
    </row>
    <row r="154" ht="15.75" customHeight="1">
      <c r="A154" s="296" t="s">
        <v>312</v>
      </c>
      <c r="B154" s="296">
        <v>71.0</v>
      </c>
      <c r="C154" s="297" t="s">
        <v>89</v>
      </c>
      <c r="D154" s="296" t="s">
        <v>320</v>
      </c>
      <c r="E154" s="298"/>
      <c r="F154" s="297" t="s">
        <v>321</v>
      </c>
      <c r="G154" s="299">
        <v>5323120.640000001</v>
      </c>
      <c r="H154" s="299">
        <v>0.0</v>
      </c>
      <c r="I154" s="300">
        <v>5323120.640000001</v>
      </c>
      <c r="J154" s="300">
        <v>5323120.64</v>
      </c>
      <c r="K154" s="301">
        <v>9.313225746154785E-10</v>
      </c>
    </row>
    <row r="155" ht="15.75" customHeight="1">
      <c r="A155" s="286" t="s">
        <v>312</v>
      </c>
      <c r="B155" s="287">
        <v>76.0</v>
      </c>
      <c r="C155" s="286" t="s">
        <v>96</v>
      </c>
      <c r="D155" s="287" t="s">
        <v>448</v>
      </c>
      <c r="E155" s="286" t="s">
        <v>449</v>
      </c>
      <c r="F155" s="286" t="s">
        <v>450</v>
      </c>
      <c r="G155" s="288">
        <v>1.21589001E7</v>
      </c>
      <c r="H155" s="288">
        <v>0.0</v>
      </c>
      <c r="I155" s="289">
        <v>1.21589001E7</v>
      </c>
      <c r="J155" s="290"/>
      <c r="K155" s="7"/>
    </row>
    <row r="156" ht="15.75" customHeight="1">
      <c r="A156" s="296" t="s">
        <v>312</v>
      </c>
      <c r="B156" s="296">
        <v>76.0</v>
      </c>
      <c r="C156" s="297" t="s">
        <v>96</v>
      </c>
      <c r="D156" s="296" t="s">
        <v>320</v>
      </c>
      <c r="E156" s="298"/>
      <c r="F156" s="297" t="s">
        <v>321</v>
      </c>
      <c r="G156" s="299">
        <v>1.21589001E7</v>
      </c>
      <c r="H156" s="299">
        <v>0.0</v>
      </c>
      <c r="I156" s="300">
        <v>1.21589001E7</v>
      </c>
      <c r="J156" s="300">
        <v>1.21589001E7</v>
      </c>
      <c r="K156" s="301">
        <v>0.0</v>
      </c>
    </row>
    <row r="157" ht="15.75" customHeight="1">
      <c r="A157" s="286" t="s">
        <v>312</v>
      </c>
      <c r="B157" s="287">
        <v>78.0</v>
      </c>
      <c r="C157" s="286" t="s">
        <v>100</v>
      </c>
      <c r="D157" s="287" t="s">
        <v>451</v>
      </c>
      <c r="E157" s="286" t="s">
        <v>452</v>
      </c>
      <c r="F157" s="286" t="s">
        <v>453</v>
      </c>
      <c r="G157" s="288">
        <v>2593614.0</v>
      </c>
      <c r="H157" s="288">
        <v>0.0</v>
      </c>
      <c r="I157" s="289">
        <v>2593614.0</v>
      </c>
      <c r="J157" s="290"/>
      <c r="K157" s="7"/>
    </row>
    <row r="158" ht="15.75" customHeight="1">
      <c r="A158" s="296" t="s">
        <v>312</v>
      </c>
      <c r="B158" s="296">
        <v>78.0</v>
      </c>
      <c r="C158" s="297" t="s">
        <v>100</v>
      </c>
      <c r="D158" s="296" t="s">
        <v>320</v>
      </c>
      <c r="E158" s="298"/>
      <c r="F158" s="297" t="s">
        <v>321</v>
      </c>
      <c r="G158" s="299">
        <v>2593614.0</v>
      </c>
      <c r="H158" s="299">
        <v>0.0</v>
      </c>
      <c r="I158" s="300">
        <v>2593614.0</v>
      </c>
      <c r="J158" s="300">
        <v>2593614.0</v>
      </c>
      <c r="K158" s="301">
        <v>0.0</v>
      </c>
    </row>
    <row r="159" ht="15.75" customHeight="1">
      <c r="A159" s="286" t="s">
        <v>312</v>
      </c>
      <c r="B159" s="287">
        <v>82.0</v>
      </c>
      <c r="C159" s="286" t="s">
        <v>104</v>
      </c>
      <c r="D159" s="287" t="s">
        <v>451</v>
      </c>
      <c r="E159" s="286"/>
      <c r="F159" s="286" t="s">
        <v>454</v>
      </c>
      <c r="G159" s="288">
        <v>0.0</v>
      </c>
      <c r="H159" s="288">
        <v>1.1E7</v>
      </c>
      <c r="I159" s="289">
        <v>-1.1E7</v>
      </c>
      <c r="J159" s="290"/>
      <c r="K159" s="7"/>
    </row>
    <row r="160" ht="15.75" customHeight="1">
      <c r="A160" s="291" t="s">
        <v>312</v>
      </c>
      <c r="B160" s="292">
        <v>82.0</v>
      </c>
      <c r="C160" s="291" t="s">
        <v>104</v>
      </c>
      <c r="D160" s="292" t="s">
        <v>451</v>
      </c>
      <c r="E160" s="291" t="s">
        <v>455</v>
      </c>
      <c r="F160" s="291" t="s">
        <v>456</v>
      </c>
      <c r="G160" s="293">
        <v>2706509.14</v>
      </c>
      <c r="H160" s="293">
        <v>0.0</v>
      </c>
      <c r="I160" s="294">
        <v>2706509.14</v>
      </c>
      <c r="J160" s="295"/>
      <c r="K160" s="7"/>
    </row>
    <row r="161" ht="15.75" customHeight="1">
      <c r="A161" s="286" t="s">
        <v>312</v>
      </c>
      <c r="B161" s="287">
        <v>82.0</v>
      </c>
      <c r="C161" s="286" t="s">
        <v>104</v>
      </c>
      <c r="D161" s="287" t="s">
        <v>451</v>
      </c>
      <c r="E161" s="286" t="s">
        <v>455</v>
      </c>
      <c r="F161" s="286" t="s">
        <v>457</v>
      </c>
      <c r="G161" s="288">
        <v>8248117.91</v>
      </c>
      <c r="H161" s="288">
        <v>0.0</v>
      </c>
      <c r="I161" s="289">
        <v>8248117.91</v>
      </c>
      <c r="J161" s="290"/>
      <c r="K161" s="7"/>
    </row>
    <row r="162" ht="15.75" customHeight="1">
      <c r="A162" s="291" t="s">
        <v>312</v>
      </c>
      <c r="B162" s="292">
        <v>82.0</v>
      </c>
      <c r="C162" s="291" t="s">
        <v>104</v>
      </c>
      <c r="D162" s="292" t="s">
        <v>451</v>
      </c>
      <c r="E162" s="291"/>
      <c r="F162" s="291" t="s">
        <v>458</v>
      </c>
      <c r="G162" s="293">
        <v>1.13E7</v>
      </c>
      <c r="H162" s="293">
        <v>0.0</v>
      </c>
      <c r="I162" s="294">
        <v>1.13E7</v>
      </c>
      <c r="J162" s="295"/>
      <c r="K162" s="7"/>
    </row>
    <row r="163" ht="15.75" customHeight="1">
      <c r="A163" s="296" t="s">
        <v>312</v>
      </c>
      <c r="B163" s="296">
        <v>82.0</v>
      </c>
      <c r="C163" s="297" t="s">
        <v>104</v>
      </c>
      <c r="D163" s="296" t="s">
        <v>320</v>
      </c>
      <c r="E163" s="298"/>
      <c r="F163" s="297" t="s">
        <v>321</v>
      </c>
      <c r="G163" s="299">
        <v>2.225462705E7</v>
      </c>
      <c r="H163" s="299">
        <v>1.1E7</v>
      </c>
      <c r="I163" s="300">
        <v>1.125462705E7</v>
      </c>
      <c r="J163" s="300">
        <v>1.125462705E7</v>
      </c>
      <c r="K163" s="301">
        <v>0.0</v>
      </c>
    </row>
    <row r="164" ht="15.75" customHeight="1">
      <c r="A164" s="286" t="s">
        <v>312</v>
      </c>
      <c r="B164" s="287">
        <v>83.0</v>
      </c>
      <c r="C164" s="286" t="s">
        <v>107</v>
      </c>
      <c r="D164" s="287" t="s">
        <v>448</v>
      </c>
      <c r="E164" s="286" t="s">
        <v>459</v>
      </c>
      <c r="F164" s="286" t="s">
        <v>460</v>
      </c>
      <c r="G164" s="288">
        <v>5982207.81</v>
      </c>
      <c r="H164" s="288">
        <v>0.0</v>
      </c>
      <c r="I164" s="289">
        <v>5982207.81</v>
      </c>
      <c r="J164" s="290"/>
      <c r="K164" s="7"/>
    </row>
    <row r="165" ht="15.75" customHeight="1">
      <c r="A165" s="291" t="s">
        <v>312</v>
      </c>
      <c r="B165" s="292">
        <v>83.0</v>
      </c>
      <c r="C165" s="291" t="s">
        <v>107</v>
      </c>
      <c r="D165" s="292" t="s">
        <v>448</v>
      </c>
      <c r="E165" s="291" t="s">
        <v>459</v>
      </c>
      <c r="F165" s="291" t="s">
        <v>460</v>
      </c>
      <c r="G165" s="293">
        <v>300000.0</v>
      </c>
      <c r="H165" s="293">
        <v>0.0</v>
      </c>
      <c r="I165" s="294">
        <v>300000.0</v>
      </c>
      <c r="J165" s="295"/>
      <c r="K165" s="7"/>
    </row>
    <row r="166" ht="15.75" customHeight="1">
      <c r="A166" s="286" t="s">
        <v>312</v>
      </c>
      <c r="B166" s="287">
        <v>83.0</v>
      </c>
      <c r="C166" s="286" t="s">
        <v>107</v>
      </c>
      <c r="D166" s="287" t="s">
        <v>448</v>
      </c>
      <c r="E166" s="286" t="s">
        <v>459</v>
      </c>
      <c r="F166" s="286" t="s">
        <v>460</v>
      </c>
      <c r="G166" s="288">
        <v>0.21</v>
      </c>
      <c r="H166" s="288">
        <v>0.0</v>
      </c>
      <c r="I166" s="289">
        <v>0.21</v>
      </c>
      <c r="J166" s="290"/>
      <c r="K166" s="7"/>
    </row>
    <row r="167" ht="15.75" customHeight="1">
      <c r="A167" s="296" t="s">
        <v>312</v>
      </c>
      <c r="B167" s="296">
        <v>83.0</v>
      </c>
      <c r="C167" s="297" t="s">
        <v>107</v>
      </c>
      <c r="D167" s="296" t="s">
        <v>320</v>
      </c>
      <c r="E167" s="298"/>
      <c r="F167" s="297" t="s">
        <v>321</v>
      </c>
      <c r="G167" s="299">
        <v>6282208.02</v>
      </c>
      <c r="H167" s="299">
        <v>0.0</v>
      </c>
      <c r="I167" s="300">
        <v>6282208.02</v>
      </c>
      <c r="J167" s="300">
        <v>6282208.02</v>
      </c>
      <c r="K167" s="301">
        <v>0.0</v>
      </c>
    </row>
    <row r="168" ht="15.75" customHeight="1">
      <c r="A168" s="286" t="s">
        <v>312</v>
      </c>
      <c r="B168" s="287">
        <v>84.0</v>
      </c>
      <c r="C168" s="286" t="s">
        <v>110</v>
      </c>
      <c r="D168" s="287" t="s">
        <v>425</v>
      </c>
      <c r="E168" s="286"/>
      <c r="F168" s="286" t="s">
        <v>461</v>
      </c>
      <c r="G168" s="288">
        <v>0.0</v>
      </c>
      <c r="H168" s="288">
        <v>6699237.0</v>
      </c>
      <c r="I168" s="289">
        <v>-6699237.0</v>
      </c>
      <c r="J168" s="290"/>
      <c r="K168" s="7"/>
    </row>
    <row r="169" ht="15.75" customHeight="1">
      <c r="A169" s="291" t="s">
        <v>312</v>
      </c>
      <c r="B169" s="292">
        <v>84.0</v>
      </c>
      <c r="C169" s="291" t="s">
        <v>110</v>
      </c>
      <c r="D169" s="292" t="s">
        <v>425</v>
      </c>
      <c r="E169" s="291" t="s">
        <v>462</v>
      </c>
      <c r="F169" s="291" t="s">
        <v>463</v>
      </c>
      <c r="G169" s="293">
        <v>90785.0</v>
      </c>
      <c r="H169" s="293">
        <v>0.0</v>
      </c>
      <c r="I169" s="294">
        <v>90785.0</v>
      </c>
      <c r="J169" s="295"/>
      <c r="K169" s="7"/>
    </row>
    <row r="170" ht="15.75" customHeight="1">
      <c r="A170" s="286" t="s">
        <v>312</v>
      </c>
      <c r="B170" s="287">
        <v>84.0</v>
      </c>
      <c r="C170" s="286" t="s">
        <v>110</v>
      </c>
      <c r="D170" s="287" t="s">
        <v>425</v>
      </c>
      <c r="E170" s="286" t="s">
        <v>464</v>
      </c>
      <c r="F170" s="286" t="s">
        <v>463</v>
      </c>
      <c r="G170" s="288">
        <v>3197743.8</v>
      </c>
      <c r="H170" s="288">
        <v>0.0</v>
      </c>
      <c r="I170" s="289">
        <v>3197743.8</v>
      </c>
      <c r="J170" s="290"/>
      <c r="K170" s="7"/>
    </row>
    <row r="171" ht="15.75" customHeight="1">
      <c r="A171" s="291" t="s">
        <v>312</v>
      </c>
      <c r="B171" s="292">
        <v>84.0</v>
      </c>
      <c r="C171" s="291" t="s">
        <v>110</v>
      </c>
      <c r="D171" s="292" t="s">
        <v>425</v>
      </c>
      <c r="E171" s="291" t="s">
        <v>465</v>
      </c>
      <c r="F171" s="291" t="s">
        <v>463</v>
      </c>
      <c r="G171" s="293">
        <v>151393.0</v>
      </c>
      <c r="H171" s="293">
        <v>0.0</v>
      </c>
      <c r="I171" s="294">
        <v>151393.0</v>
      </c>
      <c r="J171" s="295"/>
      <c r="K171" s="7"/>
    </row>
    <row r="172" ht="15.75" customHeight="1">
      <c r="A172" s="286" t="s">
        <v>312</v>
      </c>
      <c r="B172" s="287">
        <v>84.0</v>
      </c>
      <c r="C172" s="286" t="s">
        <v>110</v>
      </c>
      <c r="D172" s="287" t="s">
        <v>425</v>
      </c>
      <c r="E172" s="286" t="s">
        <v>466</v>
      </c>
      <c r="F172" s="286" t="s">
        <v>463</v>
      </c>
      <c r="G172" s="288">
        <v>6915.0</v>
      </c>
      <c r="H172" s="288">
        <v>0.0</v>
      </c>
      <c r="I172" s="289">
        <v>6915.0</v>
      </c>
      <c r="J172" s="290"/>
      <c r="K172" s="7"/>
    </row>
    <row r="173" ht="15.75" customHeight="1">
      <c r="A173" s="291" t="s">
        <v>312</v>
      </c>
      <c r="B173" s="292">
        <v>84.0</v>
      </c>
      <c r="C173" s="291" t="s">
        <v>110</v>
      </c>
      <c r="D173" s="292" t="s">
        <v>425</v>
      </c>
      <c r="E173" s="291" t="s">
        <v>467</v>
      </c>
      <c r="F173" s="291" t="s">
        <v>463</v>
      </c>
      <c r="G173" s="293">
        <v>134420.0</v>
      </c>
      <c r="H173" s="293">
        <v>0.0</v>
      </c>
      <c r="I173" s="294">
        <v>134420.0</v>
      </c>
      <c r="J173" s="295"/>
      <c r="K173" s="7"/>
    </row>
    <row r="174" ht="15.75" customHeight="1">
      <c r="A174" s="286" t="s">
        <v>312</v>
      </c>
      <c r="B174" s="287">
        <v>84.0</v>
      </c>
      <c r="C174" s="286" t="s">
        <v>110</v>
      </c>
      <c r="D174" s="287" t="s">
        <v>425</v>
      </c>
      <c r="E174" s="286" t="s">
        <v>468</v>
      </c>
      <c r="F174" s="286" t="s">
        <v>463</v>
      </c>
      <c r="G174" s="288">
        <v>16153.0</v>
      </c>
      <c r="H174" s="288">
        <v>0.0</v>
      </c>
      <c r="I174" s="289">
        <v>16153.0</v>
      </c>
      <c r="J174" s="290"/>
      <c r="K174" s="7"/>
    </row>
    <row r="175" ht="15.75" customHeight="1">
      <c r="A175" s="291" t="s">
        <v>312</v>
      </c>
      <c r="B175" s="292">
        <v>84.0</v>
      </c>
      <c r="C175" s="291" t="s">
        <v>110</v>
      </c>
      <c r="D175" s="292" t="s">
        <v>425</v>
      </c>
      <c r="E175" s="291" t="s">
        <v>469</v>
      </c>
      <c r="F175" s="291" t="s">
        <v>463</v>
      </c>
      <c r="G175" s="293">
        <v>1450765.0</v>
      </c>
      <c r="H175" s="293">
        <v>0.0</v>
      </c>
      <c r="I175" s="294">
        <v>1450765.0</v>
      </c>
      <c r="J175" s="295"/>
      <c r="K175" s="7"/>
    </row>
    <row r="176" ht="15.75" customHeight="1">
      <c r="A176" s="286" t="s">
        <v>312</v>
      </c>
      <c r="B176" s="287">
        <v>84.0</v>
      </c>
      <c r="C176" s="286" t="s">
        <v>110</v>
      </c>
      <c r="D176" s="287" t="s">
        <v>425</v>
      </c>
      <c r="E176" s="286" t="s">
        <v>470</v>
      </c>
      <c r="F176" s="286" t="s">
        <v>463</v>
      </c>
      <c r="G176" s="288">
        <v>27671.0</v>
      </c>
      <c r="H176" s="288">
        <v>0.0</v>
      </c>
      <c r="I176" s="289">
        <v>27671.0</v>
      </c>
      <c r="J176" s="290"/>
      <c r="K176" s="7"/>
    </row>
    <row r="177" ht="15.75" customHeight="1">
      <c r="A177" s="291" t="s">
        <v>312</v>
      </c>
      <c r="B177" s="292">
        <v>84.0</v>
      </c>
      <c r="C177" s="291" t="s">
        <v>110</v>
      </c>
      <c r="D177" s="292" t="s">
        <v>425</v>
      </c>
      <c r="E177" s="291"/>
      <c r="F177" s="291" t="s">
        <v>471</v>
      </c>
      <c r="G177" s="293">
        <v>6235763.0</v>
      </c>
      <c r="H177" s="293">
        <v>0.0</v>
      </c>
      <c r="I177" s="294">
        <v>6235763.0</v>
      </c>
      <c r="J177" s="295"/>
      <c r="K177" s="7"/>
    </row>
    <row r="178" ht="15.75" customHeight="1">
      <c r="A178" s="296" t="s">
        <v>312</v>
      </c>
      <c r="B178" s="296">
        <v>84.0</v>
      </c>
      <c r="C178" s="297" t="s">
        <v>110</v>
      </c>
      <c r="D178" s="296" t="s">
        <v>320</v>
      </c>
      <c r="E178" s="298"/>
      <c r="F178" s="297" t="s">
        <v>321</v>
      </c>
      <c r="G178" s="299">
        <v>1.13116088E7</v>
      </c>
      <c r="H178" s="299">
        <v>6699237.0</v>
      </c>
      <c r="I178" s="300">
        <v>4612371.8</v>
      </c>
      <c r="J178" s="300">
        <v>4671375.8</v>
      </c>
      <c r="K178" s="302">
        <v>-59004.0</v>
      </c>
    </row>
    <row r="179" ht="15.75" customHeight="1">
      <c r="A179" s="286" t="s">
        <v>312</v>
      </c>
      <c r="B179" s="287">
        <v>85.0</v>
      </c>
      <c r="C179" s="286" t="s">
        <v>113</v>
      </c>
      <c r="D179" s="287" t="s">
        <v>472</v>
      </c>
      <c r="E179" s="286"/>
      <c r="F179" s="286" t="s">
        <v>473</v>
      </c>
      <c r="G179" s="288">
        <v>0.0</v>
      </c>
      <c r="H179" s="288">
        <v>7000000.0</v>
      </c>
      <c r="I179" s="289">
        <v>-7000000.0</v>
      </c>
      <c r="J179" s="290"/>
      <c r="K179" s="7"/>
    </row>
    <row r="180" ht="15.75" customHeight="1">
      <c r="A180" s="291" t="s">
        <v>312</v>
      </c>
      <c r="B180" s="292">
        <v>85.0</v>
      </c>
      <c r="C180" s="291" t="s">
        <v>113</v>
      </c>
      <c r="D180" s="292" t="s">
        <v>472</v>
      </c>
      <c r="E180" s="291" t="s">
        <v>474</v>
      </c>
      <c r="F180" s="291" t="s">
        <v>475</v>
      </c>
      <c r="G180" s="293">
        <v>6.293490948E7</v>
      </c>
      <c r="H180" s="293">
        <v>0.0</v>
      </c>
      <c r="I180" s="294">
        <v>6.293490948E7</v>
      </c>
      <c r="J180" s="295"/>
      <c r="K180" s="7"/>
    </row>
    <row r="181" ht="15.75" customHeight="1">
      <c r="A181" s="286" t="s">
        <v>312</v>
      </c>
      <c r="B181" s="287">
        <v>85.0</v>
      </c>
      <c r="C181" s="286" t="s">
        <v>113</v>
      </c>
      <c r="D181" s="287" t="s">
        <v>472</v>
      </c>
      <c r="E181" s="286" t="s">
        <v>474</v>
      </c>
      <c r="F181" s="286" t="s">
        <v>476</v>
      </c>
      <c r="G181" s="288">
        <v>0.0</v>
      </c>
      <c r="H181" s="288">
        <v>6.293490948E7</v>
      </c>
      <c r="I181" s="289">
        <v>-6.293490948E7</v>
      </c>
      <c r="J181" s="290"/>
      <c r="K181" s="7"/>
    </row>
    <row r="182" ht="15.75" customHeight="1">
      <c r="A182" s="291" t="s">
        <v>312</v>
      </c>
      <c r="B182" s="292">
        <v>85.0</v>
      </c>
      <c r="C182" s="291" t="s">
        <v>113</v>
      </c>
      <c r="D182" s="292" t="s">
        <v>472</v>
      </c>
      <c r="E182" s="291" t="s">
        <v>474</v>
      </c>
      <c r="F182" s="291" t="s">
        <v>477</v>
      </c>
      <c r="G182" s="293">
        <v>6293485.2</v>
      </c>
      <c r="H182" s="293">
        <v>0.0</v>
      </c>
      <c r="I182" s="294">
        <v>6293485.2</v>
      </c>
      <c r="J182" s="295"/>
      <c r="K182" s="7"/>
    </row>
    <row r="183" ht="15.75" customHeight="1">
      <c r="A183" s="286" t="s">
        <v>312</v>
      </c>
      <c r="B183" s="287">
        <v>85.0</v>
      </c>
      <c r="C183" s="286" t="s">
        <v>113</v>
      </c>
      <c r="D183" s="287" t="s">
        <v>472</v>
      </c>
      <c r="E183" s="286"/>
      <c r="F183" s="286" t="s">
        <v>478</v>
      </c>
      <c r="G183" s="288">
        <v>7000000.0</v>
      </c>
      <c r="H183" s="288">
        <v>0.0</v>
      </c>
      <c r="I183" s="289">
        <v>7000000.0</v>
      </c>
      <c r="J183" s="290"/>
      <c r="K183" s="7"/>
    </row>
    <row r="184" ht="15.75" customHeight="1">
      <c r="A184" s="296" t="s">
        <v>312</v>
      </c>
      <c r="B184" s="296">
        <v>85.0</v>
      </c>
      <c r="C184" s="297" t="s">
        <v>113</v>
      </c>
      <c r="D184" s="296" t="s">
        <v>320</v>
      </c>
      <c r="E184" s="298"/>
      <c r="F184" s="297" t="s">
        <v>321</v>
      </c>
      <c r="G184" s="299">
        <v>7.622839467999999E7</v>
      </c>
      <c r="H184" s="299">
        <v>6.993490947999999E7</v>
      </c>
      <c r="I184" s="300">
        <v>6293485.2</v>
      </c>
      <c r="J184" s="300">
        <v>6293485.2</v>
      </c>
      <c r="K184" s="301">
        <v>0.0</v>
      </c>
    </row>
    <row r="185" ht="15.75" customHeight="1">
      <c r="A185" s="286" t="s">
        <v>312</v>
      </c>
      <c r="B185" s="287">
        <v>86.0</v>
      </c>
      <c r="C185" s="286" t="s">
        <v>116</v>
      </c>
      <c r="D185" s="287" t="s">
        <v>479</v>
      </c>
      <c r="E185" s="286"/>
      <c r="F185" s="286" t="s">
        <v>480</v>
      </c>
      <c r="G185" s="288">
        <v>0.0</v>
      </c>
      <c r="H185" s="288">
        <v>400000.0</v>
      </c>
      <c r="I185" s="289">
        <v>-400000.0</v>
      </c>
      <c r="J185" s="290"/>
      <c r="K185" s="7"/>
    </row>
    <row r="186" ht="15.75" customHeight="1">
      <c r="A186" s="291" t="s">
        <v>312</v>
      </c>
      <c r="B186" s="292">
        <v>86.0</v>
      </c>
      <c r="C186" s="291" t="s">
        <v>116</v>
      </c>
      <c r="D186" s="292" t="s">
        <v>479</v>
      </c>
      <c r="E186" s="291"/>
      <c r="F186" s="291" t="s">
        <v>481</v>
      </c>
      <c r="G186" s="293">
        <v>400000.0</v>
      </c>
      <c r="H186" s="293">
        <v>0.0</v>
      </c>
      <c r="I186" s="294">
        <v>400000.0</v>
      </c>
      <c r="J186" s="295"/>
      <c r="K186" s="7"/>
    </row>
    <row r="187" ht="15.75" customHeight="1">
      <c r="A187" s="296" t="s">
        <v>312</v>
      </c>
      <c r="B187" s="296">
        <v>86.0</v>
      </c>
      <c r="C187" s="297" t="s">
        <v>116</v>
      </c>
      <c r="D187" s="296" t="s">
        <v>320</v>
      </c>
      <c r="E187" s="298"/>
      <c r="F187" s="297" t="s">
        <v>321</v>
      </c>
      <c r="G187" s="299">
        <v>400000.0</v>
      </c>
      <c r="H187" s="299">
        <v>400000.0</v>
      </c>
      <c r="I187" s="300">
        <v>0.0</v>
      </c>
      <c r="J187" s="300">
        <v>0.0</v>
      </c>
      <c r="K187" s="301">
        <v>0.0</v>
      </c>
    </row>
    <row r="188" ht="15.75" customHeight="1">
      <c r="A188" s="286" t="s">
        <v>312</v>
      </c>
      <c r="B188" s="287">
        <v>88.0</v>
      </c>
      <c r="C188" s="286" t="s">
        <v>119</v>
      </c>
      <c r="D188" s="287" t="s">
        <v>422</v>
      </c>
      <c r="E188" s="286"/>
      <c r="F188" s="286" t="s">
        <v>482</v>
      </c>
      <c r="G188" s="288">
        <v>0.0</v>
      </c>
      <c r="H188" s="288">
        <v>1.01365299E8</v>
      </c>
      <c r="I188" s="289">
        <v>-1.01365299E8</v>
      </c>
      <c r="J188" s="290"/>
      <c r="K188" s="7"/>
    </row>
    <row r="189" ht="15.75" customHeight="1">
      <c r="A189" s="291" t="s">
        <v>312</v>
      </c>
      <c r="B189" s="292">
        <v>88.0</v>
      </c>
      <c r="C189" s="291" t="s">
        <v>119</v>
      </c>
      <c r="D189" s="292" t="s">
        <v>422</v>
      </c>
      <c r="E189" s="291" t="s">
        <v>483</v>
      </c>
      <c r="F189" s="291" t="s">
        <v>484</v>
      </c>
      <c r="G189" s="293">
        <v>6.708098786E7</v>
      </c>
      <c r="H189" s="293">
        <v>0.0</v>
      </c>
      <c r="I189" s="294">
        <v>6.708098786E7</v>
      </c>
      <c r="J189" s="295"/>
      <c r="K189" s="7"/>
    </row>
    <row r="190" ht="15.75" customHeight="1">
      <c r="A190" s="286" t="s">
        <v>312</v>
      </c>
      <c r="B190" s="287">
        <v>88.0</v>
      </c>
      <c r="C190" s="286" t="s">
        <v>119</v>
      </c>
      <c r="D190" s="287" t="s">
        <v>422</v>
      </c>
      <c r="E190" s="286" t="s">
        <v>483</v>
      </c>
      <c r="F190" s="286" t="s">
        <v>485</v>
      </c>
      <c r="G190" s="288">
        <v>4543708.75</v>
      </c>
      <c r="H190" s="288">
        <v>0.0</v>
      </c>
      <c r="I190" s="289">
        <v>4543708.75</v>
      </c>
      <c r="J190" s="290"/>
      <c r="K190" s="7"/>
    </row>
    <row r="191" ht="15.75" customHeight="1">
      <c r="A191" s="291" t="s">
        <v>312</v>
      </c>
      <c r="B191" s="292">
        <v>88.0</v>
      </c>
      <c r="C191" s="291" t="s">
        <v>119</v>
      </c>
      <c r="D191" s="292" t="s">
        <v>422</v>
      </c>
      <c r="E191" s="291" t="s">
        <v>483</v>
      </c>
      <c r="F191" s="291" t="s">
        <v>486</v>
      </c>
      <c r="G191" s="293">
        <v>2.974060216E7</v>
      </c>
      <c r="H191" s="293">
        <v>0.0</v>
      </c>
      <c r="I191" s="294">
        <v>2.974060216E7</v>
      </c>
      <c r="J191" s="295"/>
      <c r="K191" s="7"/>
    </row>
    <row r="192" ht="15.75" customHeight="1">
      <c r="A192" s="286" t="s">
        <v>312</v>
      </c>
      <c r="B192" s="287">
        <v>88.0</v>
      </c>
      <c r="C192" s="286" t="s">
        <v>119</v>
      </c>
      <c r="D192" s="287" t="s">
        <v>422</v>
      </c>
      <c r="E192" s="286" t="s">
        <v>487</v>
      </c>
      <c r="F192" s="286" t="s">
        <v>488</v>
      </c>
      <c r="G192" s="288">
        <v>8500.0</v>
      </c>
      <c r="H192" s="288">
        <v>0.0</v>
      </c>
      <c r="I192" s="289">
        <v>8500.0</v>
      </c>
      <c r="J192" s="290"/>
      <c r="K192" s="7"/>
    </row>
    <row r="193" ht="15.75" customHeight="1">
      <c r="A193" s="291" t="s">
        <v>312</v>
      </c>
      <c r="B193" s="292">
        <v>88.0</v>
      </c>
      <c r="C193" s="291" t="s">
        <v>119</v>
      </c>
      <c r="D193" s="292" t="s">
        <v>422</v>
      </c>
      <c r="E193" s="291"/>
      <c r="F193" s="291" t="s">
        <v>489</v>
      </c>
      <c r="G193" s="293">
        <v>1.05936178E8</v>
      </c>
      <c r="H193" s="293">
        <v>0.0</v>
      </c>
      <c r="I193" s="294">
        <v>1.05936178E8</v>
      </c>
      <c r="J193" s="295"/>
      <c r="K193" s="7"/>
    </row>
    <row r="194" ht="15.75" customHeight="1">
      <c r="A194" s="296" t="s">
        <v>312</v>
      </c>
      <c r="B194" s="296">
        <v>88.0</v>
      </c>
      <c r="C194" s="297" t="s">
        <v>119</v>
      </c>
      <c r="D194" s="296" t="s">
        <v>320</v>
      </c>
      <c r="E194" s="298"/>
      <c r="F194" s="297" t="s">
        <v>321</v>
      </c>
      <c r="G194" s="299">
        <v>2.0730997677E8</v>
      </c>
      <c r="H194" s="299">
        <v>1.01365299E8</v>
      </c>
      <c r="I194" s="300">
        <v>1.0594467777E8</v>
      </c>
      <c r="J194" s="300">
        <v>1.0593617777E8</v>
      </c>
      <c r="K194" s="302">
        <v>8500.0</v>
      </c>
    </row>
    <row r="195" ht="15.75" customHeight="1">
      <c r="A195" s="286" t="s">
        <v>312</v>
      </c>
      <c r="B195" s="287">
        <v>89.0</v>
      </c>
      <c r="C195" s="286" t="s">
        <v>121</v>
      </c>
      <c r="D195" s="287" t="s">
        <v>422</v>
      </c>
      <c r="E195" s="286"/>
      <c r="F195" s="286" t="s">
        <v>490</v>
      </c>
      <c r="G195" s="288">
        <v>171376.0</v>
      </c>
      <c r="H195" s="288">
        <v>0.0</v>
      </c>
      <c r="I195" s="289">
        <v>171376.0</v>
      </c>
      <c r="J195" s="290"/>
      <c r="K195" s="7"/>
    </row>
    <row r="196" ht="15.75" customHeight="1">
      <c r="A196" s="291" t="s">
        <v>312</v>
      </c>
      <c r="B196" s="292">
        <v>89.0</v>
      </c>
      <c r="C196" s="291" t="s">
        <v>121</v>
      </c>
      <c r="D196" s="292" t="s">
        <v>422</v>
      </c>
      <c r="E196" s="291"/>
      <c r="F196" s="291" t="s">
        <v>491</v>
      </c>
      <c r="G196" s="293">
        <v>1178845.0</v>
      </c>
      <c r="H196" s="293">
        <v>0.0</v>
      </c>
      <c r="I196" s="294">
        <v>1178845.0</v>
      </c>
      <c r="J196" s="295"/>
      <c r="K196" s="7"/>
    </row>
    <row r="197" ht="15.75" customHeight="1">
      <c r="A197" s="286" t="s">
        <v>312</v>
      </c>
      <c r="B197" s="287">
        <v>89.0</v>
      </c>
      <c r="C197" s="286" t="s">
        <v>121</v>
      </c>
      <c r="D197" s="287" t="s">
        <v>422</v>
      </c>
      <c r="E197" s="286"/>
      <c r="F197" s="286" t="s">
        <v>492</v>
      </c>
      <c r="G197" s="288">
        <v>1812431.0</v>
      </c>
      <c r="H197" s="288">
        <v>0.0</v>
      </c>
      <c r="I197" s="289">
        <v>1812431.0</v>
      </c>
      <c r="J197" s="290"/>
      <c r="K197" s="7"/>
    </row>
    <row r="198" ht="15.75" customHeight="1">
      <c r="A198" s="291" t="s">
        <v>312</v>
      </c>
      <c r="B198" s="292">
        <v>89.0</v>
      </c>
      <c r="C198" s="291" t="s">
        <v>121</v>
      </c>
      <c r="D198" s="292" t="s">
        <v>422</v>
      </c>
      <c r="E198" s="291"/>
      <c r="F198" s="291" t="s">
        <v>493</v>
      </c>
      <c r="G198" s="293">
        <v>994850.0</v>
      </c>
      <c r="H198" s="293">
        <v>0.0</v>
      </c>
      <c r="I198" s="294">
        <v>994850.0</v>
      </c>
      <c r="J198" s="295"/>
      <c r="K198" s="7"/>
    </row>
    <row r="199" ht="15.75" customHeight="1">
      <c r="A199" s="286" t="s">
        <v>312</v>
      </c>
      <c r="B199" s="287">
        <v>89.0</v>
      </c>
      <c r="C199" s="286" t="s">
        <v>121</v>
      </c>
      <c r="D199" s="287" t="s">
        <v>422</v>
      </c>
      <c r="E199" s="286"/>
      <c r="F199" s="286" t="s">
        <v>494</v>
      </c>
      <c r="G199" s="288">
        <v>352871.0</v>
      </c>
      <c r="H199" s="288">
        <v>0.0</v>
      </c>
      <c r="I199" s="289">
        <v>352871.0</v>
      </c>
      <c r="J199" s="290"/>
      <c r="K199" s="7"/>
    </row>
    <row r="200" ht="15.75" customHeight="1">
      <c r="A200" s="291" t="s">
        <v>312</v>
      </c>
      <c r="B200" s="292">
        <v>89.0</v>
      </c>
      <c r="C200" s="291" t="s">
        <v>121</v>
      </c>
      <c r="D200" s="292" t="s">
        <v>422</v>
      </c>
      <c r="E200" s="291"/>
      <c r="F200" s="291" t="s">
        <v>495</v>
      </c>
      <c r="G200" s="293">
        <v>170243.0</v>
      </c>
      <c r="H200" s="293">
        <v>0.0</v>
      </c>
      <c r="I200" s="294">
        <v>170243.0</v>
      </c>
      <c r="J200" s="295"/>
      <c r="K200" s="7"/>
    </row>
    <row r="201" ht="15.75" customHeight="1">
      <c r="A201" s="286" t="s">
        <v>312</v>
      </c>
      <c r="B201" s="287">
        <v>89.0</v>
      </c>
      <c r="C201" s="286" t="s">
        <v>121</v>
      </c>
      <c r="D201" s="287" t="s">
        <v>422</v>
      </c>
      <c r="E201" s="286"/>
      <c r="F201" s="286" t="s">
        <v>496</v>
      </c>
      <c r="G201" s="288">
        <v>844391.0</v>
      </c>
      <c r="H201" s="288">
        <v>0.0</v>
      </c>
      <c r="I201" s="289">
        <v>844391.0</v>
      </c>
      <c r="J201" s="290"/>
      <c r="K201" s="7"/>
    </row>
    <row r="202" ht="15.75" customHeight="1">
      <c r="A202" s="291" t="s">
        <v>312</v>
      </c>
      <c r="B202" s="292">
        <v>89.0</v>
      </c>
      <c r="C202" s="291" t="s">
        <v>121</v>
      </c>
      <c r="D202" s="292" t="s">
        <v>422</v>
      </c>
      <c r="E202" s="291"/>
      <c r="F202" s="291" t="s">
        <v>497</v>
      </c>
      <c r="G202" s="293">
        <v>247538.0</v>
      </c>
      <c r="H202" s="293">
        <v>0.0</v>
      </c>
      <c r="I202" s="294">
        <v>247538.0</v>
      </c>
      <c r="J202" s="295"/>
      <c r="K202" s="7"/>
    </row>
    <row r="203" ht="15.75" customHeight="1">
      <c r="A203" s="286" t="s">
        <v>312</v>
      </c>
      <c r="B203" s="287">
        <v>89.0</v>
      </c>
      <c r="C203" s="286" t="s">
        <v>121</v>
      </c>
      <c r="D203" s="287" t="s">
        <v>422</v>
      </c>
      <c r="E203" s="286"/>
      <c r="F203" s="286" t="s">
        <v>498</v>
      </c>
      <c r="G203" s="288">
        <v>538986.0</v>
      </c>
      <c r="H203" s="288">
        <v>0.0</v>
      </c>
      <c r="I203" s="289">
        <v>538986.0</v>
      </c>
      <c r="J203" s="290"/>
      <c r="K203" s="7"/>
    </row>
    <row r="204" ht="15.75" customHeight="1">
      <c r="A204" s="291" t="s">
        <v>312</v>
      </c>
      <c r="B204" s="292">
        <v>89.0</v>
      </c>
      <c r="C204" s="291" t="s">
        <v>121</v>
      </c>
      <c r="D204" s="292" t="s">
        <v>422</v>
      </c>
      <c r="E204" s="291"/>
      <c r="F204" s="291" t="s">
        <v>499</v>
      </c>
      <c r="G204" s="293">
        <v>1339004.0</v>
      </c>
      <c r="H204" s="293">
        <v>0.0</v>
      </c>
      <c r="I204" s="294">
        <v>1339004.0</v>
      </c>
      <c r="J204" s="295"/>
      <c r="K204" s="7"/>
    </row>
    <row r="205" ht="15.75" customHeight="1">
      <c r="A205" s="286" t="s">
        <v>312</v>
      </c>
      <c r="B205" s="287">
        <v>89.0</v>
      </c>
      <c r="C205" s="286" t="s">
        <v>121</v>
      </c>
      <c r="D205" s="287" t="s">
        <v>422</v>
      </c>
      <c r="E205" s="286"/>
      <c r="F205" s="286" t="s">
        <v>500</v>
      </c>
      <c r="G205" s="288">
        <v>1339333.0</v>
      </c>
      <c r="H205" s="288">
        <v>0.0</v>
      </c>
      <c r="I205" s="289">
        <v>1339333.0</v>
      </c>
      <c r="J205" s="290"/>
      <c r="K205" s="7"/>
    </row>
    <row r="206" ht="15.75" customHeight="1">
      <c r="A206" s="291" t="s">
        <v>312</v>
      </c>
      <c r="B206" s="292">
        <v>89.0</v>
      </c>
      <c r="C206" s="291" t="s">
        <v>121</v>
      </c>
      <c r="D206" s="292" t="s">
        <v>422</v>
      </c>
      <c r="E206" s="291"/>
      <c r="F206" s="291" t="s">
        <v>501</v>
      </c>
      <c r="G206" s="293">
        <v>4229602.0</v>
      </c>
      <c r="H206" s="293">
        <v>0.0</v>
      </c>
      <c r="I206" s="294">
        <v>4229602.0</v>
      </c>
      <c r="J206" s="295"/>
      <c r="K206" s="7"/>
    </row>
    <row r="207" ht="15.75" customHeight="1">
      <c r="A207" s="286" t="s">
        <v>312</v>
      </c>
      <c r="B207" s="287">
        <v>89.0</v>
      </c>
      <c r="C207" s="286" t="s">
        <v>121</v>
      </c>
      <c r="D207" s="287" t="s">
        <v>422</v>
      </c>
      <c r="E207" s="286"/>
      <c r="F207" s="286" t="s">
        <v>502</v>
      </c>
      <c r="G207" s="288">
        <v>610756.0</v>
      </c>
      <c r="H207" s="288">
        <v>0.0</v>
      </c>
      <c r="I207" s="289">
        <v>610756.0</v>
      </c>
      <c r="J207" s="290"/>
      <c r="K207" s="7"/>
    </row>
    <row r="208" ht="15.75" customHeight="1">
      <c r="A208" s="296" t="s">
        <v>312</v>
      </c>
      <c r="B208" s="296">
        <v>89.0</v>
      </c>
      <c r="C208" s="297" t="s">
        <v>121</v>
      </c>
      <c r="D208" s="296" t="s">
        <v>320</v>
      </c>
      <c r="E208" s="298"/>
      <c r="F208" s="297" t="s">
        <v>321</v>
      </c>
      <c r="G208" s="299">
        <v>1.3830226E7</v>
      </c>
      <c r="H208" s="299">
        <v>0.0</v>
      </c>
      <c r="I208" s="300">
        <v>1.3830226E7</v>
      </c>
      <c r="J208" s="300">
        <v>1.3830226E7</v>
      </c>
      <c r="K208" s="301">
        <v>0.0</v>
      </c>
    </row>
    <row r="209" ht="15.75" customHeight="1">
      <c r="A209" s="286" t="s">
        <v>312</v>
      </c>
      <c r="B209" s="287">
        <v>95.0</v>
      </c>
      <c r="C209" s="286" t="s">
        <v>129</v>
      </c>
      <c r="D209" s="287" t="s">
        <v>503</v>
      </c>
      <c r="E209" s="286" t="s">
        <v>504</v>
      </c>
      <c r="F209" s="286" t="s">
        <v>505</v>
      </c>
      <c r="G209" s="288">
        <v>6048000.0</v>
      </c>
      <c r="H209" s="288">
        <v>0.0</v>
      </c>
      <c r="I209" s="289">
        <v>6048000.0</v>
      </c>
      <c r="J209" s="290"/>
      <c r="K209" s="7"/>
    </row>
    <row r="210" ht="15.75" customHeight="1">
      <c r="A210" s="296" t="s">
        <v>312</v>
      </c>
      <c r="B210" s="296">
        <v>95.0</v>
      </c>
      <c r="C210" s="297" t="s">
        <v>129</v>
      </c>
      <c r="D210" s="296" t="s">
        <v>320</v>
      </c>
      <c r="E210" s="298"/>
      <c r="F210" s="297" t="s">
        <v>321</v>
      </c>
      <c r="G210" s="299">
        <v>6048000.0</v>
      </c>
      <c r="H210" s="299">
        <v>0.0</v>
      </c>
      <c r="I210" s="300">
        <v>6048000.0</v>
      </c>
      <c r="J210" s="300">
        <v>6048000.0</v>
      </c>
      <c r="K210" s="301">
        <v>0.0</v>
      </c>
    </row>
    <row r="211" ht="15.75" customHeight="1">
      <c r="A211" s="286" t="s">
        <v>312</v>
      </c>
      <c r="B211" s="287">
        <v>96.0</v>
      </c>
      <c r="C211" s="286" t="s">
        <v>132</v>
      </c>
      <c r="D211" s="287" t="s">
        <v>503</v>
      </c>
      <c r="E211" s="286"/>
      <c r="F211" s="286" t="s">
        <v>506</v>
      </c>
      <c r="G211" s="288">
        <v>0.0</v>
      </c>
      <c r="H211" s="288">
        <v>1355341.0</v>
      </c>
      <c r="I211" s="289">
        <v>-1355341.0</v>
      </c>
      <c r="J211" s="290"/>
      <c r="K211" s="7"/>
    </row>
    <row r="212" ht="15.75" customHeight="1">
      <c r="A212" s="291" t="s">
        <v>312</v>
      </c>
      <c r="B212" s="292">
        <v>96.0</v>
      </c>
      <c r="C212" s="291" t="s">
        <v>132</v>
      </c>
      <c r="D212" s="292" t="s">
        <v>503</v>
      </c>
      <c r="E212" s="291" t="s">
        <v>507</v>
      </c>
      <c r="F212" s="291" t="s">
        <v>508</v>
      </c>
      <c r="G212" s="293">
        <v>1355341.0</v>
      </c>
      <c r="H212" s="293">
        <v>0.0</v>
      </c>
      <c r="I212" s="294">
        <v>1355341.0</v>
      </c>
      <c r="J212" s="295"/>
      <c r="K212" s="7"/>
    </row>
    <row r="213" ht="15.75" customHeight="1">
      <c r="A213" s="286" t="s">
        <v>312</v>
      </c>
      <c r="B213" s="287">
        <v>96.0</v>
      </c>
      <c r="C213" s="286" t="s">
        <v>132</v>
      </c>
      <c r="D213" s="287" t="s">
        <v>509</v>
      </c>
      <c r="E213" s="286" t="s">
        <v>510</v>
      </c>
      <c r="F213" s="286" t="s">
        <v>511</v>
      </c>
      <c r="G213" s="288">
        <v>450000.0</v>
      </c>
      <c r="H213" s="288">
        <v>0.0</v>
      </c>
      <c r="I213" s="289">
        <v>450000.0</v>
      </c>
      <c r="J213" s="290"/>
      <c r="K213" s="7"/>
    </row>
    <row r="214" ht="15.75" customHeight="1">
      <c r="A214" s="291" t="s">
        <v>312</v>
      </c>
      <c r="B214" s="292">
        <v>96.0</v>
      </c>
      <c r="C214" s="291" t="s">
        <v>132</v>
      </c>
      <c r="D214" s="292" t="s">
        <v>509</v>
      </c>
      <c r="E214" s="291" t="s">
        <v>512</v>
      </c>
      <c r="F214" s="291" t="s">
        <v>513</v>
      </c>
      <c r="G214" s="293">
        <v>600000.0</v>
      </c>
      <c r="H214" s="293">
        <v>0.0</v>
      </c>
      <c r="I214" s="294">
        <v>600000.0</v>
      </c>
      <c r="J214" s="295"/>
      <c r="K214" s="7"/>
    </row>
    <row r="215" ht="15.75" customHeight="1">
      <c r="A215" s="296" t="s">
        <v>312</v>
      </c>
      <c r="B215" s="296">
        <v>96.0</v>
      </c>
      <c r="C215" s="297" t="s">
        <v>132</v>
      </c>
      <c r="D215" s="296" t="s">
        <v>320</v>
      </c>
      <c r="E215" s="298"/>
      <c r="F215" s="297" t="s">
        <v>321</v>
      </c>
      <c r="G215" s="299">
        <v>2405341.0</v>
      </c>
      <c r="H215" s="299">
        <v>1355341.0</v>
      </c>
      <c r="I215" s="300">
        <v>1050000.0</v>
      </c>
      <c r="J215" s="300">
        <v>450000.0</v>
      </c>
      <c r="K215" s="302">
        <v>600000.0</v>
      </c>
    </row>
    <row r="216" ht="15.75" customHeight="1">
      <c r="A216" s="286" t="s">
        <v>312</v>
      </c>
      <c r="B216" s="287">
        <v>97.0</v>
      </c>
      <c r="C216" s="286" t="s">
        <v>133</v>
      </c>
      <c r="D216" s="287" t="s">
        <v>222</v>
      </c>
      <c r="E216" s="286" t="s">
        <v>514</v>
      </c>
      <c r="F216" s="286" t="s">
        <v>515</v>
      </c>
      <c r="G216" s="288">
        <v>240900.0</v>
      </c>
      <c r="H216" s="288">
        <v>0.0</v>
      </c>
      <c r="I216" s="289">
        <v>240900.0</v>
      </c>
      <c r="J216" s="290"/>
      <c r="K216" s="7"/>
    </row>
    <row r="217" ht="15.75" customHeight="1">
      <c r="A217" s="296" t="s">
        <v>312</v>
      </c>
      <c r="B217" s="296">
        <v>97.0</v>
      </c>
      <c r="C217" s="297" t="s">
        <v>133</v>
      </c>
      <c r="D217" s="296" t="s">
        <v>320</v>
      </c>
      <c r="E217" s="298"/>
      <c r="F217" s="297" t="s">
        <v>321</v>
      </c>
      <c r="G217" s="299">
        <v>240900.0</v>
      </c>
      <c r="H217" s="299">
        <v>0.0</v>
      </c>
      <c r="I217" s="300">
        <v>240900.0</v>
      </c>
      <c r="J217" s="300">
        <v>240900.0</v>
      </c>
      <c r="K217" s="301">
        <v>0.0</v>
      </c>
    </row>
    <row r="218" ht="15.75" customHeight="1">
      <c r="A218" s="286" t="s">
        <v>312</v>
      </c>
      <c r="B218" s="287">
        <v>107.0</v>
      </c>
      <c r="C218" s="286" t="s">
        <v>149</v>
      </c>
      <c r="D218" s="287" t="s">
        <v>516</v>
      </c>
      <c r="E218" s="286"/>
      <c r="F218" s="286" t="s">
        <v>517</v>
      </c>
      <c r="G218" s="288">
        <v>9.329491721E7</v>
      </c>
      <c r="H218" s="288">
        <v>0.0</v>
      </c>
      <c r="I218" s="289">
        <v>9.329491721E7</v>
      </c>
      <c r="J218" s="290"/>
      <c r="K218" s="7"/>
    </row>
    <row r="219" ht="15.75" customHeight="1">
      <c r="A219" s="291" t="s">
        <v>312</v>
      </c>
      <c r="B219" s="292">
        <v>107.0</v>
      </c>
      <c r="C219" s="291" t="s">
        <v>149</v>
      </c>
      <c r="D219" s="292" t="s">
        <v>518</v>
      </c>
      <c r="E219" s="291"/>
      <c r="F219" s="291" t="s">
        <v>517</v>
      </c>
      <c r="G219" s="293">
        <v>2.319889473E7</v>
      </c>
      <c r="H219" s="293">
        <v>0.0</v>
      </c>
      <c r="I219" s="294">
        <v>2.319889473E7</v>
      </c>
      <c r="J219" s="295"/>
      <c r="K219" s="7"/>
    </row>
    <row r="220" ht="15.75" customHeight="1">
      <c r="A220" s="296" t="s">
        <v>312</v>
      </c>
      <c r="B220" s="296">
        <v>107.0</v>
      </c>
      <c r="C220" s="297" t="s">
        <v>149</v>
      </c>
      <c r="D220" s="296" t="s">
        <v>320</v>
      </c>
      <c r="E220" s="298"/>
      <c r="F220" s="297" t="s">
        <v>321</v>
      </c>
      <c r="G220" s="299">
        <v>1.1649381194E8</v>
      </c>
      <c r="H220" s="299">
        <v>0.0</v>
      </c>
      <c r="I220" s="300">
        <v>1.1649381194E8</v>
      </c>
      <c r="J220" s="300">
        <v>1.1649381194E8</v>
      </c>
      <c r="K220" s="301">
        <v>0.0</v>
      </c>
    </row>
    <row r="221" ht="15.75" customHeight="1">
      <c r="A221" s="286" t="s">
        <v>312</v>
      </c>
      <c r="B221" s="287">
        <v>108.0</v>
      </c>
      <c r="C221" s="286" t="s">
        <v>153</v>
      </c>
      <c r="D221" s="287" t="s">
        <v>516</v>
      </c>
      <c r="E221" s="286"/>
      <c r="F221" s="286" t="s">
        <v>519</v>
      </c>
      <c r="G221" s="288">
        <v>7774574.89</v>
      </c>
      <c r="H221" s="288">
        <v>0.0</v>
      </c>
      <c r="I221" s="289">
        <v>7774574.89</v>
      </c>
      <c r="J221" s="290"/>
      <c r="K221" s="7"/>
    </row>
    <row r="222" ht="15.75" customHeight="1">
      <c r="A222" s="291" t="s">
        <v>312</v>
      </c>
      <c r="B222" s="292">
        <v>108.0</v>
      </c>
      <c r="C222" s="291" t="s">
        <v>153</v>
      </c>
      <c r="D222" s="292" t="s">
        <v>518</v>
      </c>
      <c r="E222" s="291"/>
      <c r="F222" s="291" t="s">
        <v>519</v>
      </c>
      <c r="G222" s="293">
        <v>1865897.97</v>
      </c>
      <c r="H222" s="293">
        <v>0.0</v>
      </c>
      <c r="I222" s="294">
        <v>1865897.97</v>
      </c>
      <c r="J222" s="295"/>
      <c r="K222" s="7"/>
    </row>
    <row r="223" ht="15.75" customHeight="1">
      <c r="A223" s="296" t="s">
        <v>312</v>
      </c>
      <c r="B223" s="296">
        <v>108.0</v>
      </c>
      <c r="C223" s="297" t="s">
        <v>153</v>
      </c>
      <c r="D223" s="296" t="s">
        <v>320</v>
      </c>
      <c r="E223" s="298"/>
      <c r="F223" s="297" t="s">
        <v>321</v>
      </c>
      <c r="G223" s="299">
        <v>9640472.86</v>
      </c>
      <c r="H223" s="299">
        <v>0.0</v>
      </c>
      <c r="I223" s="300">
        <v>9640472.86</v>
      </c>
      <c r="J223" s="300">
        <v>9640472.86</v>
      </c>
      <c r="K223" s="301">
        <v>0.0</v>
      </c>
    </row>
    <row r="224" ht="15.75" customHeight="1">
      <c r="A224" s="286" t="s">
        <v>312</v>
      </c>
      <c r="B224" s="287">
        <v>109.0</v>
      </c>
      <c r="C224" s="286" t="s">
        <v>154</v>
      </c>
      <c r="D224" s="287" t="s">
        <v>516</v>
      </c>
      <c r="E224" s="286"/>
      <c r="F224" s="286" t="s">
        <v>520</v>
      </c>
      <c r="G224" s="288">
        <v>7854744.51</v>
      </c>
      <c r="H224" s="288">
        <v>0.0</v>
      </c>
      <c r="I224" s="289">
        <v>7854744.51</v>
      </c>
      <c r="J224" s="290"/>
      <c r="K224" s="7"/>
    </row>
    <row r="225" ht="15.75" customHeight="1">
      <c r="A225" s="291" t="s">
        <v>312</v>
      </c>
      <c r="B225" s="292">
        <v>109.0</v>
      </c>
      <c r="C225" s="291" t="s">
        <v>154</v>
      </c>
      <c r="D225" s="292" t="s">
        <v>518</v>
      </c>
      <c r="E225" s="291"/>
      <c r="F225" s="291" t="s">
        <v>520</v>
      </c>
      <c r="G225" s="293">
        <v>1885138.68</v>
      </c>
      <c r="H225" s="293">
        <v>0.0</v>
      </c>
      <c r="I225" s="294">
        <v>1885138.68</v>
      </c>
      <c r="J225" s="295"/>
      <c r="K225" s="7"/>
    </row>
    <row r="226" ht="15.75" customHeight="1">
      <c r="A226" s="296" t="s">
        <v>312</v>
      </c>
      <c r="B226" s="296">
        <v>109.0</v>
      </c>
      <c r="C226" s="297" t="s">
        <v>154</v>
      </c>
      <c r="D226" s="296" t="s">
        <v>320</v>
      </c>
      <c r="E226" s="298"/>
      <c r="F226" s="297" t="s">
        <v>321</v>
      </c>
      <c r="G226" s="299">
        <v>9739883.19</v>
      </c>
      <c r="H226" s="299">
        <v>0.0</v>
      </c>
      <c r="I226" s="300">
        <v>9739883.19</v>
      </c>
      <c r="J226" s="300">
        <v>9739883.19</v>
      </c>
      <c r="K226" s="301">
        <v>0.0</v>
      </c>
    </row>
    <row r="227" ht="15.75" customHeight="1">
      <c r="A227" s="286" t="s">
        <v>312</v>
      </c>
      <c r="B227" s="287">
        <v>110.0</v>
      </c>
      <c r="C227" s="286" t="s">
        <v>155</v>
      </c>
      <c r="D227" s="287" t="s">
        <v>516</v>
      </c>
      <c r="E227" s="286"/>
      <c r="F227" s="286" t="s">
        <v>521</v>
      </c>
      <c r="G227" s="288">
        <v>1773873.47</v>
      </c>
      <c r="H227" s="288">
        <v>0.0</v>
      </c>
      <c r="I227" s="289">
        <v>1773873.47</v>
      </c>
      <c r="J227" s="290"/>
      <c r="K227" s="7"/>
    </row>
    <row r="228" ht="15.75" customHeight="1">
      <c r="A228" s="291" t="s">
        <v>312</v>
      </c>
      <c r="B228" s="292">
        <v>110.0</v>
      </c>
      <c r="C228" s="291" t="s">
        <v>155</v>
      </c>
      <c r="D228" s="292" t="s">
        <v>518</v>
      </c>
      <c r="E228" s="291"/>
      <c r="F228" s="291" t="s">
        <v>521</v>
      </c>
      <c r="G228" s="293">
        <v>425729.63</v>
      </c>
      <c r="H228" s="293">
        <v>0.0</v>
      </c>
      <c r="I228" s="294">
        <v>425729.63</v>
      </c>
      <c r="J228" s="295"/>
      <c r="K228" s="7"/>
    </row>
    <row r="229" ht="15.75" customHeight="1">
      <c r="A229" s="296" t="s">
        <v>312</v>
      </c>
      <c r="B229" s="296">
        <v>110.0</v>
      </c>
      <c r="C229" s="297" t="s">
        <v>155</v>
      </c>
      <c r="D229" s="296" t="s">
        <v>320</v>
      </c>
      <c r="E229" s="298"/>
      <c r="F229" s="297" t="s">
        <v>321</v>
      </c>
      <c r="G229" s="299">
        <v>2199603.1</v>
      </c>
      <c r="H229" s="299">
        <v>0.0</v>
      </c>
      <c r="I229" s="300">
        <v>2199603.1</v>
      </c>
      <c r="J229" s="300">
        <v>2199603.1</v>
      </c>
      <c r="K229" s="301">
        <v>0.0</v>
      </c>
    </row>
    <row r="230" ht="15.75" customHeight="1">
      <c r="A230" s="286" t="s">
        <v>312</v>
      </c>
      <c r="B230" s="287">
        <v>111.0</v>
      </c>
      <c r="C230" s="286" t="s">
        <v>156</v>
      </c>
      <c r="D230" s="287" t="s">
        <v>522</v>
      </c>
      <c r="E230" s="286" t="s">
        <v>523</v>
      </c>
      <c r="F230" s="286" t="s">
        <v>524</v>
      </c>
      <c r="G230" s="288">
        <v>166108.1</v>
      </c>
      <c r="H230" s="288">
        <v>0.0</v>
      </c>
      <c r="I230" s="289">
        <v>166108.1</v>
      </c>
      <c r="J230" s="290"/>
      <c r="K230" s="7"/>
    </row>
    <row r="231" ht="15.75" customHeight="1">
      <c r="A231" s="291" t="s">
        <v>312</v>
      </c>
      <c r="B231" s="292">
        <v>111.0</v>
      </c>
      <c r="C231" s="291" t="s">
        <v>156</v>
      </c>
      <c r="D231" s="292" t="s">
        <v>522</v>
      </c>
      <c r="E231" s="291" t="s">
        <v>523</v>
      </c>
      <c r="F231" s="291" t="s">
        <v>524</v>
      </c>
      <c r="G231" s="293">
        <v>7787955.45</v>
      </c>
      <c r="H231" s="293">
        <v>0.0</v>
      </c>
      <c r="I231" s="294">
        <v>7787955.45</v>
      </c>
      <c r="J231" s="295"/>
      <c r="K231" s="7"/>
    </row>
    <row r="232" ht="15.75" customHeight="1">
      <c r="A232" s="286" t="s">
        <v>312</v>
      </c>
      <c r="B232" s="287">
        <v>111.0</v>
      </c>
      <c r="C232" s="286" t="s">
        <v>156</v>
      </c>
      <c r="D232" s="287" t="s">
        <v>522</v>
      </c>
      <c r="E232" s="286" t="s">
        <v>523</v>
      </c>
      <c r="F232" s="286" t="s">
        <v>525</v>
      </c>
      <c r="G232" s="288">
        <v>0.0</v>
      </c>
      <c r="H232" s="288">
        <v>2083571.99</v>
      </c>
      <c r="I232" s="289">
        <v>-2083571.99</v>
      </c>
      <c r="J232" s="290"/>
      <c r="K232" s="7"/>
    </row>
    <row r="233" ht="15.75" customHeight="1">
      <c r="A233" s="296" t="s">
        <v>312</v>
      </c>
      <c r="B233" s="296">
        <v>111.0</v>
      </c>
      <c r="C233" s="297" t="s">
        <v>156</v>
      </c>
      <c r="D233" s="296" t="s">
        <v>320</v>
      </c>
      <c r="E233" s="298"/>
      <c r="F233" s="297" t="s">
        <v>321</v>
      </c>
      <c r="G233" s="299">
        <v>7954063.55</v>
      </c>
      <c r="H233" s="299">
        <v>2083571.99</v>
      </c>
      <c r="I233" s="300">
        <v>5870491.560000001</v>
      </c>
      <c r="J233" s="300">
        <v>5870491.56</v>
      </c>
      <c r="K233" s="301">
        <v>9.313225746154785E-10</v>
      </c>
    </row>
    <row r="234" ht="15.75" customHeight="1">
      <c r="A234" s="286" t="s">
        <v>312</v>
      </c>
      <c r="B234" s="287">
        <v>112.0</v>
      </c>
      <c r="C234" s="286" t="s">
        <v>157</v>
      </c>
      <c r="D234" s="287" t="s">
        <v>522</v>
      </c>
      <c r="E234" s="286"/>
      <c r="F234" s="286" t="s">
        <v>526</v>
      </c>
      <c r="G234" s="288">
        <v>1200000.0</v>
      </c>
      <c r="H234" s="288">
        <v>0.0</v>
      </c>
      <c r="I234" s="289">
        <v>1200000.0</v>
      </c>
      <c r="J234" s="290"/>
      <c r="K234" s="7"/>
    </row>
    <row r="235" ht="15.75" customHeight="1">
      <c r="A235" s="296" t="s">
        <v>312</v>
      </c>
      <c r="B235" s="296">
        <v>112.0</v>
      </c>
      <c r="C235" s="297" t="s">
        <v>157</v>
      </c>
      <c r="D235" s="296" t="s">
        <v>320</v>
      </c>
      <c r="E235" s="298"/>
      <c r="F235" s="297" t="s">
        <v>321</v>
      </c>
      <c r="G235" s="299">
        <v>1200000.0</v>
      </c>
      <c r="H235" s="299">
        <v>0.0</v>
      </c>
      <c r="I235" s="300">
        <v>1200000.0</v>
      </c>
      <c r="J235" s="300">
        <v>1200000.0</v>
      </c>
      <c r="K235" s="301">
        <v>0.0</v>
      </c>
    </row>
    <row r="236" ht="15.75" customHeight="1">
      <c r="A236" s="286" t="s">
        <v>312</v>
      </c>
      <c r="B236" s="287">
        <v>114.0</v>
      </c>
      <c r="C236" s="286" t="s">
        <v>160</v>
      </c>
      <c r="D236" s="287" t="s">
        <v>527</v>
      </c>
      <c r="E236" s="286" t="s">
        <v>507</v>
      </c>
      <c r="F236" s="286" t="s">
        <v>528</v>
      </c>
      <c r="G236" s="288">
        <v>1393291.0</v>
      </c>
      <c r="H236" s="288">
        <v>0.0</v>
      </c>
      <c r="I236" s="289">
        <v>1393291.0</v>
      </c>
      <c r="J236" s="290"/>
      <c r="K236" s="7"/>
    </row>
    <row r="237" ht="15.75" customHeight="1">
      <c r="A237" s="296" t="s">
        <v>312</v>
      </c>
      <c r="B237" s="296">
        <v>114.0</v>
      </c>
      <c r="C237" s="297" t="s">
        <v>160</v>
      </c>
      <c r="D237" s="296" t="s">
        <v>320</v>
      </c>
      <c r="E237" s="298"/>
      <c r="F237" s="297" t="s">
        <v>321</v>
      </c>
      <c r="G237" s="299">
        <v>1393291.0</v>
      </c>
      <c r="H237" s="299">
        <v>0.0</v>
      </c>
      <c r="I237" s="300">
        <v>1393291.0</v>
      </c>
      <c r="J237" s="300">
        <v>1393291.0</v>
      </c>
      <c r="K237" s="301">
        <v>0.0</v>
      </c>
    </row>
    <row r="238" ht="15.75" customHeight="1">
      <c r="A238" s="286" t="s">
        <v>312</v>
      </c>
      <c r="B238" s="287">
        <v>115.0</v>
      </c>
      <c r="C238" s="286" t="s">
        <v>162</v>
      </c>
      <c r="D238" s="287" t="s">
        <v>529</v>
      </c>
      <c r="E238" s="286" t="s">
        <v>530</v>
      </c>
      <c r="F238" s="286" t="s">
        <v>531</v>
      </c>
      <c r="G238" s="288">
        <v>479740.71</v>
      </c>
      <c r="H238" s="288">
        <v>0.0</v>
      </c>
      <c r="I238" s="289">
        <v>479740.71</v>
      </c>
      <c r="J238" s="290"/>
      <c r="K238" s="7"/>
    </row>
    <row r="239" ht="15.75" customHeight="1">
      <c r="A239" s="291" t="s">
        <v>312</v>
      </c>
      <c r="B239" s="292">
        <v>115.0</v>
      </c>
      <c r="C239" s="291" t="s">
        <v>162</v>
      </c>
      <c r="D239" s="292" t="s">
        <v>529</v>
      </c>
      <c r="E239" s="291" t="s">
        <v>530</v>
      </c>
      <c r="F239" s="291" t="s">
        <v>531</v>
      </c>
      <c r="G239" s="293">
        <v>102331.27</v>
      </c>
      <c r="H239" s="293">
        <v>0.0</v>
      </c>
      <c r="I239" s="294">
        <v>102331.27</v>
      </c>
      <c r="J239" s="295"/>
      <c r="K239" s="7"/>
    </row>
    <row r="240" ht="15.75" customHeight="1">
      <c r="A240" s="286" t="s">
        <v>312</v>
      </c>
      <c r="B240" s="287">
        <v>115.0</v>
      </c>
      <c r="C240" s="286" t="s">
        <v>162</v>
      </c>
      <c r="D240" s="287" t="s">
        <v>532</v>
      </c>
      <c r="E240" s="286" t="s">
        <v>530</v>
      </c>
      <c r="F240" s="286" t="s">
        <v>533</v>
      </c>
      <c r="G240" s="288">
        <v>24459.69</v>
      </c>
      <c r="H240" s="288">
        <v>0.0</v>
      </c>
      <c r="I240" s="289">
        <v>24459.69</v>
      </c>
      <c r="J240" s="290"/>
      <c r="K240" s="7"/>
    </row>
    <row r="241" ht="15.75" customHeight="1">
      <c r="A241" s="296" t="s">
        <v>312</v>
      </c>
      <c r="B241" s="296">
        <v>115.0</v>
      </c>
      <c r="C241" s="297" t="s">
        <v>162</v>
      </c>
      <c r="D241" s="296" t="s">
        <v>320</v>
      </c>
      <c r="E241" s="298"/>
      <c r="F241" s="297" t="s">
        <v>321</v>
      </c>
      <c r="G241" s="299">
        <v>606531.67</v>
      </c>
      <c r="H241" s="299">
        <v>0.0</v>
      </c>
      <c r="I241" s="300">
        <v>606531.67</v>
      </c>
      <c r="J241" s="300">
        <v>606531.98</v>
      </c>
      <c r="K241" s="301">
        <v>-0.309999999939464</v>
      </c>
    </row>
    <row r="242" ht="15.75" customHeight="1">
      <c r="A242" s="286" t="s">
        <v>312</v>
      </c>
      <c r="B242" s="287">
        <v>117.0</v>
      </c>
      <c r="C242" s="286" t="s">
        <v>165</v>
      </c>
      <c r="D242" s="287" t="s">
        <v>534</v>
      </c>
      <c r="E242" s="286" t="s">
        <v>535</v>
      </c>
      <c r="F242" s="286" t="s">
        <v>536</v>
      </c>
      <c r="G242" s="288">
        <v>354000.0</v>
      </c>
      <c r="H242" s="288">
        <v>0.0</v>
      </c>
      <c r="I242" s="289">
        <v>354000.0</v>
      </c>
      <c r="J242" s="290"/>
      <c r="K242" s="7"/>
    </row>
    <row r="243" ht="15.75" customHeight="1">
      <c r="A243" s="296" t="s">
        <v>312</v>
      </c>
      <c r="B243" s="296">
        <v>117.0</v>
      </c>
      <c r="C243" s="297" t="s">
        <v>165</v>
      </c>
      <c r="D243" s="296" t="s">
        <v>320</v>
      </c>
      <c r="E243" s="298"/>
      <c r="F243" s="297" t="s">
        <v>321</v>
      </c>
      <c r="G243" s="299">
        <v>354000.0</v>
      </c>
      <c r="H243" s="299">
        <v>0.0</v>
      </c>
      <c r="I243" s="300">
        <v>354000.0</v>
      </c>
      <c r="J243" s="300">
        <v>354000.0</v>
      </c>
      <c r="K243" s="301">
        <v>0.0</v>
      </c>
    </row>
    <row r="244" ht="15.75" customHeight="1">
      <c r="A244" s="286" t="s">
        <v>312</v>
      </c>
      <c r="B244" s="287">
        <v>118.0</v>
      </c>
      <c r="C244" s="286" t="s">
        <v>167</v>
      </c>
      <c r="D244" s="287" t="s">
        <v>537</v>
      </c>
      <c r="E244" s="286" t="s">
        <v>438</v>
      </c>
      <c r="F244" s="286" t="s">
        <v>538</v>
      </c>
      <c r="G244" s="288">
        <v>554999.99</v>
      </c>
      <c r="H244" s="288">
        <v>0.0</v>
      </c>
      <c r="I244" s="289">
        <v>554999.99</v>
      </c>
      <c r="J244" s="290"/>
      <c r="K244" s="7"/>
    </row>
    <row r="245" ht="15.75" customHeight="1">
      <c r="A245" s="291" t="s">
        <v>312</v>
      </c>
      <c r="B245" s="292">
        <v>118.0</v>
      </c>
      <c r="C245" s="291" t="s">
        <v>167</v>
      </c>
      <c r="D245" s="292" t="s">
        <v>537</v>
      </c>
      <c r="E245" s="291" t="s">
        <v>438</v>
      </c>
      <c r="F245" s="291" t="s">
        <v>539</v>
      </c>
      <c r="G245" s="293">
        <v>85077.56</v>
      </c>
      <c r="H245" s="293">
        <v>0.0</v>
      </c>
      <c r="I245" s="294">
        <v>85077.56</v>
      </c>
      <c r="J245" s="295"/>
      <c r="K245" s="7"/>
    </row>
    <row r="246" ht="15.75" customHeight="1">
      <c r="A246" s="286" t="s">
        <v>312</v>
      </c>
      <c r="B246" s="287">
        <v>118.0</v>
      </c>
      <c r="C246" s="286" t="s">
        <v>167</v>
      </c>
      <c r="D246" s="287" t="s">
        <v>540</v>
      </c>
      <c r="E246" s="286" t="s">
        <v>438</v>
      </c>
      <c r="F246" s="286" t="s">
        <v>541</v>
      </c>
      <c r="G246" s="288">
        <v>36800.0</v>
      </c>
      <c r="H246" s="288">
        <v>0.0</v>
      </c>
      <c r="I246" s="289">
        <v>36800.0</v>
      </c>
      <c r="J246" s="290"/>
      <c r="K246" s="7"/>
    </row>
    <row r="247" ht="15.75" customHeight="1">
      <c r="A247" s="296" t="s">
        <v>312</v>
      </c>
      <c r="B247" s="296">
        <v>118.0</v>
      </c>
      <c r="C247" s="297" t="s">
        <v>167</v>
      </c>
      <c r="D247" s="296" t="s">
        <v>320</v>
      </c>
      <c r="E247" s="298"/>
      <c r="F247" s="297" t="s">
        <v>321</v>
      </c>
      <c r="G247" s="299">
        <v>676877.55</v>
      </c>
      <c r="H247" s="299">
        <v>0.0</v>
      </c>
      <c r="I247" s="300">
        <v>676877.55</v>
      </c>
      <c r="J247" s="300">
        <v>676878.0</v>
      </c>
      <c r="K247" s="301">
        <v>-0.4499999999534339</v>
      </c>
    </row>
    <row r="248" ht="15.75" customHeight="1">
      <c r="A248" s="286" t="s">
        <v>312</v>
      </c>
      <c r="B248" s="287">
        <v>119.0</v>
      </c>
      <c r="C248" s="286" t="s">
        <v>169</v>
      </c>
      <c r="D248" s="287" t="s">
        <v>542</v>
      </c>
      <c r="E248" s="286"/>
      <c r="F248" s="286" t="s">
        <v>543</v>
      </c>
      <c r="G248" s="288">
        <v>0.0</v>
      </c>
      <c r="H248" s="288">
        <v>137000.0</v>
      </c>
      <c r="I248" s="289">
        <v>-137000.0</v>
      </c>
      <c r="J248" s="290"/>
      <c r="K248" s="7"/>
    </row>
    <row r="249" ht="15.75" customHeight="1">
      <c r="A249" s="291" t="s">
        <v>312</v>
      </c>
      <c r="B249" s="292">
        <v>119.0</v>
      </c>
      <c r="C249" s="291" t="s">
        <v>169</v>
      </c>
      <c r="D249" s="292" t="s">
        <v>542</v>
      </c>
      <c r="E249" s="291" t="s">
        <v>438</v>
      </c>
      <c r="F249" s="291" t="s">
        <v>544</v>
      </c>
      <c r="G249" s="293">
        <v>14105.0</v>
      </c>
      <c r="H249" s="293">
        <v>0.0</v>
      </c>
      <c r="I249" s="294">
        <v>14105.0</v>
      </c>
      <c r="J249" s="295"/>
      <c r="K249" s="7"/>
    </row>
    <row r="250" ht="15.75" customHeight="1">
      <c r="A250" s="286" t="s">
        <v>312</v>
      </c>
      <c r="B250" s="287">
        <v>119.0</v>
      </c>
      <c r="C250" s="286" t="s">
        <v>169</v>
      </c>
      <c r="D250" s="287" t="s">
        <v>542</v>
      </c>
      <c r="E250" s="286" t="s">
        <v>438</v>
      </c>
      <c r="F250" s="286" t="s">
        <v>545</v>
      </c>
      <c r="G250" s="288">
        <v>9500.0</v>
      </c>
      <c r="H250" s="288">
        <v>0.0</v>
      </c>
      <c r="I250" s="289">
        <v>9500.0</v>
      </c>
      <c r="J250" s="290"/>
      <c r="K250" s="7"/>
    </row>
    <row r="251" ht="15.75" customHeight="1">
      <c r="A251" s="291" t="s">
        <v>312</v>
      </c>
      <c r="B251" s="292">
        <v>119.0</v>
      </c>
      <c r="C251" s="291" t="s">
        <v>169</v>
      </c>
      <c r="D251" s="292" t="s">
        <v>542</v>
      </c>
      <c r="E251" s="291" t="s">
        <v>438</v>
      </c>
      <c r="F251" s="291" t="s">
        <v>546</v>
      </c>
      <c r="G251" s="293">
        <v>43500.0</v>
      </c>
      <c r="H251" s="293">
        <v>0.0</v>
      </c>
      <c r="I251" s="294">
        <v>43500.0</v>
      </c>
      <c r="J251" s="295"/>
      <c r="K251" s="7"/>
    </row>
    <row r="252" ht="15.75" customHeight="1">
      <c r="A252" s="286" t="s">
        <v>312</v>
      </c>
      <c r="B252" s="287">
        <v>119.0</v>
      </c>
      <c r="C252" s="286" t="s">
        <v>169</v>
      </c>
      <c r="D252" s="287" t="s">
        <v>542</v>
      </c>
      <c r="E252" s="286" t="s">
        <v>438</v>
      </c>
      <c r="F252" s="286" t="s">
        <v>547</v>
      </c>
      <c r="G252" s="288">
        <v>436912.53</v>
      </c>
      <c r="H252" s="288">
        <v>0.0</v>
      </c>
      <c r="I252" s="289">
        <v>436912.53</v>
      </c>
      <c r="J252" s="290"/>
      <c r="K252" s="7"/>
    </row>
    <row r="253" ht="15.75" customHeight="1">
      <c r="A253" s="291" t="s">
        <v>312</v>
      </c>
      <c r="B253" s="292">
        <v>119.0</v>
      </c>
      <c r="C253" s="291" t="s">
        <v>169</v>
      </c>
      <c r="D253" s="292" t="s">
        <v>542</v>
      </c>
      <c r="E253" s="291" t="s">
        <v>438</v>
      </c>
      <c r="F253" s="291" t="s">
        <v>548</v>
      </c>
      <c r="G253" s="293">
        <v>33900.0</v>
      </c>
      <c r="H253" s="293">
        <v>0.0</v>
      </c>
      <c r="I253" s="294">
        <v>33900.0</v>
      </c>
      <c r="J253" s="295"/>
      <c r="K253" s="7"/>
    </row>
    <row r="254" ht="15.75" customHeight="1">
      <c r="A254" s="286" t="s">
        <v>312</v>
      </c>
      <c r="B254" s="287">
        <v>119.0</v>
      </c>
      <c r="C254" s="286" t="s">
        <v>169</v>
      </c>
      <c r="D254" s="287" t="s">
        <v>542</v>
      </c>
      <c r="E254" s="286" t="s">
        <v>438</v>
      </c>
      <c r="F254" s="286" t="s">
        <v>548</v>
      </c>
      <c r="G254" s="288">
        <v>112000.0</v>
      </c>
      <c r="H254" s="288">
        <v>0.0</v>
      </c>
      <c r="I254" s="289">
        <v>112000.0</v>
      </c>
      <c r="J254" s="290"/>
      <c r="K254" s="7"/>
    </row>
    <row r="255" ht="15.75" customHeight="1">
      <c r="A255" s="296" t="s">
        <v>312</v>
      </c>
      <c r="B255" s="296">
        <v>119.0</v>
      </c>
      <c r="C255" s="297" t="s">
        <v>169</v>
      </c>
      <c r="D255" s="296" t="s">
        <v>320</v>
      </c>
      <c r="E255" s="298"/>
      <c r="F255" s="297" t="s">
        <v>321</v>
      </c>
      <c r="G255" s="299">
        <v>649917.53</v>
      </c>
      <c r="H255" s="299">
        <v>137000.0</v>
      </c>
      <c r="I255" s="300">
        <v>512917.53</v>
      </c>
      <c r="J255" s="300">
        <v>76005.0</v>
      </c>
      <c r="K255" s="302">
        <v>436912.53</v>
      </c>
    </row>
    <row r="256" ht="15.75" customHeight="1">
      <c r="A256" s="286" t="s">
        <v>312</v>
      </c>
      <c r="B256" s="287">
        <v>122.0</v>
      </c>
      <c r="C256" s="286" t="s">
        <v>175</v>
      </c>
      <c r="D256" s="287" t="s">
        <v>549</v>
      </c>
      <c r="E256" s="286"/>
      <c r="F256" s="286" t="s">
        <v>550</v>
      </c>
      <c r="G256" s="288">
        <v>432412.0</v>
      </c>
      <c r="H256" s="288">
        <v>0.0</v>
      </c>
      <c r="I256" s="289">
        <v>432412.0</v>
      </c>
      <c r="J256" s="290"/>
      <c r="K256" s="7"/>
    </row>
    <row r="257" ht="15.75" customHeight="1">
      <c r="A257" s="296" t="s">
        <v>312</v>
      </c>
      <c r="B257" s="296">
        <v>122.0</v>
      </c>
      <c r="C257" s="297" t="s">
        <v>175</v>
      </c>
      <c r="D257" s="296" t="s">
        <v>320</v>
      </c>
      <c r="E257" s="298"/>
      <c r="F257" s="297" t="s">
        <v>321</v>
      </c>
      <c r="G257" s="299">
        <v>432412.0</v>
      </c>
      <c r="H257" s="299">
        <v>0.0</v>
      </c>
      <c r="I257" s="300">
        <v>432412.0</v>
      </c>
      <c r="J257" s="300">
        <v>432412.0</v>
      </c>
      <c r="K257" s="301">
        <v>0.0</v>
      </c>
    </row>
    <row r="258" ht="15.75" customHeight="1">
      <c r="A258" s="286" t="s">
        <v>312</v>
      </c>
      <c r="B258" s="287">
        <v>123.0</v>
      </c>
      <c r="C258" s="286" t="s">
        <v>177</v>
      </c>
      <c r="D258" s="287" t="s">
        <v>551</v>
      </c>
      <c r="E258" s="286" t="s">
        <v>552</v>
      </c>
      <c r="F258" s="286" t="s">
        <v>528</v>
      </c>
      <c r="G258" s="288">
        <v>1808665.0</v>
      </c>
      <c r="H258" s="288">
        <v>0.0</v>
      </c>
      <c r="I258" s="289">
        <v>1808665.0</v>
      </c>
      <c r="J258" s="290"/>
      <c r="K258" s="7"/>
    </row>
    <row r="259" ht="15.75" customHeight="1">
      <c r="A259" s="296" t="s">
        <v>312</v>
      </c>
      <c r="B259" s="296">
        <v>123.0</v>
      </c>
      <c r="C259" s="297" t="s">
        <v>177</v>
      </c>
      <c r="D259" s="296" t="s">
        <v>320</v>
      </c>
      <c r="E259" s="298"/>
      <c r="F259" s="297" t="s">
        <v>321</v>
      </c>
      <c r="G259" s="299">
        <v>1808665.0</v>
      </c>
      <c r="H259" s="299">
        <v>0.0</v>
      </c>
      <c r="I259" s="300">
        <v>1808665.0</v>
      </c>
      <c r="J259" s="300">
        <v>1808665.0</v>
      </c>
      <c r="K259" s="301">
        <v>0.0</v>
      </c>
    </row>
    <row r="260" ht="15.75" customHeight="1">
      <c r="A260" s="286" t="s">
        <v>312</v>
      </c>
      <c r="B260" s="287">
        <v>129.0</v>
      </c>
      <c r="C260" s="286" t="s">
        <v>183</v>
      </c>
      <c r="D260" s="287" t="s">
        <v>553</v>
      </c>
      <c r="E260" s="286" t="s">
        <v>554</v>
      </c>
      <c r="F260" s="286" t="s">
        <v>555</v>
      </c>
      <c r="G260" s="288">
        <v>4529250.0</v>
      </c>
      <c r="H260" s="288">
        <v>0.0</v>
      </c>
      <c r="I260" s="289">
        <v>4529250.0</v>
      </c>
      <c r="J260" s="290"/>
      <c r="K260" s="7"/>
    </row>
    <row r="261" ht="15.75" customHeight="1">
      <c r="A261" s="296" t="s">
        <v>312</v>
      </c>
      <c r="B261" s="296">
        <v>129.0</v>
      </c>
      <c r="C261" s="297" t="s">
        <v>183</v>
      </c>
      <c r="D261" s="296" t="s">
        <v>320</v>
      </c>
      <c r="E261" s="298"/>
      <c r="F261" s="297" t="s">
        <v>321</v>
      </c>
      <c r="G261" s="299">
        <v>4529250.0</v>
      </c>
      <c r="H261" s="299">
        <v>0.0</v>
      </c>
      <c r="I261" s="300">
        <v>4529250.0</v>
      </c>
      <c r="J261" s="300">
        <v>4529250.0</v>
      </c>
      <c r="K261" s="301">
        <v>0.0</v>
      </c>
    </row>
    <row r="262" ht="15.75" customHeight="1">
      <c r="A262" s="286" t="s">
        <v>312</v>
      </c>
      <c r="B262" s="287">
        <v>130.0</v>
      </c>
      <c r="C262" s="286" t="s">
        <v>186</v>
      </c>
      <c r="D262" s="287" t="s">
        <v>553</v>
      </c>
      <c r="E262" s="286"/>
      <c r="F262" s="286" t="s">
        <v>556</v>
      </c>
      <c r="G262" s="288">
        <v>0.0</v>
      </c>
      <c r="H262" s="288">
        <v>1200000.0</v>
      </c>
      <c r="I262" s="289">
        <v>-1200000.0</v>
      </c>
      <c r="J262" s="290"/>
      <c r="K262" s="7"/>
    </row>
    <row r="263" ht="15.75" customHeight="1">
      <c r="A263" s="291" t="s">
        <v>312</v>
      </c>
      <c r="B263" s="292">
        <v>130.0</v>
      </c>
      <c r="C263" s="291" t="s">
        <v>186</v>
      </c>
      <c r="D263" s="292" t="s">
        <v>553</v>
      </c>
      <c r="E263" s="291" t="s">
        <v>557</v>
      </c>
      <c r="F263" s="291" t="s">
        <v>558</v>
      </c>
      <c r="G263" s="293">
        <v>1196494.09</v>
      </c>
      <c r="H263" s="293">
        <v>0.0</v>
      </c>
      <c r="I263" s="294">
        <v>1196494.09</v>
      </c>
      <c r="J263" s="295"/>
      <c r="K263" s="7"/>
    </row>
    <row r="264" ht="15.75" customHeight="1">
      <c r="A264" s="286" t="s">
        <v>312</v>
      </c>
      <c r="B264" s="287">
        <v>130.0</v>
      </c>
      <c r="C264" s="286" t="s">
        <v>186</v>
      </c>
      <c r="D264" s="287" t="s">
        <v>553</v>
      </c>
      <c r="E264" s="286"/>
      <c r="F264" s="286" t="s">
        <v>559</v>
      </c>
      <c r="G264" s="288">
        <v>1223500.0</v>
      </c>
      <c r="H264" s="288">
        <v>0.0</v>
      </c>
      <c r="I264" s="289">
        <v>1223500.0</v>
      </c>
      <c r="J264" s="290"/>
      <c r="K264" s="7"/>
    </row>
    <row r="265" ht="15.75" customHeight="1">
      <c r="A265" s="296" t="s">
        <v>312</v>
      </c>
      <c r="B265" s="296">
        <v>130.0</v>
      </c>
      <c r="C265" s="297" t="s">
        <v>186</v>
      </c>
      <c r="D265" s="296" t="s">
        <v>320</v>
      </c>
      <c r="E265" s="298"/>
      <c r="F265" s="297" t="s">
        <v>321</v>
      </c>
      <c r="G265" s="299">
        <v>2419994.09</v>
      </c>
      <c r="H265" s="299">
        <v>1200000.0</v>
      </c>
      <c r="I265" s="300">
        <v>1219994.09</v>
      </c>
      <c r="J265" s="300">
        <v>1219994.09</v>
      </c>
      <c r="K265" s="301">
        <v>0.0</v>
      </c>
    </row>
    <row r="266" ht="15.75" customHeight="1">
      <c r="A266" s="286" t="s">
        <v>312</v>
      </c>
      <c r="B266" s="287">
        <v>131.0</v>
      </c>
      <c r="C266" s="286" t="s">
        <v>188</v>
      </c>
      <c r="D266" s="287" t="s">
        <v>560</v>
      </c>
      <c r="E266" s="286" t="s">
        <v>438</v>
      </c>
      <c r="F266" s="286" t="s">
        <v>561</v>
      </c>
      <c r="G266" s="288">
        <v>24000.0</v>
      </c>
      <c r="H266" s="288">
        <v>0.0</v>
      </c>
      <c r="I266" s="289">
        <v>24000.0</v>
      </c>
      <c r="J266" s="290"/>
      <c r="K266" s="7"/>
    </row>
    <row r="267" ht="15.75" customHeight="1">
      <c r="A267" s="291" t="s">
        <v>312</v>
      </c>
      <c r="B267" s="292">
        <v>131.0</v>
      </c>
      <c r="C267" s="291" t="s">
        <v>188</v>
      </c>
      <c r="D267" s="292" t="s">
        <v>560</v>
      </c>
      <c r="E267" s="291" t="s">
        <v>438</v>
      </c>
      <c r="F267" s="291" t="s">
        <v>562</v>
      </c>
      <c r="G267" s="293">
        <v>323560.0</v>
      </c>
      <c r="H267" s="293">
        <v>0.0</v>
      </c>
      <c r="I267" s="294">
        <v>323560.0</v>
      </c>
      <c r="J267" s="295"/>
      <c r="K267" s="7"/>
    </row>
    <row r="268" ht="15.75" customHeight="1">
      <c r="A268" s="286" t="s">
        <v>312</v>
      </c>
      <c r="B268" s="287">
        <v>131.0</v>
      </c>
      <c r="C268" s="286" t="s">
        <v>188</v>
      </c>
      <c r="D268" s="287" t="s">
        <v>560</v>
      </c>
      <c r="E268" s="286" t="s">
        <v>438</v>
      </c>
      <c r="F268" s="286" t="s">
        <v>562</v>
      </c>
      <c r="G268" s="288">
        <v>6221.0</v>
      </c>
      <c r="H268" s="288">
        <v>0.0</v>
      </c>
      <c r="I268" s="289">
        <v>6221.0</v>
      </c>
      <c r="J268" s="290"/>
      <c r="K268" s="7"/>
    </row>
    <row r="269" ht="15.75" customHeight="1">
      <c r="A269" s="291" t="s">
        <v>312</v>
      </c>
      <c r="B269" s="292">
        <v>131.0</v>
      </c>
      <c r="C269" s="291" t="s">
        <v>188</v>
      </c>
      <c r="D269" s="292" t="s">
        <v>560</v>
      </c>
      <c r="E269" s="291" t="s">
        <v>438</v>
      </c>
      <c r="F269" s="291" t="s">
        <v>562</v>
      </c>
      <c r="G269" s="293">
        <v>6221.0</v>
      </c>
      <c r="H269" s="293">
        <v>0.0</v>
      </c>
      <c r="I269" s="294">
        <v>6221.0</v>
      </c>
      <c r="J269" s="295"/>
      <c r="K269" s="7"/>
    </row>
    <row r="270" ht="15.75" customHeight="1">
      <c r="A270" s="286" t="s">
        <v>312</v>
      </c>
      <c r="B270" s="287">
        <v>131.0</v>
      </c>
      <c r="C270" s="286" t="s">
        <v>188</v>
      </c>
      <c r="D270" s="287" t="s">
        <v>560</v>
      </c>
      <c r="E270" s="286" t="s">
        <v>438</v>
      </c>
      <c r="F270" s="286" t="s">
        <v>562</v>
      </c>
      <c r="G270" s="288">
        <v>6221.0</v>
      </c>
      <c r="H270" s="288">
        <v>0.0</v>
      </c>
      <c r="I270" s="289">
        <v>6221.0</v>
      </c>
      <c r="J270" s="290"/>
      <c r="K270" s="7"/>
    </row>
    <row r="271" ht="15.75" customHeight="1">
      <c r="A271" s="291" t="s">
        <v>312</v>
      </c>
      <c r="B271" s="292">
        <v>131.0</v>
      </c>
      <c r="C271" s="291" t="s">
        <v>188</v>
      </c>
      <c r="D271" s="292" t="s">
        <v>563</v>
      </c>
      <c r="E271" s="291" t="s">
        <v>438</v>
      </c>
      <c r="F271" s="291" t="s">
        <v>564</v>
      </c>
      <c r="G271" s="293">
        <v>2686117.68</v>
      </c>
      <c r="H271" s="293">
        <v>0.0</v>
      </c>
      <c r="I271" s="294">
        <v>2686117.68</v>
      </c>
      <c r="J271" s="295"/>
      <c r="K271" s="7"/>
    </row>
    <row r="272" ht="15.75" customHeight="1">
      <c r="A272" s="296" t="s">
        <v>312</v>
      </c>
      <c r="B272" s="296">
        <v>131.0</v>
      </c>
      <c r="C272" s="297" t="s">
        <v>188</v>
      </c>
      <c r="D272" s="296" t="s">
        <v>320</v>
      </c>
      <c r="E272" s="298"/>
      <c r="F272" s="297" t="s">
        <v>321</v>
      </c>
      <c r="G272" s="299">
        <v>3052340.68</v>
      </c>
      <c r="H272" s="299">
        <v>0.0</v>
      </c>
      <c r="I272" s="300">
        <v>3052340.68</v>
      </c>
      <c r="J272" s="300">
        <v>342223.0</v>
      </c>
      <c r="K272" s="302">
        <v>2710117.68</v>
      </c>
    </row>
    <row r="273" ht="15.75" customHeight="1">
      <c r="A273" s="286" t="s">
        <v>312</v>
      </c>
      <c r="B273" s="287">
        <v>132.0</v>
      </c>
      <c r="C273" s="286" t="s">
        <v>190</v>
      </c>
      <c r="D273" s="287" t="s">
        <v>565</v>
      </c>
      <c r="E273" s="286" t="s">
        <v>566</v>
      </c>
      <c r="F273" s="286" t="s">
        <v>567</v>
      </c>
      <c r="G273" s="288">
        <v>880930.85</v>
      </c>
      <c r="H273" s="288">
        <v>0.0</v>
      </c>
      <c r="I273" s="289">
        <v>880930.85</v>
      </c>
      <c r="J273" s="290"/>
      <c r="K273" s="7"/>
    </row>
    <row r="274" ht="15.75" customHeight="1">
      <c r="A274" s="296" t="s">
        <v>312</v>
      </c>
      <c r="B274" s="296">
        <v>132.0</v>
      </c>
      <c r="C274" s="297" t="s">
        <v>190</v>
      </c>
      <c r="D274" s="296" t="s">
        <v>320</v>
      </c>
      <c r="E274" s="298"/>
      <c r="F274" s="297" t="s">
        <v>321</v>
      </c>
      <c r="G274" s="299">
        <v>880930.85</v>
      </c>
      <c r="H274" s="299">
        <v>0.0</v>
      </c>
      <c r="I274" s="300">
        <v>880930.85</v>
      </c>
      <c r="J274" s="300">
        <v>880930.85</v>
      </c>
      <c r="K274" s="301">
        <v>0.0</v>
      </c>
    </row>
    <row r="275" ht="15.75" customHeight="1">
      <c r="A275" s="286" t="s">
        <v>312</v>
      </c>
      <c r="B275" s="287">
        <v>134.0</v>
      </c>
      <c r="C275" s="286" t="s">
        <v>194</v>
      </c>
      <c r="D275" s="287" t="s">
        <v>549</v>
      </c>
      <c r="E275" s="286" t="s">
        <v>568</v>
      </c>
      <c r="F275" s="286" t="s">
        <v>569</v>
      </c>
      <c r="G275" s="288">
        <v>777145.95</v>
      </c>
      <c r="H275" s="288">
        <v>0.0</v>
      </c>
      <c r="I275" s="289">
        <v>777145.95</v>
      </c>
      <c r="J275" s="290"/>
      <c r="K275" s="7"/>
    </row>
    <row r="276" ht="15.75" customHeight="1">
      <c r="A276" s="291" t="s">
        <v>312</v>
      </c>
      <c r="B276" s="292">
        <v>134.0</v>
      </c>
      <c r="C276" s="291" t="s">
        <v>194</v>
      </c>
      <c r="D276" s="292" t="s">
        <v>549</v>
      </c>
      <c r="E276" s="291" t="s">
        <v>568</v>
      </c>
      <c r="F276" s="291" t="s">
        <v>569</v>
      </c>
      <c r="G276" s="293">
        <v>21001.7</v>
      </c>
      <c r="H276" s="293">
        <v>0.0</v>
      </c>
      <c r="I276" s="294">
        <v>21001.7</v>
      </c>
      <c r="J276" s="295"/>
      <c r="K276" s="7"/>
    </row>
    <row r="277" ht="15.75" customHeight="1">
      <c r="A277" s="286" t="s">
        <v>312</v>
      </c>
      <c r="B277" s="287">
        <v>134.0</v>
      </c>
      <c r="C277" s="286" t="s">
        <v>194</v>
      </c>
      <c r="D277" s="287" t="s">
        <v>549</v>
      </c>
      <c r="E277" s="286"/>
      <c r="F277" s="286" t="s">
        <v>570</v>
      </c>
      <c r="G277" s="288">
        <v>128926.0</v>
      </c>
      <c r="H277" s="288">
        <v>0.0</v>
      </c>
      <c r="I277" s="289">
        <v>128926.0</v>
      </c>
      <c r="J277" s="290"/>
      <c r="K277" s="7"/>
    </row>
    <row r="278" ht="15.75" customHeight="1">
      <c r="A278" s="296" t="s">
        <v>312</v>
      </c>
      <c r="B278" s="296">
        <v>134.0</v>
      </c>
      <c r="C278" s="297" t="s">
        <v>194</v>
      </c>
      <c r="D278" s="296" t="s">
        <v>320</v>
      </c>
      <c r="E278" s="298"/>
      <c r="F278" s="297" t="s">
        <v>321</v>
      </c>
      <c r="G278" s="299">
        <v>927073.6499999999</v>
      </c>
      <c r="H278" s="299">
        <v>0.0</v>
      </c>
      <c r="I278" s="300">
        <v>927073.6499999999</v>
      </c>
      <c r="J278" s="300">
        <v>798147.65</v>
      </c>
      <c r="K278" s="302">
        <v>128925.9999999999</v>
      </c>
    </row>
    <row r="279" ht="15.75" customHeight="1">
      <c r="A279" s="286" t="s">
        <v>312</v>
      </c>
      <c r="B279" s="287">
        <v>135.0</v>
      </c>
      <c r="C279" s="286" t="s">
        <v>196</v>
      </c>
      <c r="D279" s="287" t="s">
        <v>571</v>
      </c>
      <c r="E279" s="286" t="s">
        <v>572</v>
      </c>
      <c r="F279" s="286" t="s">
        <v>573</v>
      </c>
      <c r="G279" s="288">
        <v>91890.0</v>
      </c>
      <c r="H279" s="288">
        <v>0.0</v>
      </c>
      <c r="I279" s="289">
        <v>91890.0</v>
      </c>
      <c r="J279" s="290"/>
      <c r="K279" s="7"/>
    </row>
    <row r="280" ht="15.75" customHeight="1">
      <c r="A280" s="291" t="s">
        <v>312</v>
      </c>
      <c r="B280" s="292">
        <v>135.0</v>
      </c>
      <c r="C280" s="291" t="s">
        <v>196</v>
      </c>
      <c r="D280" s="292" t="s">
        <v>571</v>
      </c>
      <c r="E280" s="291"/>
      <c r="F280" s="291" t="s">
        <v>574</v>
      </c>
      <c r="G280" s="293">
        <v>0.0</v>
      </c>
      <c r="H280" s="293">
        <v>30000.0</v>
      </c>
      <c r="I280" s="294">
        <v>-30000.0</v>
      </c>
      <c r="J280" s="295"/>
      <c r="K280" s="7"/>
    </row>
    <row r="281" ht="15.75" customHeight="1">
      <c r="A281" s="286" t="s">
        <v>312</v>
      </c>
      <c r="B281" s="287">
        <v>135.0</v>
      </c>
      <c r="C281" s="286" t="s">
        <v>196</v>
      </c>
      <c r="D281" s="287" t="s">
        <v>571</v>
      </c>
      <c r="E281" s="286" t="s">
        <v>575</v>
      </c>
      <c r="F281" s="286" t="s">
        <v>576</v>
      </c>
      <c r="G281" s="288">
        <v>29760.0</v>
      </c>
      <c r="H281" s="288">
        <v>0.0</v>
      </c>
      <c r="I281" s="289">
        <v>29760.0</v>
      </c>
      <c r="J281" s="290"/>
      <c r="K281" s="7"/>
    </row>
    <row r="282" ht="15.75" customHeight="1">
      <c r="A282" s="291" t="s">
        <v>312</v>
      </c>
      <c r="B282" s="292">
        <v>135.0</v>
      </c>
      <c r="C282" s="291" t="s">
        <v>196</v>
      </c>
      <c r="D282" s="292" t="s">
        <v>571</v>
      </c>
      <c r="E282" s="291" t="s">
        <v>575</v>
      </c>
      <c r="F282" s="291" t="s">
        <v>576</v>
      </c>
      <c r="G282" s="293">
        <v>180.0</v>
      </c>
      <c r="H282" s="293">
        <v>0.0</v>
      </c>
      <c r="I282" s="294">
        <v>180.0</v>
      </c>
      <c r="J282" s="295"/>
      <c r="K282" s="7"/>
    </row>
    <row r="283" ht="15.75" customHeight="1">
      <c r="A283" s="296" t="s">
        <v>312</v>
      </c>
      <c r="B283" s="296">
        <v>135.0</v>
      </c>
      <c r="C283" s="297" t="s">
        <v>196</v>
      </c>
      <c r="D283" s="296" t="s">
        <v>320</v>
      </c>
      <c r="E283" s="298"/>
      <c r="F283" s="297" t="s">
        <v>321</v>
      </c>
      <c r="G283" s="299">
        <v>121830.0</v>
      </c>
      <c r="H283" s="299">
        <v>30000.0</v>
      </c>
      <c r="I283" s="300">
        <v>91830.0</v>
      </c>
      <c r="J283" s="300">
        <v>-60.0</v>
      </c>
      <c r="K283" s="302">
        <v>91890.0</v>
      </c>
    </row>
    <row r="284" ht="15.75" customHeight="1">
      <c r="A284" s="286" t="s">
        <v>312</v>
      </c>
      <c r="B284" s="287">
        <v>136.0</v>
      </c>
      <c r="C284" s="286" t="s">
        <v>198</v>
      </c>
      <c r="D284" s="287" t="s">
        <v>222</v>
      </c>
      <c r="E284" s="286" t="s">
        <v>577</v>
      </c>
      <c r="F284" s="286" t="s">
        <v>578</v>
      </c>
      <c r="G284" s="288">
        <v>78696.0</v>
      </c>
      <c r="H284" s="288">
        <v>0.0</v>
      </c>
      <c r="I284" s="289">
        <v>78696.0</v>
      </c>
      <c r="J284" s="290"/>
      <c r="K284" s="7"/>
    </row>
    <row r="285" ht="15.75" customHeight="1">
      <c r="A285" s="296" t="s">
        <v>312</v>
      </c>
      <c r="B285" s="296">
        <v>136.0</v>
      </c>
      <c r="C285" s="297" t="s">
        <v>198</v>
      </c>
      <c r="D285" s="296" t="s">
        <v>320</v>
      </c>
      <c r="E285" s="298"/>
      <c r="F285" s="297" t="s">
        <v>321</v>
      </c>
      <c r="G285" s="299">
        <v>78696.0</v>
      </c>
      <c r="H285" s="299">
        <v>0.0</v>
      </c>
      <c r="I285" s="300">
        <v>78696.0</v>
      </c>
      <c r="J285" s="300">
        <v>78696.0</v>
      </c>
      <c r="K285" s="301">
        <v>0.0</v>
      </c>
    </row>
    <row r="286" ht="15.75" customHeight="1">
      <c r="A286" s="286" t="s">
        <v>312</v>
      </c>
      <c r="B286" s="287">
        <v>137.0</v>
      </c>
      <c r="C286" s="286" t="s">
        <v>200</v>
      </c>
      <c r="D286" s="287" t="s">
        <v>222</v>
      </c>
      <c r="E286" s="286"/>
      <c r="F286" s="286" t="s">
        <v>579</v>
      </c>
      <c r="G286" s="288">
        <v>0.0</v>
      </c>
      <c r="H286" s="288">
        <v>242990.0</v>
      </c>
      <c r="I286" s="289">
        <v>-242990.0</v>
      </c>
      <c r="J286" s="290"/>
      <c r="K286" s="7"/>
    </row>
    <row r="287" ht="15.75" customHeight="1">
      <c r="A287" s="291" t="s">
        <v>312</v>
      </c>
      <c r="B287" s="292">
        <v>137.0</v>
      </c>
      <c r="C287" s="291" t="s">
        <v>200</v>
      </c>
      <c r="D287" s="292" t="s">
        <v>222</v>
      </c>
      <c r="E287" s="291"/>
      <c r="F287" s="291" t="s">
        <v>580</v>
      </c>
      <c r="G287" s="293">
        <v>0.04</v>
      </c>
      <c r="H287" s="293">
        <v>0.0</v>
      </c>
      <c r="I287" s="294">
        <v>0.04</v>
      </c>
      <c r="J287" s="295"/>
      <c r="K287" s="7"/>
    </row>
    <row r="288" ht="15.75" customHeight="1">
      <c r="A288" s="286" t="s">
        <v>312</v>
      </c>
      <c r="B288" s="287">
        <v>137.0</v>
      </c>
      <c r="C288" s="286" t="s">
        <v>200</v>
      </c>
      <c r="D288" s="287" t="s">
        <v>222</v>
      </c>
      <c r="E288" s="286"/>
      <c r="F288" s="286" t="s">
        <v>581</v>
      </c>
      <c r="G288" s="288">
        <v>242990.0</v>
      </c>
      <c r="H288" s="288">
        <v>0.0</v>
      </c>
      <c r="I288" s="289">
        <v>242990.0</v>
      </c>
      <c r="J288" s="290"/>
      <c r="K288" s="7"/>
    </row>
    <row r="289" ht="15.75" customHeight="1">
      <c r="A289" s="291" t="s">
        <v>312</v>
      </c>
      <c r="B289" s="292">
        <v>137.0</v>
      </c>
      <c r="C289" s="291" t="s">
        <v>200</v>
      </c>
      <c r="D289" s="292" t="s">
        <v>582</v>
      </c>
      <c r="E289" s="291" t="s">
        <v>583</v>
      </c>
      <c r="F289" s="291" t="s">
        <v>584</v>
      </c>
      <c r="G289" s="293">
        <v>185123.97</v>
      </c>
      <c r="H289" s="293">
        <v>0.0</v>
      </c>
      <c r="I289" s="294">
        <v>185123.97</v>
      </c>
      <c r="J289" s="295"/>
      <c r="K289" s="7"/>
    </row>
    <row r="290" ht="15.75" customHeight="1">
      <c r="A290" s="286" t="s">
        <v>312</v>
      </c>
      <c r="B290" s="287">
        <v>137.0</v>
      </c>
      <c r="C290" s="286" t="s">
        <v>200</v>
      </c>
      <c r="D290" s="287" t="s">
        <v>582</v>
      </c>
      <c r="E290" s="286" t="s">
        <v>438</v>
      </c>
      <c r="F290" s="286" t="s">
        <v>585</v>
      </c>
      <c r="G290" s="288">
        <v>448366.13</v>
      </c>
      <c r="H290" s="288">
        <v>0.0</v>
      </c>
      <c r="I290" s="289">
        <v>448366.13</v>
      </c>
      <c r="J290" s="290"/>
      <c r="K290" s="7"/>
    </row>
    <row r="291" ht="15.75" customHeight="1">
      <c r="A291" s="296" t="s">
        <v>312</v>
      </c>
      <c r="B291" s="296">
        <v>137.0</v>
      </c>
      <c r="C291" s="297" t="s">
        <v>200</v>
      </c>
      <c r="D291" s="296" t="s">
        <v>320</v>
      </c>
      <c r="E291" s="298"/>
      <c r="F291" s="297" t="s">
        <v>321</v>
      </c>
      <c r="G291" s="299">
        <v>876480.14</v>
      </c>
      <c r="H291" s="299">
        <v>242990.0</v>
      </c>
      <c r="I291" s="300">
        <v>633490.14</v>
      </c>
      <c r="J291" s="300">
        <v>1070402.63</v>
      </c>
      <c r="K291" s="302">
        <v>-436912.4899999999</v>
      </c>
    </row>
    <row r="292" ht="15.75" customHeight="1">
      <c r="A292" s="286" t="s">
        <v>312</v>
      </c>
      <c r="B292" s="287">
        <v>138.0</v>
      </c>
      <c r="C292" s="286" t="s">
        <v>202</v>
      </c>
      <c r="D292" s="287" t="s">
        <v>222</v>
      </c>
      <c r="E292" s="286" t="s">
        <v>586</v>
      </c>
      <c r="F292" s="286" t="s">
        <v>587</v>
      </c>
      <c r="G292" s="288">
        <v>30263.0</v>
      </c>
      <c r="H292" s="288">
        <v>0.0</v>
      </c>
      <c r="I292" s="289">
        <v>30263.0</v>
      </c>
      <c r="J292" s="290"/>
      <c r="K292" s="7"/>
    </row>
    <row r="293" ht="15.75" customHeight="1">
      <c r="A293" s="296" t="s">
        <v>312</v>
      </c>
      <c r="B293" s="296">
        <v>138.0</v>
      </c>
      <c r="C293" s="297" t="s">
        <v>202</v>
      </c>
      <c r="D293" s="296" t="s">
        <v>320</v>
      </c>
      <c r="E293" s="298"/>
      <c r="F293" s="297" t="s">
        <v>321</v>
      </c>
      <c r="G293" s="299">
        <v>30263.0</v>
      </c>
      <c r="H293" s="299">
        <v>0.0</v>
      </c>
      <c r="I293" s="300">
        <v>30263.0</v>
      </c>
      <c r="J293" s="300">
        <v>30263.0</v>
      </c>
      <c r="K293" s="301">
        <v>0.0</v>
      </c>
    </row>
    <row r="294" ht="15.75" customHeight="1">
      <c r="A294" s="286" t="s">
        <v>312</v>
      </c>
      <c r="B294" s="287">
        <v>139.0</v>
      </c>
      <c r="C294" s="286" t="s">
        <v>204</v>
      </c>
      <c r="D294" s="287" t="s">
        <v>588</v>
      </c>
      <c r="E294" s="286"/>
      <c r="F294" s="286" t="s">
        <v>589</v>
      </c>
      <c r="G294" s="288">
        <v>108223.17</v>
      </c>
      <c r="H294" s="288">
        <v>0.0</v>
      </c>
      <c r="I294" s="289">
        <v>108223.17</v>
      </c>
      <c r="J294" s="290"/>
      <c r="K294" s="7"/>
    </row>
    <row r="295" ht="15.75" customHeight="1">
      <c r="A295" s="291" t="s">
        <v>312</v>
      </c>
      <c r="B295" s="292">
        <v>139.0</v>
      </c>
      <c r="C295" s="291" t="s">
        <v>204</v>
      </c>
      <c r="D295" s="292" t="s">
        <v>588</v>
      </c>
      <c r="E295" s="291"/>
      <c r="F295" s="291" t="s">
        <v>590</v>
      </c>
      <c r="G295" s="293">
        <v>44676.47</v>
      </c>
      <c r="H295" s="293">
        <v>0.0</v>
      </c>
      <c r="I295" s="294">
        <v>44676.47</v>
      </c>
      <c r="J295" s="295"/>
      <c r="K295" s="7"/>
    </row>
    <row r="296" ht="15.75" customHeight="1">
      <c r="A296" s="286" t="s">
        <v>312</v>
      </c>
      <c r="B296" s="287">
        <v>139.0</v>
      </c>
      <c r="C296" s="286" t="s">
        <v>204</v>
      </c>
      <c r="D296" s="287" t="s">
        <v>588</v>
      </c>
      <c r="E296" s="286"/>
      <c r="F296" s="286" t="s">
        <v>591</v>
      </c>
      <c r="G296" s="288">
        <v>96029.57</v>
      </c>
      <c r="H296" s="288">
        <v>0.0</v>
      </c>
      <c r="I296" s="289">
        <v>96029.57</v>
      </c>
      <c r="J296" s="290"/>
      <c r="K296" s="7"/>
    </row>
    <row r="297" ht="15.75" customHeight="1">
      <c r="A297" s="291" t="s">
        <v>312</v>
      </c>
      <c r="B297" s="292">
        <v>139.0</v>
      </c>
      <c r="C297" s="291" t="s">
        <v>204</v>
      </c>
      <c r="D297" s="292" t="s">
        <v>588</v>
      </c>
      <c r="E297" s="291"/>
      <c r="F297" s="291" t="s">
        <v>592</v>
      </c>
      <c r="G297" s="293">
        <v>118150.72</v>
      </c>
      <c r="H297" s="293">
        <v>0.0</v>
      </c>
      <c r="I297" s="294">
        <v>118150.72</v>
      </c>
      <c r="J297" s="295"/>
      <c r="K297" s="7"/>
    </row>
    <row r="298" ht="15.75" customHeight="1">
      <c r="A298" s="286" t="s">
        <v>312</v>
      </c>
      <c r="B298" s="287">
        <v>139.0</v>
      </c>
      <c r="C298" s="286" t="s">
        <v>204</v>
      </c>
      <c r="D298" s="287" t="s">
        <v>588</v>
      </c>
      <c r="E298" s="286"/>
      <c r="F298" s="286" t="s">
        <v>593</v>
      </c>
      <c r="G298" s="288">
        <v>84273.2</v>
      </c>
      <c r="H298" s="288">
        <v>0.0</v>
      </c>
      <c r="I298" s="289">
        <v>84273.2</v>
      </c>
      <c r="J298" s="290"/>
      <c r="K298" s="7"/>
    </row>
    <row r="299" ht="15.75" customHeight="1">
      <c r="A299" s="291" t="s">
        <v>312</v>
      </c>
      <c r="B299" s="292">
        <v>139.0</v>
      </c>
      <c r="C299" s="291" t="s">
        <v>204</v>
      </c>
      <c r="D299" s="292" t="s">
        <v>588</v>
      </c>
      <c r="E299" s="291"/>
      <c r="F299" s="291" t="s">
        <v>594</v>
      </c>
      <c r="G299" s="293">
        <v>44260.69</v>
      </c>
      <c r="H299" s="293">
        <v>0.0</v>
      </c>
      <c r="I299" s="294">
        <v>44260.69</v>
      </c>
      <c r="J299" s="295"/>
      <c r="K299" s="7"/>
    </row>
    <row r="300" ht="15.75" customHeight="1">
      <c r="A300" s="286" t="s">
        <v>312</v>
      </c>
      <c r="B300" s="287">
        <v>139.0</v>
      </c>
      <c r="C300" s="286" t="s">
        <v>204</v>
      </c>
      <c r="D300" s="287" t="s">
        <v>588</v>
      </c>
      <c r="E300" s="286"/>
      <c r="F300" s="286" t="s">
        <v>595</v>
      </c>
      <c r="G300" s="288">
        <v>144680.0</v>
      </c>
      <c r="H300" s="288">
        <v>0.0</v>
      </c>
      <c r="I300" s="289">
        <v>144680.0</v>
      </c>
      <c r="J300" s="290"/>
      <c r="K300" s="7"/>
    </row>
    <row r="301" ht="15.75" customHeight="1">
      <c r="A301" s="296" t="s">
        <v>312</v>
      </c>
      <c r="B301" s="296">
        <v>139.0</v>
      </c>
      <c r="C301" s="297" t="s">
        <v>204</v>
      </c>
      <c r="D301" s="296" t="s">
        <v>320</v>
      </c>
      <c r="E301" s="298"/>
      <c r="F301" s="297" t="s">
        <v>321</v>
      </c>
      <c r="G301" s="299">
        <v>640293.8200000001</v>
      </c>
      <c r="H301" s="299">
        <v>0.0</v>
      </c>
      <c r="I301" s="300">
        <v>640293.8200000001</v>
      </c>
      <c r="J301" s="300">
        <v>640293.82</v>
      </c>
      <c r="K301" s="301">
        <v>1.164153218269348E-10</v>
      </c>
    </row>
    <row r="302" ht="15.75" customHeight="1">
      <c r="A302" s="286" t="s">
        <v>312</v>
      </c>
      <c r="B302" s="287">
        <v>150.0</v>
      </c>
      <c r="C302" s="286" t="s">
        <v>224</v>
      </c>
      <c r="D302" s="287" t="s">
        <v>596</v>
      </c>
      <c r="E302" s="286" t="s">
        <v>597</v>
      </c>
      <c r="F302" s="286" t="s">
        <v>598</v>
      </c>
      <c r="G302" s="288">
        <v>500000.0</v>
      </c>
      <c r="H302" s="288">
        <v>0.0</v>
      </c>
      <c r="I302" s="289">
        <v>500000.0</v>
      </c>
      <c r="J302" s="290"/>
      <c r="K302" s="7"/>
    </row>
    <row r="303" ht="15.75" customHeight="1">
      <c r="A303" s="291" t="s">
        <v>312</v>
      </c>
      <c r="B303" s="292">
        <v>150.0</v>
      </c>
      <c r="C303" s="291" t="s">
        <v>224</v>
      </c>
      <c r="D303" s="292" t="s">
        <v>596</v>
      </c>
      <c r="E303" s="291" t="s">
        <v>597</v>
      </c>
      <c r="F303" s="291" t="s">
        <v>599</v>
      </c>
      <c r="G303" s="293">
        <v>0.0</v>
      </c>
      <c r="H303" s="293">
        <v>500000.0</v>
      </c>
      <c r="I303" s="294">
        <v>-500000.0</v>
      </c>
      <c r="J303" s="295"/>
      <c r="K303" s="7"/>
    </row>
    <row r="304" ht="15.75" customHeight="1">
      <c r="A304" s="296" t="s">
        <v>312</v>
      </c>
      <c r="B304" s="296">
        <v>150.0</v>
      </c>
      <c r="C304" s="297" t="s">
        <v>224</v>
      </c>
      <c r="D304" s="296" t="s">
        <v>320</v>
      </c>
      <c r="E304" s="298"/>
      <c r="F304" s="297" t="s">
        <v>321</v>
      </c>
      <c r="G304" s="299">
        <v>500000.0</v>
      </c>
      <c r="H304" s="299">
        <v>500000.0</v>
      </c>
      <c r="I304" s="300">
        <v>0.0</v>
      </c>
      <c r="J304" s="300">
        <v>0.0</v>
      </c>
      <c r="K304" s="301">
        <v>0.0</v>
      </c>
    </row>
    <row r="305" ht="15.75" customHeight="1">
      <c r="A305" s="286" t="s">
        <v>312</v>
      </c>
      <c r="B305" s="287">
        <v>152.0</v>
      </c>
      <c r="C305" s="286" t="s">
        <v>226</v>
      </c>
      <c r="D305" s="287" t="s">
        <v>600</v>
      </c>
      <c r="E305" s="286"/>
      <c r="F305" s="286" t="s">
        <v>601</v>
      </c>
      <c r="G305" s="288">
        <v>1.384723965E7</v>
      </c>
      <c r="H305" s="288">
        <v>0.0</v>
      </c>
      <c r="I305" s="289">
        <v>1.384723965E7</v>
      </c>
      <c r="J305" s="290"/>
      <c r="K305" s="7"/>
    </row>
    <row r="306" ht="15.75" customHeight="1">
      <c r="A306" s="296" t="s">
        <v>312</v>
      </c>
      <c r="B306" s="296">
        <v>152.0</v>
      </c>
      <c r="C306" s="297" t="s">
        <v>226</v>
      </c>
      <c r="D306" s="296" t="s">
        <v>320</v>
      </c>
      <c r="E306" s="298"/>
      <c r="F306" s="297" t="s">
        <v>321</v>
      </c>
      <c r="G306" s="299">
        <v>1.384723965E7</v>
      </c>
      <c r="H306" s="299">
        <v>0.0</v>
      </c>
      <c r="I306" s="300">
        <v>1.384723965E7</v>
      </c>
      <c r="J306" s="300">
        <v>1.384723965E7</v>
      </c>
      <c r="K306" s="301">
        <v>0.0</v>
      </c>
    </row>
    <row r="307" ht="15.75" customHeight="1">
      <c r="A307" s="286" t="s">
        <v>312</v>
      </c>
      <c r="B307" s="287">
        <v>158.0</v>
      </c>
      <c r="C307" s="286" t="s">
        <v>229</v>
      </c>
      <c r="D307" s="287" t="s">
        <v>602</v>
      </c>
      <c r="E307" s="286"/>
      <c r="F307" s="286" t="s">
        <v>603</v>
      </c>
      <c r="G307" s="288">
        <v>0.0</v>
      </c>
      <c r="H307" s="288">
        <v>2.14E8</v>
      </c>
      <c r="I307" s="289">
        <v>-2.14E8</v>
      </c>
      <c r="J307" s="290"/>
      <c r="K307" s="7"/>
    </row>
    <row r="308" ht="15.75" customHeight="1">
      <c r="A308" s="291" t="s">
        <v>312</v>
      </c>
      <c r="B308" s="292">
        <v>158.0</v>
      </c>
      <c r="C308" s="291" t="s">
        <v>229</v>
      </c>
      <c r="D308" s="292" t="s">
        <v>602</v>
      </c>
      <c r="E308" s="291" t="s">
        <v>604</v>
      </c>
      <c r="F308" s="291" t="s">
        <v>605</v>
      </c>
      <c r="G308" s="293">
        <v>2.1279721024E8</v>
      </c>
      <c r="H308" s="293">
        <v>0.0</v>
      </c>
      <c r="I308" s="294">
        <v>2.1279721024E8</v>
      </c>
      <c r="J308" s="295"/>
      <c r="K308" s="7"/>
    </row>
    <row r="309" ht="15.75" customHeight="1">
      <c r="A309" s="286" t="s">
        <v>312</v>
      </c>
      <c r="B309" s="287">
        <v>158.0</v>
      </c>
      <c r="C309" s="286" t="s">
        <v>229</v>
      </c>
      <c r="D309" s="287" t="s">
        <v>602</v>
      </c>
      <c r="E309" s="286"/>
      <c r="F309" s="286" t="s">
        <v>606</v>
      </c>
      <c r="G309" s="288">
        <v>2.15E8</v>
      </c>
      <c r="H309" s="288">
        <v>0.0</v>
      </c>
      <c r="I309" s="289">
        <v>2.15E8</v>
      </c>
      <c r="J309" s="290"/>
      <c r="K309" s="7"/>
    </row>
    <row r="310" ht="15.75" customHeight="1">
      <c r="A310" s="296" t="s">
        <v>312</v>
      </c>
      <c r="B310" s="296">
        <v>158.0</v>
      </c>
      <c r="C310" s="297" t="s">
        <v>229</v>
      </c>
      <c r="D310" s="296" t="s">
        <v>320</v>
      </c>
      <c r="E310" s="298"/>
      <c r="F310" s="297" t="s">
        <v>321</v>
      </c>
      <c r="G310" s="299">
        <v>4.2779721024E8</v>
      </c>
      <c r="H310" s="299">
        <v>2.14E8</v>
      </c>
      <c r="I310" s="300">
        <v>2.1379721024E8</v>
      </c>
      <c r="J310" s="300">
        <v>3.294642388E8</v>
      </c>
      <c r="K310" s="302">
        <v>-1.1566702856E8</v>
      </c>
    </row>
    <row r="311" ht="15.75" customHeight="1">
      <c r="A311" s="286" t="s">
        <v>312</v>
      </c>
      <c r="B311" s="287">
        <v>164.0</v>
      </c>
      <c r="C311" s="286" t="s">
        <v>238</v>
      </c>
      <c r="D311" s="287" t="s">
        <v>607</v>
      </c>
      <c r="E311" s="286"/>
      <c r="F311" s="286" t="s">
        <v>608</v>
      </c>
      <c r="G311" s="288">
        <v>0.0</v>
      </c>
      <c r="H311" s="288">
        <v>1.5E8</v>
      </c>
      <c r="I311" s="289">
        <v>-1.5E8</v>
      </c>
      <c r="J311" s="290"/>
      <c r="K311" s="7"/>
    </row>
    <row r="312" ht="15.75" customHeight="1">
      <c r="A312" s="291" t="s">
        <v>312</v>
      </c>
      <c r="B312" s="292">
        <v>164.0</v>
      </c>
      <c r="C312" s="291" t="s">
        <v>238</v>
      </c>
      <c r="D312" s="292" t="s">
        <v>607</v>
      </c>
      <c r="E312" s="291" t="s">
        <v>604</v>
      </c>
      <c r="F312" s="291" t="s">
        <v>609</v>
      </c>
      <c r="G312" s="293">
        <v>1.5E8</v>
      </c>
      <c r="H312" s="293">
        <v>0.0</v>
      </c>
      <c r="I312" s="294">
        <v>1.5E8</v>
      </c>
      <c r="J312" s="295"/>
      <c r="K312" s="7"/>
    </row>
    <row r="313" ht="15.75" customHeight="1">
      <c r="A313" s="286" t="s">
        <v>312</v>
      </c>
      <c r="B313" s="287">
        <v>164.0</v>
      </c>
      <c r="C313" s="286" t="s">
        <v>238</v>
      </c>
      <c r="D313" s="287" t="s">
        <v>607</v>
      </c>
      <c r="E313" s="286" t="s">
        <v>604</v>
      </c>
      <c r="F313" s="286" t="s">
        <v>610</v>
      </c>
      <c r="G313" s="288">
        <v>1.5E8</v>
      </c>
      <c r="H313" s="288">
        <v>0.0</v>
      </c>
      <c r="I313" s="289">
        <v>1.5E8</v>
      </c>
      <c r="J313" s="290"/>
      <c r="K313" s="7"/>
    </row>
    <row r="314" ht="15.75" customHeight="1">
      <c r="A314" s="296" t="s">
        <v>312</v>
      </c>
      <c r="B314" s="296">
        <v>164.0</v>
      </c>
      <c r="C314" s="297" t="s">
        <v>238</v>
      </c>
      <c r="D314" s="296" t="s">
        <v>320</v>
      </c>
      <c r="E314" s="298"/>
      <c r="F314" s="297" t="s">
        <v>321</v>
      </c>
      <c r="G314" s="299">
        <v>3.0E8</v>
      </c>
      <c r="H314" s="299">
        <v>1.5E8</v>
      </c>
      <c r="I314" s="300">
        <v>1.5E8</v>
      </c>
      <c r="J314" s="300">
        <v>2.276722824E7</v>
      </c>
      <c r="K314" s="302">
        <v>1.2723277176E8</v>
      </c>
    </row>
    <row r="315" ht="15.75" customHeight="1">
      <c r="A315" s="286" t="s">
        <v>312</v>
      </c>
      <c r="B315" s="287">
        <v>174.0</v>
      </c>
      <c r="C315" s="286" t="s">
        <v>248</v>
      </c>
      <c r="D315" s="287" t="s">
        <v>534</v>
      </c>
      <c r="E315" s="286" t="s">
        <v>611</v>
      </c>
      <c r="F315" s="286" t="s">
        <v>612</v>
      </c>
      <c r="G315" s="288">
        <v>67750.0</v>
      </c>
      <c r="H315" s="288">
        <v>0.0</v>
      </c>
      <c r="I315" s="289">
        <v>67750.0</v>
      </c>
      <c r="J315" s="290"/>
      <c r="K315" s="7"/>
    </row>
    <row r="316" ht="15.75" customHeight="1">
      <c r="A316" s="296" t="s">
        <v>312</v>
      </c>
      <c r="B316" s="296">
        <v>174.0</v>
      </c>
      <c r="C316" s="297" t="s">
        <v>248</v>
      </c>
      <c r="D316" s="296" t="s">
        <v>320</v>
      </c>
      <c r="E316" s="298"/>
      <c r="F316" s="297" t="s">
        <v>321</v>
      </c>
      <c r="G316" s="299">
        <v>67750.0</v>
      </c>
      <c r="H316" s="299">
        <v>0.0</v>
      </c>
      <c r="I316" s="300">
        <v>67750.0</v>
      </c>
      <c r="J316" s="300">
        <v>67750.0</v>
      </c>
      <c r="K316" s="301">
        <v>0.0</v>
      </c>
    </row>
    <row r="317" ht="15.75" customHeight="1">
      <c r="A317" s="286" t="s">
        <v>312</v>
      </c>
      <c r="B317" s="287">
        <v>176.0</v>
      </c>
      <c r="C317" s="286" t="s">
        <v>250</v>
      </c>
      <c r="D317" s="287" t="s">
        <v>613</v>
      </c>
      <c r="E317" s="286" t="s">
        <v>614</v>
      </c>
      <c r="F317" s="286" t="s">
        <v>615</v>
      </c>
      <c r="G317" s="288">
        <v>26025.12</v>
      </c>
      <c r="H317" s="288">
        <v>0.0</v>
      </c>
      <c r="I317" s="289">
        <v>26025.12</v>
      </c>
      <c r="J317" s="290"/>
      <c r="K317" s="7"/>
    </row>
    <row r="318" ht="15.75" customHeight="1">
      <c r="A318" s="291" t="s">
        <v>312</v>
      </c>
      <c r="B318" s="292">
        <v>176.0</v>
      </c>
      <c r="C318" s="291" t="s">
        <v>250</v>
      </c>
      <c r="D318" s="292" t="s">
        <v>613</v>
      </c>
      <c r="E318" s="291" t="s">
        <v>616</v>
      </c>
      <c r="F318" s="291"/>
      <c r="G318" s="293">
        <v>128583.07</v>
      </c>
      <c r="H318" s="293">
        <v>0.0</v>
      </c>
      <c r="I318" s="294">
        <v>128583.07</v>
      </c>
      <c r="J318" s="295"/>
      <c r="K318" s="7"/>
    </row>
    <row r="319" ht="15.75" customHeight="1">
      <c r="A319" s="286" t="s">
        <v>312</v>
      </c>
      <c r="B319" s="287">
        <v>176.0</v>
      </c>
      <c r="C319" s="286" t="s">
        <v>250</v>
      </c>
      <c r="D319" s="287" t="s">
        <v>613</v>
      </c>
      <c r="E319" s="286" t="s">
        <v>428</v>
      </c>
      <c r="F319" s="286" t="s">
        <v>617</v>
      </c>
      <c r="G319" s="288">
        <v>0.0</v>
      </c>
      <c r="H319" s="288">
        <v>14520.0</v>
      </c>
      <c r="I319" s="289">
        <v>-14520.0</v>
      </c>
      <c r="J319" s="290"/>
      <c r="K319" s="7"/>
    </row>
    <row r="320" ht="15.75" customHeight="1">
      <c r="A320" s="296" t="s">
        <v>312</v>
      </c>
      <c r="B320" s="296">
        <v>176.0</v>
      </c>
      <c r="C320" s="297" t="s">
        <v>250</v>
      </c>
      <c r="D320" s="296" t="s">
        <v>320</v>
      </c>
      <c r="E320" s="298"/>
      <c r="F320" s="297" t="s">
        <v>321</v>
      </c>
      <c r="G320" s="299">
        <v>154608.19</v>
      </c>
      <c r="H320" s="299">
        <v>14520.0</v>
      </c>
      <c r="I320" s="300">
        <v>140088.19</v>
      </c>
      <c r="J320" s="300">
        <v>140088.0</v>
      </c>
      <c r="K320" s="301">
        <v>0.1900000000023283</v>
      </c>
    </row>
    <row r="321" ht="15.75" customHeight="1">
      <c r="A321" s="286" t="s">
        <v>312</v>
      </c>
      <c r="B321" s="287">
        <v>178.0</v>
      </c>
      <c r="C321" s="286" t="s">
        <v>251</v>
      </c>
      <c r="D321" s="287" t="s">
        <v>618</v>
      </c>
      <c r="E321" s="286"/>
      <c r="F321" s="286" t="s">
        <v>619</v>
      </c>
      <c r="G321" s="288">
        <v>0.0</v>
      </c>
      <c r="H321" s="288">
        <v>5.034469922E7</v>
      </c>
      <c r="I321" s="289">
        <v>-5.034469922E7</v>
      </c>
      <c r="J321" s="290"/>
      <c r="K321" s="7"/>
    </row>
    <row r="322" ht="15.75" customHeight="1">
      <c r="A322" s="291" t="s">
        <v>312</v>
      </c>
      <c r="B322" s="292">
        <v>178.0</v>
      </c>
      <c r="C322" s="291" t="s">
        <v>251</v>
      </c>
      <c r="D322" s="292" t="s">
        <v>620</v>
      </c>
      <c r="E322" s="291"/>
      <c r="F322" s="291" t="s">
        <v>621</v>
      </c>
      <c r="G322" s="293">
        <v>4456889.85</v>
      </c>
      <c r="H322" s="293">
        <v>0.0</v>
      </c>
      <c r="I322" s="294">
        <v>4456889.85</v>
      </c>
      <c r="J322" s="295"/>
      <c r="K322" s="7"/>
    </row>
    <row r="323" ht="15.75" customHeight="1">
      <c r="A323" s="286" t="s">
        <v>312</v>
      </c>
      <c r="B323" s="287">
        <v>178.0</v>
      </c>
      <c r="C323" s="286" t="s">
        <v>251</v>
      </c>
      <c r="D323" s="287" t="s">
        <v>622</v>
      </c>
      <c r="E323" s="286"/>
      <c r="F323" s="286" t="s">
        <v>623</v>
      </c>
      <c r="G323" s="288">
        <v>0.0</v>
      </c>
      <c r="H323" s="288">
        <v>1.922E8</v>
      </c>
      <c r="I323" s="289">
        <v>-1.922E8</v>
      </c>
      <c r="J323" s="290"/>
      <c r="K323" s="7"/>
    </row>
    <row r="324" ht="15.75" customHeight="1">
      <c r="A324" s="296" t="s">
        <v>312</v>
      </c>
      <c r="B324" s="296">
        <v>178.0</v>
      </c>
      <c r="C324" s="297" t="s">
        <v>251</v>
      </c>
      <c r="D324" s="296" t="s">
        <v>320</v>
      </c>
      <c r="E324" s="298"/>
      <c r="F324" s="297" t="s">
        <v>321</v>
      </c>
      <c r="G324" s="299">
        <v>4456889.85</v>
      </c>
      <c r="H324" s="299">
        <v>2.4254469922E8</v>
      </c>
      <c r="I324" s="300">
        <v>-2.3808780937E8</v>
      </c>
      <c r="J324" s="300">
        <v>-2.3808780937E8</v>
      </c>
      <c r="K324" s="301">
        <v>0.0</v>
      </c>
    </row>
    <row r="325" ht="15.75" customHeight="1">
      <c r="A325" s="286" t="s">
        <v>312</v>
      </c>
      <c r="B325" s="287">
        <v>182.0</v>
      </c>
      <c r="C325" s="286" t="s">
        <v>255</v>
      </c>
      <c r="D325" s="287" t="s">
        <v>624</v>
      </c>
      <c r="E325" s="286"/>
      <c r="F325" s="286" t="s">
        <v>625</v>
      </c>
      <c r="G325" s="288">
        <v>1.2622308E7</v>
      </c>
      <c r="H325" s="288">
        <v>0.0</v>
      </c>
      <c r="I325" s="289">
        <v>1.2622308E7</v>
      </c>
      <c r="J325" s="290"/>
      <c r="K325" s="7"/>
    </row>
    <row r="326" ht="15.75" customHeight="1">
      <c r="A326" s="296" t="s">
        <v>312</v>
      </c>
      <c r="B326" s="296">
        <v>182.0</v>
      </c>
      <c r="C326" s="297" t="s">
        <v>255</v>
      </c>
      <c r="D326" s="296" t="s">
        <v>320</v>
      </c>
      <c r="E326" s="298"/>
      <c r="F326" s="297" t="s">
        <v>321</v>
      </c>
      <c r="G326" s="299">
        <v>1.2622308E7</v>
      </c>
      <c r="H326" s="299">
        <v>0.0</v>
      </c>
      <c r="I326" s="300">
        <v>1.2622308E7</v>
      </c>
      <c r="J326" s="300">
        <v>1.530842568E7</v>
      </c>
      <c r="K326" s="302">
        <v>-2686117.68</v>
      </c>
    </row>
    <row r="327" ht="15.75" customHeight="1">
      <c r="A327" s="286" t="s">
        <v>312</v>
      </c>
      <c r="B327" s="287">
        <v>184.0</v>
      </c>
      <c r="C327" s="286" t="s">
        <v>256</v>
      </c>
      <c r="D327" s="287" t="s">
        <v>626</v>
      </c>
      <c r="E327" s="286"/>
      <c r="F327" s="286" t="s">
        <v>627</v>
      </c>
      <c r="G327" s="288">
        <v>4.8831942945E8</v>
      </c>
      <c r="H327" s="288">
        <v>0.0</v>
      </c>
      <c r="I327" s="289">
        <v>4.8831942945E8</v>
      </c>
      <c r="J327" s="290"/>
      <c r="K327" s="7"/>
    </row>
    <row r="328" ht="15.75" customHeight="1">
      <c r="A328" s="296" t="s">
        <v>312</v>
      </c>
      <c r="B328" s="296">
        <v>184.0</v>
      </c>
      <c r="C328" s="297" t="s">
        <v>256</v>
      </c>
      <c r="D328" s="296" t="s">
        <v>320</v>
      </c>
      <c r="E328" s="298"/>
      <c r="F328" s="297" t="s">
        <v>321</v>
      </c>
      <c r="G328" s="299">
        <v>4.8831942945E8</v>
      </c>
      <c r="H328" s="299">
        <v>0.0</v>
      </c>
      <c r="I328" s="300">
        <v>4.8831942945E8</v>
      </c>
      <c r="J328" s="300">
        <v>4.8831942945E8</v>
      </c>
      <c r="K328" s="301">
        <v>0.0</v>
      </c>
    </row>
    <row r="329" ht="15.75" customHeight="1">
      <c r="A329" s="286" t="s">
        <v>628</v>
      </c>
      <c r="B329" s="287">
        <v>8.0</v>
      </c>
      <c r="C329" s="286" t="s">
        <v>10</v>
      </c>
      <c r="D329" s="287" t="s">
        <v>313</v>
      </c>
      <c r="E329" s="286" t="s">
        <v>314</v>
      </c>
      <c r="F329" s="286" t="s">
        <v>629</v>
      </c>
      <c r="G329" s="288">
        <v>0.0</v>
      </c>
      <c r="H329" s="288">
        <v>2.5665427329E8</v>
      </c>
      <c r="I329" s="289">
        <v>-2.5665427329E8</v>
      </c>
      <c r="J329" s="290"/>
      <c r="K329" s="7"/>
    </row>
    <row r="330" ht="15.75" customHeight="1">
      <c r="A330" s="291" t="s">
        <v>628</v>
      </c>
      <c r="B330" s="292">
        <v>8.0</v>
      </c>
      <c r="C330" s="291" t="s">
        <v>10</v>
      </c>
      <c r="D330" s="292" t="s">
        <v>313</v>
      </c>
      <c r="E330" s="291"/>
      <c r="F330" s="291" t="s">
        <v>316</v>
      </c>
      <c r="G330" s="293">
        <v>2.5665427329E8</v>
      </c>
      <c r="H330" s="293">
        <v>0.0</v>
      </c>
      <c r="I330" s="294">
        <v>2.5665427329E8</v>
      </c>
      <c r="J330" s="295"/>
      <c r="K330" s="7"/>
    </row>
    <row r="331" ht="15.75" customHeight="1">
      <c r="A331" s="286" t="s">
        <v>628</v>
      </c>
      <c r="B331" s="287">
        <v>8.0</v>
      </c>
      <c r="C331" s="286" t="s">
        <v>10</v>
      </c>
      <c r="D331" s="287" t="s">
        <v>313</v>
      </c>
      <c r="E331" s="286"/>
      <c r="F331" s="286" t="s">
        <v>630</v>
      </c>
      <c r="G331" s="288">
        <v>2.542103025E8</v>
      </c>
      <c r="H331" s="288">
        <v>0.0</v>
      </c>
      <c r="I331" s="289">
        <v>2.542103025E8</v>
      </c>
      <c r="J331" s="290"/>
      <c r="K331" s="7"/>
    </row>
    <row r="332" ht="15.75" customHeight="1">
      <c r="A332" s="291" t="s">
        <v>628</v>
      </c>
      <c r="B332" s="292">
        <v>8.0</v>
      </c>
      <c r="C332" s="291" t="s">
        <v>10</v>
      </c>
      <c r="D332" s="292" t="s">
        <v>313</v>
      </c>
      <c r="E332" s="291"/>
      <c r="F332" s="291" t="s">
        <v>319</v>
      </c>
      <c r="G332" s="293">
        <v>0.0</v>
      </c>
      <c r="H332" s="293">
        <v>2.5040786894E8</v>
      </c>
      <c r="I332" s="294">
        <v>-2.5040786894E8</v>
      </c>
      <c r="J332" s="295"/>
      <c r="K332" s="7"/>
    </row>
    <row r="333" ht="15.75" customHeight="1">
      <c r="A333" s="286" t="s">
        <v>628</v>
      </c>
      <c r="B333" s="287">
        <v>8.0</v>
      </c>
      <c r="C333" s="286" t="s">
        <v>10</v>
      </c>
      <c r="D333" s="287" t="s">
        <v>313</v>
      </c>
      <c r="E333" s="286"/>
      <c r="F333" s="286" t="s">
        <v>631</v>
      </c>
      <c r="G333" s="288">
        <v>0.0</v>
      </c>
      <c r="H333" s="288">
        <v>2.2413265E8</v>
      </c>
      <c r="I333" s="289">
        <v>-2.2413265E8</v>
      </c>
      <c r="J333" s="290"/>
      <c r="K333" s="7"/>
    </row>
    <row r="334" ht="15.75" customHeight="1">
      <c r="A334" s="296" t="s">
        <v>628</v>
      </c>
      <c r="B334" s="296">
        <v>8.0</v>
      </c>
      <c r="C334" s="297" t="s">
        <v>10</v>
      </c>
      <c r="D334" s="296" t="s">
        <v>320</v>
      </c>
      <c r="E334" s="298"/>
      <c r="F334" s="297" t="s">
        <v>321</v>
      </c>
      <c r="G334" s="299">
        <v>5.1086457579E8</v>
      </c>
      <c r="H334" s="299">
        <v>7.3119479223E8</v>
      </c>
      <c r="I334" s="300">
        <v>-2.2033021644E8</v>
      </c>
      <c r="J334" s="300">
        <v>2.2033021644E8</v>
      </c>
      <c r="K334" s="301">
        <v>0.0</v>
      </c>
    </row>
    <row r="335" ht="15.75" customHeight="1">
      <c r="A335" s="286" t="s">
        <v>628</v>
      </c>
      <c r="B335" s="287">
        <v>9.0</v>
      </c>
      <c r="C335" s="286" t="s">
        <v>11</v>
      </c>
      <c r="D335" s="287" t="s">
        <v>313</v>
      </c>
      <c r="E335" s="286" t="s">
        <v>314</v>
      </c>
      <c r="F335" s="286" t="s">
        <v>632</v>
      </c>
      <c r="G335" s="288">
        <v>0.0</v>
      </c>
      <c r="H335" s="288">
        <v>3.438180111E7</v>
      </c>
      <c r="I335" s="289">
        <v>-3.438180111E7</v>
      </c>
      <c r="J335" s="290"/>
      <c r="K335" s="7"/>
    </row>
    <row r="336" ht="15.75" customHeight="1">
      <c r="A336" s="291" t="s">
        <v>628</v>
      </c>
      <c r="B336" s="292">
        <v>9.0</v>
      </c>
      <c r="C336" s="291" t="s">
        <v>11</v>
      </c>
      <c r="D336" s="292" t="s">
        <v>313</v>
      </c>
      <c r="E336" s="291"/>
      <c r="F336" s="291" t="s">
        <v>324</v>
      </c>
      <c r="G336" s="293">
        <v>3.438180111E7</v>
      </c>
      <c r="H336" s="293">
        <v>0.0</v>
      </c>
      <c r="I336" s="294">
        <v>3.438180111E7</v>
      </c>
      <c r="J336" s="295"/>
      <c r="K336" s="7"/>
    </row>
    <row r="337" ht="15.75" customHeight="1">
      <c r="A337" s="286" t="s">
        <v>628</v>
      </c>
      <c r="B337" s="287">
        <v>9.0</v>
      </c>
      <c r="C337" s="286" t="s">
        <v>11</v>
      </c>
      <c r="D337" s="287" t="s">
        <v>313</v>
      </c>
      <c r="E337" s="286"/>
      <c r="F337" s="286" t="s">
        <v>633</v>
      </c>
      <c r="G337" s="288">
        <v>3.081337E7</v>
      </c>
      <c r="H337" s="288">
        <v>0.0</v>
      </c>
      <c r="I337" s="289">
        <v>3.081337E7</v>
      </c>
      <c r="J337" s="290"/>
      <c r="K337" s="7"/>
    </row>
    <row r="338" ht="15.75" customHeight="1">
      <c r="A338" s="291" t="s">
        <v>628</v>
      </c>
      <c r="B338" s="292">
        <v>9.0</v>
      </c>
      <c r="C338" s="291" t="s">
        <v>11</v>
      </c>
      <c r="D338" s="292" t="s">
        <v>313</v>
      </c>
      <c r="E338" s="291"/>
      <c r="F338" s="291" t="s">
        <v>326</v>
      </c>
      <c r="G338" s="293">
        <v>0.0</v>
      </c>
      <c r="H338" s="293">
        <v>3.41134579E7</v>
      </c>
      <c r="I338" s="294">
        <v>-3.41134579E7</v>
      </c>
      <c r="J338" s="295"/>
      <c r="K338" s="7"/>
    </row>
    <row r="339" ht="15.75" customHeight="1">
      <c r="A339" s="286" t="s">
        <v>628</v>
      </c>
      <c r="B339" s="287">
        <v>9.0</v>
      </c>
      <c r="C339" s="286" t="s">
        <v>11</v>
      </c>
      <c r="D339" s="287" t="s">
        <v>313</v>
      </c>
      <c r="E339" s="286"/>
      <c r="F339" s="286" t="s">
        <v>634</v>
      </c>
      <c r="G339" s="288">
        <v>0.0</v>
      </c>
      <c r="H339" s="288">
        <v>3.042040392E7</v>
      </c>
      <c r="I339" s="289">
        <v>-3.042040392E7</v>
      </c>
      <c r="J339" s="290"/>
      <c r="K339" s="7"/>
    </row>
    <row r="340" ht="15.75" customHeight="1">
      <c r="A340" s="296" t="s">
        <v>628</v>
      </c>
      <c r="B340" s="296">
        <v>9.0</v>
      </c>
      <c r="C340" s="297" t="s">
        <v>11</v>
      </c>
      <c r="D340" s="296" t="s">
        <v>320</v>
      </c>
      <c r="E340" s="298"/>
      <c r="F340" s="297" t="s">
        <v>321</v>
      </c>
      <c r="G340" s="299">
        <v>6.519517111E7</v>
      </c>
      <c r="H340" s="299">
        <v>9.891566293E7</v>
      </c>
      <c r="I340" s="300">
        <v>-3.372049182E7</v>
      </c>
      <c r="J340" s="300">
        <v>3.372049182125E7</v>
      </c>
      <c r="K340" s="301">
        <v>-0.001249998807907104</v>
      </c>
    </row>
    <row r="341" ht="15.75" customHeight="1">
      <c r="A341" s="286" t="s">
        <v>628</v>
      </c>
      <c r="B341" s="287">
        <v>10.0</v>
      </c>
      <c r="C341" s="286" t="s">
        <v>12</v>
      </c>
      <c r="D341" s="287" t="s">
        <v>313</v>
      </c>
      <c r="E341" s="286" t="s">
        <v>314</v>
      </c>
      <c r="F341" s="286" t="s">
        <v>635</v>
      </c>
      <c r="G341" s="288">
        <v>0.0</v>
      </c>
      <c r="H341" s="288">
        <v>1.4355489203E8</v>
      </c>
      <c r="I341" s="289">
        <v>-1.4355489203E8</v>
      </c>
      <c r="J341" s="290"/>
      <c r="K341" s="7"/>
    </row>
    <row r="342" ht="15.75" customHeight="1">
      <c r="A342" s="291" t="s">
        <v>628</v>
      </c>
      <c r="B342" s="292">
        <v>10.0</v>
      </c>
      <c r="C342" s="291" t="s">
        <v>12</v>
      </c>
      <c r="D342" s="292" t="s">
        <v>313</v>
      </c>
      <c r="E342" s="291"/>
      <c r="F342" s="291" t="s">
        <v>329</v>
      </c>
      <c r="G342" s="293">
        <v>1.4355489203E8</v>
      </c>
      <c r="H342" s="293">
        <v>0.0</v>
      </c>
      <c r="I342" s="294">
        <v>1.4355489203E8</v>
      </c>
      <c r="J342" s="295"/>
      <c r="K342" s="7"/>
    </row>
    <row r="343" ht="15.75" customHeight="1">
      <c r="A343" s="286" t="s">
        <v>628</v>
      </c>
      <c r="B343" s="287">
        <v>10.0</v>
      </c>
      <c r="C343" s="286" t="s">
        <v>12</v>
      </c>
      <c r="D343" s="287" t="s">
        <v>313</v>
      </c>
      <c r="E343" s="286"/>
      <c r="F343" s="286" t="s">
        <v>636</v>
      </c>
      <c r="G343" s="288">
        <v>1.26347606E8</v>
      </c>
      <c r="H343" s="288">
        <v>0.0</v>
      </c>
      <c r="I343" s="289">
        <v>1.26347606E8</v>
      </c>
      <c r="J343" s="290"/>
      <c r="K343" s="7"/>
    </row>
    <row r="344" ht="15.75" customHeight="1">
      <c r="A344" s="291" t="s">
        <v>628</v>
      </c>
      <c r="B344" s="292">
        <v>10.0</v>
      </c>
      <c r="C344" s="291" t="s">
        <v>12</v>
      </c>
      <c r="D344" s="292" t="s">
        <v>313</v>
      </c>
      <c r="E344" s="291"/>
      <c r="F344" s="291" t="s">
        <v>331</v>
      </c>
      <c r="G344" s="293">
        <v>0.0</v>
      </c>
      <c r="H344" s="293">
        <v>1.3969505316E8</v>
      </c>
      <c r="I344" s="294">
        <v>-1.3969505316E8</v>
      </c>
      <c r="J344" s="295"/>
      <c r="K344" s="7"/>
    </row>
    <row r="345" ht="15.75" customHeight="1">
      <c r="A345" s="286" t="s">
        <v>628</v>
      </c>
      <c r="B345" s="287">
        <v>10.0</v>
      </c>
      <c r="C345" s="286" t="s">
        <v>12</v>
      </c>
      <c r="D345" s="287" t="s">
        <v>313</v>
      </c>
      <c r="E345" s="286"/>
      <c r="F345" s="286" t="s">
        <v>637</v>
      </c>
      <c r="G345" s="288">
        <v>0.0</v>
      </c>
      <c r="H345" s="288">
        <v>1.287013575E8</v>
      </c>
      <c r="I345" s="289">
        <v>-1.287013575E8</v>
      </c>
      <c r="J345" s="290"/>
      <c r="K345" s="7"/>
    </row>
    <row r="346" ht="15.75" customHeight="1">
      <c r="A346" s="296" t="s">
        <v>628</v>
      </c>
      <c r="B346" s="296">
        <v>10.0</v>
      </c>
      <c r="C346" s="297" t="s">
        <v>12</v>
      </c>
      <c r="D346" s="296" t="s">
        <v>320</v>
      </c>
      <c r="E346" s="298"/>
      <c r="F346" s="297" t="s">
        <v>321</v>
      </c>
      <c r="G346" s="299">
        <v>2.6990249803E8</v>
      </c>
      <c r="H346" s="299">
        <v>4.1195130269E8</v>
      </c>
      <c r="I346" s="300">
        <v>-1.4204880466E8</v>
      </c>
      <c r="J346" s="300">
        <v>1.4204880466E8</v>
      </c>
      <c r="K346" s="301">
        <v>0.0</v>
      </c>
    </row>
    <row r="347" ht="15.75" customHeight="1">
      <c r="A347" s="286" t="s">
        <v>628</v>
      </c>
      <c r="B347" s="287">
        <v>11.0</v>
      </c>
      <c r="C347" s="286" t="s">
        <v>13</v>
      </c>
      <c r="D347" s="287" t="s">
        <v>313</v>
      </c>
      <c r="E347" s="286" t="s">
        <v>314</v>
      </c>
      <c r="F347" s="286" t="s">
        <v>638</v>
      </c>
      <c r="G347" s="288">
        <v>0.0</v>
      </c>
      <c r="H347" s="288">
        <v>1.442246568E7</v>
      </c>
      <c r="I347" s="289">
        <v>-1.442246568E7</v>
      </c>
      <c r="J347" s="290"/>
      <c r="K347" s="7"/>
    </row>
    <row r="348" ht="15.75" customHeight="1">
      <c r="A348" s="291" t="s">
        <v>628</v>
      </c>
      <c r="B348" s="292">
        <v>11.0</v>
      </c>
      <c r="C348" s="291" t="s">
        <v>13</v>
      </c>
      <c r="D348" s="292" t="s">
        <v>313</v>
      </c>
      <c r="E348" s="291"/>
      <c r="F348" s="291" t="s">
        <v>333</v>
      </c>
      <c r="G348" s="293">
        <v>1.442246568E7</v>
      </c>
      <c r="H348" s="293">
        <v>0.0</v>
      </c>
      <c r="I348" s="294">
        <v>1.442246568E7</v>
      </c>
      <c r="J348" s="295"/>
      <c r="K348" s="7"/>
    </row>
    <row r="349" ht="15.75" customHeight="1">
      <c r="A349" s="286" t="s">
        <v>628</v>
      </c>
      <c r="B349" s="287">
        <v>11.0</v>
      </c>
      <c r="C349" s="286" t="s">
        <v>13</v>
      </c>
      <c r="D349" s="287" t="s">
        <v>313</v>
      </c>
      <c r="E349" s="286"/>
      <c r="F349" s="286" t="s">
        <v>639</v>
      </c>
      <c r="G349" s="288">
        <v>1.004994172E7</v>
      </c>
      <c r="H349" s="288">
        <v>0.0</v>
      </c>
      <c r="I349" s="289">
        <v>1.004994172E7</v>
      </c>
      <c r="J349" s="290"/>
      <c r="K349" s="7"/>
    </row>
    <row r="350" ht="15.75" customHeight="1">
      <c r="A350" s="291" t="s">
        <v>628</v>
      </c>
      <c r="B350" s="292">
        <v>11.0</v>
      </c>
      <c r="C350" s="291" t="s">
        <v>13</v>
      </c>
      <c r="D350" s="292" t="s">
        <v>313</v>
      </c>
      <c r="E350" s="291"/>
      <c r="F350" s="291" t="s">
        <v>336</v>
      </c>
      <c r="G350" s="293">
        <v>0.0</v>
      </c>
      <c r="H350" s="293">
        <v>1.423665E7</v>
      </c>
      <c r="I350" s="294">
        <v>-1.423665E7</v>
      </c>
      <c r="J350" s="295"/>
      <c r="K350" s="7"/>
    </row>
    <row r="351" ht="15.75" customHeight="1">
      <c r="A351" s="286" t="s">
        <v>628</v>
      </c>
      <c r="B351" s="287">
        <v>11.0</v>
      </c>
      <c r="C351" s="286" t="s">
        <v>13</v>
      </c>
      <c r="D351" s="287" t="s">
        <v>313</v>
      </c>
      <c r="E351" s="286"/>
      <c r="F351" s="286" t="s">
        <v>640</v>
      </c>
      <c r="G351" s="288">
        <v>0.0</v>
      </c>
      <c r="H351" s="288">
        <v>1.021409937E7</v>
      </c>
      <c r="I351" s="289">
        <v>-1.021409937E7</v>
      </c>
      <c r="J351" s="290"/>
      <c r="K351" s="7"/>
    </row>
    <row r="352" ht="15.75" customHeight="1">
      <c r="A352" s="296" t="s">
        <v>628</v>
      </c>
      <c r="B352" s="296">
        <v>11.0</v>
      </c>
      <c r="C352" s="297" t="s">
        <v>13</v>
      </c>
      <c r="D352" s="296" t="s">
        <v>320</v>
      </c>
      <c r="E352" s="298"/>
      <c r="F352" s="297" t="s">
        <v>321</v>
      </c>
      <c r="G352" s="299">
        <v>2.44724074E7</v>
      </c>
      <c r="H352" s="299">
        <v>3.887321505E7</v>
      </c>
      <c r="I352" s="300">
        <v>-1.440080765E7</v>
      </c>
      <c r="J352" s="300">
        <v>1.44008076487E7</v>
      </c>
      <c r="K352" s="301">
        <v>0.001299997791647911</v>
      </c>
    </row>
    <row r="353" ht="15.75" customHeight="1">
      <c r="A353" s="286" t="s">
        <v>628</v>
      </c>
      <c r="B353" s="287">
        <v>12.0</v>
      </c>
      <c r="C353" s="286" t="s">
        <v>14</v>
      </c>
      <c r="D353" s="287" t="s">
        <v>313</v>
      </c>
      <c r="E353" s="286" t="s">
        <v>314</v>
      </c>
      <c r="F353" s="286" t="s">
        <v>641</v>
      </c>
      <c r="G353" s="288">
        <v>0.0</v>
      </c>
      <c r="H353" s="288">
        <v>2750304.86</v>
      </c>
      <c r="I353" s="289">
        <v>-2750304.86</v>
      </c>
      <c r="J353" s="290"/>
      <c r="K353" s="7"/>
    </row>
    <row r="354" ht="15.75" customHeight="1">
      <c r="A354" s="291" t="s">
        <v>628</v>
      </c>
      <c r="B354" s="292">
        <v>12.0</v>
      </c>
      <c r="C354" s="291" t="s">
        <v>14</v>
      </c>
      <c r="D354" s="292" t="s">
        <v>313</v>
      </c>
      <c r="E354" s="291"/>
      <c r="F354" s="291" t="s">
        <v>339</v>
      </c>
      <c r="G354" s="293">
        <v>2750304.86</v>
      </c>
      <c r="H354" s="293">
        <v>0.0</v>
      </c>
      <c r="I354" s="294">
        <v>2750304.86</v>
      </c>
      <c r="J354" s="295"/>
      <c r="K354" s="7"/>
    </row>
    <row r="355" ht="15.75" customHeight="1">
      <c r="A355" s="286" t="s">
        <v>628</v>
      </c>
      <c r="B355" s="287">
        <v>12.0</v>
      </c>
      <c r="C355" s="286" t="s">
        <v>14</v>
      </c>
      <c r="D355" s="287" t="s">
        <v>313</v>
      </c>
      <c r="E355" s="286"/>
      <c r="F355" s="286" t="s">
        <v>642</v>
      </c>
      <c r="G355" s="288">
        <v>2632678.27</v>
      </c>
      <c r="H355" s="288">
        <v>0.0</v>
      </c>
      <c r="I355" s="289">
        <v>2632678.27</v>
      </c>
      <c r="J355" s="290"/>
      <c r="K355" s="7"/>
    </row>
    <row r="356" ht="15.75" customHeight="1">
      <c r="A356" s="291" t="s">
        <v>628</v>
      </c>
      <c r="B356" s="292">
        <v>12.0</v>
      </c>
      <c r="C356" s="291" t="s">
        <v>14</v>
      </c>
      <c r="D356" s="292" t="s">
        <v>313</v>
      </c>
      <c r="E356" s="291"/>
      <c r="F356" s="291" t="s">
        <v>341</v>
      </c>
      <c r="G356" s="293">
        <v>0.0</v>
      </c>
      <c r="H356" s="293">
        <v>2730587.5</v>
      </c>
      <c r="I356" s="294">
        <v>-2730587.5</v>
      </c>
      <c r="J356" s="295"/>
      <c r="K356" s="7"/>
    </row>
    <row r="357" ht="15.75" customHeight="1">
      <c r="A357" s="286" t="s">
        <v>628</v>
      </c>
      <c r="B357" s="287">
        <v>12.0</v>
      </c>
      <c r="C357" s="286" t="s">
        <v>14</v>
      </c>
      <c r="D357" s="287" t="s">
        <v>313</v>
      </c>
      <c r="E357" s="286"/>
      <c r="F357" s="286" t="s">
        <v>643</v>
      </c>
      <c r="G357" s="288">
        <v>0.0</v>
      </c>
      <c r="H357" s="288">
        <v>2434375.0</v>
      </c>
      <c r="I357" s="289">
        <v>-2434375.0</v>
      </c>
      <c r="J357" s="290"/>
      <c r="K357" s="7"/>
    </row>
    <row r="358" ht="15.75" customHeight="1">
      <c r="A358" s="296" t="s">
        <v>628</v>
      </c>
      <c r="B358" s="296">
        <v>12.0</v>
      </c>
      <c r="C358" s="297" t="s">
        <v>14</v>
      </c>
      <c r="D358" s="296" t="s">
        <v>320</v>
      </c>
      <c r="E358" s="298"/>
      <c r="F358" s="297" t="s">
        <v>321</v>
      </c>
      <c r="G358" s="299">
        <v>5382983.13</v>
      </c>
      <c r="H358" s="299">
        <v>7915267.359999999</v>
      </c>
      <c r="I358" s="300">
        <v>-2532284.23</v>
      </c>
      <c r="J358" s="300">
        <v>2532284.2245</v>
      </c>
      <c r="K358" s="301">
        <v>0.005499999970197678</v>
      </c>
    </row>
    <row r="359" ht="15.75" customHeight="1">
      <c r="A359" s="286" t="s">
        <v>628</v>
      </c>
      <c r="B359" s="287">
        <v>13.0</v>
      </c>
      <c r="C359" s="286" t="s">
        <v>15</v>
      </c>
      <c r="D359" s="287" t="s">
        <v>313</v>
      </c>
      <c r="E359" s="286" t="s">
        <v>314</v>
      </c>
      <c r="F359" s="286" t="s">
        <v>644</v>
      </c>
      <c r="G359" s="288">
        <v>0.0</v>
      </c>
      <c r="H359" s="288">
        <v>4722130.23</v>
      </c>
      <c r="I359" s="289">
        <v>-4722130.23</v>
      </c>
      <c r="J359" s="290"/>
      <c r="K359" s="7"/>
    </row>
    <row r="360" ht="15.75" customHeight="1">
      <c r="A360" s="291" t="s">
        <v>628</v>
      </c>
      <c r="B360" s="292">
        <v>13.0</v>
      </c>
      <c r="C360" s="291" t="s">
        <v>15</v>
      </c>
      <c r="D360" s="292" t="s">
        <v>313</v>
      </c>
      <c r="E360" s="291"/>
      <c r="F360" s="291" t="s">
        <v>344</v>
      </c>
      <c r="G360" s="293">
        <v>4722130.23</v>
      </c>
      <c r="H360" s="293">
        <v>0.0</v>
      </c>
      <c r="I360" s="294">
        <v>4722130.23</v>
      </c>
      <c r="J360" s="295"/>
      <c r="K360" s="7"/>
    </row>
    <row r="361" ht="15.75" customHeight="1">
      <c r="A361" s="286" t="s">
        <v>628</v>
      </c>
      <c r="B361" s="287">
        <v>13.0</v>
      </c>
      <c r="C361" s="286" t="s">
        <v>15</v>
      </c>
      <c r="D361" s="287" t="s">
        <v>313</v>
      </c>
      <c r="E361" s="286"/>
      <c r="F361" s="286" t="s">
        <v>645</v>
      </c>
      <c r="G361" s="288">
        <v>2932439.68</v>
      </c>
      <c r="H361" s="288">
        <v>0.0</v>
      </c>
      <c r="I361" s="289">
        <v>2932439.68</v>
      </c>
      <c r="J361" s="290"/>
      <c r="K361" s="7"/>
    </row>
    <row r="362" ht="15.75" customHeight="1">
      <c r="A362" s="291" t="s">
        <v>628</v>
      </c>
      <c r="B362" s="292">
        <v>13.0</v>
      </c>
      <c r="C362" s="291" t="s">
        <v>15</v>
      </c>
      <c r="D362" s="292" t="s">
        <v>313</v>
      </c>
      <c r="E362" s="291"/>
      <c r="F362" s="291" t="s">
        <v>346</v>
      </c>
      <c r="G362" s="293">
        <v>0.0</v>
      </c>
      <c r="H362" s="293">
        <v>4671696.2</v>
      </c>
      <c r="I362" s="294">
        <v>-4671696.2</v>
      </c>
      <c r="J362" s="295"/>
      <c r="K362" s="7"/>
    </row>
    <row r="363" ht="15.75" customHeight="1">
      <c r="A363" s="286" t="s">
        <v>628</v>
      </c>
      <c r="B363" s="287">
        <v>13.0</v>
      </c>
      <c r="C363" s="286" t="s">
        <v>15</v>
      </c>
      <c r="D363" s="287" t="s">
        <v>313</v>
      </c>
      <c r="E363" s="286"/>
      <c r="F363" s="286" t="s">
        <v>646</v>
      </c>
      <c r="G363" s="288">
        <v>0.0</v>
      </c>
      <c r="H363" s="288">
        <v>3177191.51</v>
      </c>
      <c r="I363" s="289">
        <v>-3177191.51</v>
      </c>
      <c r="J363" s="290"/>
      <c r="K363" s="7"/>
    </row>
    <row r="364" ht="15.75" customHeight="1">
      <c r="A364" s="296" t="s">
        <v>628</v>
      </c>
      <c r="B364" s="296">
        <v>13.0</v>
      </c>
      <c r="C364" s="297" t="s">
        <v>15</v>
      </c>
      <c r="D364" s="296" t="s">
        <v>320</v>
      </c>
      <c r="E364" s="298"/>
      <c r="F364" s="297" t="s">
        <v>321</v>
      </c>
      <c r="G364" s="299">
        <v>7654569.91</v>
      </c>
      <c r="H364" s="299">
        <v>1.257101794E7</v>
      </c>
      <c r="I364" s="300">
        <v>-4916448.029999999</v>
      </c>
      <c r="J364" s="300">
        <v>4916448.0289</v>
      </c>
      <c r="K364" s="301">
        <v>0.001099999062716961</v>
      </c>
    </row>
    <row r="365" ht="15.75" customHeight="1">
      <c r="A365" s="286" t="s">
        <v>628</v>
      </c>
      <c r="B365" s="287">
        <v>14.0</v>
      </c>
      <c r="C365" s="286" t="s">
        <v>16</v>
      </c>
      <c r="D365" s="287" t="s">
        <v>313</v>
      </c>
      <c r="E365" s="286" t="s">
        <v>314</v>
      </c>
      <c r="F365" s="286" t="s">
        <v>647</v>
      </c>
      <c r="G365" s="288">
        <v>0.0</v>
      </c>
      <c r="H365" s="288">
        <v>1.40499191196E9</v>
      </c>
      <c r="I365" s="289">
        <v>-1.40499191196E9</v>
      </c>
      <c r="J365" s="290"/>
      <c r="K365" s="7"/>
    </row>
    <row r="366" ht="15.75" customHeight="1">
      <c r="A366" s="291" t="s">
        <v>628</v>
      </c>
      <c r="B366" s="292">
        <v>14.0</v>
      </c>
      <c r="C366" s="291" t="s">
        <v>16</v>
      </c>
      <c r="D366" s="292" t="s">
        <v>313</v>
      </c>
      <c r="E366" s="291"/>
      <c r="F366" s="291" t="s">
        <v>348</v>
      </c>
      <c r="G366" s="293">
        <v>1.40499191196E9</v>
      </c>
      <c r="H366" s="293">
        <v>0.0</v>
      </c>
      <c r="I366" s="294">
        <v>1.40499191196E9</v>
      </c>
      <c r="J366" s="295"/>
      <c r="K366" s="7"/>
    </row>
    <row r="367" ht="15.75" customHeight="1">
      <c r="A367" s="286" t="s">
        <v>628</v>
      </c>
      <c r="B367" s="287">
        <v>14.0</v>
      </c>
      <c r="C367" s="286" t="s">
        <v>16</v>
      </c>
      <c r="D367" s="287" t="s">
        <v>313</v>
      </c>
      <c r="E367" s="286"/>
      <c r="F367" s="286" t="s">
        <v>648</v>
      </c>
      <c r="G367" s="288">
        <v>1.396060029E9</v>
      </c>
      <c r="H367" s="288">
        <v>0.0</v>
      </c>
      <c r="I367" s="289">
        <v>1.396060029E9</v>
      </c>
      <c r="J367" s="290"/>
      <c r="K367" s="7"/>
    </row>
    <row r="368" ht="15.75" customHeight="1">
      <c r="A368" s="291" t="s">
        <v>628</v>
      </c>
      <c r="B368" s="292">
        <v>14.0</v>
      </c>
      <c r="C368" s="291" t="s">
        <v>16</v>
      </c>
      <c r="D368" s="292" t="s">
        <v>313</v>
      </c>
      <c r="E368" s="291"/>
      <c r="F368" s="291" t="s">
        <v>351</v>
      </c>
      <c r="G368" s="293">
        <v>0.0</v>
      </c>
      <c r="H368" s="293">
        <v>1.41158451511E9</v>
      </c>
      <c r="I368" s="294">
        <v>-1.41158451511E9</v>
      </c>
      <c r="J368" s="295"/>
      <c r="K368" s="7"/>
    </row>
    <row r="369" ht="15.75" customHeight="1">
      <c r="A369" s="286" t="s">
        <v>628</v>
      </c>
      <c r="B369" s="287">
        <v>14.0</v>
      </c>
      <c r="C369" s="286" t="s">
        <v>16</v>
      </c>
      <c r="D369" s="287" t="s">
        <v>313</v>
      </c>
      <c r="E369" s="286"/>
      <c r="F369" s="286" t="s">
        <v>649</v>
      </c>
      <c r="G369" s="288">
        <v>0.0</v>
      </c>
      <c r="H369" s="288">
        <v>1.3138250125E9</v>
      </c>
      <c r="I369" s="289">
        <v>-1.3138250125E9</v>
      </c>
      <c r="J369" s="290"/>
      <c r="K369" s="7"/>
    </row>
    <row r="370" ht="15.75" customHeight="1">
      <c r="A370" s="296" t="s">
        <v>628</v>
      </c>
      <c r="B370" s="296">
        <v>14.0</v>
      </c>
      <c r="C370" s="297" t="s">
        <v>16</v>
      </c>
      <c r="D370" s="296" t="s">
        <v>320</v>
      </c>
      <c r="E370" s="298"/>
      <c r="F370" s="297" t="s">
        <v>321</v>
      </c>
      <c r="G370" s="299">
        <v>2.80105194096E9</v>
      </c>
      <c r="H370" s="299">
        <v>4.13040143957E9</v>
      </c>
      <c r="I370" s="300">
        <v>-1.32934949861E9</v>
      </c>
      <c r="J370" s="300">
        <v>1.32934949861E9</v>
      </c>
      <c r="K370" s="301">
        <v>0.0</v>
      </c>
    </row>
    <row r="371" ht="15.75" customHeight="1">
      <c r="A371" s="286" t="s">
        <v>628</v>
      </c>
      <c r="B371" s="287">
        <v>15.0</v>
      </c>
      <c r="C371" s="286" t="s">
        <v>17</v>
      </c>
      <c r="D371" s="287" t="s">
        <v>313</v>
      </c>
      <c r="E371" s="286" t="s">
        <v>314</v>
      </c>
      <c r="F371" s="286" t="s">
        <v>650</v>
      </c>
      <c r="G371" s="288">
        <v>0.0</v>
      </c>
      <c r="H371" s="288">
        <v>4.108664376E7</v>
      </c>
      <c r="I371" s="289">
        <v>-4.108664376E7</v>
      </c>
      <c r="J371" s="290"/>
      <c r="K371" s="7"/>
    </row>
    <row r="372" ht="15.75" customHeight="1">
      <c r="A372" s="291" t="s">
        <v>628</v>
      </c>
      <c r="B372" s="292">
        <v>15.0</v>
      </c>
      <c r="C372" s="291" t="s">
        <v>17</v>
      </c>
      <c r="D372" s="292" t="s">
        <v>313</v>
      </c>
      <c r="E372" s="291"/>
      <c r="F372" s="291" t="s">
        <v>354</v>
      </c>
      <c r="G372" s="293">
        <v>4.108664376E7</v>
      </c>
      <c r="H372" s="293">
        <v>0.0</v>
      </c>
      <c r="I372" s="294">
        <v>4.108664376E7</v>
      </c>
      <c r="J372" s="295"/>
      <c r="K372" s="7"/>
    </row>
    <row r="373" ht="15.75" customHeight="1">
      <c r="A373" s="286" t="s">
        <v>628</v>
      </c>
      <c r="B373" s="287">
        <v>15.0</v>
      </c>
      <c r="C373" s="286" t="s">
        <v>17</v>
      </c>
      <c r="D373" s="287" t="s">
        <v>313</v>
      </c>
      <c r="E373" s="286"/>
      <c r="F373" s="286" t="s">
        <v>651</v>
      </c>
      <c r="G373" s="288">
        <v>3.86715E7</v>
      </c>
      <c r="H373" s="288">
        <v>0.0</v>
      </c>
      <c r="I373" s="289">
        <v>3.86715E7</v>
      </c>
      <c r="J373" s="290"/>
      <c r="K373" s="7"/>
    </row>
    <row r="374" ht="15.75" customHeight="1">
      <c r="A374" s="291" t="s">
        <v>628</v>
      </c>
      <c r="B374" s="292">
        <v>15.0</v>
      </c>
      <c r="C374" s="291" t="s">
        <v>17</v>
      </c>
      <c r="D374" s="292" t="s">
        <v>313</v>
      </c>
      <c r="E374" s="291"/>
      <c r="F374" s="291" t="s">
        <v>356</v>
      </c>
      <c r="G374" s="293">
        <v>0.0</v>
      </c>
      <c r="H374" s="293">
        <v>4.173468768E7</v>
      </c>
      <c r="I374" s="294">
        <v>-4.173468768E7</v>
      </c>
      <c r="J374" s="295"/>
      <c r="K374" s="7"/>
    </row>
    <row r="375" ht="15.75" customHeight="1">
      <c r="A375" s="286" t="s">
        <v>628</v>
      </c>
      <c r="B375" s="287">
        <v>15.0</v>
      </c>
      <c r="C375" s="286" t="s">
        <v>17</v>
      </c>
      <c r="D375" s="287" t="s">
        <v>313</v>
      </c>
      <c r="E375" s="286"/>
      <c r="F375" s="286" t="s">
        <v>652</v>
      </c>
      <c r="G375" s="288">
        <v>0.0</v>
      </c>
      <c r="H375" s="288">
        <v>3.974107368E7</v>
      </c>
      <c r="I375" s="289">
        <v>-3.974107368E7</v>
      </c>
      <c r="J375" s="290"/>
      <c r="K375" s="7"/>
    </row>
    <row r="376" ht="15.75" customHeight="1">
      <c r="A376" s="296" t="s">
        <v>628</v>
      </c>
      <c r="B376" s="296">
        <v>15.0</v>
      </c>
      <c r="C376" s="297" t="s">
        <v>17</v>
      </c>
      <c r="D376" s="296" t="s">
        <v>320</v>
      </c>
      <c r="E376" s="298"/>
      <c r="F376" s="297" t="s">
        <v>321</v>
      </c>
      <c r="G376" s="299">
        <v>7.975814375999999E7</v>
      </c>
      <c r="H376" s="299">
        <v>1.2256240512E8</v>
      </c>
      <c r="I376" s="300">
        <v>-4.280426136E7</v>
      </c>
      <c r="J376" s="300">
        <v>4.280426136E7</v>
      </c>
      <c r="K376" s="301">
        <v>0.0</v>
      </c>
    </row>
    <row r="377" ht="15.75" customHeight="1">
      <c r="A377" s="286" t="s">
        <v>628</v>
      </c>
      <c r="B377" s="287">
        <v>17.0</v>
      </c>
      <c r="C377" s="286" t="s">
        <v>19</v>
      </c>
      <c r="D377" s="287" t="s">
        <v>313</v>
      </c>
      <c r="E377" s="286" t="s">
        <v>19</v>
      </c>
      <c r="F377" s="286" t="s">
        <v>653</v>
      </c>
      <c r="G377" s="288">
        <v>0.0</v>
      </c>
      <c r="H377" s="288">
        <v>1073509.3</v>
      </c>
      <c r="I377" s="289">
        <v>-1073509.3</v>
      </c>
      <c r="J377" s="290"/>
      <c r="K377" s="7"/>
    </row>
    <row r="378" ht="15.75" customHeight="1">
      <c r="A378" s="291" t="s">
        <v>628</v>
      </c>
      <c r="B378" s="292">
        <v>17.0</v>
      </c>
      <c r="C378" s="291" t="s">
        <v>19</v>
      </c>
      <c r="D378" s="292" t="s">
        <v>313</v>
      </c>
      <c r="E378" s="291"/>
      <c r="F378" s="291" t="s">
        <v>654</v>
      </c>
      <c r="G378" s="293">
        <v>1000000.0</v>
      </c>
      <c r="H378" s="293">
        <v>0.0</v>
      </c>
      <c r="I378" s="294">
        <v>1000000.0</v>
      </c>
      <c r="J378" s="295"/>
      <c r="K378" s="7"/>
    </row>
    <row r="379" ht="15.75" customHeight="1">
      <c r="A379" s="286" t="s">
        <v>628</v>
      </c>
      <c r="B379" s="287">
        <v>17.0</v>
      </c>
      <c r="C379" s="286" t="s">
        <v>19</v>
      </c>
      <c r="D379" s="287" t="s">
        <v>313</v>
      </c>
      <c r="E379" s="286"/>
      <c r="F379" s="286" t="s">
        <v>655</v>
      </c>
      <c r="G379" s="288">
        <v>0.0</v>
      </c>
      <c r="H379" s="288">
        <v>1000000.0</v>
      </c>
      <c r="I379" s="289">
        <v>-1000000.0</v>
      </c>
      <c r="J379" s="290"/>
      <c r="K379" s="7"/>
    </row>
    <row r="380" ht="15.75" customHeight="1">
      <c r="A380" s="296" t="s">
        <v>628</v>
      </c>
      <c r="B380" s="296">
        <v>17.0</v>
      </c>
      <c r="C380" s="297" t="s">
        <v>19</v>
      </c>
      <c r="D380" s="296" t="s">
        <v>320</v>
      </c>
      <c r="E380" s="298"/>
      <c r="F380" s="297" t="s">
        <v>321</v>
      </c>
      <c r="G380" s="299">
        <v>1000000.0</v>
      </c>
      <c r="H380" s="299">
        <v>2073509.3</v>
      </c>
      <c r="I380" s="300">
        <v>-1073509.3</v>
      </c>
      <c r="J380" s="300">
        <v>1073509.3</v>
      </c>
      <c r="K380" s="301">
        <v>0.0</v>
      </c>
    </row>
    <row r="381" ht="15.75" customHeight="1">
      <c r="A381" s="286" t="s">
        <v>628</v>
      </c>
      <c r="B381" s="287">
        <v>21.0</v>
      </c>
      <c r="C381" s="286" t="s">
        <v>21</v>
      </c>
      <c r="D381" s="287" t="s">
        <v>313</v>
      </c>
      <c r="E381" s="286" t="s">
        <v>21</v>
      </c>
      <c r="F381" s="286" t="s">
        <v>656</v>
      </c>
      <c r="G381" s="288">
        <v>0.0</v>
      </c>
      <c r="H381" s="288">
        <v>2.092974355E7</v>
      </c>
      <c r="I381" s="289">
        <v>-2.092974355E7</v>
      </c>
      <c r="J381" s="290"/>
      <c r="K381" s="7"/>
    </row>
    <row r="382" ht="15.75" customHeight="1">
      <c r="A382" s="291" t="s">
        <v>628</v>
      </c>
      <c r="B382" s="292">
        <v>21.0</v>
      </c>
      <c r="C382" s="291" t="s">
        <v>21</v>
      </c>
      <c r="D382" s="292" t="s">
        <v>313</v>
      </c>
      <c r="E382" s="291"/>
      <c r="F382" s="291" t="s">
        <v>657</v>
      </c>
      <c r="G382" s="293">
        <v>2.1E7</v>
      </c>
      <c r="H382" s="293">
        <v>0.0</v>
      </c>
      <c r="I382" s="294">
        <v>2.1E7</v>
      </c>
      <c r="J382" s="295"/>
      <c r="K382" s="7"/>
    </row>
    <row r="383" ht="15.75" customHeight="1">
      <c r="A383" s="286" t="s">
        <v>628</v>
      </c>
      <c r="B383" s="287">
        <v>21.0</v>
      </c>
      <c r="C383" s="286" t="s">
        <v>21</v>
      </c>
      <c r="D383" s="287" t="s">
        <v>313</v>
      </c>
      <c r="E383" s="286"/>
      <c r="F383" s="286" t="s">
        <v>658</v>
      </c>
      <c r="G383" s="288">
        <v>0.0</v>
      </c>
      <c r="H383" s="288">
        <v>2.1E7</v>
      </c>
      <c r="I383" s="289">
        <v>-2.1E7</v>
      </c>
      <c r="J383" s="290"/>
      <c r="K383" s="7"/>
    </row>
    <row r="384" ht="15.75" customHeight="1">
      <c r="A384" s="296" t="s">
        <v>628</v>
      </c>
      <c r="B384" s="296">
        <v>21.0</v>
      </c>
      <c r="C384" s="297" t="s">
        <v>21</v>
      </c>
      <c r="D384" s="296" t="s">
        <v>320</v>
      </c>
      <c r="E384" s="298"/>
      <c r="F384" s="297" t="s">
        <v>321</v>
      </c>
      <c r="G384" s="299">
        <v>2.1E7</v>
      </c>
      <c r="H384" s="299">
        <v>4.192974355E7</v>
      </c>
      <c r="I384" s="300">
        <v>-2.092974355E7</v>
      </c>
      <c r="J384" s="300">
        <v>2.092974355E7</v>
      </c>
      <c r="K384" s="301">
        <v>0.0</v>
      </c>
    </row>
    <row r="385" ht="15.75" customHeight="1">
      <c r="A385" s="286" t="s">
        <v>628</v>
      </c>
      <c r="B385" s="287">
        <v>22.0</v>
      </c>
      <c r="C385" s="286" t="s">
        <v>22</v>
      </c>
      <c r="D385" s="287" t="s">
        <v>313</v>
      </c>
      <c r="E385" s="286" t="s">
        <v>22</v>
      </c>
      <c r="F385" s="286" t="s">
        <v>659</v>
      </c>
      <c r="G385" s="288">
        <v>0.0</v>
      </c>
      <c r="H385" s="288">
        <v>6.5199032E7</v>
      </c>
      <c r="I385" s="289">
        <v>-6.5199032E7</v>
      </c>
      <c r="J385" s="290"/>
      <c r="K385" s="7"/>
    </row>
    <row r="386" ht="15.75" customHeight="1">
      <c r="A386" s="291" t="s">
        <v>628</v>
      </c>
      <c r="B386" s="292">
        <v>22.0</v>
      </c>
      <c r="C386" s="291" t="s">
        <v>22</v>
      </c>
      <c r="D386" s="292" t="s">
        <v>313</v>
      </c>
      <c r="E386" s="291"/>
      <c r="F386" s="291" t="s">
        <v>660</v>
      </c>
      <c r="G386" s="293">
        <v>6.0E7</v>
      </c>
      <c r="H386" s="293">
        <v>0.0</v>
      </c>
      <c r="I386" s="294">
        <v>6.0E7</v>
      </c>
      <c r="J386" s="295"/>
      <c r="K386" s="7"/>
    </row>
    <row r="387" ht="15.75" customHeight="1">
      <c r="A387" s="286" t="s">
        <v>628</v>
      </c>
      <c r="B387" s="287">
        <v>22.0</v>
      </c>
      <c r="C387" s="286" t="s">
        <v>22</v>
      </c>
      <c r="D387" s="287" t="s">
        <v>313</v>
      </c>
      <c r="E387" s="286"/>
      <c r="F387" s="286" t="s">
        <v>661</v>
      </c>
      <c r="G387" s="288">
        <v>0.0</v>
      </c>
      <c r="H387" s="288">
        <v>4.3E7</v>
      </c>
      <c r="I387" s="289">
        <v>-4.3E7</v>
      </c>
      <c r="J387" s="290"/>
      <c r="K387" s="7"/>
    </row>
    <row r="388" ht="15.75" customHeight="1">
      <c r="A388" s="296" t="s">
        <v>628</v>
      </c>
      <c r="B388" s="296">
        <v>22.0</v>
      </c>
      <c r="C388" s="297" t="s">
        <v>22</v>
      </c>
      <c r="D388" s="296" t="s">
        <v>320</v>
      </c>
      <c r="E388" s="298"/>
      <c r="F388" s="297" t="s">
        <v>321</v>
      </c>
      <c r="G388" s="299">
        <v>6.0E7</v>
      </c>
      <c r="H388" s="299">
        <v>1.08199032E8</v>
      </c>
      <c r="I388" s="300">
        <v>-4.8199032E7</v>
      </c>
      <c r="J388" s="300">
        <v>4.8199032E7</v>
      </c>
      <c r="K388" s="301">
        <v>0.0</v>
      </c>
    </row>
    <row r="389" ht="15.75" customHeight="1">
      <c r="A389" s="286" t="s">
        <v>628</v>
      </c>
      <c r="B389" s="287">
        <v>24.0</v>
      </c>
      <c r="C389" s="286" t="s">
        <v>25</v>
      </c>
      <c r="D389" s="287" t="s">
        <v>313</v>
      </c>
      <c r="E389" s="286" t="s">
        <v>25</v>
      </c>
      <c r="F389" s="286" t="s">
        <v>662</v>
      </c>
      <c r="G389" s="288">
        <v>0.0</v>
      </c>
      <c r="H389" s="288">
        <v>972221.92</v>
      </c>
      <c r="I389" s="289">
        <v>-972221.92</v>
      </c>
      <c r="J389" s="290"/>
      <c r="K389" s="7"/>
    </row>
    <row r="390" ht="15.75" customHeight="1">
      <c r="A390" s="291" t="s">
        <v>628</v>
      </c>
      <c r="B390" s="292">
        <v>24.0</v>
      </c>
      <c r="C390" s="291" t="s">
        <v>25</v>
      </c>
      <c r="D390" s="292" t="s">
        <v>313</v>
      </c>
      <c r="E390" s="291"/>
      <c r="F390" s="291" t="s">
        <v>663</v>
      </c>
      <c r="G390" s="293">
        <v>987000.0</v>
      </c>
      <c r="H390" s="293">
        <v>0.0</v>
      </c>
      <c r="I390" s="294">
        <v>987000.0</v>
      </c>
      <c r="J390" s="295"/>
      <c r="K390" s="7"/>
    </row>
    <row r="391" ht="15.75" customHeight="1">
      <c r="A391" s="286" t="s">
        <v>628</v>
      </c>
      <c r="B391" s="287">
        <v>24.0</v>
      </c>
      <c r="C391" s="286" t="s">
        <v>25</v>
      </c>
      <c r="D391" s="287" t="s">
        <v>313</v>
      </c>
      <c r="E391" s="286"/>
      <c r="F391" s="286" t="s">
        <v>664</v>
      </c>
      <c r="G391" s="288">
        <v>0.0</v>
      </c>
      <c r="H391" s="288">
        <v>987000.0</v>
      </c>
      <c r="I391" s="289">
        <v>-987000.0</v>
      </c>
      <c r="J391" s="290"/>
      <c r="K391" s="7"/>
    </row>
    <row r="392" ht="15.75" customHeight="1">
      <c r="A392" s="296" t="s">
        <v>628</v>
      </c>
      <c r="B392" s="296">
        <v>24.0</v>
      </c>
      <c r="C392" s="297" t="s">
        <v>25</v>
      </c>
      <c r="D392" s="296" t="s">
        <v>320</v>
      </c>
      <c r="E392" s="298"/>
      <c r="F392" s="297" t="s">
        <v>321</v>
      </c>
      <c r="G392" s="299">
        <v>987000.0</v>
      </c>
      <c r="H392" s="299">
        <v>1959221.92</v>
      </c>
      <c r="I392" s="300">
        <v>-972221.92</v>
      </c>
      <c r="J392" s="300">
        <v>972221.92</v>
      </c>
      <c r="K392" s="301">
        <v>0.0</v>
      </c>
    </row>
    <row r="393" ht="15.75" customHeight="1">
      <c r="A393" s="286" t="s">
        <v>628</v>
      </c>
      <c r="B393" s="287">
        <v>25.0</v>
      </c>
      <c r="C393" s="286" t="s">
        <v>26</v>
      </c>
      <c r="D393" s="287" t="s">
        <v>313</v>
      </c>
      <c r="E393" s="286" t="s">
        <v>26</v>
      </c>
      <c r="F393" s="286" t="s">
        <v>665</v>
      </c>
      <c r="G393" s="288">
        <v>0.0</v>
      </c>
      <c r="H393" s="288">
        <v>159805.2</v>
      </c>
      <c r="I393" s="289">
        <v>-159805.2</v>
      </c>
      <c r="J393" s="290"/>
      <c r="K393" s="7"/>
    </row>
    <row r="394" ht="15.75" customHeight="1">
      <c r="A394" s="291" t="s">
        <v>628</v>
      </c>
      <c r="B394" s="292">
        <v>25.0</v>
      </c>
      <c r="C394" s="291" t="s">
        <v>26</v>
      </c>
      <c r="D394" s="292" t="s">
        <v>313</v>
      </c>
      <c r="E394" s="291"/>
      <c r="F394" s="291" t="s">
        <v>666</v>
      </c>
      <c r="G394" s="293">
        <v>567000.0</v>
      </c>
      <c r="H394" s="293">
        <v>0.0</v>
      </c>
      <c r="I394" s="294">
        <v>567000.0</v>
      </c>
      <c r="J394" s="295"/>
      <c r="K394" s="7"/>
    </row>
    <row r="395" ht="15.75" customHeight="1">
      <c r="A395" s="296" t="s">
        <v>628</v>
      </c>
      <c r="B395" s="296">
        <v>25.0</v>
      </c>
      <c r="C395" s="297" t="s">
        <v>26</v>
      </c>
      <c r="D395" s="296" t="s">
        <v>320</v>
      </c>
      <c r="E395" s="298"/>
      <c r="F395" s="297" t="s">
        <v>321</v>
      </c>
      <c r="G395" s="299">
        <v>567000.0</v>
      </c>
      <c r="H395" s="299">
        <v>159805.2</v>
      </c>
      <c r="I395" s="300">
        <v>407194.8</v>
      </c>
      <c r="J395" s="300">
        <v>-407194.8</v>
      </c>
      <c r="K395" s="301">
        <v>0.0</v>
      </c>
    </row>
    <row r="396" ht="15.75" customHeight="1">
      <c r="A396" s="286" t="s">
        <v>628</v>
      </c>
      <c r="B396" s="287">
        <v>26.0</v>
      </c>
      <c r="C396" s="286" t="s">
        <v>27</v>
      </c>
      <c r="D396" s="287" t="s">
        <v>313</v>
      </c>
      <c r="E396" s="286" t="s">
        <v>27</v>
      </c>
      <c r="F396" s="286" t="s">
        <v>667</v>
      </c>
      <c r="G396" s="288">
        <v>0.0</v>
      </c>
      <c r="H396" s="288">
        <v>2.42021032E8</v>
      </c>
      <c r="I396" s="289">
        <v>-2.42021032E8</v>
      </c>
      <c r="J396" s="290"/>
      <c r="K396" s="7"/>
    </row>
    <row r="397" ht="15.75" customHeight="1">
      <c r="A397" s="291" t="s">
        <v>628</v>
      </c>
      <c r="B397" s="292">
        <v>26.0</v>
      </c>
      <c r="C397" s="291" t="s">
        <v>27</v>
      </c>
      <c r="D397" s="292" t="s">
        <v>668</v>
      </c>
      <c r="E397" s="291"/>
      <c r="F397" s="291" t="s">
        <v>669</v>
      </c>
      <c r="G397" s="293">
        <v>2.01684193E8</v>
      </c>
      <c r="H397" s="293">
        <v>0.0</v>
      </c>
      <c r="I397" s="294">
        <v>2.01684193E8</v>
      </c>
      <c r="J397" s="295"/>
      <c r="K397" s="7"/>
    </row>
    <row r="398" ht="15.75" customHeight="1">
      <c r="A398" s="296" t="s">
        <v>628</v>
      </c>
      <c r="B398" s="296">
        <v>26.0</v>
      </c>
      <c r="C398" s="297" t="s">
        <v>27</v>
      </c>
      <c r="D398" s="296" t="s">
        <v>320</v>
      </c>
      <c r="E398" s="298"/>
      <c r="F398" s="297" t="s">
        <v>321</v>
      </c>
      <c r="G398" s="299">
        <v>2.01684193E8</v>
      </c>
      <c r="H398" s="299">
        <v>2.42021032E8</v>
      </c>
      <c r="I398" s="300">
        <v>-4.0336839E7</v>
      </c>
      <c r="J398" s="300">
        <v>4.03368386666667E7</v>
      </c>
      <c r="K398" s="301">
        <v>0.3333332985639572</v>
      </c>
    </row>
    <row r="399" ht="15.75" customHeight="1">
      <c r="A399" s="286" t="s">
        <v>628</v>
      </c>
      <c r="B399" s="287">
        <v>27.0</v>
      </c>
      <c r="C399" s="286" t="s">
        <v>28</v>
      </c>
      <c r="D399" s="287" t="s">
        <v>313</v>
      </c>
      <c r="E399" s="286" t="s">
        <v>374</v>
      </c>
      <c r="F399" s="286" t="s">
        <v>670</v>
      </c>
      <c r="G399" s="288">
        <v>0.0</v>
      </c>
      <c r="H399" s="288">
        <v>1313290.74</v>
      </c>
      <c r="I399" s="289">
        <v>-1313290.74</v>
      </c>
      <c r="J399" s="290"/>
      <c r="K399" s="7"/>
    </row>
    <row r="400" ht="15.75" customHeight="1">
      <c r="A400" s="291" t="s">
        <v>628</v>
      </c>
      <c r="B400" s="292">
        <v>27.0</v>
      </c>
      <c r="C400" s="291" t="s">
        <v>28</v>
      </c>
      <c r="D400" s="292" t="s">
        <v>313</v>
      </c>
      <c r="E400" s="291"/>
      <c r="F400" s="291" t="s">
        <v>671</v>
      </c>
      <c r="G400" s="293">
        <v>1000000.0</v>
      </c>
      <c r="H400" s="293">
        <v>0.0</v>
      </c>
      <c r="I400" s="294">
        <v>1000000.0</v>
      </c>
      <c r="J400" s="295"/>
      <c r="K400" s="7"/>
    </row>
    <row r="401" ht="15.75" customHeight="1">
      <c r="A401" s="286" t="s">
        <v>628</v>
      </c>
      <c r="B401" s="287">
        <v>27.0</v>
      </c>
      <c r="C401" s="286" t="s">
        <v>28</v>
      </c>
      <c r="D401" s="287" t="s">
        <v>313</v>
      </c>
      <c r="E401" s="286"/>
      <c r="F401" s="286" t="s">
        <v>672</v>
      </c>
      <c r="G401" s="288">
        <v>0.0</v>
      </c>
      <c r="H401" s="288">
        <v>1000000.0</v>
      </c>
      <c r="I401" s="289">
        <v>-1000000.0</v>
      </c>
      <c r="J401" s="290"/>
      <c r="K401" s="7"/>
    </row>
    <row r="402" ht="15.75" customHeight="1">
      <c r="A402" s="296" t="s">
        <v>628</v>
      </c>
      <c r="B402" s="296">
        <v>27.0</v>
      </c>
      <c r="C402" s="297" t="s">
        <v>28</v>
      </c>
      <c r="D402" s="296" t="s">
        <v>320</v>
      </c>
      <c r="E402" s="298"/>
      <c r="F402" s="297" t="s">
        <v>321</v>
      </c>
      <c r="G402" s="299">
        <v>1000000.0</v>
      </c>
      <c r="H402" s="299">
        <v>2313290.74</v>
      </c>
      <c r="I402" s="300">
        <v>-1313290.74</v>
      </c>
      <c r="J402" s="300">
        <v>1313290.74</v>
      </c>
      <c r="K402" s="301">
        <v>0.0</v>
      </c>
    </row>
    <row r="403" ht="15.75" customHeight="1">
      <c r="A403" s="286" t="s">
        <v>628</v>
      </c>
      <c r="B403" s="287">
        <v>28.0</v>
      </c>
      <c r="C403" s="286" t="s">
        <v>29</v>
      </c>
      <c r="D403" s="287" t="s">
        <v>313</v>
      </c>
      <c r="E403" s="286" t="s">
        <v>29</v>
      </c>
      <c r="F403" s="286" t="s">
        <v>673</v>
      </c>
      <c r="G403" s="288">
        <v>0.0</v>
      </c>
      <c r="H403" s="288">
        <v>6443666.51</v>
      </c>
      <c r="I403" s="289">
        <v>-6443666.51</v>
      </c>
      <c r="J403" s="290"/>
      <c r="K403" s="7"/>
    </row>
    <row r="404" ht="15.75" customHeight="1">
      <c r="A404" s="296" t="s">
        <v>628</v>
      </c>
      <c r="B404" s="296">
        <v>28.0</v>
      </c>
      <c r="C404" s="297" t="s">
        <v>29</v>
      </c>
      <c r="D404" s="296" t="s">
        <v>320</v>
      </c>
      <c r="E404" s="298"/>
      <c r="F404" s="297" t="s">
        <v>321</v>
      </c>
      <c r="G404" s="299">
        <v>0.0</v>
      </c>
      <c r="H404" s="299">
        <v>6443666.51</v>
      </c>
      <c r="I404" s="300">
        <v>-6443666.51</v>
      </c>
      <c r="J404" s="300">
        <v>8443666.51</v>
      </c>
      <c r="K404" s="302">
        <v>-2000000.0</v>
      </c>
    </row>
    <row r="405" ht="15.75" customHeight="1">
      <c r="A405" s="286" t="s">
        <v>628</v>
      </c>
      <c r="B405" s="287">
        <v>29.0</v>
      </c>
      <c r="C405" s="286" t="s">
        <v>29</v>
      </c>
      <c r="D405" s="287" t="s">
        <v>313</v>
      </c>
      <c r="E405" s="286" t="s">
        <v>29</v>
      </c>
      <c r="F405" s="286" t="s">
        <v>674</v>
      </c>
      <c r="G405" s="288">
        <v>0.0</v>
      </c>
      <c r="H405" s="288">
        <v>2.624844804E7</v>
      </c>
      <c r="I405" s="289">
        <v>-2.624844804E7</v>
      </c>
      <c r="J405" s="290"/>
      <c r="K405" s="7"/>
    </row>
    <row r="406" ht="15.75" customHeight="1">
      <c r="A406" s="291" t="s">
        <v>628</v>
      </c>
      <c r="B406" s="292">
        <v>29.0</v>
      </c>
      <c r="C406" s="291" t="s">
        <v>29</v>
      </c>
      <c r="D406" s="292" t="s">
        <v>313</v>
      </c>
      <c r="E406" s="291"/>
      <c r="F406" s="291" t="s">
        <v>675</v>
      </c>
      <c r="G406" s="293">
        <v>3.0E7</v>
      </c>
      <c r="H406" s="293">
        <v>0.0</v>
      </c>
      <c r="I406" s="294">
        <v>3.0E7</v>
      </c>
      <c r="J406" s="295"/>
      <c r="K406" s="7"/>
    </row>
    <row r="407" ht="15.75" customHeight="1">
      <c r="A407" s="286" t="s">
        <v>628</v>
      </c>
      <c r="B407" s="287">
        <v>29.0</v>
      </c>
      <c r="C407" s="286" t="s">
        <v>29</v>
      </c>
      <c r="D407" s="287" t="s">
        <v>313</v>
      </c>
      <c r="E407" s="286"/>
      <c r="F407" s="286" t="s">
        <v>676</v>
      </c>
      <c r="G407" s="288">
        <v>0.0</v>
      </c>
      <c r="H407" s="288">
        <v>3.3E7</v>
      </c>
      <c r="I407" s="289">
        <v>-3.3E7</v>
      </c>
      <c r="J407" s="290"/>
      <c r="K407" s="7"/>
    </row>
    <row r="408" ht="15.75" customHeight="1">
      <c r="A408" s="296" t="s">
        <v>628</v>
      </c>
      <c r="B408" s="296">
        <v>29.0</v>
      </c>
      <c r="C408" s="297" t="s">
        <v>29</v>
      </c>
      <c r="D408" s="296" t="s">
        <v>320</v>
      </c>
      <c r="E408" s="298"/>
      <c r="F408" s="297" t="s">
        <v>321</v>
      </c>
      <c r="G408" s="299">
        <v>3.0E7</v>
      </c>
      <c r="H408" s="299">
        <v>5.924844804E7</v>
      </c>
      <c r="I408" s="300">
        <v>-2.924844804E7</v>
      </c>
      <c r="J408" s="300">
        <v>2.724844804E7</v>
      </c>
      <c r="K408" s="302">
        <v>2000000.0</v>
      </c>
    </row>
    <row r="409" ht="15.75" customHeight="1">
      <c r="A409" s="286" t="s">
        <v>628</v>
      </c>
      <c r="B409" s="287">
        <v>30.0</v>
      </c>
      <c r="C409" s="286" t="s">
        <v>32</v>
      </c>
      <c r="D409" s="287" t="s">
        <v>313</v>
      </c>
      <c r="E409" s="286"/>
      <c r="F409" s="286" t="s">
        <v>677</v>
      </c>
      <c r="G409" s="288">
        <v>2300000.0</v>
      </c>
      <c r="H409" s="288">
        <v>0.0</v>
      </c>
      <c r="I409" s="289">
        <v>2300000.0</v>
      </c>
      <c r="J409" s="290"/>
      <c r="K409" s="7"/>
    </row>
    <row r="410" ht="15.75" customHeight="1">
      <c r="A410" s="291" t="s">
        <v>628</v>
      </c>
      <c r="B410" s="292">
        <v>30.0</v>
      </c>
      <c r="C410" s="291" t="s">
        <v>32</v>
      </c>
      <c r="D410" s="292" t="s">
        <v>313</v>
      </c>
      <c r="E410" s="291"/>
      <c r="F410" s="291" t="s">
        <v>678</v>
      </c>
      <c r="G410" s="293">
        <v>0.0</v>
      </c>
      <c r="H410" s="293">
        <v>5275325.0</v>
      </c>
      <c r="I410" s="294">
        <v>-5275325.0</v>
      </c>
      <c r="J410" s="295"/>
      <c r="K410" s="7"/>
    </row>
    <row r="411" ht="15.75" customHeight="1">
      <c r="A411" s="296" t="s">
        <v>628</v>
      </c>
      <c r="B411" s="296">
        <v>30.0</v>
      </c>
      <c r="C411" s="297" t="s">
        <v>32</v>
      </c>
      <c r="D411" s="296" t="s">
        <v>320</v>
      </c>
      <c r="E411" s="298"/>
      <c r="F411" s="297" t="s">
        <v>321</v>
      </c>
      <c r="G411" s="299">
        <v>2300000.0</v>
      </c>
      <c r="H411" s="299">
        <v>5275325.0</v>
      </c>
      <c r="I411" s="300">
        <v>-2975325.0</v>
      </c>
      <c r="J411" s="300">
        <v>2975325.0</v>
      </c>
      <c r="K411" s="301">
        <v>0.0</v>
      </c>
    </row>
    <row r="412" ht="15.75" customHeight="1">
      <c r="A412" s="286" t="s">
        <v>628</v>
      </c>
      <c r="B412" s="287">
        <v>31.0</v>
      </c>
      <c r="C412" s="286" t="s">
        <v>33</v>
      </c>
      <c r="D412" s="287" t="s">
        <v>313</v>
      </c>
      <c r="E412" s="286" t="s">
        <v>33</v>
      </c>
      <c r="F412" s="286" t="s">
        <v>679</v>
      </c>
      <c r="G412" s="288">
        <v>0.0</v>
      </c>
      <c r="H412" s="288">
        <v>766721.67</v>
      </c>
      <c r="I412" s="289">
        <v>-766721.67</v>
      </c>
      <c r="J412" s="290"/>
      <c r="K412" s="7"/>
    </row>
    <row r="413" ht="15.75" customHeight="1">
      <c r="A413" s="291" t="s">
        <v>628</v>
      </c>
      <c r="B413" s="292">
        <v>31.0</v>
      </c>
      <c r="C413" s="291" t="s">
        <v>33</v>
      </c>
      <c r="D413" s="292" t="s">
        <v>313</v>
      </c>
      <c r="E413" s="291"/>
      <c r="F413" s="291" t="s">
        <v>680</v>
      </c>
      <c r="G413" s="293">
        <v>766722.0</v>
      </c>
      <c r="H413" s="293">
        <v>0.0</v>
      </c>
      <c r="I413" s="294">
        <v>766722.0</v>
      </c>
      <c r="J413" s="295"/>
      <c r="K413" s="7"/>
    </row>
    <row r="414" ht="15.75" customHeight="1">
      <c r="A414" s="286" t="s">
        <v>628</v>
      </c>
      <c r="B414" s="287">
        <v>31.0</v>
      </c>
      <c r="C414" s="286" t="s">
        <v>33</v>
      </c>
      <c r="D414" s="287" t="s">
        <v>313</v>
      </c>
      <c r="E414" s="286"/>
      <c r="F414" s="286" t="s">
        <v>681</v>
      </c>
      <c r="G414" s="288">
        <v>0.0</v>
      </c>
      <c r="H414" s="288">
        <v>766722.0</v>
      </c>
      <c r="I414" s="289">
        <v>-766722.0</v>
      </c>
      <c r="J414" s="290"/>
      <c r="K414" s="7"/>
    </row>
    <row r="415" ht="15.75" customHeight="1">
      <c r="A415" s="296" t="s">
        <v>628</v>
      </c>
      <c r="B415" s="296">
        <v>31.0</v>
      </c>
      <c r="C415" s="297" t="s">
        <v>33</v>
      </c>
      <c r="D415" s="296" t="s">
        <v>320</v>
      </c>
      <c r="E415" s="298"/>
      <c r="F415" s="297" t="s">
        <v>321</v>
      </c>
      <c r="G415" s="299">
        <v>766722.0</v>
      </c>
      <c r="H415" s="299">
        <v>1533443.67</v>
      </c>
      <c r="I415" s="300">
        <v>-766721.67</v>
      </c>
      <c r="J415" s="300">
        <v>766721.67</v>
      </c>
      <c r="K415" s="301">
        <v>0.0</v>
      </c>
    </row>
    <row r="416" ht="15.75" customHeight="1">
      <c r="A416" s="286" t="s">
        <v>628</v>
      </c>
      <c r="B416" s="287">
        <v>32.0</v>
      </c>
      <c r="C416" s="286" t="s">
        <v>34</v>
      </c>
      <c r="D416" s="287" t="s">
        <v>313</v>
      </c>
      <c r="E416" s="286" t="s">
        <v>388</v>
      </c>
      <c r="F416" s="286" t="s">
        <v>682</v>
      </c>
      <c r="G416" s="288">
        <v>0.0</v>
      </c>
      <c r="H416" s="288">
        <v>9033.18</v>
      </c>
      <c r="I416" s="289">
        <v>-9033.18</v>
      </c>
      <c r="J416" s="290"/>
      <c r="K416" s="7"/>
    </row>
    <row r="417" ht="15.75" customHeight="1">
      <c r="A417" s="291" t="s">
        <v>628</v>
      </c>
      <c r="B417" s="292">
        <v>32.0</v>
      </c>
      <c r="C417" s="291" t="s">
        <v>34</v>
      </c>
      <c r="D417" s="292" t="s">
        <v>313</v>
      </c>
      <c r="E417" s="291"/>
      <c r="F417" s="291" t="s">
        <v>683</v>
      </c>
      <c r="G417" s="293">
        <v>10000.0</v>
      </c>
      <c r="H417" s="293">
        <v>0.0</v>
      </c>
      <c r="I417" s="294">
        <v>10000.0</v>
      </c>
      <c r="J417" s="295"/>
      <c r="K417" s="7"/>
    </row>
    <row r="418" ht="15.75" customHeight="1">
      <c r="A418" s="286" t="s">
        <v>628</v>
      </c>
      <c r="B418" s="287">
        <v>32.0</v>
      </c>
      <c r="C418" s="286" t="s">
        <v>34</v>
      </c>
      <c r="D418" s="287" t="s">
        <v>313</v>
      </c>
      <c r="E418" s="286"/>
      <c r="F418" s="286" t="s">
        <v>684</v>
      </c>
      <c r="G418" s="288">
        <v>0.0</v>
      </c>
      <c r="H418" s="288">
        <v>9000.0</v>
      </c>
      <c r="I418" s="289">
        <v>-9000.0</v>
      </c>
      <c r="J418" s="290"/>
      <c r="K418" s="7"/>
    </row>
    <row r="419" ht="15.75" customHeight="1">
      <c r="A419" s="296" t="s">
        <v>628</v>
      </c>
      <c r="B419" s="296">
        <v>32.0</v>
      </c>
      <c r="C419" s="297" t="s">
        <v>34</v>
      </c>
      <c r="D419" s="296" t="s">
        <v>320</v>
      </c>
      <c r="E419" s="298"/>
      <c r="F419" s="297" t="s">
        <v>321</v>
      </c>
      <c r="G419" s="299">
        <v>10000.0</v>
      </c>
      <c r="H419" s="299">
        <v>18033.18</v>
      </c>
      <c r="I419" s="300">
        <v>-8033.18</v>
      </c>
      <c r="J419" s="300">
        <v>8033.18</v>
      </c>
      <c r="K419" s="301">
        <v>0.0</v>
      </c>
    </row>
    <row r="420" ht="15.75" customHeight="1">
      <c r="A420" s="286" t="s">
        <v>628</v>
      </c>
      <c r="B420" s="287">
        <v>33.0</v>
      </c>
      <c r="C420" s="286" t="s">
        <v>35</v>
      </c>
      <c r="D420" s="287" t="s">
        <v>313</v>
      </c>
      <c r="E420" s="286" t="s">
        <v>35</v>
      </c>
      <c r="F420" s="286" t="s">
        <v>685</v>
      </c>
      <c r="G420" s="288">
        <v>0.0</v>
      </c>
      <c r="H420" s="288">
        <v>971875.5</v>
      </c>
      <c r="I420" s="289">
        <v>-971875.5</v>
      </c>
      <c r="J420" s="290"/>
      <c r="K420" s="7"/>
    </row>
    <row r="421" ht="15.75" customHeight="1">
      <c r="A421" s="291" t="s">
        <v>628</v>
      </c>
      <c r="B421" s="292">
        <v>33.0</v>
      </c>
      <c r="C421" s="291" t="s">
        <v>35</v>
      </c>
      <c r="D421" s="292" t="s">
        <v>313</v>
      </c>
      <c r="E421" s="291"/>
      <c r="F421" s="291" t="s">
        <v>686</v>
      </c>
      <c r="G421" s="293">
        <v>370000.0</v>
      </c>
      <c r="H421" s="293">
        <v>0.0</v>
      </c>
      <c r="I421" s="294">
        <v>370000.0</v>
      </c>
      <c r="J421" s="295"/>
      <c r="K421" s="7"/>
    </row>
    <row r="422" ht="15.75" customHeight="1">
      <c r="A422" s="286" t="s">
        <v>628</v>
      </c>
      <c r="B422" s="287">
        <v>33.0</v>
      </c>
      <c r="C422" s="286" t="s">
        <v>35</v>
      </c>
      <c r="D422" s="287" t="s">
        <v>313</v>
      </c>
      <c r="E422" s="286"/>
      <c r="F422" s="286" t="s">
        <v>687</v>
      </c>
      <c r="G422" s="288">
        <v>0.0</v>
      </c>
      <c r="H422" s="288">
        <v>370000.0</v>
      </c>
      <c r="I422" s="289">
        <v>-370000.0</v>
      </c>
      <c r="J422" s="290"/>
      <c r="K422" s="7"/>
    </row>
    <row r="423" ht="15.75" customHeight="1">
      <c r="A423" s="296" t="s">
        <v>628</v>
      </c>
      <c r="B423" s="296">
        <v>33.0</v>
      </c>
      <c r="C423" s="297" t="s">
        <v>35</v>
      </c>
      <c r="D423" s="296" t="s">
        <v>320</v>
      </c>
      <c r="E423" s="298"/>
      <c r="F423" s="297" t="s">
        <v>321</v>
      </c>
      <c r="G423" s="299">
        <v>370000.0</v>
      </c>
      <c r="H423" s="299">
        <v>1341875.5</v>
      </c>
      <c r="I423" s="300">
        <v>-971875.5</v>
      </c>
      <c r="J423" s="300">
        <v>971875.5</v>
      </c>
      <c r="K423" s="301">
        <v>0.0</v>
      </c>
    </row>
    <row r="424" ht="15.75" customHeight="1">
      <c r="A424" s="286" t="s">
        <v>628</v>
      </c>
      <c r="B424" s="287">
        <v>34.0</v>
      </c>
      <c r="C424" s="286" t="s">
        <v>36</v>
      </c>
      <c r="D424" s="287" t="s">
        <v>313</v>
      </c>
      <c r="E424" s="286" t="s">
        <v>395</v>
      </c>
      <c r="F424" s="286" t="s">
        <v>688</v>
      </c>
      <c r="G424" s="288">
        <v>0.0</v>
      </c>
      <c r="H424" s="288">
        <v>1730226.41</v>
      </c>
      <c r="I424" s="289">
        <v>-1730226.41</v>
      </c>
      <c r="J424" s="290"/>
      <c r="K424" s="7"/>
    </row>
    <row r="425" ht="15.75" customHeight="1">
      <c r="A425" s="291" t="s">
        <v>628</v>
      </c>
      <c r="B425" s="292">
        <v>34.0</v>
      </c>
      <c r="C425" s="291" t="s">
        <v>36</v>
      </c>
      <c r="D425" s="292" t="s">
        <v>313</v>
      </c>
      <c r="E425" s="291"/>
      <c r="F425" s="291" t="s">
        <v>689</v>
      </c>
      <c r="G425" s="293">
        <v>1500000.0</v>
      </c>
      <c r="H425" s="293">
        <v>0.0</v>
      </c>
      <c r="I425" s="294">
        <v>1500000.0</v>
      </c>
      <c r="J425" s="295"/>
      <c r="K425" s="7"/>
    </row>
    <row r="426" ht="15.75" customHeight="1">
      <c r="A426" s="286" t="s">
        <v>628</v>
      </c>
      <c r="B426" s="287">
        <v>34.0</v>
      </c>
      <c r="C426" s="286" t="s">
        <v>36</v>
      </c>
      <c r="D426" s="287" t="s">
        <v>313</v>
      </c>
      <c r="E426" s="286"/>
      <c r="F426" s="286" t="s">
        <v>690</v>
      </c>
      <c r="G426" s="288">
        <v>0.0</v>
      </c>
      <c r="H426" s="288">
        <v>1500000.0</v>
      </c>
      <c r="I426" s="289">
        <v>-1500000.0</v>
      </c>
      <c r="J426" s="290"/>
      <c r="K426" s="7"/>
    </row>
    <row r="427" ht="15.75" customHeight="1">
      <c r="A427" s="296" t="s">
        <v>628</v>
      </c>
      <c r="B427" s="296">
        <v>34.0</v>
      </c>
      <c r="C427" s="297" t="s">
        <v>36</v>
      </c>
      <c r="D427" s="296" t="s">
        <v>320</v>
      </c>
      <c r="E427" s="298"/>
      <c r="F427" s="297" t="s">
        <v>321</v>
      </c>
      <c r="G427" s="299">
        <v>1500000.0</v>
      </c>
      <c r="H427" s="299">
        <v>3230226.41</v>
      </c>
      <c r="I427" s="300">
        <v>-1730226.41</v>
      </c>
      <c r="J427" s="300">
        <v>1730226.41</v>
      </c>
      <c r="K427" s="301">
        <v>0.0</v>
      </c>
    </row>
    <row r="428" ht="15.75" customHeight="1">
      <c r="A428" s="286" t="s">
        <v>628</v>
      </c>
      <c r="B428" s="287">
        <v>35.0</v>
      </c>
      <c r="C428" s="286" t="s">
        <v>37</v>
      </c>
      <c r="D428" s="287" t="s">
        <v>313</v>
      </c>
      <c r="E428" s="286" t="s">
        <v>691</v>
      </c>
      <c r="F428" s="286" t="s">
        <v>692</v>
      </c>
      <c r="G428" s="288">
        <v>0.0</v>
      </c>
      <c r="H428" s="288">
        <v>500000.0</v>
      </c>
      <c r="I428" s="289">
        <v>-500000.0</v>
      </c>
      <c r="J428" s="290"/>
      <c r="K428" s="7"/>
    </row>
    <row r="429" ht="15.75" customHeight="1">
      <c r="A429" s="291" t="s">
        <v>628</v>
      </c>
      <c r="B429" s="292">
        <v>35.0</v>
      </c>
      <c r="C429" s="291" t="s">
        <v>37</v>
      </c>
      <c r="D429" s="292" t="s">
        <v>313</v>
      </c>
      <c r="E429" s="291"/>
      <c r="F429" s="291" t="s">
        <v>693</v>
      </c>
      <c r="G429" s="293">
        <v>0.0</v>
      </c>
      <c r="H429" s="293">
        <v>500000.0</v>
      </c>
      <c r="I429" s="294">
        <v>-500000.0</v>
      </c>
      <c r="J429" s="295"/>
      <c r="K429" s="7"/>
    </row>
    <row r="430" ht="15.75" customHeight="1">
      <c r="A430" s="296" t="s">
        <v>628</v>
      </c>
      <c r="B430" s="296">
        <v>35.0</v>
      </c>
      <c r="C430" s="297" t="s">
        <v>37</v>
      </c>
      <c r="D430" s="296" t="s">
        <v>320</v>
      </c>
      <c r="E430" s="298"/>
      <c r="F430" s="297" t="s">
        <v>321</v>
      </c>
      <c r="G430" s="299">
        <v>0.0</v>
      </c>
      <c r="H430" s="299">
        <v>1000000.0</v>
      </c>
      <c r="I430" s="300">
        <v>-1000000.0</v>
      </c>
      <c r="J430" s="300">
        <v>1000000.0</v>
      </c>
      <c r="K430" s="301">
        <v>0.0</v>
      </c>
    </row>
    <row r="431" ht="15.75" customHeight="1">
      <c r="A431" s="286" t="s">
        <v>628</v>
      </c>
      <c r="B431" s="287">
        <v>38.0</v>
      </c>
      <c r="C431" s="286" t="s">
        <v>39</v>
      </c>
      <c r="D431" s="287" t="s">
        <v>313</v>
      </c>
      <c r="E431" s="286" t="s">
        <v>399</v>
      </c>
      <c r="F431" s="286" t="s">
        <v>694</v>
      </c>
      <c r="G431" s="288">
        <v>0.0</v>
      </c>
      <c r="H431" s="288">
        <v>1.203464049E7</v>
      </c>
      <c r="I431" s="289">
        <v>-1.203464049E7</v>
      </c>
      <c r="J431" s="290"/>
      <c r="K431" s="7"/>
    </row>
    <row r="432" ht="15.75" customHeight="1">
      <c r="A432" s="291" t="s">
        <v>628</v>
      </c>
      <c r="B432" s="292">
        <v>38.0</v>
      </c>
      <c r="C432" s="291" t="s">
        <v>39</v>
      </c>
      <c r="D432" s="292" t="s">
        <v>313</v>
      </c>
      <c r="E432" s="291" t="s">
        <v>399</v>
      </c>
      <c r="F432" s="291" t="s">
        <v>695</v>
      </c>
      <c r="G432" s="293">
        <v>0.0</v>
      </c>
      <c r="H432" s="293">
        <v>1.203464049E7</v>
      </c>
      <c r="I432" s="294">
        <v>-1.203464049E7</v>
      </c>
      <c r="J432" s="295"/>
      <c r="K432" s="7"/>
    </row>
    <row r="433" ht="15.75" customHeight="1">
      <c r="A433" s="286" t="s">
        <v>628</v>
      </c>
      <c r="B433" s="287">
        <v>38.0</v>
      </c>
      <c r="C433" s="286" t="s">
        <v>39</v>
      </c>
      <c r="D433" s="287" t="s">
        <v>313</v>
      </c>
      <c r="E433" s="286" t="s">
        <v>399</v>
      </c>
      <c r="F433" s="286" t="s">
        <v>695</v>
      </c>
      <c r="G433" s="288">
        <v>0.0</v>
      </c>
      <c r="H433" s="288">
        <v>1.203464049E7</v>
      </c>
      <c r="I433" s="289">
        <v>-1.203464049E7</v>
      </c>
      <c r="J433" s="290"/>
      <c r="K433" s="7"/>
    </row>
    <row r="434" ht="15.75" customHeight="1">
      <c r="A434" s="291" t="s">
        <v>628</v>
      </c>
      <c r="B434" s="292">
        <v>38.0</v>
      </c>
      <c r="C434" s="291" t="s">
        <v>39</v>
      </c>
      <c r="D434" s="292" t="s">
        <v>313</v>
      </c>
      <c r="E434" s="291"/>
      <c r="F434" s="291" t="s">
        <v>696</v>
      </c>
      <c r="G434" s="293">
        <v>1.1164531E7</v>
      </c>
      <c r="H434" s="293">
        <v>0.0</v>
      </c>
      <c r="I434" s="294">
        <v>1.1164531E7</v>
      </c>
      <c r="J434" s="295"/>
      <c r="K434" s="7"/>
    </row>
    <row r="435" ht="15.75" customHeight="1">
      <c r="A435" s="286" t="s">
        <v>628</v>
      </c>
      <c r="B435" s="287">
        <v>38.0</v>
      </c>
      <c r="C435" s="286" t="s">
        <v>39</v>
      </c>
      <c r="D435" s="287" t="s">
        <v>313</v>
      </c>
      <c r="E435" s="286"/>
      <c r="F435" s="286" t="s">
        <v>697</v>
      </c>
      <c r="G435" s="288">
        <v>0.0</v>
      </c>
      <c r="H435" s="288">
        <v>1.203464E7</v>
      </c>
      <c r="I435" s="289">
        <v>-1.203464E7</v>
      </c>
      <c r="J435" s="290"/>
      <c r="K435" s="7"/>
    </row>
    <row r="436" ht="15.75" customHeight="1">
      <c r="A436" s="296" t="s">
        <v>628</v>
      </c>
      <c r="B436" s="296">
        <v>38.0</v>
      </c>
      <c r="C436" s="297" t="s">
        <v>39</v>
      </c>
      <c r="D436" s="296" t="s">
        <v>320</v>
      </c>
      <c r="E436" s="298"/>
      <c r="F436" s="297" t="s">
        <v>321</v>
      </c>
      <c r="G436" s="299">
        <v>1.1164531E7</v>
      </c>
      <c r="H436" s="299">
        <v>4.813856147E7</v>
      </c>
      <c r="I436" s="300">
        <v>-3.697403047E7</v>
      </c>
      <c r="J436" s="300">
        <v>3.697402889E7</v>
      </c>
      <c r="K436" s="302">
        <v>1.579999998211861</v>
      </c>
    </row>
    <row r="437" ht="15.75" customHeight="1">
      <c r="A437" s="286" t="s">
        <v>628</v>
      </c>
      <c r="B437" s="287">
        <v>41.0</v>
      </c>
      <c r="C437" s="286" t="s">
        <v>41</v>
      </c>
      <c r="D437" s="287" t="s">
        <v>403</v>
      </c>
      <c r="E437" s="286"/>
      <c r="F437" s="286" t="s">
        <v>698</v>
      </c>
      <c r="G437" s="288">
        <v>0.0</v>
      </c>
      <c r="H437" s="288">
        <v>1.2061954686E8</v>
      </c>
      <c r="I437" s="289">
        <v>-1.2061954686E8</v>
      </c>
      <c r="J437" s="290"/>
      <c r="K437" s="7"/>
    </row>
    <row r="438" ht="15.75" customHeight="1">
      <c r="A438" s="291" t="s">
        <v>628</v>
      </c>
      <c r="B438" s="292">
        <v>41.0</v>
      </c>
      <c r="C438" s="291" t="s">
        <v>41</v>
      </c>
      <c r="D438" s="292" t="s">
        <v>403</v>
      </c>
      <c r="E438" s="291"/>
      <c r="F438" s="291" t="s">
        <v>699</v>
      </c>
      <c r="G438" s="293">
        <v>1.2061954686E8</v>
      </c>
      <c r="H438" s="293">
        <v>0.0</v>
      </c>
      <c r="I438" s="294">
        <v>1.2061954686E8</v>
      </c>
      <c r="J438" s="295"/>
      <c r="K438" s="7"/>
    </row>
    <row r="439" ht="15.75" customHeight="1">
      <c r="A439" s="286" t="s">
        <v>628</v>
      </c>
      <c r="B439" s="287">
        <v>41.0</v>
      </c>
      <c r="C439" s="286" t="s">
        <v>41</v>
      </c>
      <c r="D439" s="287" t="s">
        <v>403</v>
      </c>
      <c r="E439" s="286"/>
      <c r="F439" s="286" t="s">
        <v>700</v>
      </c>
      <c r="G439" s="288">
        <v>1.2441061746E8</v>
      </c>
      <c r="H439" s="288">
        <v>0.0</v>
      </c>
      <c r="I439" s="289">
        <v>1.2441061746E8</v>
      </c>
      <c r="J439" s="290"/>
      <c r="K439" s="7"/>
    </row>
    <row r="440" ht="15.75" customHeight="1">
      <c r="A440" s="296" t="s">
        <v>628</v>
      </c>
      <c r="B440" s="296">
        <v>41.0</v>
      </c>
      <c r="C440" s="297" t="s">
        <v>41</v>
      </c>
      <c r="D440" s="296" t="s">
        <v>320</v>
      </c>
      <c r="E440" s="298"/>
      <c r="F440" s="297" t="s">
        <v>321</v>
      </c>
      <c r="G440" s="299">
        <v>2.4503016432E8</v>
      </c>
      <c r="H440" s="299">
        <v>1.2061954686E8</v>
      </c>
      <c r="I440" s="300">
        <v>1.2441061746E8</v>
      </c>
      <c r="J440" s="300">
        <v>-1.24410617E8</v>
      </c>
      <c r="K440" s="301">
        <v>0.4599999934434891</v>
      </c>
    </row>
    <row r="441" ht="15.75" customHeight="1">
      <c r="A441" s="286" t="s">
        <v>628</v>
      </c>
      <c r="B441" s="287">
        <v>47.0</v>
      </c>
      <c r="C441" s="286" t="s">
        <v>50</v>
      </c>
      <c r="D441" s="287" t="s">
        <v>405</v>
      </c>
      <c r="E441" s="286" t="s">
        <v>406</v>
      </c>
      <c r="F441" s="286" t="s">
        <v>701</v>
      </c>
      <c r="G441" s="288">
        <v>6728550.0</v>
      </c>
      <c r="H441" s="288">
        <v>0.0</v>
      </c>
      <c r="I441" s="289">
        <v>6728550.0</v>
      </c>
      <c r="J441" s="290"/>
      <c r="K441" s="7"/>
    </row>
    <row r="442" ht="15.75" customHeight="1">
      <c r="A442" s="291" t="s">
        <v>628</v>
      </c>
      <c r="B442" s="292">
        <v>47.0</v>
      </c>
      <c r="C442" s="291" t="s">
        <v>50</v>
      </c>
      <c r="D442" s="292" t="s">
        <v>405</v>
      </c>
      <c r="E442" s="291" t="s">
        <v>406</v>
      </c>
      <c r="F442" s="291" t="s">
        <v>702</v>
      </c>
      <c r="G442" s="293">
        <v>0.0</v>
      </c>
      <c r="H442" s="293">
        <v>1168133.48</v>
      </c>
      <c r="I442" s="294">
        <v>-1168133.48</v>
      </c>
      <c r="J442" s="295"/>
      <c r="K442" s="7"/>
    </row>
    <row r="443" ht="15.75" customHeight="1">
      <c r="A443" s="296" t="s">
        <v>628</v>
      </c>
      <c r="B443" s="296">
        <v>47.0</v>
      </c>
      <c r="C443" s="297" t="s">
        <v>50</v>
      </c>
      <c r="D443" s="296" t="s">
        <v>320</v>
      </c>
      <c r="E443" s="298"/>
      <c r="F443" s="297" t="s">
        <v>321</v>
      </c>
      <c r="G443" s="299">
        <v>6728550.0</v>
      </c>
      <c r="H443" s="299">
        <v>1168133.48</v>
      </c>
      <c r="I443" s="300">
        <v>5560416.52</v>
      </c>
      <c r="J443" s="300">
        <v>5560417.0</v>
      </c>
      <c r="K443" s="301">
        <v>-0.4800000004470348</v>
      </c>
    </row>
    <row r="444" ht="15.75" customHeight="1">
      <c r="A444" s="286" t="s">
        <v>628</v>
      </c>
      <c r="B444" s="287">
        <v>48.0</v>
      </c>
      <c r="C444" s="286" t="s">
        <v>50</v>
      </c>
      <c r="D444" s="287" t="s">
        <v>409</v>
      </c>
      <c r="E444" s="286" t="s">
        <v>406</v>
      </c>
      <c r="F444" s="286" t="s">
        <v>703</v>
      </c>
      <c r="G444" s="288">
        <v>5700000.0</v>
      </c>
      <c r="H444" s="288">
        <v>0.0</v>
      </c>
      <c r="I444" s="289">
        <v>5700000.0</v>
      </c>
      <c r="J444" s="290"/>
      <c r="K444" s="7"/>
    </row>
    <row r="445" ht="15.75" customHeight="1">
      <c r="A445" s="291" t="s">
        <v>628</v>
      </c>
      <c r="B445" s="292">
        <v>48.0</v>
      </c>
      <c r="C445" s="291" t="s">
        <v>50</v>
      </c>
      <c r="D445" s="292" t="s">
        <v>409</v>
      </c>
      <c r="E445" s="291" t="s">
        <v>406</v>
      </c>
      <c r="F445" s="291" t="s">
        <v>704</v>
      </c>
      <c r="G445" s="293">
        <v>0.0</v>
      </c>
      <c r="H445" s="293">
        <v>570000.0</v>
      </c>
      <c r="I445" s="294">
        <v>-570000.0</v>
      </c>
      <c r="J445" s="295"/>
      <c r="K445" s="7"/>
    </row>
    <row r="446" ht="15.75" customHeight="1">
      <c r="A446" s="296" t="s">
        <v>628</v>
      </c>
      <c r="B446" s="296">
        <v>48.0</v>
      </c>
      <c r="C446" s="297" t="s">
        <v>50</v>
      </c>
      <c r="D446" s="296" t="s">
        <v>320</v>
      </c>
      <c r="E446" s="298"/>
      <c r="F446" s="297" t="s">
        <v>321</v>
      </c>
      <c r="G446" s="299">
        <v>5700000.0</v>
      </c>
      <c r="H446" s="299">
        <v>570000.0</v>
      </c>
      <c r="I446" s="300">
        <v>5130000.0</v>
      </c>
      <c r="J446" s="300">
        <v>5130000.0</v>
      </c>
      <c r="K446" s="301">
        <v>0.0</v>
      </c>
    </row>
    <row r="447" ht="15.75" customHeight="1">
      <c r="A447" s="286" t="s">
        <v>628</v>
      </c>
      <c r="B447" s="287">
        <v>53.0</v>
      </c>
      <c r="C447" s="286" t="s">
        <v>60</v>
      </c>
      <c r="D447" s="287" t="s">
        <v>409</v>
      </c>
      <c r="E447" s="286"/>
      <c r="F447" s="286" t="s">
        <v>705</v>
      </c>
      <c r="G447" s="288">
        <v>0.0</v>
      </c>
      <c r="H447" s="288">
        <v>2.5143521E7</v>
      </c>
      <c r="I447" s="289">
        <v>-2.5143521E7</v>
      </c>
      <c r="J447" s="290"/>
      <c r="K447" s="7"/>
    </row>
    <row r="448" ht="15.75" customHeight="1">
      <c r="A448" s="291" t="s">
        <v>628</v>
      </c>
      <c r="B448" s="292">
        <v>53.0</v>
      </c>
      <c r="C448" s="291" t="s">
        <v>60</v>
      </c>
      <c r="D448" s="292" t="s">
        <v>409</v>
      </c>
      <c r="E448" s="291" t="s">
        <v>413</v>
      </c>
      <c r="F448" s="291" t="s">
        <v>706</v>
      </c>
      <c r="G448" s="293">
        <v>2.273299061E7</v>
      </c>
      <c r="H448" s="293">
        <v>0.0</v>
      </c>
      <c r="I448" s="294">
        <v>2.273299061E7</v>
      </c>
      <c r="J448" s="295"/>
      <c r="K448" s="7"/>
    </row>
    <row r="449" ht="15.75" customHeight="1">
      <c r="A449" s="286" t="s">
        <v>628</v>
      </c>
      <c r="B449" s="287">
        <v>53.0</v>
      </c>
      <c r="C449" s="286" t="s">
        <v>60</v>
      </c>
      <c r="D449" s="287" t="s">
        <v>409</v>
      </c>
      <c r="E449" s="286" t="s">
        <v>413</v>
      </c>
      <c r="F449" s="286" t="s">
        <v>707</v>
      </c>
      <c r="G449" s="288">
        <v>2410530.36</v>
      </c>
      <c r="H449" s="288">
        <v>0.0</v>
      </c>
      <c r="I449" s="289">
        <v>2410530.36</v>
      </c>
      <c r="J449" s="290"/>
      <c r="K449" s="7"/>
    </row>
    <row r="450" ht="15.75" customHeight="1">
      <c r="A450" s="291" t="s">
        <v>628</v>
      </c>
      <c r="B450" s="292">
        <v>53.0</v>
      </c>
      <c r="C450" s="291" t="s">
        <v>60</v>
      </c>
      <c r="D450" s="292" t="s">
        <v>409</v>
      </c>
      <c r="E450" s="291"/>
      <c r="F450" s="291" t="s">
        <v>708</v>
      </c>
      <c r="G450" s="293">
        <v>2.4913963E7</v>
      </c>
      <c r="H450" s="293">
        <v>0.0</v>
      </c>
      <c r="I450" s="294">
        <v>2.4913963E7</v>
      </c>
      <c r="J450" s="295"/>
      <c r="K450" s="7"/>
    </row>
    <row r="451" ht="15.75" customHeight="1">
      <c r="A451" s="296" t="s">
        <v>628</v>
      </c>
      <c r="B451" s="296">
        <v>53.0</v>
      </c>
      <c r="C451" s="297" t="s">
        <v>60</v>
      </c>
      <c r="D451" s="296" t="s">
        <v>320</v>
      </c>
      <c r="E451" s="298"/>
      <c r="F451" s="297" t="s">
        <v>321</v>
      </c>
      <c r="G451" s="299">
        <v>5.005748397E7</v>
      </c>
      <c r="H451" s="299">
        <v>2.5143521E7</v>
      </c>
      <c r="I451" s="300">
        <v>2.491396297E7</v>
      </c>
      <c r="J451" s="300">
        <v>2183972.0</v>
      </c>
      <c r="K451" s="302">
        <v>2.272999097E7</v>
      </c>
    </row>
    <row r="452" ht="15.75" customHeight="1">
      <c r="A452" s="286" t="s">
        <v>628</v>
      </c>
      <c r="B452" s="287">
        <v>54.0</v>
      </c>
      <c r="C452" s="286" t="s">
        <v>50</v>
      </c>
      <c r="D452" s="287" t="s">
        <v>418</v>
      </c>
      <c r="E452" s="286"/>
      <c r="F452" s="286" t="s">
        <v>709</v>
      </c>
      <c r="G452" s="288">
        <v>343167.67</v>
      </c>
      <c r="H452" s="288">
        <v>0.0</v>
      </c>
      <c r="I452" s="289">
        <v>343167.67</v>
      </c>
      <c r="J452" s="290"/>
      <c r="K452" s="7"/>
    </row>
    <row r="453" ht="15.75" customHeight="1">
      <c r="A453" s="291" t="s">
        <v>628</v>
      </c>
      <c r="B453" s="292">
        <v>54.0</v>
      </c>
      <c r="C453" s="291" t="s">
        <v>50</v>
      </c>
      <c r="D453" s="292" t="s">
        <v>418</v>
      </c>
      <c r="E453" s="291"/>
      <c r="F453" s="291" t="s">
        <v>710</v>
      </c>
      <c r="G453" s="293">
        <v>365230.46</v>
      </c>
      <c r="H453" s="293">
        <v>0.0</v>
      </c>
      <c r="I453" s="294">
        <v>365230.46</v>
      </c>
      <c r="J453" s="295"/>
      <c r="K453" s="7"/>
    </row>
    <row r="454" ht="15.75" customHeight="1">
      <c r="A454" s="286" t="s">
        <v>628</v>
      </c>
      <c r="B454" s="287">
        <v>54.0</v>
      </c>
      <c r="C454" s="286" t="s">
        <v>50</v>
      </c>
      <c r="D454" s="287" t="s">
        <v>418</v>
      </c>
      <c r="E454" s="286"/>
      <c r="F454" s="286" t="s">
        <v>711</v>
      </c>
      <c r="G454" s="288">
        <v>354986.14</v>
      </c>
      <c r="H454" s="288">
        <v>0.0</v>
      </c>
      <c r="I454" s="289">
        <v>354986.14</v>
      </c>
      <c r="J454" s="290"/>
      <c r="K454" s="7"/>
    </row>
    <row r="455" ht="15.75" customHeight="1">
      <c r="A455" s="296" t="s">
        <v>628</v>
      </c>
      <c r="B455" s="296">
        <v>54.0</v>
      </c>
      <c r="C455" s="297" t="s">
        <v>50</v>
      </c>
      <c r="D455" s="296" t="s">
        <v>320</v>
      </c>
      <c r="E455" s="298"/>
      <c r="F455" s="297" t="s">
        <v>321</v>
      </c>
      <c r="G455" s="299">
        <v>1063384.27</v>
      </c>
      <c r="H455" s="299">
        <v>0.0</v>
      </c>
      <c r="I455" s="300">
        <v>1063384.27</v>
      </c>
      <c r="J455" s="300">
        <v>1063384.27</v>
      </c>
      <c r="K455" s="301">
        <v>0.0</v>
      </c>
    </row>
    <row r="456" ht="15.75" customHeight="1">
      <c r="A456" s="286" t="s">
        <v>628</v>
      </c>
      <c r="B456" s="287">
        <v>59.0</v>
      </c>
      <c r="C456" s="286" t="s">
        <v>66</v>
      </c>
      <c r="D456" s="287" t="s">
        <v>422</v>
      </c>
      <c r="E456" s="286" t="s">
        <v>423</v>
      </c>
      <c r="F456" s="286" t="s">
        <v>712</v>
      </c>
      <c r="G456" s="288">
        <v>477797.0</v>
      </c>
      <c r="H456" s="288">
        <v>0.0</v>
      </c>
      <c r="I456" s="289">
        <v>477797.0</v>
      </c>
      <c r="J456" s="290"/>
      <c r="K456" s="7"/>
    </row>
    <row r="457" ht="15.75" customHeight="1">
      <c r="A457" s="296" t="s">
        <v>628</v>
      </c>
      <c r="B457" s="296">
        <v>59.0</v>
      </c>
      <c r="C457" s="297" t="s">
        <v>66</v>
      </c>
      <c r="D457" s="296" t="s">
        <v>320</v>
      </c>
      <c r="E457" s="298"/>
      <c r="F457" s="297" t="s">
        <v>321</v>
      </c>
      <c r="G457" s="299">
        <v>477797.0</v>
      </c>
      <c r="H457" s="299">
        <v>0.0</v>
      </c>
      <c r="I457" s="300">
        <v>477797.0</v>
      </c>
      <c r="J457" s="300">
        <v>477797.0</v>
      </c>
      <c r="K457" s="301">
        <v>0.0</v>
      </c>
    </row>
    <row r="458" ht="15.75" customHeight="1">
      <c r="A458" s="286" t="s">
        <v>628</v>
      </c>
      <c r="B458" s="287">
        <v>60.0</v>
      </c>
      <c r="C458" s="286" t="s">
        <v>68</v>
      </c>
      <c r="D458" s="287" t="s">
        <v>422</v>
      </c>
      <c r="E458" s="286" t="s">
        <v>428</v>
      </c>
      <c r="F458" s="286" t="s">
        <v>713</v>
      </c>
      <c r="G458" s="288">
        <v>0.0</v>
      </c>
      <c r="H458" s="288">
        <v>50820.0</v>
      </c>
      <c r="I458" s="289">
        <v>-50820.0</v>
      </c>
      <c r="J458" s="290"/>
      <c r="K458" s="7"/>
    </row>
    <row r="459" ht="15.75" customHeight="1">
      <c r="A459" s="291" t="s">
        <v>628</v>
      </c>
      <c r="B459" s="292">
        <v>60.0</v>
      </c>
      <c r="C459" s="291" t="s">
        <v>68</v>
      </c>
      <c r="D459" s="292" t="s">
        <v>422</v>
      </c>
      <c r="E459" s="291" t="s">
        <v>428</v>
      </c>
      <c r="F459" s="291" t="s">
        <v>714</v>
      </c>
      <c r="G459" s="293">
        <v>852000.0</v>
      </c>
      <c r="H459" s="293">
        <v>0.0</v>
      </c>
      <c r="I459" s="294">
        <v>852000.0</v>
      </c>
      <c r="J459" s="295"/>
      <c r="K459" s="7"/>
    </row>
    <row r="460" ht="15.75" customHeight="1">
      <c r="A460" s="296" t="s">
        <v>628</v>
      </c>
      <c r="B460" s="296">
        <v>60.0</v>
      </c>
      <c r="C460" s="297" t="s">
        <v>68</v>
      </c>
      <c r="D460" s="296" t="s">
        <v>320</v>
      </c>
      <c r="E460" s="298"/>
      <c r="F460" s="297" t="s">
        <v>321</v>
      </c>
      <c r="G460" s="299">
        <v>852000.0</v>
      </c>
      <c r="H460" s="299">
        <v>50820.0</v>
      </c>
      <c r="I460" s="300">
        <v>801180.0</v>
      </c>
      <c r="J460" s="300">
        <v>801180.0</v>
      </c>
      <c r="K460" s="301">
        <v>0.0</v>
      </c>
    </row>
    <row r="461" ht="15.75" customHeight="1">
      <c r="A461" s="286" t="s">
        <v>628</v>
      </c>
      <c r="B461" s="287">
        <v>61.0</v>
      </c>
      <c r="C461" s="286" t="s">
        <v>70</v>
      </c>
      <c r="D461" s="287" t="s">
        <v>405</v>
      </c>
      <c r="E461" s="286"/>
      <c r="F461" s="286" t="s">
        <v>715</v>
      </c>
      <c r="G461" s="288">
        <v>0.0</v>
      </c>
      <c r="H461" s="288">
        <v>1740420.0</v>
      </c>
      <c r="I461" s="289">
        <v>-1740420.0</v>
      </c>
      <c r="J461" s="290"/>
      <c r="K461" s="7"/>
    </row>
    <row r="462" ht="15.75" customHeight="1">
      <c r="A462" s="291" t="s">
        <v>628</v>
      </c>
      <c r="B462" s="292">
        <v>61.0</v>
      </c>
      <c r="C462" s="291" t="s">
        <v>70</v>
      </c>
      <c r="D462" s="292" t="s">
        <v>405</v>
      </c>
      <c r="E462" s="291" t="s">
        <v>614</v>
      </c>
      <c r="F462" s="291" t="s">
        <v>716</v>
      </c>
      <c r="G462" s="293">
        <v>556776.0</v>
      </c>
      <c r="H462" s="293">
        <v>0.0</v>
      </c>
      <c r="I462" s="294">
        <v>556776.0</v>
      </c>
      <c r="J462" s="295"/>
      <c r="K462" s="7"/>
    </row>
    <row r="463" ht="15.75" customHeight="1">
      <c r="A463" s="286" t="s">
        <v>628</v>
      </c>
      <c r="B463" s="287">
        <v>61.0</v>
      </c>
      <c r="C463" s="286" t="s">
        <v>70</v>
      </c>
      <c r="D463" s="287" t="s">
        <v>405</v>
      </c>
      <c r="E463" s="286" t="s">
        <v>614</v>
      </c>
      <c r="F463" s="286" t="s">
        <v>717</v>
      </c>
      <c r="G463" s="288">
        <v>573648.0</v>
      </c>
      <c r="H463" s="288">
        <v>0.0</v>
      </c>
      <c r="I463" s="289">
        <v>573648.0</v>
      </c>
      <c r="J463" s="290"/>
      <c r="K463" s="7"/>
    </row>
    <row r="464" ht="15.75" customHeight="1">
      <c r="A464" s="291" t="s">
        <v>628</v>
      </c>
      <c r="B464" s="292">
        <v>61.0</v>
      </c>
      <c r="C464" s="291" t="s">
        <v>70</v>
      </c>
      <c r="D464" s="292" t="s">
        <v>405</v>
      </c>
      <c r="E464" s="291"/>
      <c r="F464" s="291" t="s">
        <v>718</v>
      </c>
      <c r="G464" s="293">
        <v>579360.0</v>
      </c>
      <c r="H464" s="293">
        <v>0.0</v>
      </c>
      <c r="I464" s="294">
        <v>579360.0</v>
      </c>
      <c r="J464" s="295"/>
      <c r="K464" s="7"/>
    </row>
    <row r="465" ht="15.75" customHeight="1">
      <c r="A465" s="296" t="s">
        <v>628</v>
      </c>
      <c r="B465" s="296">
        <v>61.0</v>
      </c>
      <c r="C465" s="297" t="s">
        <v>70</v>
      </c>
      <c r="D465" s="296" t="s">
        <v>320</v>
      </c>
      <c r="E465" s="298"/>
      <c r="F465" s="297" t="s">
        <v>321</v>
      </c>
      <c r="G465" s="299">
        <v>1709784.0</v>
      </c>
      <c r="H465" s="299">
        <v>1740420.0</v>
      </c>
      <c r="I465" s="300">
        <v>-30636.0</v>
      </c>
      <c r="J465" s="300">
        <v>-30636.0</v>
      </c>
      <c r="K465" s="301">
        <v>0.0</v>
      </c>
    </row>
    <row r="466" ht="15.75" customHeight="1">
      <c r="A466" s="286" t="s">
        <v>628</v>
      </c>
      <c r="B466" s="287">
        <v>64.0</v>
      </c>
      <c r="C466" s="286" t="s">
        <v>76</v>
      </c>
      <c r="D466" s="287" t="s">
        <v>405</v>
      </c>
      <c r="E466" s="286"/>
      <c r="F466" s="286" t="s">
        <v>719</v>
      </c>
      <c r="G466" s="288">
        <v>0.0</v>
      </c>
      <c r="H466" s="288">
        <v>637978.0</v>
      </c>
      <c r="I466" s="289">
        <v>-637978.0</v>
      </c>
      <c r="J466" s="290"/>
      <c r="K466" s="7"/>
    </row>
    <row r="467" ht="15.75" customHeight="1">
      <c r="A467" s="291" t="s">
        <v>628</v>
      </c>
      <c r="B467" s="292">
        <v>64.0</v>
      </c>
      <c r="C467" s="291" t="s">
        <v>76</v>
      </c>
      <c r="D467" s="292" t="s">
        <v>405</v>
      </c>
      <c r="E467" s="291" t="s">
        <v>433</v>
      </c>
      <c r="F467" s="291" t="s">
        <v>720</v>
      </c>
      <c r="G467" s="293">
        <v>599220.48</v>
      </c>
      <c r="H467" s="293">
        <v>0.0</v>
      </c>
      <c r="I467" s="294">
        <v>599220.48</v>
      </c>
      <c r="J467" s="295"/>
      <c r="K467" s="7"/>
    </row>
    <row r="468" ht="15.75" customHeight="1">
      <c r="A468" s="286" t="s">
        <v>628</v>
      </c>
      <c r="B468" s="287">
        <v>64.0</v>
      </c>
      <c r="C468" s="286" t="s">
        <v>76</v>
      </c>
      <c r="D468" s="287" t="s">
        <v>405</v>
      </c>
      <c r="E468" s="286"/>
      <c r="F468" s="286" t="s">
        <v>721</v>
      </c>
      <c r="G468" s="288">
        <v>618382.0</v>
      </c>
      <c r="H468" s="288">
        <v>0.0</v>
      </c>
      <c r="I468" s="289">
        <v>618382.0</v>
      </c>
      <c r="J468" s="290"/>
      <c r="K468" s="7"/>
    </row>
    <row r="469" ht="15.75" customHeight="1">
      <c r="A469" s="296" t="s">
        <v>628</v>
      </c>
      <c r="B469" s="296">
        <v>64.0</v>
      </c>
      <c r="C469" s="297" t="s">
        <v>76</v>
      </c>
      <c r="D469" s="296" t="s">
        <v>320</v>
      </c>
      <c r="E469" s="298"/>
      <c r="F469" s="297" t="s">
        <v>321</v>
      </c>
      <c r="G469" s="299">
        <v>1217602.48</v>
      </c>
      <c r="H469" s="299">
        <v>637978.0</v>
      </c>
      <c r="I469" s="300">
        <v>579624.48</v>
      </c>
      <c r="J469" s="300">
        <v>579624.48</v>
      </c>
      <c r="K469" s="301">
        <v>0.0</v>
      </c>
    </row>
    <row r="470" ht="15.75" customHeight="1">
      <c r="A470" s="286" t="s">
        <v>628</v>
      </c>
      <c r="B470" s="287">
        <v>65.0</v>
      </c>
      <c r="C470" s="286" t="s">
        <v>78</v>
      </c>
      <c r="D470" s="287" t="s">
        <v>405</v>
      </c>
      <c r="E470" s="286" t="s">
        <v>435</v>
      </c>
      <c r="F470" s="286" t="s">
        <v>722</v>
      </c>
      <c r="G470" s="288">
        <v>0.0</v>
      </c>
      <c r="H470" s="288">
        <v>637978.2</v>
      </c>
      <c r="I470" s="289">
        <v>-637978.2</v>
      </c>
      <c r="J470" s="290"/>
      <c r="K470" s="7"/>
    </row>
    <row r="471" ht="15.75" customHeight="1">
      <c r="A471" s="296" t="s">
        <v>628</v>
      </c>
      <c r="B471" s="296">
        <v>65.0</v>
      </c>
      <c r="C471" s="297" t="s">
        <v>78</v>
      </c>
      <c r="D471" s="296" t="s">
        <v>320</v>
      </c>
      <c r="E471" s="298"/>
      <c r="F471" s="297" t="s">
        <v>321</v>
      </c>
      <c r="G471" s="299">
        <v>0.0</v>
      </c>
      <c r="H471" s="299">
        <v>637978.2</v>
      </c>
      <c r="I471" s="300">
        <v>-637978.2</v>
      </c>
      <c r="J471" s="300">
        <v>0.0</v>
      </c>
      <c r="K471" s="302">
        <v>-637978.2</v>
      </c>
    </row>
    <row r="472" ht="15.75" customHeight="1">
      <c r="A472" s="286" t="s">
        <v>628</v>
      </c>
      <c r="B472" s="287">
        <v>66.0</v>
      </c>
      <c r="C472" s="286" t="s">
        <v>80</v>
      </c>
      <c r="D472" s="287" t="s">
        <v>405</v>
      </c>
      <c r="E472" s="286" t="s">
        <v>438</v>
      </c>
      <c r="F472" s="286" t="s">
        <v>723</v>
      </c>
      <c r="G472" s="288">
        <v>443617.53</v>
      </c>
      <c r="H472" s="288">
        <v>0.0</v>
      </c>
      <c r="I472" s="289">
        <v>443617.53</v>
      </c>
      <c r="J472" s="290"/>
      <c r="K472" s="7"/>
    </row>
    <row r="473" ht="15.75" customHeight="1">
      <c r="A473" s="291" t="s">
        <v>628</v>
      </c>
      <c r="B473" s="292">
        <v>66.0</v>
      </c>
      <c r="C473" s="291" t="s">
        <v>80</v>
      </c>
      <c r="D473" s="292" t="s">
        <v>405</v>
      </c>
      <c r="E473" s="291" t="s">
        <v>438</v>
      </c>
      <c r="F473" s="291" t="s">
        <v>724</v>
      </c>
      <c r="G473" s="293">
        <v>17786.25</v>
      </c>
      <c r="H473" s="293">
        <v>0.0</v>
      </c>
      <c r="I473" s="294">
        <v>17786.25</v>
      </c>
      <c r="J473" s="295"/>
      <c r="K473" s="7"/>
    </row>
    <row r="474" ht="15.75" customHeight="1">
      <c r="A474" s="296" t="s">
        <v>628</v>
      </c>
      <c r="B474" s="296">
        <v>66.0</v>
      </c>
      <c r="C474" s="297" t="s">
        <v>80</v>
      </c>
      <c r="D474" s="296" t="s">
        <v>320</v>
      </c>
      <c r="E474" s="298"/>
      <c r="F474" s="297" t="s">
        <v>321</v>
      </c>
      <c r="G474" s="299">
        <v>461403.78</v>
      </c>
      <c r="H474" s="299">
        <v>0.0</v>
      </c>
      <c r="I474" s="300">
        <v>461403.78</v>
      </c>
      <c r="J474" s="300">
        <v>461403.78</v>
      </c>
      <c r="K474" s="301">
        <v>0.0</v>
      </c>
    </row>
    <row r="475" ht="15.75" customHeight="1">
      <c r="A475" s="286" t="s">
        <v>628</v>
      </c>
      <c r="B475" s="287">
        <v>69.0</v>
      </c>
      <c r="C475" s="286" t="s">
        <v>86</v>
      </c>
      <c r="D475" s="287" t="s">
        <v>405</v>
      </c>
      <c r="E475" s="286" t="s">
        <v>438</v>
      </c>
      <c r="F475" s="286" t="s">
        <v>725</v>
      </c>
      <c r="G475" s="288">
        <v>11727.32</v>
      </c>
      <c r="H475" s="288">
        <v>0.0</v>
      </c>
      <c r="I475" s="289">
        <v>11727.32</v>
      </c>
      <c r="J475" s="290"/>
      <c r="K475" s="7"/>
    </row>
    <row r="476" ht="15.75" customHeight="1">
      <c r="A476" s="296" t="s">
        <v>628</v>
      </c>
      <c r="B476" s="296">
        <v>69.0</v>
      </c>
      <c r="C476" s="297" t="s">
        <v>86</v>
      </c>
      <c r="D476" s="296" t="s">
        <v>320</v>
      </c>
      <c r="E476" s="298"/>
      <c r="F476" s="297" t="s">
        <v>321</v>
      </c>
      <c r="G476" s="299">
        <v>11727.32</v>
      </c>
      <c r="H476" s="299">
        <v>0.0</v>
      </c>
      <c r="I476" s="300">
        <v>11727.32</v>
      </c>
      <c r="J476" s="300">
        <v>11727.32</v>
      </c>
      <c r="K476" s="301">
        <v>0.0</v>
      </c>
    </row>
    <row r="477" ht="15.75" customHeight="1">
      <c r="A477" s="286" t="s">
        <v>628</v>
      </c>
      <c r="B477" s="287">
        <v>71.0</v>
      </c>
      <c r="C477" s="286" t="s">
        <v>89</v>
      </c>
      <c r="D477" s="287" t="s">
        <v>444</v>
      </c>
      <c r="E477" s="286"/>
      <c r="F477" s="286" t="s">
        <v>726</v>
      </c>
      <c r="G477" s="288">
        <v>3464932.49</v>
      </c>
      <c r="H477" s="288">
        <v>0.0</v>
      </c>
      <c r="I477" s="289">
        <v>3464932.49</v>
      </c>
      <c r="J477" s="290"/>
      <c r="K477" s="7"/>
    </row>
    <row r="478" ht="15.75" customHeight="1">
      <c r="A478" s="291" t="s">
        <v>628</v>
      </c>
      <c r="B478" s="292">
        <v>71.0</v>
      </c>
      <c r="C478" s="291" t="s">
        <v>89</v>
      </c>
      <c r="D478" s="292" t="s">
        <v>444</v>
      </c>
      <c r="E478" s="291"/>
      <c r="F478" s="291" t="s">
        <v>727</v>
      </c>
      <c r="G478" s="293">
        <v>1817356.27</v>
      </c>
      <c r="H478" s="293">
        <v>0.0</v>
      </c>
      <c r="I478" s="294">
        <v>1817356.27</v>
      </c>
      <c r="J478" s="295"/>
      <c r="K478" s="7"/>
    </row>
    <row r="479" ht="15.75" customHeight="1">
      <c r="A479" s="286" t="s">
        <v>628</v>
      </c>
      <c r="B479" s="287">
        <v>71.0</v>
      </c>
      <c r="C479" s="286" t="s">
        <v>89</v>
      </c>
      <c r="D479" s="287" t="s">
        <v>444</v>
      </c>
      <c r="E479" s="286"/>
      <c r="F479" s="286" t="s">
        <v>728</v>
      </c>
      <c r="G479" s="288">
        <v>40831.88</v>
      </c>
      <c r="H479" s="288">
        <v>0.0</v>
      </c>
      <c r="I479" s="289">
        <v>40831.88</v>
      </c>
      <c r="J479" s="290"/>
      <c r="K479" s="7"/>
    </row>
    <row r="480" ht="15.75" customHeight="1">
      <c r="A480" s="296" t="s">
        <v>628</v>
      </c>
      <c r="B480" s="296">
        <v>71.0</v>
      </c>
      <c r="C480" s="297" t="s">
        <v>89</v>
      </c>
      <c r="D480" s="296" t="s">
        <v>320</v>
      </c>
      <c r="E480" s="298"/>
      <c r="F480" s="297" t="s">
        <v>321</v>
      </c>
      <c r="G480" s="299">
        <v>5323120.640000001</v>
      </c>
      <c r="H480" s="299">
        <v>0.0</v>
      </c>
      <c r="I480" s="300">
        <v>5323120.640000001</v>
      </c>
      <c r="J480" s="300">
        <v>5323120.64</v>
      </c>
      <c r="K480" s="301">
        <v>9.313225746154785E-10</v>
      </c>
    </row>
    <row r="481" ht="15.75" customHeight="1">
      <c r="A481" s="286" t="s">
        <v>628</v>
      </c>
      <c r="B481" s="287">
        <v>76.0</v>
      </c>
      <c r="C481" s="286" t="s">
        <v>96</v>
      </c>
      <c r="D481" s="287" t="s">
        <v>448</v>
      </c>
      <c r="E481" s="286" t="s">
        <v>449</v>
      </c>
      <c r="F481" s="286" t="s">
        <v>729</v>
      </c>
      <c r="G481" s="288">
        <v>1.050078144E7</v>
      </c>
      <c r="H481" s="288">
        <v>0.0</v>
      </c>
      <c r="I481" s="289">
        <v>1.050078144E7</v>
      </c>
      <c r="J481" s="290"/>
      <c r="K481" s="7"/>
    </row>
    <row r="482" ht="15.75" customHeight="1">
      <c r="A482" s="296" t="s">
        <v>628</v>
      </c>
      <c r="B482" s="296">
        <v>76.0</v>
      </c>
      <c r="C482" s="297" t="s">
        <v>96</v>
      </c>
      <c r="D482" s="296" t="s">
        <v>320</v>
      </c>
      <c r="E482" s="298"/>
      <c r="F482" s="297" t="s">
        <v>321</v>
      </c>
      <c r="G482" s="299">
        <v>1.050078144E7</v>
      </c>
      <c r="H482" s="299">
        <v>0.0</v>
      </c>
      <c r="I482" s="300">
        <v>1.050078144E7</v>
      </c>
      <c r="J482" s="300">
        <v>1.050078144E7</v>
      </c>
      <c r="K482" s="301">
        <v>0.0</v>
      </c>
    </row>
    <row r="483" ht="15.75" customHeight="1">
      <c r="A483" s="286" t="s">
        <v>628</v>
      </c>
      <c r="B483" s="287">
        <v>78.0</v>
      </c>
      <c r="C483" s="286" t="s">
        <v>100</v>
      </c>
      <c r="D483" s="287" t="s">
        <v>451</v>
      </c>
      <c r="E483" s="286" t="s">
        <v>452</v>
      </c>
      <c r="F483" s="286" t="s">
        <v>730</v>
      </c>
      <c r="G483" s="288">
        <v>2128813.0</v>
      </c>
      <c r="H483" s="288">
        <v>0.0</v>
      </c>
      <c r="I483" s="289">
        <v>2128813.0</v>
      </c>
      <c r="J483" s="290"/>
      <c r="K483" s="7"/>
    </row>
    <row r="484" ht="15.75" customHeight="1">
      <c r="A484" s="296" t="s">
        <v>628</v>
      </c>
      <c r="B484" s="296">
        <v>78.0</v>
      </c>
      <c r="C484" s="297" t="s">
        <v>100</v>
      </c>
      <c r="D484" s="296" t="s">
        <v>320</v>
      </c>
      <c r="E484" s="298"/>
      <c r="F484" s="297" t="s">
        <v>321</v>
      </c>
      <c r="G484" s="299">
        <v>2128813.0</v>
      </c>
      <c r="H484" s="299">
        <v>0.0</v>
      </c>
      <c r="I484" s="300">
        <v>2128813.0</v>
      </c>
      <c r="J484" s="300">
        <v>2128813.0</v>
      </c>
      <c r="K484" s="301">
        <v>0.0</v>
      </c>
    </row>
    <row r="485" ht="15.75" customHeight="1">
      <c r="A485" s="286" t="s">
        <v>628</v>
      </c>
      <c r="B485" s="287">
        <v>82.0</v>
      </c>
      <c r="C485" s="286" t="s">
        <v>104</v>
      </c>
      <c r="D485" s="287" t="s">
        <v>451</v>
      </c>
      <c r="E485" s="286"/>
      <c r="F485" s="286" t="s">
        <v>731</v>
      </c>
      <c r="G485" s="288">
        <v>0.0</v>
      </c>
      <c r="H485" s="288">
        <v>1.13E7</v>
      </c>
      <c r="I485" s="289">
        <v>-1.13E7</v>
      </c>
      <c r="J485" s="290"/>
      <c r="K485" s="7"/>
    </row>
    <row r="486" ht="15.75" customHeight="1">
      <c r="A486" s="291" t="s">
        <v>628</v>
      </c>
      <c r="B486" s="292">
        <v>82.0</v>
      </c>
      <c r="C486" s="291" t="s">
        <v>104</v>
      </c>
      <c r="D486" s="292" t="s">
        <v>451</v>
      </c>
      <c r="E486" s="291" t="s">
        <v>455</v>
      </c>
      <c r="F486" s="291" t="s">
        <v>732</v>
      </c>
      <c r="G486" s="293">
        <v>8383626.0</v>
      </c>
      <c r="H486" s="293">
        <v>0.0</v>
      </c>
      <c r="I486" s="294">
        <v>8383626.0</v>
      </c>
      <c r="J486" s="295"/>
      <c r="K486" s="7"/>
    </row>
    <row r="487" ht="15.75" customHeight="1">
      <c r="A487" s="286" t="s">
        <v>628</v>
      </c>
      <c r="B487" s="287">
        <v>82.0</v>
      </c>
      <c r="C487" s="286" t="s">
        <v>104</v>
      </c>
      <c r="D487" s="287" t="s">
        <v>451</v>
      </c>
      <c r="E487" s="286" t="s">
        <v>455</v>
      </c>
      <c r="F487" s="286" t="s">
        <v>733</v>
      </c>
      <c r="G487" s="288">
        <v>3164020.0</v>
      </c>
      <c r="H487" s="288">
        <v>0.0</v>
      </c>
      <c r="I487" s="289">
        <v>3164020.0</v>
      </c>
      <c r="J487" s="290"/>
      <c r="K487" s="7"/>
    </row>
    <row r="488" ht="15.75" customHeight="1">
      <c r="A488" s="291" t="s">
        <v>628</v>
      </c>
      <c r="B488" s="292">
        <v>82.0</v>
      </c>
      <c r="C488" s="291" t="s">
        <v>104</v>
      </c>
      <c r="D488" s="292" t="s">
        <v>451</v>
      </c>
      <c r="E488" s="291"/>
      <c r="F488" s="291" t="s">
        <v>734</v>
      </c>
      <c r="G488" s="293">
        <v>1.17E7</v>
      </c>
      <c r="H488" s="293">
        <v>0.0</v>
      </c>
      <c r="I488" s="294">
        <v>1.17E7</v>
      </c>
      <c r="J488" s="295"/>
      <c r="K488" s="7"/>
    </row>
    <row r="489" ht="15.75" customHeight="1">
      <c r="A489" s="296" t="s">
        <v>628</v>
      </c>
      <c r="B489" s="296">
        <v>82.0</v>
      </c>
      <c r="C489" s="297" t="s">
        <v>104</v>
      </c>
      <c r="D489" s="296" t="s">
        <v>320</v>
      </c>
      <c r="E489" s="298"/>
      <c r="F489" s="297" t="s">
        <v>321</v>
      </c>
      <c r="G489" s="299">
        <v>2.3247646E7</v>
      </c>
      <c r="H489" s="299">
        <v>1.13E7</v>
      </c>
      <c r="I489" s="300">
        <v>1.1947646E7</v>
      </c>
      <c r="J489" s="300">
        <v>1.1947646E7</v>
      </c>
      <c r="K489" s="301">
        <v>0.0</v>
      </c>
    </row>
    <row r="490" ht="15.75" customHeight="1">
      <c r="A490" s="286" t="s">
        <v>628</v>
      </c>
      <c r="B490" s="287">
        <v>83.0</v>
      </c>
      <c r="C490" s="286" t="s">
        <v>107</v>
      </c>
      <c r="D490" s="287" t="s">
        <v>448</v>
      </c>
      <c r="E490" s="286" t="s">
        <v>459</v>
      </c>
      <c r="F490" s="286" t="s">
        <v>735</v>
      </c>
      <c r="G490" s="288">
        <v>6282207.8</v>
      </c>
      <c r="H490" s="288">
        <v>0.0</v>
      </c>
      <c r="I490" s="289">
        <v>6282207.8</v>
      </c>
      <c r="J490" s="290"/>
      <c r="K490" s="7"/>
    </row>
    <row r="491" ht="15.75" customHeight="1">
      <c r="A491" s="291" t="s">
        <v>628</v>
      </c>
      <c r="B491" s="292">
        <v>83.0</v>
      </c>
      <c r="C491" s="291" t="s">
        <v>107</v>
      </c>
      <c r="D491" s="292" t="s">
        <v>448</v>
      </c>
      <c r="E491" s="291" t="s">
        <v>459</v>
      </c>
      <c r="F491" s="291" t="s">
        <v>735</v>
      </c>
      <c r="G491" s="293">
        <v>0.22</v>
      </c>
      <c r="H491" s="293">
        <v>0.0</v>
      </c>
      <c r="I491" s="294">
        <v>0.22</v>
      </c>
      <c r="J491" s="295"/>
      <c r="K491" s="7"/>
    </row>
    <row r="492" ht="15.75" customHeight="1">
      <c r="A492" s="296" t="s">
        <v>628</v>
      </c>
      <c r="B492" s="296">
        <v>83.0</v>
      </c>
      <c r="C492" s="297" t="s">
        <v>107</v>
      </c>
      <c r="D492" s="296" t="s">
        <v>320</v>
      </c>
      <c r="E492" s="298"/>
      <c r="F492" s="297" t="s">
        <v>321</v>
      </c>
      <c r="G492" s="299">
        <v>6282208.02</v>
      </c>
      <c r="H492" s="299">
        <v>0.0</v>
      </c>
      <c r="I492" s="300">
        <v>6282208.02</v>
      </c>
      <c r="J492" s="300">
        <v>6282208.0</v>
      </c>
      <c r="K492" s="301">
        <v>0.01999999955296516</v>
      </c>
    </row>
    <row r="493" ht="15.75" customHeight="1">
      <c r="A493" s="286" t="s">
        <v>628</v>
      </c>
      <c r="B493" s="287">
        <v>84.0</v>
      </c>
      <c r="C493" s="286" t="s">
        <v>110</v>
      </c>
      <c r="D493" s="287" t="s">
        <v>425</v>
      </c>
      <c r="E493" s="286"/>
      <c r="F493" s="286" t="s">
        <v>736</v>
      </c>
      <c r="G493" s="288">
        <v>0.0</v>
      </c>
      <c r="H493" s="288">
        <v>6235763.0</v>
      </c>
      <c r="I493" s="289">
        <v>-6235763.0</v>
      </c>
      <c r="J493" s="290"/>
      <c r="K493" s="7"/>
    </row>
    <row r="494" ht="15.75" customHeight="1">
      <c r="A494" s="291" t="s">
        <v>628</v>
      </c>
      <c r="B494" s="292">
        <v>84.0</v>
      </c>
      <c r="C494" s="291" t="s">
        <v>110</v>
      </c>
      <c r="D494" s="292" t="s">
        <v>425</v>
      </c>
      <c r="E494" s="291" t="s">
        <v>737</v>
      </c>
      <c r="F494" s="291" t="s">
        <v>738</v>
      </c>
      <c r="G494" s="293">
        <v>176677.0</v>
      </c>
      <c r="H494" s="293">
        <v>0.0</v>
      </c>
      <c r="I494" s="294">
        <v>176677.0</v>
      </c>
      <c r="J494" s="295"/>
      <c r="K494" s="7"/>
    </row>
    <row r="495" ht="15.75" customHeight="1">
      <c r="A495" s="286" t="s">
        <v>628</v>
      </c>
      <c r="B495" s="287">
        <v>84.0</v>
      </c>
      <c r="C495" s="286" t="s">
        <v>110</v>
      </c>
      <c r="D495" s="287" t="s">
        <v>425</v>
      </c>
      <c r="E495" s="286" t="s">
        <v>739</v>
      </c>
      <c r="F495" s="286" t="s">
        <v>740</v>
      </c>
      <c r="G495" s="288">
        <v>26303.0</v>
      </c>
      <c r="H495" s="288">
        <v>0.0</v>
      </c>
      <c r="I495" s="289">
        <v>26303.0</v>
      </c>
      <c r="J495" s="290"/>
      <c r="K495" s="7"/>
    </row>
    <row r="496" ht="15.75" customHeight="1">
      <c r="A496" s="291" t="s">
        <v>628</v>
      </c>
      <c r="B496" s="292">
        <v>84.0</v>
      </c>
      <c r="C496" s="291" t="s">
        <v>110</v>
      </c>
      <c r="D496" s="292" t="s">
        <v>425</v>
      </c>
      <c r="E496" s="291" t="s">
        <v>741</v>
      </c>
      <c r="F496" s="291" t="s">
        <v>742</v>
      </c>
      <c r="G496" s="293">
        <v>34295.0</v>
      </c>
      <c r="H496" s="293">
        <v>0.0</v>
      </c>
      <c r="I496" s="294">
        <v>34295.0</v>
      </c>
      <c r="J496" s="295"/>
      <c r="K496" s="7"/>
    </row>
    <row r="497" ht="15.75" customHeight="1">
      <c r="A497" s="286" t="s">
        <v>628</v>
      </c>
      <c r="B497" s="287">
        <v>84.0</v>
      </c>
      <c r="C497" s="286" t="s">
        <v>110</v>
      </c>
      <c r="D497" s="287" t="s">
        <v>425</v>
      </c>
      <c r="E497" s="286" t="s">
        <v>743</v>
      </c>
      <c r="F497" s="286" t="s">
        <v>744</v>
      </c>
      <c r="G497" s="288">
        <v>864514.0</v>
      </c>
      <c r="H497" s="288">
        <v>0.0</v>
      </c>
      <c r="I497" s="289">
        <v>864514.0</v>
      </c>
      <c r="J497" s="290"/>
      <c r="K497" s="7"/>
    </row>
    <row r="498" ht="15.75" customHeight="1">
      <c r="A498" s="291" t="s">
        <v>628</v>
      </c>
      <c r="B498" s="292">
        <v>84.0</v>
      </c>
      <c r="C498" s="291" t="s">
        <v>110</v>
      </c>
      <c r="D498" s="292" t="s">
        <v>425</v>
      </c>
      <c r="E498" s="291" t="s">
        <v>745</v>
      </c>
      <c r="F498" s="291" t="s">
        <v>746</v>
      </c>
      <c r="G498" s="293">
        <v>11673.0</v>
      </c>
      <c r="H498" s="293">
        <v>0.0</v>
      </c>
      <c r="I498" s="294">
        <v>11673.0</v>
      </c>
      <c r="J498" s="295"/>
      <c r="K498" s="7"/>
    </row>
    <row r="499" ht="15.75" customHeight="1">
      <c r="A499" s="286" t="s">
        <v>628</v>
      </c>
      <c r="B499" s="287">
        <v>84.0</v>
      </c>
      <c r="C499" s="286" t="s">
        <v>110</v>
      </c>
      <c r="D499" s="287" t="s">
        <v>425</v>
      </c>
      <c r="E499" s="286" t="s">
        <v>747</v>
      </c>
      <c r="F499" s="286" t="s">
        <v>746</v>
      </c>
      <c r="G499" s="288">
        <v>817753.0</v>
      </c>
      <c r="H499" s="288">
        <v>0.0</v>
      </c>
      <c r="I499" s="289">
        <v>817753.0</v>
      </c>
      <c r="J499" s="290"/>
      <c r="K499" s="7"/>
    </row>
    <row r="500" ht="15.75" customHeight="1">
      <c r="A500" s="291" t="s">
        <v>628</v>
      </c>
      <c r="B500" s="292">
        <v>84.0</v>
      </c>
      <c r="C500" s="291" t="s">
        <v>110</v>
      </c>
      <c r="D500" s="292" t="s">
        <v>425</v>
      </c>
      <c r="E500" s="291"/>
      <c r="F500" s="291" t="s">
        <v>748</v>
      </c>
      <c r="G500" s="293">
        <v>681119.0</v>
      </c>
      <c r="H500" s="293">
        <v>0.0</v>
      </c>
      <c r="I500" s="294">
        <v>681119.0</v>
      </c>
      <c r="J500" s="295"/>
      <c r="K500" s="7"/>
    </row>
    <row r="501" ht="15.75" customHeight="1">
      <c r="A501" s="286" t="s">
        <v>628</v>
      </c>
      <c r="B501" s="287">
        <v>84.0</v>
      </c>
      <c r="C501" s="286" t="s">
        <v>110</v>
      </c>
      <c r="D501" s="287" t="s">
        <v>425</v>
      </c>
      <c r="E501" s="286"/>
      <c r="F501" s="286" t="s">
        <v>749</v>
      </c>
      <c r="G501" s="288">
        <v>7909191.0</v>
      </c>
      <c r="H501" s="288">
        <v>0.0</v>
      </c>
      <c r="I501" s="289">
        <v>7909191.0</v>
      </c>
      <c r="J501" s="290"/>
      <c r="K501" s="7"/>
    </row>
    <row r="502" ht="15.75" customHeight="1">
      <c r="A502" s="296" t="s">
        <v>628</v>
      </c>
      <c r="B502" s="296">
        <v>84.0</v>
      </c>
      <c r="C502" s="297" t="s">
        <v>110</v>
      </c>
      <c r="D502" s="296" t="s">
        <v>320</v>
      </c>
      <c r="E502" s="298"/>
      <c r="F502" s="297" t="s">
        <v>321</v>
      </c>
      <c r="G502" s="299">
        <v>1.0521525E7</v>
      </c>
      <c r="H502" s="299">
        <v>6235763.0</v>
      </c>
      <c r="I502" s="300">
        <v>4285762.0</v>
      </c>
      <c r="J502" s="300">
        <v>4285762.0</v>
      </c>
      <c r="K502" s="301">
        <v>0.0</v>
      </c>
    </row>
    <row r="503" ht="15.75" customHeight="1">
      <c r="A503" s="286" t="s">
        <v>628</v>
      </c>
      <c r="B503" s="287">
        <v>85.0</v>
      </c>
      <c r="C503" s="286" t="s">
        <v>113</v>
      </c>
      <c r="D503" s="287" t="s">
        <v>472</v>
      </c>
      <c r="E503" s="286"/>
      <c r="F503" s="286" t="s">
        <v>750</v>
      </c>
      <c r="G503" s="288">
        <v>0.0</v>
      </c>
      <c r="H503" s="288">
        <v>7000000.0</v>
      </c>
      <c r="I503" s="289">
        <v>-7000000.0</v>
      </c>
      <c r="J503" s="290"/>
      <c r="K503" s="7"/>
    </row>
    <row r="504" ht="15.75" customHeight="1">
      <c r="A504" s="291" t="s">
        <v>628</v>
      </c>
      <c r="B504" s="292">
        <v>85.0</v>
      </c>
      <c r="C504" s="291" t="s">
        <v>113</v>
      </c>
      <c r="D504" s="292" t="s">
        <v>472</v>
      </c>
      <c r="E504" s="291" t="s">
        <v>474</v>
      </c>
      <c r="F504" s="291" t="s">
        <v>751</v>
      </c>
      <c r="G504" s="293">
        <v>3422249.8</v>
      </c>
      <c r="H504" s="293">
        <v>0.0</v>
      </c>
      <c r="I504" s="294">
        <v>3422249.8</v>
      </c>
      <c r="J504" s="295"/>
      <c r="K504" s="7"/>
    </row>
    <row r="505" ht="15.75" customHeight="1">
      <c r="A505" s="286" t="s">
        <v>628</v>
      </c>
      <c r="B505" s="287">
        <v>85.0</v>
      </c>
      <c r="C505" s="286" t="s">
        <v>113</v>
      </c>
      <c r="D505" s="287" t="s">
        <v>472</v>
      </c>
      <c r="E505" s="286"/>
      <c r="F505" s="286" t="s">
        <v>752</v>
      </c>
      <c r="G505" s="288">
        <v>3660000.0</v>
      </c>
      <c r="H505" s="288">
        <v>0.0</v>
      </c>
      <c r="I505" s="289">
        <v>3660000.0</v>
      </c>
      <c r="J505" s="290"/>
      <c r="K505" s="7"/>
    </row>
    <row r="506" ht="15.75" customHeight="1">
      <c r="A506" s="296" t="s">
        <v>628</v>
      </c>
      <c r="B506" s="296">
        <v>85.0</v>
      </c>
      <c r="C506" s="297" t="s">
        <v>113</v>
      </c>
      <c r="D506" s="296" t="s">
        <v>320</v>
      </c>
      <c r="E506" s="298"/>
      <c r="F506" s="297" t="s">
        <v>321</v>
      </c>
      <c r="G506" s="299">
        <v>7082249.8</v>
      </c>
      <c r="H506" s="299">
        <v>7000000.0</v>
      </c>
      <c r="I506" s="300">
        <v>82249.79999999981</v>
      </c>
      <c r="J506" s="300">
        <v>82250.0</v>
      </c>
      <c r="K506" s="301">
        <v>-0.2000000001862645</v>
      </c>
    </row>
    <row r="507" ht="15.75" customHeight="1">
      <c r="A507" s="286" t="s">
        <v>628</v>
      </c>
      <c r="B507" s="287">
        <v>86.0</v>
      </c>
      <c r="C507" s="286" t="s">
        <v>116</v>
      </c>
      <c r="D507" s="287" t="s">
        <v>479</v>
      </c>
      <c r="E507" s="286"/>
      <c r="F507" s="286" t="s">
        <v>753</v>
      </c>
      <c r="G507" s="288">
        <v>0.0</v>
      </c>
      <c r="H507" s="288">
        <v>400000.0</v>
      </c>
      <c r="I507" s="289">
        <v>-400000.0</v>
      </c>
      <c r="J507" s="290"/>
      <c r="K507" s="7"/>
    </row>
    <row r="508" ht="15.75" customHeight="1">
      <c r="A508" s="291" t="s">
        <v>628</v>
      </c>
      <c r="B508" s="292">
        <v>86.0</v>
      </c>
      <c r="C508" s="291" t="s">
        <v>116</v>
      </c>
      <c r="D508" s="292" t="s">
        <v>479</v>
      </c>
      <c r="E508" s="291"/>
      <c r="F508" s="291" t="s">
        <v>754</v>
      </c>
      <c r="G508" s="293">
        <v>400000.0</v>
      </c>
      <c r="H508" s="293">
        <v>0.0</v>
      </c>
      <c r="I508" s="294">
        <v>400000.0</v>
      </c>
      <c r="J508" s="295"/>
      <c r="K508" s="7"/>
    </row>
    <row r="509" ht="15.75" customHeight="1">
      <c r="A509" s="296" t="s">
        <v>628</v>
      </c>
      <c r="B509" s="296">
        <v>86.0</v>
      </c>
      <c r="C509" s="297" t="s">
        <v>116</v>
      </c>
      <c r="D509" s="296" t="s">
        <v>320</v>
      </c>
      <c r="E509" s="298"/>
      <c r="F509" s="297" t="s">
        <v>321</v>
      </c>
      <c r="G509" s="299">
        <v>400000.0</v>
      </c>
      <c r="H509" s="299">
        <v>400000.0</v>
      </c>
      <c r="I509" s="300">
        <v>0.0</v>
      </c>
      <c r="J509" s="300">
        <v>0.0</v>
      </c>
      <c r="K509" s="301">
        <v>0.0</v>
      </c>
    </row>
    <row r="510" ht="15.75" customHeight="1">
      <c r="A510" s="286" t="s">
        <v>628</v>
      </c>
      <c r="B510" s="287">
        <v>88.0</v>
      </c>
      <c r="C510" s="286" t="s">
        <v>119</v>
      </c>
      <c r="D510" s="287" t="s">
        <v>422</v>
      </c>
      <c r="E510" s="286"/>
      <c r="F510" s="286" t="s">
        <v>755</v>
      </c>
      <c r="G510" s="288">
        <v>0.0</v>
      </c>
      <c r="H510" s="288">
        <v>1.05936178E8</v>
      </c>
      <c r="I510" s="289">
        <v>-1.05936178E8</v>
      </c>
      <c r="J510" s="290"/>
      <c r="K510" s="7"/>
    </row>
    <row r="511" ht="15.75" customHeight="1">
      <c r="A511" s="291" t="s">
        <v>628</v>
      </c>
      <c r="B511" s="292">
        <v>88.0</v>
      </c>
      <c r="C511" s="291" t="s">
        <v>119</v>
      </c>
      <c r="D511" s="292" t="s">
        <v>422</v>
      </c>
      <c r="E511" s="291" t="s">
        <v>483</v>
      </c>
      <c r="F511" s="291" t="s">
        <v>756</v>
      </c>
      <c r="G511" s="293">
        <v>7.230895135E7</v>
      </c>
      <c r="H511" s="293">
        <v>0.0</v>
      </c>
      <c r="I511" s="294">
        <v>7.230895135E7</v>
      </c>
      <c r="J511" s="295"/>
      <c r="K511" s="7"/>
    </row>
    <row r="512" ht="15.75" customHeight="1">
      <c r="A512" s="286" t="s">
        <v>628</v>
      </c>
      <c r="B512" s="287">
        <v>88.0</v>
      </c>
      <c r="C512" s="286" t="s">
        <v>119</v>
      </c>
      <c r="D512" s="287" t="s">
        <v>422</v>
      </c>
      <c r="E512" s="286" t="s">
        <v>483</v>
      </c>
      <c r="F512" s="286" t="s">
        <v>756</v>
      </c>
      <c r="G512" s="288">
        <v>0.01</v>
      </c>
      <c r="H512" s="288">
        <v>0.0</v>
      </c>
      <c r="I512" s="289">
        <v>0.01</v>
      </c>
      <c r="J512" s="290"/>
      <c r="K512" s="7"/>
    </row>
    <row r="513" ht="15.75" customHeight="1">
      <c r="A513" s="291" t="s">
        <v>628</v>
      </c>
      <c r="B513" s="292">
        <v>88.0</v>
      </c>
      <c r="C513" s="291" t="s">
        <v>119</v>
      </c>
      <c r="D513" s="292" t="s">
        <v>422</v>
      </c>
      <c r="E513" s="291" t="s">
        <v>483</v>
      </c>
      <c r="F513" s="291" t="s">
        <v>757</v>
      </c>
      <c r="G513" s="293">
        <v>3319736.43</v>
      </c>
      <c r="H513" s="293">
        <v>0.0</v>
      </c>
      <c r="I513" s="294">
        <v>3319736.43</v>
      </c>
      <c r="J513" s="295"/>
      <c r="K513" s="7"/>
    </row>
    <row r="514" ht="15.75" customHeight="1">
      <c r="A514" s="286" t="s">
        <v>628</v>
      </c>
      <c r="B514" s="287">
        <v>88.0</v>
      </c>
      <c r="C514" s="286" t="s">
        <v>119</v>
      </c>
      <c r="D514" s="287" t="s">
        <v>422</v>
      </c>
      <c r="E514" s="286" t="s">
        <v>483</v>
      </c>
      <c r="F514" s="286" t="s">
        <v>758</v>
      </c>
      <c r="G514" s="288">
        <v>3.030749027E7</v>
      </c>
      <c r="H514" s="288">
        <v>0.0</v>
      </c>
      <c r="I514" s="289">
        <v>3.030749027E7</v>
      </c>
      <c r="J514" s="290"/>
      <c r="K514" s="7"/>
    </row>
    <row r="515" ht="15.75" customHeight="1">
      <c r="A515" s="291" t="s">
        <v>628</v>
      </c>
      <c r="B515" s="292">
        <v>88.0</v>
      </c>
      <c r="C515" s="291" t="s">
        <v>119</v>
      </c>
      <c r="D515" s="292" t="s">
        <v>422</v>
      </c>
      <c r="E515" s="291" t="s">
        <v>487</v>
      </c>
      <c r="F515" s="291" t="s">
        <v>759</v>
      </c>
      <c r="G515" s="293">
        <v>8500.0</v>
      </c>
      <c r="H515" s="293">
        <v>0.0</v>
      </c>
      <c r="I515" s="294">
        <v>8500.0</v>
      </c>
      <c r="J515" s="295"/>
      <c r="K515" s="7"/>
    </row>
    <row r="516" ht="15.75" customHeight="1">
      <c r="A516" s="286" t="s">
        <v>628</v>
      </c>
      <c r="B516" s="287">
        <v>88.0</v>
      </c>
      <c r="C516" s="286" t="s">
        <v>119</v>
      </c>
      <c r="D516" s="287" t="s">
        <v>422</v>
      </c>
      <c r="E516" s="286"/>
      <c r="F516" s="286" t="s">
        <v>760</v>
      </c>
      <c r="G516" s="288">
        <v>1.05616454E8</v>
      </c>
      <c r="H516" s="288">
        <v>0.0</v>
      </c>
      <c r="I516" s="289">
        <v>1.05616454E8</v>
      </c>
      <c r="J516" s="290"/>
      <c r="K516" s="7"/>
    </row>
    <row r="517" ht="15.75" customHeight="1">
      <c r="A517" s="296" t="s">
        <v>628</v>
      </c>
      <c r="B517" s="296">
        <v>88.0</v>
      </c>
      <c r="C517" s="297" t="s">
        <v>119</v>
      </c>
      <c r="D517" s="296" t="s">
        <v>320</v>
      </c>
      <c r="E517" s="298"/>
      <c r="F517" s="297" t="s">
        <v>321</v>
      </c>
      <c r="G517" s="299">
        <v>2.1156113206E8</v>
      </c>
      <c r="H517" s="299">
        <v>1.05936178E8</v>
      </c>
      <c r="I517" s="300">
        <v>1.0562495406E8</v>
      </c>
      <c r="J517" s="300">
        <v>1.05616454E8</v>
      </c>
      <c r="K517" s="302">
        <v>8500.059999987483</v>
      </c>
    </row>
    <row r="518" ht="15.75" customHeight="1">
      <c r="A518" s="286" t="s">
        <v>628</v>
      </c>
      <c r="B518" s="287">
        <v>89.0</v>
      </c>
      <c r="C518" s="286" t="s">
        <v>121</v>
      </c>
      <c r="D518" s="287" t="s">
        <v>422</v>
      </c>
      <c r="E518" s="286"/>
      <c r="F518" s="286" t="s">
        <v>761</v>
      </c>
      <c r="G518" s="288">
        <v>171376.0</v>
      </c>
      <c r="H518" s="288">
        <v>0.0</v>
      </c>
      <c r="I518" s="289">
        <v>171376.0</v>
      </c>
      <c r="J518" s="290"/>
      <c r="K518" s="7"/>
    </row>
    <row r="519" ht="15.75" customHeight="1">
      <c r="A519" s="291" t="s">
        <v>628</v>
      </c>
      <c r="B519" s="292">
        <v>89.0</v>
      </c>
      <c r="C519" s="291" t="s">
        <v>121</v>
      </c>
      <c r="D519" s="292" t="s">
        <v>422</v>
      </c>
      <c r="E519" s="291"/>
      <c r="F519" s="291" t="s">
        <v>762</v>
      </c>
      <c r="G519" s="293">
        <v>1178845.0</v>
      </c>
      <c r="H519" s="293">
        <v>0.0</v>
      </c>
      <c r="I519" s="294">
        <v>1178845.0</v>
      </c>
      <c r="J519" s="295"/>
      <c r="K519" s="7"/>
    </row>
    <row r="520" ht="15.75" customHeight="1">
      <c r="A520" s="286" t="s">
        <v>628</v>
      </c>
      <c r="B520" s="287">
        <v>89.0</v>
      </c>
      <c r="C520" s="286" t="s">
        <v>121</v>
      </c>
      <c r="D520" s="287" t="s">
        <v>422</v>
      </c>
      <c r="E520" s="286"/>
      <c r="F520" s="286" t="s">
        <v>763</v>
      </c>
      <c r="G520" s="288">
        <v>1812431.0</v>
      </c>
      <c r="H520" s="288">
        <v>0.0</v>
      </c>
      <c r="I520" s="289">
        <v>1812431.0</v>
      </c>
      <c r="J520" s="290"/>
      <c r="K520" s="7"/>
    </row>
    <row r="521" ht="15.75" customHeight="1">
      <c r="A521" s="291" t="s">
        <v>628</v>
      </c>
      <c r="B521" s="292">
        <v>89.0</v>
      </c>
      <c r="C521" s="291" t="s">
        <v>121</v>
      </c>
      <c r="D521" s="292" t="s">
        <v>422</v>
      </c>
      <c r="E521" s="291"/>
      <c r="F521" s="291" t="s">
        <v>764</v>
      </c>
      <c r="G521" s="293">
        <v>994850.0</v>
      </c>
      <c r="H521" s="293">
        <v>0.0</v>
      </c>
      <c r="I521" s="294">
        <v>994850.0</v>
      </c>
      <c r="J521" s="295"/>
      <c r="K521" s="7"/>
    </row>
    <row r="522" ht="15.75" customHeight="1">
      <c r="A522" s="286" t="s">
        <v>628</v>
      </c>
      <c r="B522" s="287">
        <v>89.0</v>
      </c>
      <c r="C522" s="286" t="s">
        <v>121</v>
      </c>
      <c r="D522" s="287" t="s">
        <v>422</v>
      </c>
      <c r="E522" s="286"/>
      <c r="F522" s="286" t="s">
        <v>765</v>
      </c>
      <c r="G522" s="288">
        <v>352871.0</v>
      </c>
      <c r="H522" s="288">
        <v>0.0</v>
      </c>
      <c r="I522" s="289">
        <v>352871.0</v>
      </c>
      <c r="J522" s="290"/>
      <c r="K522" s="7"/>
    </row>
    <row r="523" ht="15.75" customHeight="1">
      <c r="A523" s="291" t="s">
        <v>628</v>
      </c>
      <c r="B523" s="292">
        <v>89.0</v>
      </c>
      <c r="C523" s="291" t="s">
        <v>121</v>
      </c>
      <c r="D523" s="292" t="s">
        <v>422</v>
      </c>
      <c r="E523" s="291"/>
      <c r="F523" s="291" t="s">
        <v>766</v>
      </c>
      <c r="G523" s="293">
        <v>170243.0</v>
      </c>
      <c r="H523" s="293">
        <v>0.0</v>
      </c>
      <c r="I523" s="294">
        <v>170243.0</v>
      </c>
      <c r="J523" s="295"/>
      <c r="K523" s="7"/>
    </row>
    <row r="524" ht="15.75" customHeight="1">
      <c r="A524" s="286" t="s">
        <v>628</v>
      </c>
      <c r="B524" s="287">
        <v>89.0</v>
      </c>
      <c r="C524" s="286" t="s">
        <v>121</v>
      </c>
      <c r="D524" s="287" t="s">
        <v>422</v>
      </c>
      <c r="E524" s="286"/>
      <c r="F524" s="286" t="s">
        <v>767</v>
      </c>
      <c r="G524" s="288">
        <v>844391.0</v>
      </c>
      <c r="H524" s="288">
        <v>0.0</v>
      </c>
      <c r="I524" s="289">
        <v>844391.0</v>
      </c>
      <c r="J524" s="290"/>
      <c r="K524" s="7"/>
    </row>
    <row r="525" ht="15.75" customHeight="1">
      <c r="A525" s="291" t="s">
        <v>628</v>
      </c>
      <c r="B525" s="292">
        <v>89.0</v>
      </c>
      <c r="C525" s="291" t="s">
        <v>121</v>
      </c>
      <c r="D525" s="292" t="s">
        <v>422</v>
      </c>
      <c r="E525" s="291"/>
      <c r="F525" s="291" t="s">
        <v>768</v>
      </c>
      <c r="G525" s="293">
        <v>247538.0</v>
      </c>
      <c r="H525" s="293">
        <v>0.0</v>
      </c>
      <c r="I525" s="294">
        <v>247538.0</v>
      </c>
      <c r="J525" s="295"/>
      <c r="K525" s="7"/>
    </row>
    <row r="526" ht="15.75" customHeight="1">
      <c r="A526" s="286" t="s">
        <v>628</v>
      </c>
      <c r="B526" s="287">
        <v>89.0</v>
      </c>
      <c r="C526" s="286" t="s">
        <v>121</v>
      </c>
      <c r="D526" s="287" t="s">
        <v>422</v>
      </c>
      <c r="E526" s="286"/>
      <c r="F526" s="286" t="s">
        <v>769</v>
      </c>
      <c r="G526" s="288">
        <v>538986.0</v>
      </c>
      <c r="H526" s="288">
        <v>0.0</v>
      </c>
      <c r="I526" s="289">
        <v>538986.0</v>
      </c>
      <c r="J526" s="290"/>
      <c r="K526" s="7"/>
    </row>
    <row r="527" ht="15.75" customHeight="1">
      <c r="A527" s="291" t="s">
        <v>628</v>
      </c>
      <c r="B527" s="292">
        <v>89.0</v>
      </c>
      <c r="C527" s="291" t="s">
        <v>121</v>
      </c>
      <c r="D527" s="292" t="s">
        <v>422</v>
      </c>
      <c r="E527" s="291"/>
      <c r="F527" s="291" t="s">
        <v>770</v>
      </c>
      <c r="G527" s="293">
        <v>1339004.0</v>
      </c>
      <c r="H527" s="293">
        <v>0.0</v>
      </c>
      <c r="I527" s="294">
        <v>1339004.0</v>
      </c>
      <c r="J527" s="295"/>
      <c r="K527" s="7"/>
    </row>
    <row r="528" ht="15.75" customHeight="1">
      <c r="A528" s="286" t="s">
        <v>628</v>
      </c>
      <c r="B528" s="287">
        <v>89.0</v>
      </c>
      <c r="C528" s="286" t="s">
        <v>121</v>
      </c>
      <c r="D528" s="287" t="s">
        <v>422</v>
      </c>
      <c r="E528" s="286"/>
      <c r="F528" s="286" t="s">
        <v>771</v>
      </c>
      <c r="G528" s="288">
        <v>1339333.0</v>
      </c>
      <c r="H528" s="288">
        <v>0.0</v>
      </c>
      <c r="I528" s="289">
        <v>1339333.0</v>
      </c>
      <c r="J528" s="290"/>
      <c r="K528" s="7"/>
    </row>
    <row r="529" ht="15.75" customHeight="1">
      <c r="A529" s="291" t="s">
        <v>628</v>
      </c>
      <c r="B529" s="292">
        <v>89.0</v>
      </c>
      <c r="C529" s="291" t="s">
        <v>121</v>
      </c>
      <c r="D529" s="292" t="s">
        <v>422</v>
      </c>
      <c r="E529" s="291"/>
      <c r="F529" s="291" t="s">
        <v>772</v>
      </c>
      <c r="G529" s="293">
        <v>4229602.0</v>
      </c>
      <c r="H529" s="293">
        <v>0.0</v>
      </c>
      <c r="I529" s="294">
        <v>4229602.0</v>
      </c>
      <c r="J529" s="295"/>
      <c r="K529" s="7"/>
    </row>
    <row r="530" ht="15.75" customHeight="1">
      <c r="A530" s="286" t="s">
        <v>628</v>
      </c>
      <c r="B530" s="287">
        <v>89.0</v>
      </c>
      <c r="C530" s="286" t="s">
        <v>121</v>
      </c>
      <c r="D530" s="287" t="s">
        <v>422</v>
      </c>
      <c r="E530" s="286"/>
      <c r="F530" s="286" t="s">
        <v>773</v>
      </c>
      <c r="G530" s="288">
        <v>610756.0</v>
      </c>
      <c r="H530" s="288">
        <v>0.0</v>
      </c>
      <c r="I530" s="289">
        <v>610756.0</v>
      </c>
      <c r="J530" s="290"/>
      <c r="K530" s="7"/>
    </row>
    <row r="531" ht="15.75" customHeight="1">
      <c r="A531" s="296" t="s">
        <v>628</v>
      </c>
      <c r="B531" s="296">
        <v>89.0</v>
      </c>
      <c r="C531" s="297" t="s">
        <v>121</v>
      </c>
      <c r="D531" s="296" t="s">
        <v>320</v>
      </c>
      <c r="E531" s="298"/>
      <c r="F531" s="297" t="s">
        <v>321</v>
      </c>
      <c r="G531" s="299">
        <v>1.3830226E7</v>
      </c>
      <c r="H531" s="299">
        <v>0.0</v>
      </c>
      <c r="I531" s="300">
        <v>1.3830226E7</v>
      </c>
      <c r="J531" s="300">
        <v>1.3830226E7</v>
      </c>
      <c r="K531" s="301">
        <v>0.0</v>
      </c>
    </row>
    <row r="532" ht="15.75" customHeight="1">
      <c r="A532" s="286" t="s">
        <v>628</v>
      </c>
      <c r="B532" s="287">
        <v>95.0</v>
      </c>
      <c r="C532" s="286" t="s">
        <v>129</v>
      </c>
      <c r="D532" s="287" t="s">
        <v>503</v>
      </c>
      <c r="E532" s="286" t="s">
        <v>504</v>
      </c>
      <c r="F532" s="286" t="s">
        <v>774</v>
      </c>
      <c r="G532" s="288">
        <v>6048000.0</v>
      </c>
      <c r="H532" s="288">
        <v>0.0</v>
      </c>
      <c r="I532" s="289">
        <v>6048000.0</v>
      </c>
      <c r="J532" s="290"/>
      <c r="K532" s="7"/>
    </row>
    <row r="533" ht="15.75" customHeight="1">
      <c r="A533" s="296" t="s">
        <v>628</v>
      </c>
      <c r="B533" s="296">
        <v>95.0</v>
      </c>
      <c r="C533" s="297" t="s">
        <v>129</v>
      </c>
      <c r="D533" s="296" t="s">
        <v>320</v>
      </c>
      <c r="E533" s="298"/>
      <c r="F533" s="297" t="s">
        <v>321</v>
      </c>
      <c r="G533" s="299">
        <v>6048000.0</v>
      </c>
      <c r="H533" s="299">
        <v>0.0</v>
      </c>
      <c r="I533" s="300">
        <v>6048000.0</v>
      </c>
      <c r="J533" s="300">
        <v>6048000.0</v>
      </c>
      <c r="K533" s="301">
        <v>0.0</v>
      </c>
    </row>
    <row r="534" ht="15.75" customHeight="1">
      <c r="A534" s="286" t="s">
        <v>628</v>
      </c>
      <c r="B534" s="287">
        <v>96.0</v>
      </c>
      <c r="C534" s="286" t="s">
        <v>132</v>
      </c>
      <c r="D534" s="287" t="s">
        <v>503</v>
      </c>
      <c r="E534" s="286"/>
      <c r="F534" s="286" t="s">
        <v>775</v>
      </c>
      <c r="G534" s="288">
        <v>1500000.0</v>
      </c>
      <c r="H534" s="288">
        <v>0.0</v>
      </c>
      <c r="I534" s="289">
        <v>1500000.0</v>
      </c>
      <c r="J534" s="290"/>
      <c r="K534" s="7"/>
    </row>
    <row r="535" ht="15.75" customHeight="1">
      <c r="A535" s="291" t="s">
        <v>628</v>
      </c>
      <c r="B535" s="292">
        <v>96.0</v>
      </c>
      <c r="C535" s="291" t="s">
        <v>132</v>
      </c>
      <c r="D535" s="292" t="s">
        <v>509</v>
      </c>
      <c r="E535" s="291" t="s">
        <v>510</v>
      </c>
      <c r="F535" s="291" t="s">
        <v>776</v>
      </c>
      <c r="G535" s="293">
        <v>200000.0</v>
      </c>
      <c r="H535" s="293">
        <v>0.0</v>
      </c>
      <c r="I535" s="294">
        <v>200000.0</v>
      </c>
      <c r="J535" s="295"/>
      <c r="K535" s="7"/>
    </row>
    <row r="536" ht="15.75" customHeight="1">
      <c r="A536" s="296" t="s">
        <v>628</v>
      </c>
      <c r="B536" s="296">
        <v>96.0</v>
      </c>
      <c r="C536" s="297" t="s">
        <v>132</v>
      </c>
      <c r="D536" s="296" t="s">
        <v>320</v>
      </c>
      <c r="E536" s="298"/>
      <c r="F536" s="297" t="s">
        <v>321</v>
      </c>
      <c r="G536" s="299">
        <v>1700000.0</v>
      </c>
      <c r="H536" s="299">
        <v>0.0</v>
      </c>
      <c r="I536" s="300">
        <v>1700000.0</v>
      </c>
      <c r="J536" s="300">
        <v>200000.0</v>
      </c>
      <c r="K536" s="302">
        <v>1500000.0</v>
      </c>
    </row>
    <row r="537" ht="15.75" customHeight="1">
      <c r="A537" s="286" t="s">
        <v>628</v>
      </c>
      <c r="B537" s="287">
        <v>97.0</v>
      </c>
      <c r="C537" s="286" t="s">
        <v>133</v>
      </c>
      <c r="D537" s="287" t="s">
        <v>222</v>
      </c>
      <c r="E537" s="286" t="s">
        <v>514</v>
      </c>
      <c r="F537" s="286" t="s">
        <v>777</v>
      </c>
      <c r="G537" s="288">
        <v>240900.0</v>
      </c>
      <c r="H537" s="288">
        <v>0.0</v>
      </c>
      <c r="I537" s="289">
        <v>240900.0</v>
      </c>
      <c r="J537" s="290"/>
      <c r="K537" s="7"/>
    </row>
    <row r="538" ht="15.75" customHeight="1">
      <c r="A538" s="296" t="s">
        <v>628</v>
      </c>
      <c r="B538" s="296">
        <v>97.0</v>
      </c>
      <c r="C538" s="297" t="s">
        <v>133</v>
      </c>
      <c r="D538" s="296" t="s">
        <v>320</v>
      </c>
      <c r="E538" s="298"/>
      <c r="F538" s="297" t="s">
        <v>321</v>
      </c>
      <c r="G538" s="299">
        <v>240900.0</v>
      </c>
      <c r="H538" s="299">
        <v>0.0</v>
      </c>
      <c r="I538" s="300">
        <v>240900.0</v>
      </c>
      <c r="J538" s="300">
        <v>240900.0</v>
      </c>
      <c r="K538" s="301">
        <v>0.0</v>
      </c>
    </row>
    <row r="539" ht="15.75" customHeight="1">
      <c r="A539" s="286" t="s">
        <v>628</v>
      </c>
      <c r="B539" s="287">
        <v>101.0</v>
      </c>
      <c r="C539" s="286" t="s">
        <v>139</v>
      </c>
      <c r="D539" s="287" t="s">
        <v>222</v>
      </c>
      <c r="E539" s="286" t="s">
        <v>438</v>
      </c>
      <c r="F539" s="286" t="s">
        <v>778</v>
      </c>
      <c r="G539" s="288">
        <v>12000.0</v>
      </c>
      <c r="H539" s="288">
        <v>0.0</v>
      </c>
      <c r="I539" s="289">
        <v>12000.0</v>
      </c>
      <c r="J539" s="290"/>
      <c r="K539" s="7"/>
    </row>
    <row r="540" ht="15.75" customHeight="1">
      <c r="A540" s="296" t="s">
        <v>628</v>
      </c>
      <c r="B540" s="296">
        <v>101.0</v>
      </c>
      <c r="C540" s="297" t="s">
        <v>139</v>
      </c>
      <c r="D540" s="296" t="s">
        <v>320</v>
      </c>
      <c r="E540" s="298"/>
      <c r="F540" s="297" t="s">
        <v>321</v>
      </c>
      <c r="G540" s="299">
        <v>12000.0</v>
      </c>
      <c r="H540" s="299">
        <v>0.0</v>
      </c>
      <c r="I540" s="300">
        <v>12000.0</v>
      </c>
      <c r="J540" s="300">
        <v>12000.0</v>
      </c>
      <c r="K540" s="301">
        <v>0.0</v>
      </c>
    </row>
    <row r="541" ht="15.75" customHeight="1">
      <c r="A541" s="286" t="s">
        <v>628</v>
      </c>
      <c r="B541" s="287">
        <v>107.0</v>
      </c>
      <c r="C541" s="286" t="s">
        <v>149</v>
      </c>
      <c r="D541" s="287" t="s">
        <v>516</v>
      </c>
      <c r="E541" s="286"/>
      <c r="F541" s="286" t="s">
        <v>779</v>
      </c>
      <c r="G541" s="288">
        <v>9.158326093E7</v>
      </c>
      <c r="H541" s="288">
        <v>0.0</v>
      </c>
      <c r="I541" s="289">
        <v>9.158326093E7</v>
      </c>
      <c r="J541" s="290"/>
      <c r="K541" s="7"/>
    </row>
    <row r="542" ht="15.75" customHeight="1">
      <c r="A542" s="291" t="s">
        <v>628</v>
      </c>
      <c r="B542" s="292">
        <v>107.0</v>
      </c>
      <c r="C542" s="291" t="s">
        <v>149</v>
      </c>
      <c r="D542" s="292" t="s">
        <v>518</v>
      </c>
      <c r="E542" s="291"/>
      <c r="F542" s="291" t="s">
        <v>780</v>
      </c>
      <c r="G542" s="293">
        <v>305517.02</v>
      </c>
      <c r="H542" s="293">
        <v>0.0</v>
      </c>
      <c r="I542" s="294">
        <v>305517.02</v>
      </c>
      <c r="J542" s="295"/>
      <c r="K542" s="7"/>
    </row>
    <row r="543" ht="15.75" customHeight="1">
      <c r="A543" s="286" t="s">
        <v>628</v>
      </c>
      <c r="B543" s="287">
        <v>107.0</v>
      </c>
      <c r="C543" s="286" t="s">
        <v>149</v>
      </c>
      <c r="D543" s="287" t="s">
        <v>518</v>
      </c>
      <c r="E543" s="286"/>
      <c r="F543" s="286" t="s">
        <v>780</v>
      </c>
      <c r="G543" s="288">
        <v>0.0</v>
      </c>
      <c r="H543" s="288">
        <v>637176.38</v>
      </c>
      <c r="I543" s="289">
        <v>-637176.38</v>
      </c>
      <c r="J543" s="290"/>
      <c r="K543" s="7"/>
    </row>
    <row r="544" ht="15.75" customHeight="1">
      <c r="A544" s="291" t="s">
        <v>628</v>
      </c>
      <c r="B544" s="292">
        <v>107.0</v>
      </c>
      <c r="C544" s="291" t="s">
        <v>149</v>
      </c>
      <c r="D544" s="292" t="s">
        <v>518</v>
      </c>
      <c r="E544" s="291"/>
      <c r="F544" s="291" t="s">
        <v>779</v>
      </c>
      <c r="G544" s="293">
        <v>2.277408651E7</v>
      </c>
      <c r="H544" s="293">
        <v>0.0</v>
      </c>
      <c r="I544" s="294">
        <v>2.277408651E7</v>
      </c>
      <c r="J544" s="295"/>
      <c r="K544" s="7"/>
    </row>
    <row r="545" ht="15.75" customHeight="1">
      <c r="A545" s="296" t="s">
        <v>628</v>
      </c>
      <c r="B545" s="296">
        <v>107.0</v>
      </c>
      <c r="C545" s="297" t="s">
        <v>149</v>
      </c>
      <c r="D545" s="296" t="s">
        <v>320</v>
      </c>
      <c r="E545" s="298"/>
      <c r="F545" s="297" t="s">
        <v>321</v>
      </c>
      <c r="G545" s="299">
        <v>1.1466286446E8</v>
      </c>
      <c r="H545" s="299">
        <v>637176.38</v>
      </c>
      <c r="I545" s="300">
        <v>1.1402568808E8</v>
      </c>
      <c r="J545" s="300">
        <v>1.14025688E8</v>
      </c>
      <c r="K545" s="301">
        <v>0.08000001311302185</v>
      </c>
    </row>
    <row r="546" ht="15.75" customHeight="1">
      <c r="A546" s="286" t="s">
        <v>628</v>
      </c>
      <c r="B546" s="287">
        <v>108.0</v>
      </c>
      <c r="C546" s="286" t="s">
        <v>153</v>
      </c>
      <c r="D546" s="287" t="s">
        <v>516</v>
      </c>
      <c r="E546" s="286"/>
      <c r="F546" s="286" t="s">
        <v>781</v>
      </c>
      <c r="G546" s="288">
        <v>7489299.04</v>
      </c>
      <c r="H546" s="288">
        <v>0.0</v>
      </c>
      <c r="I546" s="289">
        <v>7489299.04</v>
      </c>
      <c r="J546" s="290"/>
      <c r="K546" s="7"/>
    </row>
    <row r="547" ht="15.75" customHeight="1">
      <c r="A547" s="291" t="s">
        <v>628</v>
      </c>
      <c r="B547" s="292">
        <v>108.0</v>
      </c>
      <c r="C547" s="291" t="s">
        <v>153</v>
      </c>
      <c r="D547" s="292" t="s">
        <v>518</v>
      </c>
      <c r="E547" s="291"/>
      <c r="F547" s="291" t="s">
        <v>781</v>
      </c>
      <c r="G547" s="293">
        <v>1797431.77</v>
      </c>
      <c r="H547" s="293">
        <v>0.0</v>
      </c>
      <c r="I547" s="294">
        <v>1797431.77</v>
      </c>
      <c r="J547" s="295"/>
      <c r="K547" s="7"/>
    </row>
    <row r="548" ht="15.75" customHeight="1">
      <c r="A548" s="296" t="s">
        <v>628</v>
      </c>
      <c r="B548" s="296">
        <v>108.0</v>
      </c>
      <c r="C548" s="297" t="s">
        <v>153</v>
      </c>
      <c r="D548" s="296" t="s">
        <v>320</v>
      </c>
      <c r="E548" s="298"/>
      <c r="F548" s="297" t="s">
        <v>321</v>
      </c>
      <c r="G548" s="299">
        <v>9286730.81</v>
      </c>
      <c r="H548" s="299">
        <v>0.0</v>
      </c>
      <c r="I548" s="300">
        <v>9286730.81</v>
      </c>
      <c r="J548" s="300">
        <v>9286731.0</v>
      </c>
      <c r="K548" s="301">
        <v>-0.1899999994784594</v>
      </c>
    </row>
    <row r="549" ht="15.75" customHeight="1">
      <c r="A549" s="286" t="s">
        <v>628</v>
      </c>
      <c r="B549" s="287">
        <v>109.0</v>
      </c>
      <c r="C549" s="286" t="s">
        <v>154</v>
      </c>
      <c r="D549" s="287" t="s">
        <v>516</v>
      </c>
      <c r="E549" s="286"/>
      <c r="F549" s="286" t="s">
        <v>782</v>
      </c>
      <c r="G549" s="288">
        <v>7854744.51</v>
      </c>
      <c r="H549" s="288">
        <v>0.0</v>
      </c>
      <c r="I549" s="289">
        <v>7854744.51</v>
      </c>
      <c r="J549" s="290"/>
      <c r="K549" s="7"/>
    </row>
    <row r="550" ht="15.75" customHeight="1">
      <c r="A550" s="291" t="s">
        <v>628</v>
      </c>
      <c r="B550" s="292">
        <v>109.0</v>
      </c>
      <c r="C550" s="291" t="s">
        <v>154</v>
      </c>
      <c r="D550" s="292" t="s">
        <v>518</v>
      </c>
      <c r="E550" s="291"/>
      <c r="F550" s="291" t="s">
        <v>782</v>
      </c>
      <c r="G550" s="293">
        <v>1885138.68</v>
      </c>
      <c r="H550" s="293">
        <v>0.0</v>
      </c>
      <c r="I550" s="294">
        <v>1885138.68</v>
      </c>
      <c r="J550" s="295"/>
      <c r="K550" s="7"/>
    </row>
    <row r="551" ht="15.75" customHeight="1">
      <c r="A551" s="296" t="s">
        <v>628</v>
      </c>
      <c r="B551" s="296">
        <v>109.0</v>
      </c>
      <c r="C551" s="297" t="s">
        <v>154</v>
      </c>
      <c r="D551" s="296" t="s">
        <v>320</v>
      </c>
      <c r="E551" s="298"/>
      <c r="F551" s="297" t="s">
        <v>321</v>
      </c>
      <c r="G551" s="299">
        <v>9739883.19</v>
      </c>
      <c r="H551" s="299">
        <v>0.0</v>
      </c>
      <c r="I551" s="300">
        <v>9739883.19</v>
      </c>
      <c r="J551" s="300">
        <v>9739883.19</v>
      </c>
      <c r="K551" s="301">
        <v>0.0</v>
      </c>
    </row>
    <row r="552" ht="15.75" customHeight="1">
      <c r="A552" s="286" t="s">
        <v>628</v>
      </c>
      <c r="B552" s="287">
        <v>110.0</v>
      </c>
      <c r="C552" s="286" t="s">
        <v>155</v>
      </c>
      <c r="D552" s="287" t="s">
        <v>516</v>
      </c>
      <c r="E552" s="286"/>
      <c r="F552" s="286" t="s">
        <v>783</v>
      </c>
      <c r="G552" s="288">
        <v>1773873.47</v>
      </c>
      <c r="H552" s="288">
        <v>0.0</v>
      </c>
      <c r="I552" s="289">
        <v>1773873.47</v>
      </c>
      <c r="J552" s="290"/>
      <c r="K552" s="7"/>
    </row>
    <row r="553" ht="15.75" customHeight="1">
      <c r="A553" s="291" t="s">
        <v>628</v>
      </c>
      <c r="B553" s="292">
        <v>110.0</v>
      </c>
      <c r="C553" s="291" t="s">
        <v>155</v>
      </c>
      <c r="D553" s="292" t="s">
        <v>518</v>
      </c>
      <c r="E553" s="291"/>
      <c r="F553" s="291" t="s">
        <v>783</v>
      </c>
      <c r="G553" s="293">
        <v>425729.63</v>
      </c>
      <c r="H553" s="293">
        <v>0.0</v>
      </c>
      <c r="I553" s="294">
        <v>425729.63</v>
      </c>
      <c r="J553" s="295"/>
      <c r="K553" s="7"/>
    </row>
    <row r="554" ht="15.75" customHeight="1">
      <c r="A554" s="296" t="s">
        <v>628</v>
      </c>
      <c r="B554" s="296">
        <v>110.0</v>
      </c>
      <c r="C554" s="297" t="s">
        <v>155</v>
      </c>
      <c r="D554" s="296" t="s">
        <v>320</v>
      </c>
      <c r="E554" s="298"/>
      <c r="F554" s="297" t="s">
        <v>321</v>
      </c>
      <c r="G554" s="299">
        <v>2199603.1</v>
      </c>
      <c r="H554" s="299">
        <v>0.0</v>
      </c>
      <c r="I554" s="300">
        <v>2199603.1</v>
      </c>
      <c r="J554" s="300">
        <v>2199603.1</v>
      </c>
      <c r="K554" s="301">
        <v>0.0</v>
      </c>
    </row>
    <row r="555" ht="15.75" customHeight="1">
      <c r="A555" s="286" t="s">
        <v>628</v>
      </c>
      <c r="B555" s="287">
        <v>111.0</v>
      </c>
      <c r="C555" s="286" t="s">
        <v>156</v>
      </c>
      <c r="D555" s="287" t="s">
        <v>522</v>
      </c>
      <c r="E555" s="286" t="s">
        <v>523</v>
      </c>
      <c r="F555" s="286" t="s">
        <v>784</v>
      </c>
      <c r="G555" s="288">
        <v>0.0</v>
      </c>
      <c r="H555" s="288">
        <v>368676.23</v>
      </c>
      <c r="I555" s="289">
        <v>-368676.23</v>
      </c>
      <c r="J555" s="290"/>
      <c r="K555" s="7"/>
    </row>
    <row r="556" ht="15.75" customHeight="1">
      <c r="A556" s="291" t="s">
        <v>628</v>
      </c>
      <c r="B556" s="292">
        <v>111.0</v>
      </c>
      <c r="C556" s="291" t="s">
        <v>156</v>
      </c>
      <c r="D556" s="292" t="s">
        <v>522</v>
      </c>
      <c r="E556" s="291" t="s">
        <v>523</v>
      </c>
      <c r="F556" s="291" t="s">
        <v>785</v>
      </c>
      <c r="G556" s="293">
        <v>0.0</v>
      </c>
      <c r="H556" s="293">
        <v>2357855.25</v>
      </c>
      <c r="I556" s="294">
        <v>-2357855.25</v>
      </c>
      <c r="J556" s="295"/>
      <c r="K556" s="7"/>
    </row>
    <row r="557" ht="15.75" customHeight="1">
      <c r="A557" s="286" t="s">
        <v>628</v>
      </c>
      <c r="B557" s="287">
        <v>111.0</v>
      </c>
      <c r="C557" s="286" t="s">
        <v>156</v>
      </c>
      <c r="D557" s="287" t="s">
        <v>522</v>
      </c>
      <c r="E557" s="286" t="s">
        <v>523</v>
      </c>
      <c r="F557" s="286" t="s">
        <v>786</v>
      </c>
      <c r="G557" s="288">
        <v>7691576.31</v>
      </c>
      <c r="H557" s="288">
        <v>0.0</v>
      </c>
      <c r="I557" s="289">
        <v>7691576.31</v>
      </c>
      <c r="J557" s="290"/>
      <c r="K557" s="7"/>
    </row>
    <row r="558" ht="15.75" customHeight="1">
      <c r="A558" s="291" t="s">
        <v>628</v>
      </c>
      <c r="B558" s="292">
        <v>111.0</v>
      </c>
      <c r="C558" s="291" t="s">
        <v>156</v>
      </c>
      <c r="D558" s="292" t="s">
        <v>522</v>
      </c>
      <c r="E558" s="291" t="s">
        <v>523</v>
      </c>
      <c r="F558" s="291" t="s">
        <v>786</v>
      </c>
      <c r="G558" s="293">
        <v>170260.81</v>
      </c>
      <c r="H558" s="293">
        <v>0.0</v>
      </c>
      <c r="I558" s="294">
        <v>170260.81</v>
      </c>
      <c r="J558" s="295"/>
      <c r="K558" s="7"/>
    </row>
    <row r="559" ht="15.75" customHeight="1">
      <c r="A559" s="286" t="s">
        <v>628</v>
      </c>
      <c r="B559" s="287">
        <v>111.0</v>
      </c>
      <c r="C559" s="286" t="s">
        <v>156</v>
      </c>
      <c r="D559" s="287" t="s">
        <v>522</v>
      </c>
      <c r="E559" s="286" t="s">
        <v>523</v>
      </c>
      <c r="F559" s="286" t="s">
        <v>787</v>
      </c>
      <c r="G559" s="288">
        <v>194698.95</v>
      </c>
      <c r="H559" s="288">
        <v>0.0</v>
      </c>
      <c r="I559" s="289">
        <v>194698.95</v>
      </c>
      <c r="J559" s="290"/>
      <c r="K559" s="7"/>
    </row>
    <row r="560" ht="15.75" customHeight="1">
      <c r="A560" s="291" t="s">
        <v>628</v>
      </c>
      <c r="B560" s="292">
        <v>111.0</v>
      </c>
      <c r="C560" s="291" t="s">
        <v>156</v>
      </c>
      <c r="D560" s="292" t="s">
        <v>522</v>
      </c>
      <c r="E560" s="291" t="s">
        <v>523</v>
      </c>
      <c r="F560" s="291" t="s">
        <v>787</v>
      </c>
      <c r="G560" s="293">
        <v>4152.7</v>
      </c>
      <c r="H560" s="293">
        <v>0.0</v>
      </c>
      <c r="I560" s="294">
        <v>4152.7</v>
      </c>
      <c r="J560" s="295"/>
      <c r="K560" s="7"/>
    </row>
    <row r="561" ht="15.75" customHeight="1">
      <c r="A561" s="286" t="s">
        <v>628</v>
      </c>
      <c r="B561" s="287">
        <v>111.0</v>
      </c>
      <c r="C561" s="286" t="s">
        <v>156</v>
      </c>
      <c r="D561" s="287" t="s">
        <v>522</v>
      </c>
      <c r="E561" s="286" t="s">
        <v>523</v>
      </c>
      <c r="F561" s="286" t="s">
        <v>788</v>
      </c>
      <c r="G561" s="288">
        <v>223055.62</v>
      </c>
      <c r="H561" s="288">
        <v>0.0</v>
      </c>
      <c r="I561" s="289">
        <v>223055.62</v>
      </c>
      <c r="J561" s="290"/>
      <c r="K561" s="7"/>
    </row>
    <row r="562" ht="15.75" customHeight="1">
      <c r="A562" s="291" t="s">
        <v>628</v>
      </c>
      <c r="B562" s="292">
        <v>111.0</v>
      </c>
      <c r="C562" s="291" t="s">
        <v>156</v>
      </c>
      <c r="D562" s="292" t="s">
        <v>522</v>
      </c>
      <c r="E562" s="291" t="s">
        <v>523</v>
      </c>
      <c r="F562" s="291" t="s">
        <v>788</v>
      </c>
      <c r="G562" s="293">
        <v>4937.56</v>
      </c>
      <c r="H562" s="293">
        <v>0.0</v>
      </c>
      <c r="I562" s="294">
        <v>4937.56</v>
      </c>
      <c r="J562" s="295"/>
      <c r="K562" s="7"/>
    </row>
    <row r="563" ht="15.75" customHeight="1">
      <c r="A563" s="286" t="s">
        <v>628</v>
      </c>
      <c r="B563" s="287">
        <v>111.0</v>
      </c>
      <c r="C563" s="286" t="s">
        <v>156</v>
      </c>
      <c r="D563" s="287" t="s">
        <v>522</v>
      </c>
      <c r="E563" s="286" t="s">
        <v>523</v>
      </c>
      <c r="F563" s="286" t="s">
        <v>789</v>
      </c>
      <c r="G563" s="288">
        <v>0.0</v>
      </c>
      <c r="H563" s="288">
        <v>40272.44</v>
      </c>
      <c r="I563" s="289">
        <v>-40272.44</v>
      </c>
      <c r="J563" s="290"/>
      <c r="K563" s="7"/>
    </row>
    <row r="564" ht="15.75" customHeight="1">
      <c r="A564" s="296" t="s">
        <v>628</v>
      </c>
      <c r="B564" s="296">
        <v>111.0</v>
      </c>
      <c r="C564" s="297" t="s">
        <v>156</v>
      </c>
      <c r="D564" s="296" t="s">
        <v>320</v>
      </c>
      <c r="E564" s="298"/>
      <c r="F564" s="297" t="s">
        <v>321</v>
      </c>
      <c r="G564" s="299">
        <v>8288681.949999999</v>
      </c>
      <c r="H564" s="299">
        <v>2766803.92</v>
      </c>
      <c r="I564" s="300">
        <v>5521878.029999999</v>
      </c>
      <c r="J564" s="300">
        <v>5521878.0</v>
      </c>
      <c r="K564" s="301">
        <v>0.02999999932944775</v>
      </c>
    </row>
    <row r="565" ht="15.75" customHeight="1">
      <c r="A565" s="286" t="s">
        <v>628</v>
      </c>
      <c r="B565" s="287">
        <v>112.0</v>
      </c>
      <c r="C565" s="286" t="s">
        <v>157</v>
      </c>
      <c r="D565" s="287" t="s">
        <v>522</v>
      </c>
      <c r="E565" s="286"/>
      <c r="F565" s="286" t="s">
        <v>790</v>
      </c>
      <c r="G565" s="288">
        <v>0.0</v>
      </c>
      <c r="H565" s="288">
        <v>1200000.0</v>
      </c>
      <c r="I565" s="289">
        <v>-1200000.0</v>
      </c>
      <c r="J565" s="290"/>
      <c r="K565" s="7"/>
    </row>
    <row r="566" ht="15.75" customHeight="1">
      <c r="A566" s="291" t="s">
        <v>628</v>
      </c>
      <c r="B566" s="292">
        <v>112.0</v>
      </c>
      <c r="C566" s="291" t="s">
        <v>157</v>
      </c>
      <c r="D566" s="292" t="s">
        <v>522</v>
      </c>
      <c r="E566" s="291" t="s">
        <v>791</v>
      </c>
      <c r="F566" s="291" t="s">
        <v>792</v>
      </c>
      <c r="G566" s="293">
        <v>1202894.26</v>
      </c>
      <c r="H566" s="293">
        <v>0.0</v>
      </c>
      <c r="I566" s="294">
        <v>1202894.26</v>
      </c>
      <c r="J566" s="295"/>
      <c r="K566" s="7"/>
    </row>
    <row r="567" ht="15.75" customHeight="1">
      <c r="A567" s="286" t="s">
        <v>628</v>
      </c>
      <c r="B567" s="287">
        <v>112.0</v>
      </c>
      <c r="C567" s="286" t="s">
        <v>157</v>
      </c>
      <c r="D567" s="287" t="s">
        <v>522</v>
      </c>
      <c r="E567" s="286"/>
      <c r="F567" s="286" t="s">
        <v>793</v>
      </c>
      <c r="G567" s="288">
        <v>1300000.0</v>
      </c>
      <c r="H567" s="288">
        <v>0.0</v>
      </c>
      <c r="I567" s="289">
        <v>1300000.0</v>
      </c>
      <c r="J567" s="290"/>
      <c r="K567" s="7"/>
    </row>
    <row r="568" ht="15.75" customHeight="1">
      <c r="A568" s="296" t="s">
        <v>628</v>
      </c>
      <c r="B568" s="296">
        <v>112.0</v>
      </c>
      <c r="C568" s="297" t="s">
        <v>157</v>
      </c>
      <c r="D568" s="296" t="s">
        <v>320</v>
      </c>
      <c r="E568" s="298"/>
      <c r="F568" s="297" t="s">
        <v>321</v>
      </c>
      <c r="G568" s="299">
        <v>2502894.26</v>
      </c>
      <c r="H568" s="299">
        <v>1200000.0</v>
      </c>
      <c r="I568" s="300">
        <v>1302894.26</v>
      </c>
      <c r="J568" s="300">
        <v>1302894.0</v>
      </c>
      <c r="K568" s="301">
        <v>0.2600000000093132</v>
      </c>
    </row>
    <row r="569" ht="15.75" customHeight="1">
      <c r="A569" s="286" t="s">
        <v>628</v>
      </c>
      <c r="B569" s="287">
        <v>115.0</v>
      </c>
      <c r="C569" s="286" t="s">
        <v>162</v>
      </c>
      <c r="D569" s="287" t="s">
        <v>529</v>
      </c>
      <c r="E569" s="286" t="s">
        <v>530</v>
      </c>
      <c r="F569" s="286" t="s">
        <v>794</v>
      </c>
      <c r="G569" s="288">
        <v>28800.0</v>
      </c>
      <c r="H569" s="288">
        <v>0.0</v>
      </c>
      <c r="I569" s="289">
        <v>28800.0</v>
      </c>
      <c r="J569" s="290"/>
      <c r="K569" s="7"/>
    </row>
    <row r="570" ht="15.75" customHeight="1">
      <c r="A570" s="291" t="s">
        <v>628</v>
      </c>
      <c r="B570" s="292">
        <v>115.0</v>
      </c>
      <c r="C570" s="291" t="s">
        <v>162</v>
      </c>
      <c r="D570" s="292" t="s">
        <v>529</v>
      </c>
      <c r="E570" s="291" t="s">
        <v>530</v>
      </c>
      <c r="F570" s="291" t="s">
        <v>795</v>
      </c>
      <c r="G570" s="293">
        <v>892256.57</v>
      </c>
      <c r="H570" s="293">
        <v>0.0</v>
      </c>
      <c r="I570" s="294">
        <v>892256.57</v>
      </c>
      <c r="J570" s="295"/>
      <c r="K570" s="7"/>
    </row>
    <row r="571" ht="15.75" customHeight="1">
      <c r="A571" s="286" t="s">
        <v>628</v>
      </c>
      <c r="B571" s="287">
        <v>115.0</v>
      </c>
      <c r="C571" s="286" t="s">
        <v>162</v>
      </c>
      <c r="D571" s="287" t="s">
        <v>529</v>
      </c>
      <c r="E571" s="286" t="s">
        <v>530</v>
      </c>
      <c r="F571" s="286" t="s">
        <v>795</v>
      </c>
      <c r="G571" s="288">
        <v>191949.34</v>
      </c>
      <c r="H571" s="288">
        <v>0.0</v>
      </c>
      <c r="I571" s="289">
        <v>191949.34</v>
      </c>
      <c r="J571" s="290"/>
      <c r="K571" s="7"/>
    </row>
    <row r="572" ht="15.75" customHeight="1">
      <c r="A572" s="296" t="s">
        <v>628</v>
      </c>
      <c r="B572" s="296">
        <v>115.0</v>
      </c>
      <c r="C572" s="297" t="s">
        <v>162</v>
      </c>
      <c r="D572" s="296" t="s">
        <v>320</v>
      </c>
      <c r="E572" s="298"/>
      <c r="F572" s="297" t="s">
        <v>321</v>
      </c>
      <c r="G572" s="299">
        <v>1113005.91</v>
      </c>
      <c r="H572" s="299">
        <v>0.0</v>
      </c>
      <c r="I572" s="300">
        <v>1113005.91</v>
      </c>
      <c r="J572" s="300">
        <v>1113006.0</v>
      </c>
      <c r="K572" s="301">
        <v>-0.09000000008381903</v>
      </c>
    </row>
    <row r="573" ht="15.75" customHeight="1">
      <c r="A573" s="286" t="s">
        <v>628</v>
      </c>
      <c r="B573" s="287">
        <v>117.0</v>
      </c>
      <c r="C573" s="286" t="s">
        <v>165</v>
      </c>
      <c r="D573" s="287" t="s">
        <v>534</v>
      </c>
      <c r="E573" s="286" t="s">
        <v>535</v>
      </c>
      <c r="F573" s="286" t="s">
        <v>796</v>
      </c>
      <c r="G573" s="288">
        <v>351600.0</v>
      </c>
      <c r="H573" s="288">
        <v>0.0</v>
      </c>
      <c r="I573" s="289">
        <v>351600.0</v>
      </c>
      <c r="J573" s="290"/>
      <c r="K573" s="7"/>
    </row>
    <row r="574" ht="15.75" customHeight="1">
      <c r="A574" s="291" t="s">
        <v>628</v>
      </c>
      <c r="B574" s="292">
        <v>117.0</v>
      </c>
      <c r="C574" s="291" t="s">
        <v>165</v>
      </c>
      <c r="D574" s="292" t="s">
        <v>534</v>
      </c>
      <c r="E574" s="291" t="s">
        <v>535</v>
      </c>
      <c r="F574" s="291" t="s">
        <v>797</v>
      </c>
      <c r="G574" s="293">
        <v>0.0</v>
      </c>
      <c r="H574" s="293">
        <v>59000.0</v>
      </c>
      <c r="I574" s="294">
        <v>-59000.0</v>
      </c>
      <c r="J574" s="295"/>
      <c r="K574" s="7"/>
    </row>
    <row r="575" ht="15.75" customHeight="1">
      <c r="A575" s="286" t="s">
        <v>628</v>
      </c>
      <c r="B575" s="287">
        <v>117.0</v>
      </c>
      <c r="C575" s="286" t="s">
        <v>165</v>
      </c>
      <c r="D575" s="287" t="s">
        <v>534</v>
      </c>
      <c r="E575" s="286" t="s">
        <v>535</v>
      </c>
      <c r="F575" s="286" t="s">
        <v>798</v>
      </c>
      <c r="G575" s="288">
        <v>0.0</v>
      </c>
      <c r="H575" s="288">
        <v>58600.0</v>
      </c>
      <c r="I575" s="289">
        <v>-58600.0</v>
      </c>
      <c r="J575" s="290"/>
      <c r="K575" s="7"/>
    </row>
    <row r="576" ht="15.75" customHeight="1">
      <c r="A576" s="291" t="s">
        <v>628</v>
      </c>
      <c r="B576" s="292">
        <v>117.0</v>
      </c>
      <c r="C576" s="291" t="s">
        <v>165</v>
      </c>
      <c r="D576" s="292" t="s">
        <v>534</v>
      </c>
      <c r="E576" s="291" t="s">
        <v>535</v>
      </c>
      <c r="F576" s="291" t="s">
        <v>799</v>
      </c>
      <c r="G576" s="293">
        <v>0.0</v>
      </c>
      <c r="H576" s="293">
        <v>16940.0</v>
      </c>
      <c r="I576" s="294">
        <v>-16940.0</v>
      </c>
      <c r="J576" s="295"/>
      <c r="K576" s="7"/>
    </row>
    <row r="577" ht="15.75" customHeight="1">
      <c r="A577" s="296" t="s">
        <v>628</v>
      </c>
      <c r="B577" s="296">
        <v>117.0</v>
      </c>
      <c r="C577" s="297" t="s">
        <v>165</v>
      </c>
      <c r="D577" s="296" t="s">
        <v>320</v>
      </c>
      <c r="E577" s="298"/>
      <c r="F577" s="297" t="s">
        <v>321</v>
      </c>
      <c r="G577" s="299">
        <v>351600.0</v>
      </c>
      <c r="H577" s="299">
        <v>134540.0</v>
      </c>
      <c r="I577" s="300">
        <v>217060.0</v>
      </c>
      <c r="J577" s="300">
        <v>217060.0</v>
      </c>
      <c r="K577" s="301">
        <v>0.0</v>
      </c>
    </row>
    <row r="578" ht="15.75" customHeight="1">
      <c r="A578" s="286" t="s">
        <v>628</v>
      </c>
      <c r="B578" s="287">
        <v>119.0</v>
      </c>
      <c r="C578" s="286" t="s">
        <v>169</v>
      </c>
      <c r="D578" s="287" t="s">
        <v>542</v>
      </c>
      <c r="E578" s="286" t="s">
        <v>438</v>
      </c>
      <c r="F578" s="286" t="s">
        <v>800</v>
      </c>
      <c r="G578" s="288">
        <v>121200.0</v>
      </c>
      <c r="H578" s="288">
        <v>0.0</v>
      </c>
      <c r="I578" s="289">
        <v>121200.0</v>
      </c>
      <c r="J578" s="290"/>
      <c r="K578" s="7"/>
    </row>
    <row r="579" ht="15.75" customHeight="1">
      <c r="A579" s="291" t="s">
        <v>628</v>
      </c>
      <c r="B579" s="292">
        <v>119.0</v>
      </c>
      <c r="C579" s="291" t="s">
        <v>169</v>
      </c>
      <c r="D579" s="292" t="s">
        <v>542</v>
      </c>
      <c r="E579" s="291" t="s">
        <v>438</v>
      </c>
      <c r="F579" s="291" t="s">
        <v>801</v>
      </c>
      <c r="G579" s="293">
        <v>244999.0</v>
      </c>
      <c r="H579" s="293">
        <v>0.0</v>
      </c>
      <c r="I579" s="294">
        <v>244999.0</v>
      </c>
      <c r="J579" s="295"/>
      <c r="K579" s="7"/>
    </row>
    <row r="580" ht="15.75" customHeight="1">
      <c r="A580" s="286" t="s">
        <v>628</v>
      </c>
      <c r="B580" s="287">
        <v>119.0</v>
      </c>
      <c r="C580" s="286" t="s">
        <v>169</v>
      </c>
      <c r="D580" s="287" t="s">
        <v>542</v>
      </c>
      <c r="E580" s="286" t="s">
        <v>802</v>
      </c>
      <c r="F580" s="286" t="s">
        <v>803</v>
      </c>
      <c r="G580" s="288">
        <v>38430.0</v>
      </c>
      <c r="H580" s="288">
        <v>0.0</v>
      </c>
      <c r="I580" s="289">
        <v>38430.0</v>
      </c>
      <c r="J580" s="290"/>
      <c r="K580" s="7"/>
    </row>
    <row r="581" ht="15.75" customHeight="1">
      <c r="A581" s="291" t="s">
        <v>628</v>
      </c>
      <c r="B581" s="292">
        <v>119.0</v>
      </c>
      <c r="C581" s="291" t="s">
        <v>169</v>
      </c>
      <c r="D581" s="292" t="s">
        <v>542</v>
      </c>
      <c r="E581" s="291" t="s">
        <v>802</v>
      </c>
      <c r="F581" s="291" t="s">
        <v>804</v>
      </c>
      <c r="G581" s="293">
        <v>0.0</v>
      </c>
      <c r="H581" s="293">
        <v>0.3</v>
      </c>
      <c r="I581" s="294">
        <v>-0.3</v>
      </c>
      <c r="J581" s="295"/>
      <c r="K581" s="7"/>
    </row>
    <row r="582" ht="15.75" customHeight="1">
      <c r="A582" s="286" t="s">
        <v>628</v>
      </c>
      <c r="B582" s="287">
        <v>119.0</v>
      </c>
      <c r="C582" s="286" t="s">
        <v>169</v>
      </c>
      <c r="D582" s="287" t="s">
        <v>542</v>
      </c>
      <c r="E582" s="286" t="s">
        <v>438</v>
      </c>
      <c r="F582" s="286" t="s">
        <v>805</v>
      </c>
      <c r="G582" s="288">
        <v>11000.0</v>
      </c>
      <c r="H582" s="288">
        <v>0.0</v>
      </c>
      <c r="I582" s="289">
        <v>11000.0</v>
      </c>
      <c r="J582" s="290"/>
      <c r="K582" s="7"/>
    </row>
    <row r="583" ht="15.75" customHeight="1">
      <c r="A583" s="291" t="s">
        <v>628</v>
      </c>
      <c r="B583" s="292">
        <v>119.0</v>
      </c>
      <c r="C583" s="291" t="s">
        <v>169</v>
      </c>
      <c r="D583" s="292" t="s">
        <v>542</v>
      </c>
      <c r="E583" s="291" t="s">
        <v>438</v>
      </c>
      <c r="F583" s="291" t="s">
        <v>806</v>
      </c>
      <c r="G583" s="293">
        <v>310000.0</v>
      </c>
      <c r="H583" s="293">
        <v>0.0</v>
      </c>
      <c r="I583" s="294">
        <v>310000.0</v>
      </c>
      <c r="J583" s="295"/>
      <c r="K583" s="7"/>
    </row>
    <row r="584" ht="15.75" customHeight="1">
      <c r="A584" s="296" t="s">
        <v>628</v>
      </c>
      <c r="B584" s="296">
        <v>119.0</v>
      </c>
      <c r="C584" s="297" t="s">
        <v>169</v>
      </c>
      <c r="D584" s="296" t="s">
        <v>320</v>
      </c>
      <c r="E584" s="298"/>
      <c r="F584" s="297" t="s">
        <v>321</v>
      </c>
      <c r="G584" s="299">
        <v>725629.0</v>
      </c>
      <c r="H584" s="299">
        <v>0.3</v>
      </c>
      <c r="I584" s="300">
        <v>725628.7</v>
      </c>
      <c r="J584" s="300">
        <v>725629.0</v>
      </c>
      <c r="K584" s="301">
        <v>-0.3000000000465661</v>
      </c>
    </row>
    <row r="585" ht="15.75" customHeight="1">
      <c r="A585" s="286" t="s">
        <v>628</v>
      </c>
      <c r="B585" s="287">
        <v>122.0</v>
      </c>
      <c r="C585" s="286" t="s">
        <v>175</v>
      </c>
      <c r="D585" s="287" t="s">
        <v>549</v>
      </c>
      <c r="E585" s="286"/>
      <c r="F585" s="286" t="s">
        <v>807</v>
      </c>
      <c r="G585" s="288">
        <v>432412.0</v>
      </c>
      <c r="H585" s="288">
        <v>0.0</v>
      </c>
      <c r="I585" s="289">
        <v>432412.0</v>
      </c>
      <c r="J585" s="290"/>
      <c r="K585" s="7"/>
    </row>
    <row r="586" ht="15.75" customHeight="1">
      <c r="A586" s="296" t="s">
        <v>628</v>
      </c>
      <c r="B586" s="296">
        <v>122.0</v>
      </c>
      <c r="C586" s="297" t="s">
        <v>175</v>
      </c>
      <c r="D586" s="296" t="s">
        <v>320</v>
      </c>
      <c r="E586" s="298"/>
      <c r="F586" s="297" t="s">
        <v>321</v>
      </c>
      <c r="G586" s="299">
        <v>432412.0</v>
      </c>
      <c r="H586" s="299">
        <v>0.0</v>
      </c>
      <c r="I586" s="300">
        <v>432412.0</v>
      </c>
      <c r="J586" s="300">
        <v>432412.0</v>
      </c>
      <c r="K586" s="301">
        <v>0.0</v>
      </c>
    </row>
    <row r="587" ht="15.75" customHeight="1">
      <c r="A587" s="286" t="s">
        <v>628</v>
      </c>
      <c r="B587" s="287">
        <v>123.0</v>
      </c>
      <c r="C587" s="286" t="s">
        <v>177</v>
      </c>
      <c r="D587" s="287" t="s">
        <v>551</v>
      </c>
      <c r="E587" s="286" t="s">
        <v>552</v>
      </c>
      <c r="F587" s="286" t="s">
        <v>808</v>
      </c>
      <c r="G587" s="288">
        <v>1808665.0</v>
      </c>
      <c r="H587" s="288">
        <v>0.0</v>
      </c>
      <c r="I587" s="289">
        <v>1808665.0</v>
      </c>
      <c r="J587" s="290"/>
      <c r="K587" s="7"/>
    </row>
    <row r="588" ht="15.75" customHeight="1">
      <c r="A588" s="296" t="s">
        <v>628</v>
      </c>
      <c r="B588" s="296">
        <v>123.0</v>
      </c>
      <c r="C588" s="297" t="s">
        <v>177</v>
      </c>
      <c r="D588" s="296" t="s">
        <v>320</v>
      </c>
      <c r="E588" s="298"/>
      <c r="F588" s="297" t="s">
        <v>321</v>
      </c>
      <c r="G588" s="299">
        <v>1808665.0</v>
      </c>
      <c r="H588" s="299">
        <v>0.0</v>
      </c>
      <c r="I588" s="300">
        <v>1808665.0</v>
      </c>
      <c r="J588" s="300">
        <v>1808665.0</v>
      </c>
      <c r="K588" s="301">
        <v>0.0</v>
      </c>
    </row>
    <row r="589" ht="15.75" customHeight="1">
      <c r="A589" s="286" t="s">
        <v>628</v>
      </c>
      <c r="B589" s="287">
        <v>129.0</v>
      </c>
      <c r="C589" s="286" t="s">
        <v>183</v>
      </c>
      <c r="D589" s="287" t="s">
        <v>553</v>
      </c>
      <c r="E589" s="286" t="s">
        <v>554</v>
      </c>
      <c r="F589" s="286" t="s">
        <v>809</v>
      </c>
      <c r="G589" s="288">
        <v>4468250.0</v>
      </c>
      <c r="H589" s="288">
        <v>0.0</v>
      </c>
      <c r="I589" s="289">
        <v>4468250.0</v>
      </c>
      <c r="J589" s="290"/>
      <c r="K589" s="7"/>
    </row>
    <row r="590" ht="15.75" customHeight="1">
      <c r="A590" s="296" t="s">
        <v>628</v>
      </c>
      <c r="B590" s="296">
        <v>129.0</v>
      </c>
      <c r="C590" s="297" t="s">
        <v>183</v>
      </c>
      <c r="D590" s="296" t="s">
        <v>320</v>
      </c>
      <c r="E590" s="298"/>
      <c r="F590" s="297" t="s">
        <v>321</v>
      </c>
      <c r="G590" s="299">
        <v>4468250.0</v>
      </c>
      <c r="H590" s="299">
        <v>0.0</v>
      </c>
      <c r="I590" s="300">
        <v>4468250.0</v>
      </c>
      <c r="J590" s="300">
        <v>4468250.0</v>
      </c>
      <c r="K590" s="301">
        <v>0.0</v>
      </c>
    </row>
    <row r="591" ht="15.75" customHeight="1">
      <c r="A591" s="286" t="s">
        <v>628</v>
      </c>
      <c r="B591" s="287">
        <v>130.0</v>
      </c>
      <c r="C591" s="286" t="s">
        <v>186</v>
      </c>
      <c r="D591" s="287" t="s">
        <v>553</v>
      </c>
      <c r="E591" s="286"/>
      <c r="F591" s="286" t="s">
        <v>810</v>
      </c>
      <c r="G591" s="288">
        <v>0.0</v>
      </c>
      <c r="H591" s="288">
        <v>1223500.0</v>
      </c>
      <c r="I591" s="289">
        <v>-1223500.0</v>
      </c>
      <c r="J591" s="290"/>
      <c r="K591" s="7"/>
    </row>
    <row r="592" ht="15.75" customHeight="1">
      <c r="A592" s="291" t="s">
        <v>628</v>
      </c>
      <c r="B592" s="292">
        <v>130.0</v>
      </c>
      <c r="C592" s="291" t="s">
        <v>186</v>
      </c>
      <c r="D592" s="292" t="s">
        <v>553</v>
      </c>
      <c r="E592" s="291" t="s">
        <v>557</v>
      </c>
      <c r="F592" s="291" t="s">
        <v>811</v>
      </c>
      <c r="G592" s="293">
        <v>1223564.09</v>
      </c>
      <c r="H592" s="293">
        <v>0.0</v>
      </c>
      <c r="I592" s="294">
        <v>1223564.09</v>
      </c>
      <c r="J592" s="295"/>
      <c r="K592" s="7"/>
    </row>
    <row r="593" ht="15.75" customHeight="1">
      <c r="A593" s="286" t="s">
        <v>628</v>
      </c>
      <c r="B593" s="287">
        <v>130.0</v>
      </c>
      <c r="C593" s="286" t="s">
        <v>186</v>
      </c>
      <c r="D593" s="287" t="s">
        <v>553</v>
      </c>
      <c r="E593" s="286"/>
      <c r="F593" s="286" t="s">
        <v>812</v>
      </c>
      <c r="G593" s="288">
        <v>1250000.0</v>
      </c>
      <c r="H593" s="288">
        <v>0.0</v>
      </c>
      <c r="I593" s="289">
        <v>1250000.0</v>
      </c>
      <c r="J593" s="290"/>
      <c r="K593" s="7"/>
    </row>
    <row r="594" ht="15.75" customHeight="1">
      <c r="A594" s="296" t="s">
        <v>628</v>
      </c>
      <c r="B594" s="296">
        <v>130.0</v>
      </c>
      <c r="C594" s="297" t="s">
        <v>186</v>
      </c>
      <c r="D594" s="296" t="s">
        <v>320</v>
      </c>
      <c r="E594" s="298"/>
      <c r="F594" s="297" t="s">
        <v>321</v>
      </c>
      <c r="G594" s="299">
        <v>2473564.09</v>
      </c>
      <c r="H594" s="299">
        <v>1223500.0</v>
      </c>
      <c r="I594" s="300">
        <v>1250064.09</v>
      </c>
      <c r="J594" s="300">
        <v>1250064.09</v>
      </c>
      <c r="K594" s="301">
        <v>0.0</v>
      </c>
    </row>
    <row r="595" ht="15.75" customHeight="1">
      <c r="A595" s="286" t="s">
        <v>628</v>
      </c>
      <c r="B595" s="287">
        <v>131.0</v>
      </c>
      <c r="C595" s="286" t="s">
        <v>188</v>
      </c>
      <c r="D595" s="287" t="s">
        <v>560</v>
      </c>
      <c r="E595" s="286" t="s">
        <v>438</v>
      </c>
      <c r="F595" s="286" t="s">
        <v>813</v>
      </c>
      <c r="G595" s="288">
        <v>6221.0</v>
      </c>
      <c r="H595" s="288">
        <v>0.0</v>
      </c>
      <c r="I595" s="289">
        <v>6221.0</v>
      </c>
      <c r="J595" s="290"/>
      <c r="K595" s="7"/>
    </row>
    <row r="596" ht="15.75" customHeight="1">
      <c r="A596" s="291" t="s">
        <v>628</v>
      </c>
      <c r="B596" s="292">
        <v>131.0</v>
      </c>
      <c r="C596" s="291" t="s">
        <v>188</v>
      </c>
      <c r="D596" s="292" t="s">
        <v>560</v>
      </c>
      <c r="E596" s="291" t="s">
        <v>438</v>
      </c>
      <c r="F596" s="291" t="s">
        <v>814</v>
      </c>
      <c r="G596" s="293">
        <v>323560.0</v>
      </c>
      <c r="H596" s="293">
        <v>0.0</v>
      </c>
      <c r="I596" s="294">
        <v>323560.0</v>
      </c>
      <c r="J596" s="295"/>
      <c r="K596" s="7"/>
    </row>
    <row r="597" ht="15.75" customHeight="1">
      <c r="A597" s="286" t="s">
        <v>628</v>
      </c>
      <c r="B597" s="287">
        <v>131.0</v>
      </c>
      <c r="C597" s="286" t="s">
        <v>188</v>
      </c>
      <c r="D597" s="287" t="s">
        <v>560</v>
      </c>
      <c r="E597" s="286" t="s">
        <v>438</v>
      </c>
      <c r="F597" s="286" t="s">
        <v>815</v>
      </c>
      <c r="G597" s="288">
        <v>6221.0</v>
      </c>
      <c r="H597" s="288">
        <v>0.0</v>
      </c>
      <c r="I597" s="289">
        <v>6221.0</v>
      </c>
      <c r="J597" s="290"/>
      <c r="K597" s="7"/>
    </row>
    <row r="598" ht="15.75" customHeight="1">
      <c r="A598" s="291" t="s">
        <v>628</v>
      </c>
      <c r="B598" s="292">
        <v>131.0</v>
      </c>
      <c r="C598" s="291" t="s">
        <v>188</v>
      </c>
      <c r="D598" s="292" t="s">
        <v>560</v>
      </c>
      <c r="E598" s="291" t="s">
        <v>438</v>
      </c>
      <c r="F598" s="291" t="s">
        <v>816</v>
      </c>
      <c r="G598" s="293">
        <v>6221.0</v>
      </c>
      <c r="H598" s="293">
        <v>0.0</v>
      </c>
      <c r="I598" s="294">
        <v>6221.0</v>
      </c>
      <c r="J598" s="295"/>
      <c r="K598" s="7"/>
    </row>
    <row r="599" ht="15.75" customHeight="1">
      <c r="A599" s="286" t="s">
        <v>628</v>
      </c>
      <c r="B599" s="287">
        <v>131.0</v>
      </c>
      <c r="C599" s="286" t="s">
        <v>188</v>
      </c>
      <c r="D599" s="287" t="s">
        <v>563</v>
      </c>
      <c r="E599" s="286" t="s">
        <v>554</v>
      </c>
      <c r="F599" s="286" t="s">
        <v>817</v>
      </c>
      <c r="G599" s="288">
        <v>0.0</v>
      </c>
      <c r="H599" s="288">
        <v>900777.24</v>
      </c>
      <c r="I599" s="289">
        <v>-900777.24</v>
      </c>
      <c r="J599" s="290"/>
      <c r="K599" s="7"/>
    </row>
    <row r="600" ht="15.75" customHeight="1">
      <c r="A600" s="296" t="s">
        <v>628</v>
      </c>
      <c r="B600" s="296">
        <v>131.0</v>
      </c>
      <c r="C600" s="297" t="s">
        <v>188</v>
      </c>
      <c r="D600" s="296" t="s">
        <v>320</v>
      </c>
      <c r="E600" s="298"/>
      <c r="F600" s="297" t="s">
        <v>321</v>
      </c>
      <c r="G600" s="299">
        <v>342223.0</v>
      </c>
      <c r="H600" s="299">
        <v>900777.24</v>
      </c>
      <c r="I600" s="300">
        <v>-558554.24</v>
      </c>
      <c r="J600" s="300">
        <v>342223.0</v>
      </c>
      <c r="K600" s="302">
        <v>-900777.24</v>
      </c>
    </row>
    <row r="601" ht="15.75" customHeight="1">
      <c r="A601" s="286" t="s">
        <v>628</v>
      </c>
      <c r="B601" s="287">
        <v>132.0</v>
      </c>
      <c r="C601" s="286" t="s">
        <v>190</v>
      </c>
      <c r="D601" s="287" t="s">
        <v>565</v>
      </c>
      <c r="E601" s="286" t="s">
        <v>566</v>
      </c>
      <c r="F601" s="286" t="s">
        <v>818</v>
      </c>
      <c r="G601" s="288">
        <v>914708.15</v>
      </c>
      <c r="H601" s="288">
        <v>0.0</v>
      </c>
      <c r="I601" s="289">
        <v>914708.15</v>
      </c>
      <c r="J601" s="290"/>
      <c r="K601" s="7"/>
    </row>
    <row r="602" ht="15.75" customHeight="1">
      <c r="A602" s="296" t="s">
        <v>628</v>
      </c>
      <c r="B602" s="296">
        <v>132.0</v>
      </c>
      <c r="C602" s="297" t="s">
        <v>190</v>
      </c>
      <c r="D602" s="296" t="s">
        <v>320</v>
      </c>
      <c r="E602" s="298"/>
      <c r="F602" s="297" t="s">
        <v>321</v>
      </c>
      <c r="G602" s="299">
        <v>914708.15</v>
      </c>
      <c r="H602" s="299">
        <v>0.0</v>
      </c>
      <c r="I602" s="300">
        <v>914708.15</v>
      </c>
      <c r="J602" s="300">
        <v>914708.15</v>
      </c>
      <c r="K602" s="301">
        <v>0.0</v>
      </c>
    </row>
    <row r="603" ht="15.75" customHeight="1">
      <c r="A603" s="286" t="s">
        <v>628</v>
      </c>
      <c r="B603" s="287">
        <v>134.0</v>
      </c>
      <c r="C603" s="286" t="s">
        <v>194</v>
      </c>
      <c r="D603" s="287" t="s">
        <v>549</v>
      </c>
      <c r="E603" s="286"/>
      <c r="F603" s="286" t="s">
        <v>819</v>
      </c>
      <c r="G603" s="288">
        <v>128926.0</v>
      </c>
      <c r="H603" s="288">
        <v>0.0</v>
      </c>
      <c r="I603" s="289">
        <v>128926.0</v>
      </c>
      <c r="J603" s="290"/>
      <c r="K603" s="7"/>
    </row>
    <row r="604" ht="15.75" customHeight="1">
      <c r="A604" s="296" t="s">
        <v>628</v>
      </c>
      <c r="B604" s="296">
        <v>134.0</v>
      </c>
      <c r="C604" s="297" t="s">
        <v>194</v>
      </c>
      <c r="D604" s="296" t="s">
        <v>320</v>
      </c>
      <c r="E604" s="298"/>
      <c r="F604" s="297" t="s">
        <v>321</v>
      </c>
      <c r="G604" s="299">
        <v>128926.0</v>
      </c>
      <c r="H604" s="299">
        <v>0.0</v>
      </c>
      <c r="I604" s="300">
        <v>128926.0</v>
      </c>
      <c r="J604" s="300">
        <v>0.0</v>
      </c>
      <c r="K604" s="302">
        <v>128926.0</v>
      </c>
    </row>
    <row r="605" ht="15.75" customHeight="1">
      <c r="A605" s="286" t="s">
        <v>628</v>
      </c>
      <c r="B605" s="287">
        <v>135.0</v>
      </c>
      <c r="C605" s="286" t="s">
        <v>196</v>
      </c>
      <c r="D605" s="287" t="s">
        <v>571</v>
      </c>
      <c r="E605" s="286" t="s">
        <v>572</v>
      </c>
      <c r="F605" s="286" t="s">
        <v>820</v>
      </c>
      <c r="G605" s="288">
        <v>91890.0</v>
      </c>
      <c r="H605" s="288">
        <v>0.0</v>
      </c>
      <c r="I605" s="289">
        <v>91890.0</v>
      </c>
      <c r="J605" s="290"/>
      <c r="K605" s="7"/>
    </row>
    <row r="606" ht="15.75" customHeight="1">
      <c r="A606" s="291" t="s">
        <v>628</v>
      </c>
      <c r="B606" s="292">
        <v>135.0</v>
      </c>
      <c r="C606" s="291" t="s">
        <v>196</v>
      </c>
      <c r="D606" s="292" t="s">
        <v>571</v>
      </c>
      <c r="E606" s="291" t="s">
        <v>575</v>
      </c>
      <c r="F606" s="291" t="s">
        <v>821</v>
      </c>
      <c r="G606" s="293">
        <v>29760.0</v>
      </c>
      <c r="H606" s="293">
        <v>0.0</v>
      </c>
      <c r="I606" s="294">
        <v>29760.0</v>
      </c>
      <c r="J606" s="295"/>
      <c r="K606" s="7"/>
    </row>
    <row r="607" ht="15.75" customHeight="1">
      <c r="A607" s="286" t="s">
        <v>628</v>
      </c>
      <c r="B607" s="287">
        <v>135.0</v>
      </c>
      <c r="C607" s="286" t="s">
        <v>196</v>
      </c>
      <c r="D607" s="287" t="s">
        <v>571</v>
      </c>
      <c r="E607" s="286" t="s">
        <v>575</v>
      </c>
      <c r="F607" s="286" t="s">
        <v>821</v>
      </c>
      <c r="G607" s="288">
        <v>180.0</v>
      </c>
      <c r="H607" s="288">
        <v>0.0</v>
      </c>
      <c r="I607" s="289">
        <v>180.0</v>
      </c>
      <c r="J607" s="290"/>
      <c r="K607" s="7"/>
    </row>
    <row r="608" ht="15.75" customHeight="1">
      <c r="A608" s="296" t="s">
        <v>628</v>
      </c>
      <c r="B608" s="296">
        <v>135.0</v>
      </c>
      <c r="C608" s="297" t="s">
        <v>196</v>
      </c>
      <c r="D608" s="296" t="s">
        <v>320</v>
      </c>
      <c r="E608" s="298"/>
      <c r="F608" s="297" t="s">
        <v>321</v>
      </c>
      <c r="G608" s="299">
        <v>121830.0</v>
      </c>
      <c r="H608" s="299">
        <v>0.0</v>
      </c>
      <c r="I608" s="300">
        <v>121830.0</v>
      </c>
      <c r="J608" s="300">
        <v>29940.0</v>
      </c>
      <c r="K608" s="302">
        <v>91890.0</v>
      </c>
    </row>
    <row r="609" ht="15.75" customHeight="1">
      <c r="A609" s="286" t="s">
        <v>628</v>
      </c>
      <c r="B609" s="287">
        <v>136.0</v>
      </c>
      <c r="C609" s="286" t="s">
        <v>198</v>
      </c>
      <c r="D609" s="287" t="s">
        <v>222</v>
      </c>
      <c r="E609" s="286" t="s">
        <v>577</v>
      </c>
      <c r="F609" s="286" t="s">
        <v>822</v>
      </c>
      <c r="G609" s="288">
        <v>88200.0</v>
      </c>
      <c r="H609" s="288">
        <v>0.0</v>
      </c>
      <c r="I609" s="289">
        <v>88200.0</v>
      </c>
      <c r="J609" s="290"/>
      <c r="K609" s="7"/>
    </row>
    <row r="610" ht="15.75" customHeight="1">
      <c r="A610" s="291" t="s">
        <v>628</v>
      </c>
      <c r="B610" s="292">
        <v>136.0</v>
      </c>
      <c r="C610" s="291" t="s">
        <v>198</v>
      </c>
      <c r="D610" s="292" t="s">
        <v>222</v>
      </c>
      <c r="E610" s="291" t="s">
        <v>577</v>
      </c>
      <c r="F610" s="291" t="s">
        <v>823</v>
      </c>
      <c r="G610" s="293">
        <v>0.0</v>
      </c>
      <c r="H610" s="293">
        <v>0.03</v>
      </c>
      <c r="I610" s="294">
        <v>-0.03</v>
      </c>
      <c r="J610" s="295"/>
      <c r="K610" s="7"/>
    </row>
    <row r="611" ht="15.75" customHeight="1">
      <c r="A611" s="286" t="s">
        <v>628</v>
      </c>
      <c r="B611" s="287">
        <v>136.0</v>
      </c>
      <c r="C611" s="286" t="s">
        <v>198</v>
      </c>
      <c r="D611" s="287" t="s">
        <v>222</v>
      </c>
      <c r="E611" s="286" t="s">
        <v>577</v>
      </c>
      <c r="F611" s="286" t="s">
        <v>823</v>
      </c>
      <c r="G611" s="288">
        <v>1.0</v>
      </c>
      <c r="H611" s="288">
        <v>0.0</v>
      </c>
      <c r="I611" s="289">
        <v>1.0</v>
      </c>
      <c r="J611" s="290"/>
      <c r="K611" s="7"/>
    </row>
    <row r="612" ht="15.75" customHeight="1">
      <c r="A612" s="296" t="s">
        <v>628</v>
      </c>
      <c r="B612" s="296">
        <v>136.0</v>
      </c>
      <c r="C612" s="297" t="s">
        <v>198</v>
      </c>
      <c r="D612" s="296" t="s">
        <v>320</v>
      </c>
      <c r="E612" s="298"/>
      <c r="F612" s="297" t="s">
        <v>321</v>
      </c>
      <c r="G612" s="299">
        <v>88201.0</v>
      </c>
      <c r="H612" s="299">
        <v>0.03</v>
      </c>
      <c r="I612" s="300">
        <v>88200.97</v>
      </c>
      <c r="J612" s="300">
        <v>88201.0</v>
      </c>
      <c r="K612" s="301">
        <v>-0.02999999999883585</v>
      </c>
    </row>
    <row r="613" ht="15.75" customHeight="1">
      <c r="A613" s="286" t="s">
        <v>628</v>
      </c>
      <c r="B613" s="287">
        <v>137.0</v>
      </c>
      <c r="C613" s="286" t="s">
        <v>200</v>
      </c>
      <c r="D613" s="287" t="s">
        <v>824</v>
      </c>
      <c r="E613" s="286" t="s">
        <v>825</v>
      </c>
      <c r="F613" s="286" t="s">
        <v>826</v>
      </c>
      <c r="G613" s="288">
        <v>570763.64</v>
      </c>
      <c r="H613" s="288">
        <v>0.0</v>
      </c>
      <c r="I613" s="289">
        <v>570763.64</v>
      </c>
      <c r="J613" s="290"/>
      <c r="K613" s="7"/>
    </row>
    <row r="614" ht="15.75" customHeight="1">
      <c r="A614" s="291" t="s">
        <v>628</v>
      </c>
      <c r="B614" s="292">
        <v>137.0</v>
      </c>
      <c r="C614" s="291" t="s">
        <v>200</v>
      </c>
      <c r="D614" s="292" t="s">
        <v>824</v>
      </c>
      <c r="E614" s="291" t="s">
        <v>825</v>
      </c>
      <c r="F614" s="291" t="s">
        <v>827</v>
      </c>
      <c r="G614" s="293">
        <v>0.0</v>
      </c>
      <c r="H614" s="293">
        <v>34625.0</v>
      </c>
      <c r="I614" s="294">
        <v>-34625.0</v>
      </c>
      <c r="J614" s="295"/>
      <c r="K614" s="7"/>
    </row>
    <row r="615" ht="15.75" customHeight="1">
      <c r="A615" s="286" t="s">
        <v>628</v>
      </c>
      <c r="B615" s="287">
        <v>137.0</v>
      </c>
      <c r="C615" s="286" t="s">
        <v>200</v>
      </c>
      <c r="D615" s="287" t="s">
        <v>824</v>
      </c>
      <c r="E615" s="286" t="s">
        <v>828</v>
      </c>
      <c r="F615" s="286" t="s">
        <v>829</v>
      </c>
      <c r="G615" s="288">
        <v>19202.06</v>
      </c>
      <c r="H615" s="288">
        <v>0.0</v>
      </c>
      <c r="I615" s="289">
        <v>19202.06</v>
      </c>
      <c r="J615" s="290"/>
      <c r="K615" s="7"/>
    </row>
    <row r="616" ht="15.75" customHeight="1">
      <c r="A616" s="291" t="s">
        <v>628</v>
      </c>
      <c r="B616" s="292">
        <v>137.0</v>
      </c>
      <c r="C616" s="291" t="s">
        <v>200</v>
      </c>
      <c r="D616" s="292" t="s">
        <v>824</v>
      </c>
      <c r="E616" s="291" t="s">
        <v>830</v>
      </c>
      <c r="F616" s="291" t="s">
        <v>831</v>
      </c>
      <c r="G616" s="293">
        <v>470174.66</v>
      </c>
      <c r="H616" s="293">
        <v>0.0</v>
      </c>
      <c r="I616" s="294">
        <v>470174.66</v>
      </c>
      <c r="J616" s="295"/>
      <c r="K616" s="7"/>
    </row>
    <row r="617" ht="15.75" customHeight="1">
      <c r="A617" s="286" t="s">
        <v>628</v>
      </c>
      <c r="B617" s="287">
        <v>137.0</v>
      </c>
      <c r="C617" s="286" t="s">
        <v>200</v>
      </c>
      <c r="D617" s="287" t="s">
        <v>824</v>
      </c>
      <c r="E617" s="286" t="s">
        <v>830</v>
      </c>
      <c r="F617" s="286" t="s">
        <v>832</v>
      </c>
      <c r="G617" s="288">
        <v>0.0</v>
      </c>
      <c r="H617" s="288">
        <v>19743.0</v>
      </c>
      <c r="I617" s="289">
        <v>-19743.0</v>
      </c>
      <c r="J617" s="290"/>
      <c r="K617" s="7"/>
    </row>
    <row r="618" ht="15.75" customHeight="1">
      <c r="A618" s="291" t="s">
        <v>628</v>
      </c>
      <c r="B618" s="292">
        <v>137.0</v>
      </c>
      <c r="C618" s="291" t="s">
        <v>200</v>
      </c>
      <c r="D618" s="292" t="s">
        <v>824</v>
      </c>
      <c r="E618" s="291" t="s">
        <v>438</v>
      </c>
      <c r="F618" s="291" t="s">
        <v>833</v>
      </c>
      <c r="G618" s="293">
        <v>10417.79</v>
      </c>
      <c r="H618" s="293">
        <v>0.0</v>
      </c>
      <c r="I618" s="294">
        <v>10417.79</v>
      </c>
      <c r="J618" s="295"/>
      <c r="K618" s="7"/>
    </row>
    <row r="619" ht="15.75" customHeight="1">
      <c r="A619" s="286" t="s">
        <v>628</v>
      </c>
      <c r="B619" s="287">
        <v>137.0</v>
      </c>
      <c r="C619" s="286" t="s">
        <v>200</v>
      </c>
      <c r="D619" s="287" t="s">
        <v>824</v>
      </c>
      <c r="E619" s="286" t="s">
        <v>438</v>
      </c>
      <c r="F619" s="286" t="s">
        <v>834</v>
      </c>
      <c r="G619" s="288">
        <v>439998.0</v>
      </c>
      <c r="H619" s="288">
        <v>0.0</v>
      </c>
      <c r="I619" s="289">
        <v>439998.0</v>
      </c>
      <c r="J619" s="290"/>
      <c r="K619" s="7"/>
    </row>
    <row r="620" ht="15.75" customHeight="1">
      <c r="A620" s="291" t="s">
        <v>628</v>
      </c>
      <c r="B620" s="292">
        <v>137.0</v>
      </c>
      <c r="C620" s="291" t="s">
        <v>200</v>
      </c>
      <c r="D620" s="292" t="s">
        <v>222</v>
      </c>
      <c r="E620" s="291" t="s">
        <v>835</v>
      </c>
      <c r="F620" s="291" t="s">
        <v>836</v>
      </c>
      <c r="G620" s="293">
        <v>433800.0</v>
      </c>
      <c r="H620" s="293">
        <v>0.0</v>
      </c>
      <c r="I620" s="294">
        <v>433800.0</v>
      </c>
      <c r="J620" s="295"/>
      <c r="K620" s="7"/>
    </row>
    <row r="621" ht="15.75" customHeight="1">
      <c r="A621" s="286" t="s">
        <v>628</v>
      </c>
      <c r="B621" s="287">
        <v>137.0</v>
      </c>
      <c r="C621" s="286" t="s">
        <v>200</v>
      </c>
      <c r="D621" s="287" t="s">
        <v>222</v>
      </c>
      <c r="E621" s="286" t="s">
        <v>837</v>
      </c>
      <c r="F621" s="286" t="s">
        <v>838</v>
      </c>
      <c r="G621" s="288">
        <v>14500.0</v>
      </c>
      <c r="H621" s="288">
        <v>0.0</v>
      </c>
      <c r="I621" s="289">
        <v>14500.0</v>
      </c>
      <c r="J621" s="290"/>
      <c r="K621" s="7"/>
    </row>
    <row r="622" ht="15.75" customHeight="1">
      <c r="A622" s="291" t="s">
        <v>628</v>
      </c>
      <c r="B622" s="292">
        <v>137.0</v>
      </c>
      <c r="C622" s="291" t="s">
        <v>200</v>
      </c>
      <c r="D622" s="292" t="s">
        <v>222</v>
      </c>
      <c r="E622" s="291" t="s">
        <v>438</v>
      </c>
      <c r="F622" s="291" t="s">
        <v>839</v>
      </c>
      <c r="G622" s="293">
        <v>152059.1</v>
      </c>
      <c r="H622" s="293">
        <v>0.0</v>
      </c>
      <c r="I622" s="294">
        <v>152059.1</v>
      </c>
      <c r="J622" s="295"/>
      <c r="K622" s="7"/>
    </row>
    <row r="623" ht="15.75" customHeight="1">
      <c r="A623" s="286" t="s">
        <v>628</v>
      </c>
      <c r="B623" s="287">
        <v>137.0</v>
      </c>
      <c r="C623" s="286" t="s">
        <v>200</v>
      </c>
      <c r="D623" s="287" t="s">
        <v>222</v>
      </c>
      <c r="E623" s="286" t="s">
        <v>438</v>
      </c>
      <c r="F623" s="286" t="s">
        <v>840</v>
      </c>
      <c r="G623" s="288">
        <v>26125.99</v>
      </c>
      <c r="H623" s="288">
        <v>0.0</v>
      </c>
      <c r="I623" s="289">
        <v>26125.99</v>
      </c>
      <c r="J623" s="290"/>
      <c r="K623" s="7"/>
    </row>
    <row r="624" ht="15.75" customHeight="1">
      <c r="A624" s="291" t="s">
        <v>628</v>
      </c>
      <c r="B624" s="292">
        <v>137.0</v>
      </c>
      <c r="C624" s="291" t="s">
        <v>200</v>
      </c>
      <c r="D624" s="292" t="s">
        <v>222</v>
      </c>
      <c r="E624" s="291" t="s">
        <v>438</v>
      </c>
      <c r="F624" s="291" t="s">
        <v>840</v>
      </c>
      <c r="G624" s="293">
        <v>27022.07</v>
      </c>
      <c r="H624" s="293">
        <v>0.0</v>
      </c>
      <c r="I624" s="294">
        <v>27022.07</v>
      </c>
      <c r="J624" s="295"/>
      <c r="K624" s="7"/>
    </row>
    <row r="625" ht="15.75" customHeight="1">
      <c r="A625" s="286" t="s">
        <v>628</v>
      </c>
      <c r="B625" s="287">
        <v>137.0</v>
      </c>
      <c r="C625" s="286" t="s">
        <v>200</v>
      </c>
      <c r="D625" s="287" t="s">
        <v>582</v>
      </c>
      <c r="E625" s="286" t="s">
        <v>438</v>
      </c>
      <c r="F625" s="286" t="s">
        <v>841</v>
      </c>
      <c r="G625" s="288">
        <v>104988.9</v>
      </c>
      <c r="H625" s="288">
        <v>0.0</v>
      </c>
      <c r="I625" s="289">
        <v>104988.9</v>
      </c>
      <c r="J625" s="290"/>
      <c r="K625" s="7"/>
    </row>
    <row r="626" ht="15.75" customHeight="1">
      <c r="A626" s="291" t="s">
        <v>628</v>
      </c>
      <c r="B626" s="292">
        <v>137.0</v>
      </c>
      <c r="C626" s="291" t="s">
        <v>200</v>
      </c>
      <c r="D626" s="292" t="s">
        <v>582</v>
      </c>
      <c r="E626" s="291" t="s">
        <v>438</v>
      </c>
      <c r="F626" s="291" t="s">
        <v>841</v>
      </c>
      <c r="G626" s="293">
        <v>366117.8</v>
      </c>
      <c r="H626" s="293">
        <v>0.0</v>
      </c>
      <c r="I626" s="294">
        <v>366117.8</v>
      </c>
      <c r="J626" s="295"/>
      <c r="K626" s="7"/>
    </row>
    <row r="627" ht="15.75" customHeight="1">
      <c r="A627" s="296" t="s">
        <v>628</v>
      </c>
      <c r="B627" s="296">
        <v>137.0</v>
      </c>
      <c r="C627" s="297" t="s">
        <v>200</v>
      </c>
      <c r="D627" s="296" t="s">
        <v>320</v>
      </c>
      <c r="E627" s="298"/>
      <c r="F627" s="297" t="s">
        <v>321</v>
      </c>
      <c r="G627" s="299">
        <v>2635170.01</v>
      </c>
      <c r="H627" s="299">
        <v>54368.0</v>
      </c>
      <c r="I627" s="300">
        <v>2580802.01</v>
      </c>
      <c r="J627" s="300">
        <v>2132502.01</v>
      </c>
      <c r="K627" s="302">
        <v>448300.0</v>
      </c>
    </row>
    <row r="628" ht="15.75" customHeight="1">
      <c r="A628" s="286" t="s">
        <v>628</v>
      </c>
      <c r="B628" s="287">
        <v>138.0</v>
      </c>
      <c r="C628" s="286" t="s">
        <v>202</v>
      </c>
      <c r="D628" s="287" t="s">
        <v>222</v>
      </c>
      <c r="E628" s="286" t="s">
        <v>586</v>
      </c>
      <c r="F628" s="286" t="s">
        <v>842</v>
      </c>
      <c r="G628" s="288">
        <v>30263.0</v>
      </c>
      <c r="H628" s="288">
        <v>0.0</v>
      </c>
      <c r="I628" s="289">
        <v>30263.0</v>
      </c>
      <c r="J628" s="290"/>
      <c r="K628" s="7"/>
    </row>
    <row r="629" ht="15.75" customHeight="1">
      <c r="A629" s="296" t="s">
        <v>628</v>
      </c>
      <c r="B629" s="296">
        <v>138.0</v>
      </c>
      <c r="C629" s="297" t="s">
        <v>202</v>
      </c>
      <c r="D629" s="296" t="s">
        <v>320</v>
      </c>
      <c r="E629" s="298"/>
      <c r="F629" s="297" t="s">
        <v>321</v>
      </c>
      <c r="G629" s="299">
        <v>30263.0</v>
      </c>
      <c r="H629" s="299">
        <v>0.0</v>
      </c>
      <c r="I629" s="300">
        <v>30263.0</v>
      </c>
      <c r="J629" s="300">
        <v>30263.0</v>
      </c>
      <c r="K629" s="301">
        <v>0.0</v>
      </c>
    </row>
    <row r="630" ht="15.75" customHeight="1">
      <c r="A630" s="286" t="s">
        <v>628</v>
      </c>
      <c r="B630" s="287">
        <v>139.0</v>
      </c>
      <c r="C630" s="286" t="s">
        <v>204</v>
      </c>
      <c r="D630" s="287" t="s">
        <v>588</v>
      </c>
      <c r="E630" s="286"/>
      <c r="F630" s="286" t="s">
        <v>843</v>
      </c>
      <c r="G630" s="288">
        <v>108223.17</v>
      </c>
      <c r="H630" s="288">
        <v>0.0</v>
      </c>
      <c r="I630" s="289">
        <v>108223.17</v>
      </c>
      <c r="J630" s="290"/>
      <c r="K630" s="7"/>
    </row>
    <row r="631" ht="15.75" customHeight="1">
      <c r="A631" s="291" t="s">
        <v>628</v>
      </c>
      <c r="B631" s="292">
        <v>139.0</v>
      </c>
      <c r="C631" s="291" t="s">
        <v>204</v>
      </c>
      <c r="D631" s="292" t="s">
        <v>588</v>
      </c>
      <c r="E631" s="291"/>
      <c r="F631" s="291" t="s">
        <v>844</v>
      </c>
      <c r="G631" s="293">
        <v>44676.47</v>
      </c>
      <c r="H631" s="293">
        <v>0.0</v>
      </c>
      <c r="I631" s="294">
        <v>44676.47</v>
      </c>
      <c r="J631" s="295"/>
      <c r="K631" s="7"/>
    </row>
    <row r="632" ht="15.75" customHeight="1">
      <c r="A632" s="286" t="s">
        <v>628</v>
      </c>
      <c r="B632" s="287">
        <v>139.0</v>
      </c>
      <c r="C632" s="286" t="s">
        <v>204</v>
      </c>
      <c r="D632" s="287" t="s">
        <v>588</v>
      </c>
      <c r="E632" s="286"/>
      <c r="F632" s="286" t="s">
        <v>845</v>
      </c>
      <c r="G632" s="288">
        <v>96029.57</v>
      </c>
      <c r="H632" s="288">
        <v>0.0</v>
      </c>
      <c r="I632" s="289">
        <v>96029.57</v>
      </c>
      <c r="J632" s="290"/>
      <c r="K632" s="7"/>
    </row>
    <row r="633" ht="15.75" customHeight="1">
      <c r="A633" s="291" t="s">
        <v>628</v>
      </c>
      <c r="B633" s="292">
        <v>139.0</v>
      </c>
      <c r="C633" s="291" t="s">
        <v>204</v>
      </c>
      <c r="D633" s="292" t="s">
        <v>588</v>
      </c>
      <c r="E633" s="291"/>
      <c r="F633" s="291" t="s">
        <v>846</v>
      </c>
      <c r="G633" s="293">
        <v>118150.72</v>
      </c>
      <c r="H633" s="293">
        <v>0.0</v>
      </c>
      <c r="I633" s="294">
        <v>118150.72</v>
      </c>
      <c r="J633" s="295"/>
      <c r="K633" s="7"/>
    </row>
    <row r="634" ht="15.75" customHeight="1">
      <c r="A634" s="286" t="s">
        <v>628</v>
      </c>
      <c r="B634" s="287">
        <v>139.0</v>
      </c>
      <c r="C634" s="286" t="s">
        <v>204</v>
      </c>
      <c r="D634" s="287" t="s">
        <v>588</v>
      </c>
      <c r="E634" s="286"/>
      <c r="F634" s="286" t="s">
        <v>847</v>
      </c>
      <c r="G634" s="288">
        <v>84273.2</v>
      </c>
      <c r="H634" s="288">
        <v>0.0</v>
      </c>
      <c r="I634" s="289">
        <v>84273.2</v>
      </c>
      <c r="J634" s="290"/>
      <c r="K634" s="7"/>
    </row>
    <row r="635" ht="15.75" customHeight="1">
      <c r="A635" s="291" t="s">
        <v>628</v>
      </c>
      <c r="B635" s="292">
        <v>139.0</v>
      </c>
      <c r="C635" s="291" t="s">
        <v>204</v>
      </c>
      <c r="D635" s="292" t="s">
        <v>588</v>
      </c>
      <c r="E635" s="291"/>
      <c r="F635" s="291" t="s">
        <v>848</v>
      </c>
      <c r="G635" s="293">
        <v>44260.69</v>
      </c>
      <c r="H635" s="293">
        <v>0.0</v>
      </c>
      <c r="I635" s="294">
        <v>44260.69</v>
      </c>
      <c r="J635" s="295"/>
      <c r="K635" s="7"/>
    </row>
    <row r="636" ht="15.75" customHeight="1">
      <c r="A636" s="286" t="s">
        <v>628</v>
      </c>
      <c r="B636" s="287">
        <v>139.0</v>
      </c>
      <c r="C636" s="286" t="s">
        <v>204</v>
      </c>
      <c r="D636" s="287" t="s">
        <v>588</v>
      </c>
      <c r="E636" s="286"/>
      <c r="F636" s="286" t="s">
        <v>849</v>
      </c>
      <c r="G636" s="288">
        <v>144680.0</v>
      </c>
      <c r="H636" s="288">
        <v>0.0</v>
      </c>
      <c r="I636" s="289">
        <v>144680.0</v>
      </c>
      <c r="J636" s="290"/>
      <c r="K636" s="7"/>
    </row>
    <row r="637" ht="15.75" customHeight="1">
      <c r="A637" s="296" t="s">
        <v>628</v>
      </c>
      <c r="B637" s="296">
        <v>139.0</v>
      </c>
      <c r="C637" s="297" t="s">
        <v>204</v>
      </c>
      <c r="D637" s="296" t="s">
        <v>320</v>
      </c>
      <c r="E637" s="298"/>
      <c r="F637" s="297" t="s">
        <v>321</v>
      </c>
      <c r="G637" s="299">
        <v>640293.8200000001</v>
      </c>
      <c r="H637" s="299">
        <v>0.0</v>
      </c>
      <c r="I637" s="300">
        <v>640293.8200000001</v>
      </c>
      <c r="J637" s="300">
        <v>640293.82</v>
      </c>
      <c r="K637" s="301">
        <v>1.164153218269348E-10</v>
      </c>
    </row>
    <row r="638" ht="15.75" customHeight="1">
      <c r="A638" s="286" t="s">
        <v>628</v>
      </c>
      <c r="B638" s="287">
        <v>150.0</v>
      </c>
      <c r="C638" s="286" t="s">
        <v>224</v>
      </c>
      <c r="D638" s="287" t="s">
        <v>596</v>
      </c>
      <c r="E638" s="286" t="s">
        <v>850</v>
      </c>
      <c r="F638" s="286" t="s">
        <v>851</v>
      </c>
      <c r="G638" s="288">
        <v>227900.0</v>
      </c>
      <c r="H638" s="288">
        <v>0.0</v>
      </c>
      <c r="I638" s="289">
        <v>227900.0</v>
      </c>
      <c r="J638" s="290"/>
      <c r="K638" s="7"/>
    </row>
    <row r="639" ht="15.75" customHeight="1">
      <c r="A639" s="291" t="s">
        <v>628</v>
      </c>
      <c r="B639" s="292">
        <v>150.0</v>
      </c>
      <c r="C639" s="291" t="s">
        <v>224</v>
      </c>
      <c r="D639" s="292" t="s">
        <v>596</v>
      </c>
      <c r="E639" s="291" t="s">
        <v>852</v>
      </c>
      <c r="F639" s="291" t="s">
        <v>853</v>
      </c>
      <c r="G639" s="293">
        <v>296600.0</v>
      </c>
      <c r="H639" s="293">
        <v>0.0</v>
      </c>
      <c r="I639" s="294">
        <v>296600.0</v>
      </c>
      <c r="J639" s="295"/>
      <c r="K639" s="7"/>
    </row>
    <row r="640" ht="15.75" customHeight="1">
      <c r="A640" s="296" t="s">
        <v>628</v>
      </c>
      <c r="B640" s="296">
        <v>150.0</v>
      </c>
      <c r="C640" s="297" t="s">
        <v>224</v>
      </c>
      <c r="D640" s="296" t="s">
        <v>320</v>
      </c>
      <c r="E640" s="298"/>
      <c r="F640" s="297" t="s">
        <v>321</v>
      </c>
      <c r="G640" s="299">
        <v>524500.0</v>
      </c>
      <c r="H640" s="299">
        <v>0.0</v>
      </c>
      <c r="I640" s="300">
        <v>524500.0</v>
      </c>
      <c r="J640" s="300">
        <v>524800.0</v>
      </c>
      <c r="K640" s="302">
        <v>-300.0</v>
      </c>
    </row>
    <row r="641" ht="15.75" customHeight="1">
      <c r="A641" s="286" t="s">
        <v>628</v>
      </c>
      <c r="B641" s="287">
        <v>152.0</v>
      </c>
      <c r="C641" s="286" t="s">
        <v>226</v>
      </c>
      <c r="D641" s="287" t="s">
        <v>600</v>
      </c>
      <c r="E641" s="286"/>
      <c r="F641" s="286" t="s">
        <v>854</v>
      </c>
      <c r="G641" s="288">
        <v>1.384723965E7</v>
      </c>
      <c r="H641" s="288">
        <v>0.0</v>
      </c>
      <c r="I641" s="289">
        <v>1.384723965E7</v>
      </c>
      <c r="J641" s="290"/>
      <c r="K641" s="7"/>
    </row>
    <row r="642" ht="15.75" customHeight="1">
      <c r="A642" s="296" t="s">
        <v>628</v>
      </c>
      <c r="B642" s="296">
        <v>152.0</v>
      </c>
      <c r="C642" s="297" t="s">
        <v>226</v>
      </c>
      <c r="D642" s="296" t="s">
        <v>320</v>
      </c>
      <c r="E642" s="298"/>
      <c r="F642" s="297" t="s">
        <v>321</v>
      </c>
      <c r="G642" s="299">
        <v>1.384723965E7</v>
      </c>
      <c r="H642" s="299">
        <v>0.0</v>
      </c>
      <c r="I642" s="300">
        <v>1.384723965E7</v>
      </c>
      <c r="J642" s="300">
        <v>1.384723965E7</v>
      </c>
      <c r="K642" s="301">
        <v>0.0</v>
      </c>
    </row>
    <row r="643" ht="15.75" customHeight="1">
      <c r="A643" s="286" t="s">
        <v>628</v>
      </c>
      <c r="B643" s="287">
        <v>158.0</v>
      </c>
      <c r="C643" s="286" t="s">
        <v>229</v>
      </c>
      <c r="D643" s="287" t="s">
        <v>602</v>
      </c>
      <c r="E643" s="286"/>
      <c r="F643" s="286" t="s">
        <v>855</v>
      </c>
      <c r="G643" s="288">
        <v>0.0</v>
      </c>
      <c r="H643" s="288">
        <v>2.15E8</v>
      </c>
      <c r="I643" s="289">
        <v>-2.15E8</v>
      </c>
      <c r="J643" s="290"/>
      <c r="K643" s="7"/>
    </row>
    <row r="644" ht="15.75" customHeight="1">
      <c r="A644" s="291" t="s">
        <v>628</v>
      </c>
      <c r="B644" s="292">
        <v>158.0</v>
      </c>
      <c r="C644" s="291" t="s">
        <v>229</v>
      </c>
      <c r="D644" s="292" t="s">
        <v>602</v>
      </c>
      <c r="E644" s="291" t="s">
        <v>604</v>
      </c>
      <c r="F644" s="291" t="s">
        <v>856</v>
      </c>
      <c r="G644" s="293">
        <v>1.9246880809E8</v>
      </c>
      <c r="H644" s="293">
        <v>0.0</v>
      </c>
      <c r="I644" s="294">
        <v>1.9246880809E8</v>
      </c>
      <c r="J644" s="295"/>
      <c r="K644" s="7"/>
    </row>
    <row r="645" ht="15.75" customHeight="1">
      <c r="A645" s="286" t="s">
        <v>628</v>
      </c>
      <c r="B645" s="287">
        <v>158.0</v>
      </c>
      <c r="C645" s="286" t="s">
        <v>229</v>
      </c>
      <c r="D645" s="287" t="s">
        <v>602</v>
      </c>
      <c r="E645" s="286"/>
      <c r="F645" s="286" t="s">
        <v>857</v>
      </c>
      <c r="G645" s="288">
        <v>2.26278054E8</v>
      </c>
      <c r="H645" s="288">
        <v>0.0</v>
      </c>
      <c r="I645" s="289">
        <v>2.26278054E8</v>
      </c>
      <c r="J645" s="290"/>
      <c r="K645" s="7"/>
    </row>
    <row r="646" ht="15.75" customHeight="1">
      <c r="A646" s="296" t="s">
        <v>628</v>
      </c>
      <c r="B646" s="296">
        <v>158.0</v>
      </c>
      <c r="C646" s="297" t="s">
        <v>229</v>
      </c>
      <c r="D646" s="296" t="s">
        <v>320</v>
      </c>
      <c r="E646" s="298"/>
      <c r="F646" s="297" t="s">
        <v>321</v>
      </c>
      <c r="G646" s="299">
        <v>4.1874686209E8</v>
      </c>
      <c r="H646" s="299">
        <v>2.15E8</v>
      </c>
      <c r="I646" s="300">
        <v>2.0374686209E8</v>
      </c>
      <c r="J646" s="300">
        <v>3.23122579062209E8</v>
      </c>
      <c r="K646" s="302">
        <v>-1.19375716972209E8</v>
      </c>
    </row>
    <row r="647" ht="15.75" customHeight="1">
      <c r="A647" s="286" t="s">
        <v>628</v>
      </c>
      <c r="B647" s="287">
        <v>164.0</v>
      </c>
      <c r="C647" s="286" t="s">
        <v>238</v>
      </c>
      <c r="D647" s="287" t="s">
        <v>607</v>
      </c>
      <c r="E647" s="286"/>
      <c r="F647" s="286" t="s">
        <v>858</v>
      </c>
      <c r="G647" s="288">
        <v>1.5E8</v>
      </c>
      <c r="H647" s="288">
        <v>0.0</v>
      </c>
      <c r="I647" s="289">
        <v>1.5E8</v>
      </c>
      <c r="J647" s="290"/>
      <c r="K647" s="7"/>
    </row>
    <row r="648" ht="15.75" customHeight="1">
      <c r="A648" s="296" t="s">
        <v>628</v>
      </c>
      <c r="B648" s="296">
        <v>164.0</v>
      </c>
      <c r="C648" s="297" t="s">
        <v>238</v>
      </c>
      <c r="D648" s="296" t="s">
        <v>320</v>
      </c>
      <c r="E648" s="298"/>
      <c r="F648" s="297" t="s">
        <v>321</v>
      </c>
      <c r="G648" s="299">
        <v>1.5E8</v>
      </c>
      <c r="H648" s="299">
        <v>0.0</v>
      </c>
      <c r="I648" s="300">
        <v>1.5E8</v>
      </c>
      <c r="J648" s="300">
        <v>2.02871005851614E7</v>
      </c>
      <c r="K648" s="302">
        <v>1.297128994148386E8</v>
      </c>
    </row>
    <row r="649" ht="15.75" customHeight="1">
      <c r="A649" s="286" t="s">
        <v>628</v>
      </c>
      <c r="B649" s="287">
        <v>174.0</v>
      </c>
      <c r="C649" s="286" t="s">
        <v>248</v>
      </c>
      <c r="D649" s="287" t="s">
        <v>534</v>
      </c>
      <c r="E649" s="286" t="s">
        <v>611</v>
      </c>
      <c r="F649" s="286" t="s">
        <v>859</v>
      </c>
      <c r="G649" s="288">
        <v>49000.0</v>
      </c>
      <c r="H649" s="288">
        <v>0.0</v>
      </c>
      <c r="I649" s="289">
        <v>49000.0</v>
      </c>
      <c r="J649" s="290"/>
      <c r="K649" s="7"/>
    </row>
    <row r="650" ht="15.75" customHeight="1">
      <c r="A650" s="296" t="s">
        <v>628</v>
      </c>
      <c r="B650" s="296">
        <v>174.0</v>
      </c>
      <c r="C650" s="297" t="s">
        <v>248</v>
      </c>
      <c r="D650" s="296" t="s">
        <v>320</v>
      </c>
      <c r="E650" s="298"/>
      <c r="F650" s="297" t="s">
        <v>321</v>
      </c>
      <c r="G650" s="299">
        <v>49000.0</v>
      </c>
      <c r="H650" s="299">
        <v>0.0</v>
      </c>
      <c r="I650" s="300">
        <v>49000.0</v>
      </c>
      <c r="J650" s="300">
        <v>49000.0</v>
      </c>
      <c r="K650" s="301">
        <v>0.0</v>
      </c>
    </row>
    <row r="651" ht="15.75" customHeight="1">
      <c r="A651" s="286" t="s">
        <v>628</v>
      </c>
      <c r="B651" s="287">
        <v>176.0</v>
      </c>
      <c r="C651" s="286" t="s">
        <v>250</v>
      </c>
      <c r="D651" s="287" t="s">
        <v>613</v>
      </c>
      <c r="E651" s="286" t="s">
        <v>433</v>
      </c>
      <c r="F651" s="286" t="s">
        <v>860</v>
      </c>
      <c r="G651" s="288">
        <v>0.0</v>
      </c>
      <c r="H651" s="288">
        <v>10538.6</v>
      </c>
      <c r="I651" s="289">
        <v>-10538.6</v>
      </c>
      <c r="J651" s="290"/>
      <c r="K651" s="7"/>
    </row>
    <row r="652" ht="15.75" customHeight="1">
      <c r="A652" s="291" t="s">
        <v>628</v>
      </c>
      <c r="B652" s="292">
        <v>176.0</v>
      </c>
      <c r="C652" s="291" t="s">
        <v>250</v>
      </c>
      <c r="D652" s="292" t="s">
        <v>613</v>
      </c>
      <c r="E652" s="291" t="s">
        <v>535</v>
      </c>
      <c r="F652" s="291" t="s">
        <v>861</v>
      </c>
      <c r="G652" s="293">
        <v>0.0</v>
      </c>
      <c r="H652" s="293">
        <v>14520.0</v>
      </c>
      <c r="I652" s="294">
        <v>-14520.0</v>
      </c>
      <c r="J652" s="295"/>
      <c r="K652" s="7"/>
    </row>
    <row r="653" ht="15.75" customHeight="1">
      <c r="A653" s="286" t="s">
        <v>628</v>
      </c>
      <c r="B653" s="287">
        <v>176.0</v>
      </c>
      <c r="C653" s="286" t="s">
        <v>250</v>
      </c>
      <c r="D653" s="287" t="s">
        <v>613</v>
      </c>
      <c r="E653" s="286" t="s">
        <v>433</v>
      </c>
      <c r="F653" s="286" t="s">
        <v>862</v>
      </c>
      <c r="G653" s="288">
        <v>20550.27</v>
      </c>
      <c r="H653" s="288">
        <v>0.0</v>
      </c>
      <c r="I653" s="289">
        <v>20550.27</v>
      </c>
      <c r="J653" s="290"/>
      <c r="K653" s="7"/>
    </row>
    <row r="654" ht="15.75" customHeight="1">
      <c r="A654" s="296" t="s">
        <v>628</v>
      </c>
      <c r="B654" s="296">
        <v>176.0</v>
      </c>
      <c r="C654" s="297" t="s">
        <v>250</v>
      </c>
      <c r="D654" s="296" t="s">
        <v>320</v>
      </c>
      <c r="E654" s="298"/>
      <c r="F654" s="297" t="s">
        <v>321</v>
      </c>
      <c r="G654" s="299">
        <v>20550.27</v>
      </c>
      <c r="H654" s="299">
        <v>25058.6</v>
      </c>
      <c r="I654" s="300">
        <v>-4508.33</v>
      </c>
      <c r="J654" s="300">
        <v>-4508.0</v>
      </c>
      <c r="K654" s="301">
        <v>-0.3299999999999272</v>
      </c>
    </row>
    <row r="655" ht="15.75" customHeight="1">
      <c r="A655" s="286" t="s">
        <v>628</v>
      </c>
      <c r="B655" s="287">
        <v>178.0</v>
      </c>
      <c r="C655" s="286" t="s">
        <v>251</v>
      </c>
      <c r="D655" s="287" t="s">
        <v>618</v>
      </c>
      <c r="E655" s="286"/>
      <c r="F655" s="286" t="s">
        <v>863</v>
      </c>
      <c r="G655" s="288">
        <v>0.0</v>
      </c>
      <c r="H655" s="288">
        <v>5.807156601E7</v>
      </c>
      <c r="I655" s="289">
        <v>-5.807156601E7</v>
      </c>
      <c r="J655" s="290"/>
      <c r="K655" s="7"/>
    </row>
    <row r="656" ht="15.75" customHeight="1">
      <c r="A656" s="291" t="s">
        <v>628</v>
      </c>
      <c r="B656" s="292">
        <v>178.0</v>
      </c>
      <c r="C656" s="291" t="s">
        <v>251</v>
      </c>
      <c r="D656" s="292" t="s">
        <v>620</v>
      </c>
      <c r="E656" s="291"/>
      <c r="F656" s="291" t="s">
        <v>864</v>
      </c>
      <c r="G656" s="293">
        <v>1.337066955E7</v>
      </c>
      <c r="H656" s="293">
        <v>0.0</v>
      </c>
      <c r="I656" s="294">
        <v>1.337066955E7</v>
      </c>
      <c r="J656" s="295"/>
      <c r="K656" s="7"/>
    </row>
    <row r="657" ht="15.75" customHeight="1">
      <c r="A657" s="286" t="s">
        <v>628</v>
      </c>
      <c r="B657" s="287">
        <v>178.0</v>
      </c>
      <c r="C657" s="286" t="s">
        <v>251</v>
      </c>
      <c r="D657" s="287" t="s">
        <v>622</v>
      </c>
      <c r="E657" s="286"/>
      <c r="F657" s="286" t="s">
        <v>865</v>
      </c>
      <c r="G657" s="288">
        <v>0.0</v>
      </c>
      <c r="H657" s="288">
        <v>1.736E8</v>
      </c>
      <c r="I657" s="289">
        <v>-1.736E8</v>
      </c>
      <c r="J657" s="290"/>
      <c r="K657" s="7"/>
    </row>
    <row r="658" ht="15.75" customHeight="1">
      <c r="A658" s="296" t="s">
        <v>628</v>
      </c>
      <c r="B658" s="296">
        <v>178.0</v>
      </c>
      <c r="C658" s="297" t="s">
        <v>251</v>
      </c>
      <c r="D658" s="296" t="s">
        <v>320</v>
      </c>
      <c r="E658" s="298"/>
      <c r="F658" s="297" t="s">
        <v>321</v>
      </c>
      <c r="G658" s="299">
        <v>1.337066955E7</v>
      </c>
      <c r="H658" s="299">
        <v>2.3167156601E8</v>
      </c>
      <c r="I658" s="300">
        <v>-2.1830089646E8</v>
      </c>
      <c r="J658" s="300">
        <v>-2.18300896E8</v>
      </c>
      <c r="K658" s="301">
        <v>-0.4600000083446503</v>
      </c>
    </row>
    <row r="659" ht="15.75" customHeight="1">
      <c r="A659" s="286" t="s">
        <v>628</v>
      </c>
      <c r="B659" s="287">
        <v>180.0</v>
      </c>
      <c r="C659" s="286" t="s">
        <v>253</v>
      </c>
      <c r="D659" s="287" t="s">
        <v>866</v>
      </c>
      <c r="E659" s="286"/>
      <c r="F659" s="286" t="s">
        <v>867</v>
      </c>
      <c r="G659" s="288">
        <v>3024427.04</v>
      </c>
      <c r="H659" s="288">
        <v>0.0</v>
      </c>
      <c r="I659" s="289">
        <v>3024427.04</v>
      </c>
      <c r="J659" s="290"/>
      <c r="K659" s="7"/>
    </row>
    <row r="660" ht="15.75" customHeight="1">
      <c r="A660" s="296" t="s">
        <v>628</v>
      </c>
      <c r="B660" s="296">
        <v>180.0</v>
      </c>
      <c r="C660" s="297" t="s">
        <v>253</v>
      </c>
      <c r="D660" s="296" t="s">
        <v>320</v>
      </c>
      <c r="E660" s="298"/>
      <c r="F660" s="297" t="s">
        <v>321</v>
      </c>
      <c r="G660" s="299">
        <v>3024427.04</v>
      </c>
      <c r="H660" s="299">
        <v>0.0</v>
      </c>
      <c r="I660" s="300">
        <v>3024427.04</v>
      </c>
      <c r="J660" s="300">
        <v>3024427.04</v>
      </c>
      <c r="K660" s="301">
        <v>0.0</v>
      </c>
    </row>
    <row r="661" ht="15.75" customHeight="1">
      <c r="A661" s="286" t="s">
        <v>628</v>
      </c>
      <c r="B661" s="287">
        <v>182.0</v>
      </c>
      <c r="C661" s="286" t="s">
        <v>255</v>
      </c>
      <c r="D661" s="287" t="s">
        <v>624</v>
      </c>
      <c r="E661" s="286"/>
      <c r="F661" s="286" t="s">
        <v>868</v>
      </c>
      <c r="G661" s="288">
        <v>0.0</v>
      </c>
      <c r="H661" s="288">
        <v>1.2622308E7</v>
      </c>
      <c r="I661" s="289">
        <v>-1.2622308E7</v>
      </c>
      <c r="J661" s="290"/>
      <c r="K661" s="7"/>
    </row>
    <row r="662" ht="15.75" customHeight="1">
      <c r="A662" s="291" t="s">
        <v>628</v>
      </c>
      <c r="B662" s="292">
        <v>182.0</v>
      </c>
      <c r="C662" s="291" t="s">
        <v>255</v>
      </c>
      <c r="D662" s="292" t="s">
        <v>624</v>
      </c>
      <c r="E662" s="291" t="s">
        <v>438</v>
      </c>
      <c r="F662" s="291" t="s">
        <v>869</v>
      </c>
      <c r="G662" s="293">
        <v>1.2622308E7</v>
      </c>
      <c r="H662" s="293">
        <v>0.0</v>
      </c>
      <c r="I662" s="294">
        <v>1.2622308E7</v>
      </c>
      <c r="J662" s="295"/>
      <c r="K662" s="7"/>
    </row>
    <row r="663" ht="15.75" customHeight="1">
      <c r="A663" s="286" t="s">
        <v>628</v>
      </c>
      <c r="B663" s="287">
        <v>182.0</v>
      </c>
      <c r="C663" s="286" t="s">
        <v>255</v>
      </c>
      <c r="D663" s="287" t="s">
        <v>624</v>
      </c>
      <c r="E663" s="286"/>
      <c r="F663" s="286" t="s">
        <v>870</v>
      </c>
      <c r="G663" s="288">
        <v>1.315818945E7</v>
      </c>
      <c r="H663" s="288">
        <v>0.0</v>
      </c>
      <c r="I663" s="289">
        <v>1.315818945E7</v>
      </c>
      <c r="J663" s="290"/>
      <c r="K663" s="7"/>
    </row>
    <row r="664" ht="15.75" customHeight="1">
      <c r="A664" s="296" t="s">
        <v>628</v>
      </c>
      <c r="B664" s="296">
        <v>182.0</v>
      </c>
      <c r="C664" s="297" t="s">
        <v>255</v>
      </c>
      <c r="D664" s="296" t="s">
        <v>320</v>
      </c>
      <c r="E664" s="298"/>
      <c r="F664" s="297" t="s">
        <v>321</v>
      </c>
      <c r="G664" s="299">
        <v>2.578049745E7</v>
      </c>
      <c r="H664" s="299">
        <v>1.2622308E7</v>
      </c>
      <c r="I664" s="300">
        <v>1.315818945E7</v>
      </c>
      <c r="J664" s="300">
        <v>1.225741245E7</v>
      </c>
      <c r="K664" s="302">
        <v>900777.0</v>
      </c>
    </row>
    <row r="665" ht="15.75" customHeight="1">
      <c r="A665" s="286" t="s">
        <v>628</v>
      </c>
      <c r="B665" s="287">
        <v>184.0</v>
      </c>
      <c r="C665" s="286" t="s">
        <v>256</v>
      </c>
      <c r="D665" s="287" t="s">
        <v>626</v>
      </c>
      <c r="E665" s="286"/>
      <c r="F665" s="286" t="s">
        <v>871</v>
      </c>
      <c r="G665" s="288">
        <v>4.6233286377E8</v>
      </c>
      <c r="H665" s="288">
        <v>0.0</v>
      </c>
      <c r="I665" s="289">
        <v>4.6233286377E8</v>
      </c>
      <c r="J665" s="290"/>
      <c r="K665" s="7"/>
    </row>
    <row r="666" ht="15.75" customHeight="1">
      <c r="A666" s="296" t="s">
        <v>628</v>
      </c>
      <c r="B666" s="296">
        <v>184.0</v>
      </c>
      <c r="C666" s="297" t="s">
        <v>256</v>
      </c>
      <c r="D666" s="296" t="s">
        <v>320</v>
      </c>
      <c r="E666" s="298"/>
      <c r="F666" s="297" t="s">
        <v>321</v>
      </c>
      <c r="G666" s="299">
        <v>4.6233286377E8</v>
      </c>
      <c r="H666" s="299">
        <v>0.0</v>
      </c>
      <c r="I666" s="300">
        <v>4.6233286377E8</v>
      </c>
      <c r="J666" s="300">
        <v>4.6233286377E8</v>
      </c>
      <c r="K666" s="301">
        <v>0.0</v>
      </c>
    </row>
    <row r="667" ht="15.75" customHeight="1">
      <c r="A667" s="286" t="s">
        <v>872</v>
      </c>
      <c r="B667" s="287">
        <v>8.0</v>
      </c>
      <c r="C667" s="286" t="s">
        <v>10</v>
      </c>
      <c r="D667" s="287" t="s">
        <v>313</v>
      </c>
      <c r="E667" s="286" t="s">
        <v>314</v>
      </c>
      <c r="F667" s="286" t="s">
        <v>873</v>
      </c>
      <c r="G667" s="288">
        <v>0.0</v>
      </c>
      <c r="H667" s="288">
        <v>2.5040786894E8</v>
      </c>
      <c r="I667" s="289">
        <v>-2.5040786894E8</v>
      </c>
      <c r="J667" s="290"/>
      <c r="K667" s="7"/>
    </row>
    <row r="668" ht="15.75" customHeight="1">
      <c r="A668" s="291" t="s">
        <v>872</v>
      </c>
      <c r="B668" s="292">
        <v>8.0</v>
      </c>
      <c r="C668" s="291" t="s">
        <v>10</v>
      </c>
      <c r="D668" s="292" t="s">
        <v>313</v>
      </c>
      <c r="E668" s="291"/>
      <c r="F668" s="291" t="s">
        <v>630</v>
      </c>
      <c r="G668" s="293">
        <v>2.5040786894E8</v>
      </c>
      <c r="H668" s="293">
        <v>0.0</v>
      </c>
      <c r="I668" s="294">
        <v>2.5040786894E8</v>
      </c>
      <c r="J668" s="295"/>
      <c r="K668" s="7"/>
    </row>
    <row r="669" ht="15.75" customHeight="1">
      <c r="A669" s="286" t="s">
        <v>872</v>
      </c>
      <c r="B669" s="287">
        <v>8.0</v>
      </c>
      <c r="C669" s="286" t="s">
        <v>10</v>
      </c>
      <c r="D669" s="287" t="s">
        <v>313</v>
      </c>
      <c r="E669" s="286"/>
      <c r="F669" s="286" t="s">
        <v>874</v>
      </c>
      <c r="G669" s="288">
        <v>2.2413265E8</v>
      </c>
      <c r="H669" s="288">
        <v>0.0</v>
      </c>
      <c r="I669" s="289">
        <v>2.2413265E8</v>
      </c>
      <c r="J669" s="290"/>
      <c r="K669" s="7"/>
    </row>
    <row r="670" ht="15.75" customHeight="1">
      <c r="A670" s="291" t="s">
        <v>872</v>
      </c>
      <c r="B670" s="292">
        <v>8.0</v>
      </c>
      <c r="C670" s="291" t="s">
        <v>10</v>
      </c>
      <c r="D670" s="292" t="s">
        <v>313</v>
      </c>
      <c r="E670" s="291"/>
      <c r="F670" s="291" t="s">
        <v>631</v>
      </c>
      <c r="G670" s="293">
        <v>0.0</v>
      </c>
      <c r="H670" s="293">
        <v>2.258670484E8</v>
      </c>
      <c r="I670" s="294">
        <v>-2.258670484E8</v>
      </c>
      <c r="J670" s="295"/>
      <c r="K670" s="7"/>
    </row>
    <row r="671" ht="15.75" customHeight="1">
      <c r="A671" s="286" t="s">
        <v>872</v>
      </c>
      <c r="B671" s="287">
        <v>8.0</v>
      </c>
      <c r="C671" s="286" t="s">
        <v>10</v>
      </c>
      <c r="D671" s="287" t="s">
        <v>313</v>
      </c>
      <c r="E671" s="286"/>
      <c r="F671" s="286" t="s">
        <v>875</v>
      </c>
      <c r="G671" s="288">
        <v>0.0</v>
      </c>
      <c r="H671" s="288">
        <v>2.80874272E8</v>
      </c>
      <c r="I671" s="289">
        <v>-2.80874272E8</v>
      </c>
      <c r="J671" s="290"/>
      <c r="K671" s="7"/>
    </row>
    <row r="672" ht="15.75" customHeight="1">
      <c r="A672" s="296" t="s">
        <v>872</v>
      </c>
      <c r="B672" s="296">
        <v>8.0</v>
      </c>
      <c r="C672" s="297" t="s">
        <v>10</v>
      </c>
      <c r="D672" s="296" t="s">
        <v>320</v>
      </c>
      <c r="E672" s="298"/>
      <c r="F672" s="297" t="s">
        <v>321</v>
      </c>
      <c r="G672" s="299">
        <v>4.7454051894E8</v>
      </c>
      <c r="H672" s="299">
        <v>7.5714918934E8</v>
      </c>
      <c r="I672" s="300">
        <v>-2.826086704E8</v>
      </c>
      <c r="J672" s="300">
        <v>2.826086704E8</v>
      </c>
      <c r="K672" s="301">
        <v>0.0</v>
      </c>
    </row>
    <row r="673" ht="15.75" customHeight="1">
      <c r="A673" s="286" t="s">
        <v>872</v>
      </c>
      <c r="B673" s="287">
        <v>9.0</v>
      </c>
      <c r="C673" s="286" t="s">
        <v>11</v>
      </c>
      <c r="D673" s="287" t="s">
        <v>313</v>
      </c>
      <c r="E673" s="286" t="s">
        <v>314</v>
      </c>
      <c r="F673" s="286" t="s">
        <v>876</v>
      </c>
      <c r="G673" s="288">
        <v>0.0</v>
      </c>
      <c r="H673" s="288">
        <v>3.41134579E7</v>
      </c>
      <c r="I673" s="289">
        <v>-3.41134579E7</v>
      </c>
      <c r="J673" s="290"/>
      <c r="K673" s="7"/>
    </row>
    <row r="674" ht="15.75" customHeight="1">
      <c r="A674" s="291" t="s">
        <v>872</v>
      </c>
      <c r="B674" s="292">
        <v>9.0</v>
      </c>
      <c r="C674" s="291" t="s">
        <v>11</v>
      </c>
      <c r="D674" s="292" t="s">
        <v>313</v>
      </c>
      <c r="E674" s="291"/>
      <c r="F674" s="291" t="s">
        <v>633</v>
      </c>
      <c r="G674" s="293">
        <v>3.41134579E7</v>
      </c>
      <c r="H674" s="293">
        <v>0.0</v>
      </c>
      <c r="I674" s="294">
        <v>3.41134579E7</v>
      </c>
      <c r="J674" s="295"/>
      <c r="K674" s="7"/>
    </row>
    <row r="675" ht="15.75" customHeight="1">
      <c r="A675" s="286" t="s">
        <v>872</v>
      </c>
      <c r="B675" s="287">
        <v>9.0</v>
      </c>
      <c r="C675" s="286" t="s">
        <v>11</v>
      </c>
      <c r="D675" s="287" t="s">
        <v>313</v>
      </c>
      <c r="E675" s="286"/>
      <c r="F675" s="286" t="s">
        <v>877</v>
      </c>
      <c r="G675" s="288">
        <v>3.042040392E7</v>
      </c>
      <c r="H675" s="288">
        <v>0.0</v>
      </c>
      <c r="I675" s="289">
        <v>3.042040392E7</v>
      </c>
      <c r="J675" s="290"/>
      <c r="K675" s="7"/>
    </row>
    <row r="676" ht="15.75" customHeight="1">
      <c r="A676" s="291" t="s">
        <v>872</v>
      </c>
      <c r="B676" s="292">
        <v>9.0</v>
      </c>
      <c r="C676" s="291" t="s">
        <v>11</v>
      </c>
      <c r="D676" s="292" t="s">
        <v>313</v>
      </c>
      <c r="E676" s="291"/>
      <c r="F676" s="291" t="s">
        <v>634</v>
      </c>
      <c r="G676" s="293">
        <v>0.0</v>
      </c>
      <c r="H676" s="293">
        <v>3.113516056E7</v>
      </c>
      <c r="I676" s="294">
        <v>-3.113516056E7</v>
      </c>
      <c r="J676" s="295"/>
      <c r="K676" s="7"/>
    </row>
    <row r="677" ht="15.75" customHeight="1">
      <c r="A677" s="286" t="s">
        <v>872</v>
      </c>
      <c r="B677" s="287">
        <v>9.0</v>
      </c>
      <c r="C677" s="286" t="s">
        <v>11</v>
      </c>
      <c r="D677" s="287" t="s">
        <v>313</v>
      </c>
      <c r="E677" s="286"/>
      <c r="F677" s="286" t="s">
        <v>878</v>
      </c>
      <c r="G677" s="288">
        <v>0.0</v>
      </c>
      <c r="H677" s="288">
        <v>3.3044032E7</v>
      </c>
      <c r="I677" s="289">
        <v>-3.3044032E7</v>
      </c>
      <c r="J677" s="290"/>
      <c r="K677" s="7"/>
    </row>
    <row r="678" ht="15.75" customHeight="1">
      <c r="A678" s="296" t="s">
        <v>872</v>
      </c>
      <c r="B678" s="296">
        <v>9.0</v>
      </c>
      <c r="C678" s="297" t="s">
        <v>11</v>
      </c>
      <c r="D678" s="296" t="s">
        <v>320</v>
      </c>
      <c r="E678" s="298"/>
      <c r="F678" s="297" t="s">
        <v>321</v>
      </c>
      <c r="G678" s="299">
        <v>6.453386182E7</v>
      </c>
      <c r="H678" s="299">
        <v>9.829265046E7</v>
      </c>
      <c r="I678" s="300">
        <v>-3.375878864E7</v>
      </c>
      <c r="J678" s="300">
        <v>3.375878863875E7</v>
      </c>
      <c r="K678" s="301">
        <v>0.001249998807907104</v>
      </c>
    </row>
    <row r="679" ht="15.75" customHeight="1">
      <c r="A679" s="286" t="s">
        <v>872</v>
      </c>
      <c r="B679" s="287">
        <v>10.0</v>
      </c>
      <c r="C679" s="286" t="s">
        <v>12</v>
      </c>
      <c r="D679" s="287" t="s">
        <v>313</v>
      </c>
      <c r="E679" s="286" t="s">
        <v>314</v>
      </c>
      <c r="F679" s="286" t="s">
        <v>879</v>
      </c>
      <c r="G679" s="288">
        <v>0.0</v>
      </c>
      <c r="H679" s="288">
        <v>1.3969505316E8</v>
      </c>
      <c r="I679" s="289">
        <v>-1.3969505316E8</v>
      </c>
      <c r="J679" s="290"/>
      <c r="K679" s="7"/>
    </row>
    <row r="680" ht="15.75" customHeight="1">
      <c r="A680" s="291" t="s">
        <v>872</v>
      </c>
      <c r="B680" s="292">
        <v>10.0</v>
      </c>
      <c r="C680" s="291" t="s">
        <v>12</v>
      </c>
      <c r="D680" s="292" t="s">
        <v>313</v>
      </c>
      <c r="E680" s="291"/>
      <c r="F680" s="291" t="s">
        <v>636</v>
      </c>
      <c r="G680" s="293">
        <v>1.3969505316E8</v>
      </c>
      <c r="H680" s="293">
        <v>0.0</v>
      </c>
      <c r="I680" s="294">
        <v>1.3969505316E8</v>
      </c>
      <c r="J680" s="295"/>
      <c r="K680" s="7"/>
    </row>
    <row r="681" ht="15.75" customHeight="1">
      <c r="A681" s="286" t="s">
        <v>872</v>
      </c>
      <c r="B681" s="287">
        <v>10.0</v>
      </c>
      <c r="C681" s="286" t="s">
        <v>12</v>
      </c>
      <c r="D681" s="287" t="s">
        <v>313</v>
      </c>
      <c r="E681" s="286"/>
      <c r="F681" s="286" t="s">
        <v>880</v>
      </c>
      <c r="G681" s="288">
        <v>1.287013575E8</v>
      </c>
      <c r="H681" s="288">
        <v>0.0</v>
      </c>
      <c r="I681" s="289">
        <v>1.287013575E8</v>
      </c>
      <c r="J681" s="290"/>
      <c r="K681" s="7"/>
    </row>
    <row r="682" ht="15.75" customHeight="1">
      <c r="A682" s="291" t="s">
        <v>872</v>
      </c>
      <c r="B682" s="292">
        <v>10.0</v>
      </c>
      <c r="C682" s="291" t="s">
        <v>12</v>
      </c>
      <c r="D682" s="292" t="s">
        <v>313</v>
      </c>
      <c r="E682" s="291"/>
      <c r="F682" s="291" t="s">
        <v>637</v>
      </c>
      <c r="G682" s="293">
        <v>0.0</v>
      </c>
      <c r="H682" s="293">
        <v>1.3039525323E8</v>
      </c>
      <c r="I682" s="294">
        <v>-1.3039525323E8</v>
      </c>
      <c r="J682" s="295"/>
      <c r="K682" s="7"/>
    </row>
    <row r="683" ht="15.75" customHeight="1">
      <c r="A683" s="286" t="s">
        <v>872</v>
      </c>
      <c r="B683" s="287">
        <v>10.0</v>
      </c>
      <c r="C683" s="286" t="s">
        <v>12</v>
      </c>
      <c r="D683" s="287" t="s">
        <v>313</v>
      </c>
      <c r="E683" s="286"/>
      <c r="F683" s="286" t="s">
        <v>881</v>
      </c>
      <c r="G683" s="288">
        <v>0.0</v>
      </c>
      <c r="H683" s="288">
        <v>1.497602736E8</v>
      </c>
      <c r="I683" s="289">
        <v>-1.497602736E8</v>
      </c>
      <c r="J683" s="290"/>
      <c r="K683" s="7"/>
    </row>
    <row r="684" ht="15.75" customHeight="1">
      <c r="A684" s="296" t="s">
        <v>872</v>
      </c>
      <c r="B684" s="296">
        <v>10.0</v>
      </c>
      <c r="C684" s="297" t="s">
        <v>12</v>
      </c>
      <c r="D684" s="296" t="s">
        <v>320</v>
      </c>
      <c r="E684" s="298"/>
      <c r="F684" s="297" t="s">
        <v>321</v>
      </c>
      <c r="G684" s="299">
        <v>2.6839641066E8</v>
      </c>
      <c r="H684" s="299">
        <v>4.1985057999E8</v>
      </c>
      <c r="I684" s="300">
        <v>-1.5145416933E8</v>
      </c>
      <c r="J684" s="300">
        <v>1.5145416933E8</v>
      </c>
      <c r="K684" s="301">
        <v>-2.980232238769531E-8</v>
      </c>
    </row>
    <row r="685" ht="15.75" customHeight="1">
      <c r="A685" s="286" t="s">
        <v>872</v>
      </c>
      <c r="B685" s="287">
        <v>11.0</v>
      </c>
      <c r="C685" s="286" t="s">
        <v>13</v>
      </c>
      <c r="D685" s="287" t="s">
        <v>313</v>
      </c>
      <c r="E685" s="286" t="s">
        <v>314</v>
      </c>
      <c r="F685" s="286" t="s">
        <v>882</v>
      </c>
      <c r="G685" s="288">
        <v>0.0</v>
      </c>
      <c r="H685" s="288">
        <v>1.423665E7</v>
      </c>
      <c r="I685" s="289">
        <v>-1.423665E7</v>
      </c>
      <c r="J685" s="290"/>
      <c r="K685" s="7"/>
    </row>
    <row r="686" ht="15.75" customHeight="1">
      <c r="A686" s="291" t="s">
        <v>872</v>
      </c>
      <c r="B686" s="292">
        <v>11.0</v>
      </c>
      <c r="C686" s="291" t="s">
        <v>13</v>
      </c>
      <c r="D686" s="292" t="s">
        <v>313</v>
      </c>
      <c r="E686" s="291"/>
      <c r="F686" s="291" t="s">
        <v>639</v>
      </c>
      <c r="G686" s="293">
        <v>1.423665E7</v>
      </c>
      <c r="H686" s="293">
        <v>0.0</v>
      </c>
      <c r="I686" s="294">
        <v>1.423665E7</v>
      </c>
      <c r="J686" s="295"/>
      <c r="K686" s="7"/>
    </row>
    <row r="687" ht="15.75" customHeight="1">
      <c r="A687" s="286" t="s">
        <v>872</v>
      </c>
      <c r="B687" s="287">
        <v>11.0</v>
      </c>
      <c r="C687" s="286" t="s">
        <v>13</v>
      </c>
      <c r="D687" s="287" t="s">
        <v>313</v>
      </c>
      <c r="E687" s="286"/>
      <c r="F687" s="286" t="s">
        <v>883</v>
      </c>
      <c r="G687" s="288">
        <v>1.021409937E7</v>
      </c>
      <c r="H687" s="288">
        <v>0.0</v>
      </c>
      <c r="I687" s="289">
        <v>1.021409937E7</v>
      </c>
      <c r="J687" s="290"/>
      <c r="K687" s="7"/>
    </row>
    <row r="688" ht="15.75" customHeight="1">
      <c r="A688" s="291" t="s">
        <v>872</v>
      </c>
      <c r="B688" s="292">
        <v>11.0</v>
      </c>
      <c r="C688" s="291" t="s">
        <v>13</v>
      </c>
      <c r="D688" s="292" t="s">
        <v>313</v>
      </c>
      <c r="E688" s="291"/>
      <c r="F688" s="291" t="s">
        <v>640</v>
      </c>
      <c r="G688" s="293">
        <v>0.0</v>
      </c>
      <c r="H688" s="293">
        <v>1.290434128E7</v>
      </c>
      <c r="I688" s="294">
        <v>-1.290434128E7</v>
      </c>
      <c r="J688" s="295"/>
      <c r="K688" s="7"/>
    </row>
    <row r="689" ht="15.75" customHeight="1">
      <c r="A689" s="286" t="s">
        <v>872</v>
      </c>
      <c r="B689" s="287">
        <v>11.0</v>
      </c>
      <c r="C689" s="286" t="s">
        <v>13</v>
      </c>
      <c r="D689" s="287" t="s">
        <v>313</v>
      </c>
      <c r="E689" s="286"/>
      <c r="F689" s="286" t="s">
        <v>884</v>
      </c>
      <c r="G689" s="288">
        <v>0.0</v>
      </c>
      <c r="H689" s="288">
        <v>1.326566283E7</v>
      </c>
      <c r="I689" s="289">
        <v>-1.326566283E7</v>
      </c>
      <c r="J689" s="290"/>
      <c r="K689" s="7"/>
    </row>
    <row r="690" ht="15.75" customHeight="1">
      <c r="A690" s="296" t="s">
        <v>872</v>
      </c>
      <c r="B690" s="296">
        <v>11.0</v>
      </c>
      <c r="C690" s="297" t="s">
        <v>13</v>
      </c>
      <c r="D690" s="296" t="s">
        <v>320</v>
      </c>
      <c r="E690" s="298"/>
      <c r="F690" s="297" t="s">
        <v>321</v>
      </c>
      <c r="G690" s="299">
        <v>2.445074937E7</v>
      </c>
      <c r="H690" s="299">
        <v>4.040665411E7</v>
      </c>
      <c r="I690" s="300">
        <v>-1.595590474E7</v>
      </c>
      <c r="J690" s="300">
        <v>1.595590474084E7</v>
      </c>
      <c r="K690" s="301">
        <v>-8.399989455938339E-4</v>
      </c>
    </row>
    <row r="691" ht="15.75" customHeight="1">
      <c r="A691" s="286" t="s">
        <v>872</v>
      </c>
      <c r="B691" s="287">
        <v>12.0</v>
      </c>
      <c r="C691" s="286" t="s">
        <v>14</v>
      </c>
      <c r="D691" s="287" t="s">
        <v>313</v>
      </c>
      <c r="E691" s="286" t="s">
        <v>314</v>
      </c>
      <c r="F691" s="286" t="s">
        <v>885</v>
      </c>
      <c r="G691" s="288">
        <v>0.0</v>
      </c>
      <c r="H691" s="288">
        <v>2730587.5</v>
      </c>
      <c r="I691" s="289">
        <v>-2730587.5</v>
      </c>
      <c r="J691" s="290"/>
      <c r="K691" s="7"/>
    </row>
    <row r="692" ht="15.75" customHeight="1">
      <c r="A692" s="291" t="s">
        <v>872</v>
      </c>
      <c r="B692" s="292">
        <v>12.0</v>
      </c>
      <c r="C692" s="291" t="s">
        <v>14</v>
      </c>
      <c r="D692" s="292" t="s">
        <v>313</v>
      </c>
      <c r="E692" s="291"/>
      <c r="F692" s="291" t="s">
        <v>642</v>
      </c>
      <c r="G692" s="293">
        <v>2730587.5</v>
      </c>
      <c r="H692" s="293">
        <v>0.0</v>
      </c>
      <c r="I692" s="294">
        <v>2730587.5</v>
      </c>
      <c r="J692" s="295"/>
      <c r="K692" s="7"/>
    </row>
    <row r="693" ht="15.75" customHeight="1">
      <c r="A693" s="286" t="s">
        <v>872</v>
      </c>
      <c r="B693" s="287">
        <v>12.0</v>
      </c>
      <c r="C693" s="286" t="s">
        <v>14</v>
      </c>
      <c r="D693" s="287" t="s">
        <v>313</v>
      </c>
      <c r="E693" s="286"/>
      <c r="F693" s="286" t="s">
        <v>886</v>
      </c>
      <c r="G693" s="288">
        <v>2434375.0</v>
      </c>
      <c r="H693" s="288">
        <v>0.0</v>
      </c>
      <c r="I693" s="289">
        <v>2434375.0</v>
      </c>
      <c r="J693" s="290"/>
      <c r="K693" s="7"/>
    </row>
    <row r="694" ht="15.75" customHeight="1">
      <c r="A694" s="291" t="s">
        <v>872</v>
      </c>
      <c r="B694" s="292">
        <v>12.0</v>
      </c>
      <c r="C694" s="291" t="s">
        <v>14</v>
      </c>
      <c r="D694" s="292" t="s">
        <v>313</v>
      </c>
      <c r="E694" s="291"/>
      <c r="F694" s="291" t="s">
        <v>643</v>
      </c>
      <c r="G694" s="293">
        <v>0.0</v>
      </c>
      <c r="H694" s="293">
        <v>2491856.48</v>
      </c>
      <c r="I694" s="294">
        <v>-2491856.48</v>
      </c>
      <c r="J694" s="295"/>
      <c r="K694" s="7"/>
    </row>
    <row r="695" ht="15.75" customHeight="1">
      <c r="A695" s="286" t="s">
        <v>872</v>
      </c>
      <c r="B695" s="287">
        <v>12.0</v>
      </c>
      <c r="C695" s="286" t="s">
        <v>14</v>
      </c>
      <c r="D695" s="287" t="s">
        <v>313</v>
      </c>
      <c r="E695" s="286"/>
      <c r="F695" s="286" t="s">
        <v>887</v>
      </c>
      <c r="G695" s="288">
        <v>0.0</v>
      </c>
      <c r="H695" s="288">
        <v>2561628.46</v>
      </c>
      <c r="I695" s="289">
        <v>-2561628.46</v>
      </c>
      <c r="J695" s="290"/>
      <c r="K695" s="7"/>
    </row>
    <row r="696" ht="15.75" customHeight="1">
      <c r="A696" s="296" t="s">
        <v>872</v>
      </c>
      <c r="B696" s="296">
        <v>12.0</v>
      </c>
      <c r="C696" s="297" t="s">
        <v>14</v>
      </c>
      <c r="D696" s="296" t="s">
        <v>320</v>
      </c>
      <c r="E696" s="298"/>
      <c r="F696" s="297" t="s">
        <v>321</v>
      </c>
      <c r="G696" s="299">
        <v>5164962.5</v>
      </c>
      <c r="H696" s="299">
        <v>7784072.439999999</v>
      </c>
      <c r="I696" s="300">
        <v>-2619109.94</v>
      </c>
      <c r="J696" s="300">
        <v>2619109.94144</v>
      </c>
      <c r="K696" s="301">
        <v>-0.001440000254660845</v>
      </c>
    </row>
    <row r="697" ht="15.75" customHeight="1">
      <c r="A697" s="286" t="s">
        <v>872</v>
      </c>
      <c r="B697" s="287">
        <v>13.0</v>
      </c>
      <c r="C697" s="286" t="s">
        <v>15</v>
      </c>
      <c r="D697" s="287" t="s">
        <v>313</v>
      </c>
      <c r="E697" s="286" t="s">
        <v>314</v>
      </c>
      <c r="F697" s="286" t="s">
        <v>888</v>
      </c>
      <c r="G697" s="288">
        <v>0.0</v>
      </c>
      <c r="H697" s="288">
        <v>4671696.2</v>
      </c>
      <c r="I697" s="289">
        <v>-4671696.2</v>
      </c>
      <c r="J697" s="290"/>
      <c r="K697" s="7"/>
    </row>
    <row r="698" ht="15.75" customHeight="1">
      <c r="A698" s="291" t="s">
        <v>872</v>
      </c>
      <c r="B698" s="292">
        <v>13.0</v>
      </c>
      <c r="C698" s="291" t="s">
        <v>15</v>
      </c>
      <c r="D698" s="292" t="s">
        <v>313</v>
      </c>
      <c r="E698" s="291"/>
      <c r="F698" s="291" t="s">
        <v>645</v>
      </c>
      <c r="G698" s="293">
        <v>4671696.2</v>
      </c>
      <c r="H698" s="293">
        <v>0.0</v>
      </c>
      <c r="I698" s="294">
        <v>4671696.2</v>
      </c>
      <c r="J698" s="295"/>
      <c r="K698" s="7"/>
    </row>
    <row r="699" ht="15.75" customHeight="1">
      <c r="A699" s="286" t="s">
        <v>872</v>
      </c>
      <c r="B699" s="287">
        <v>13.0</v>
      </c>
      <c r="C699" s="286" t="s">
        <v>15</v>
      </c>
      <c r="D699" s="287" t="s">
        <v>313</v>
      </c>
      <c r="E699" s="286"/>
      <c r="F699" s="286" t="s">
        <v>889</v>
      </c>
      <c r="G699" s="288">
        <v>3177191.51</v>
      </c>
      <c r="H699" s="288">
        <v>0.0</v>
      </c>
      <c r="I699" s="289">
        <v>3177191.51</v>
      </c>
      <c r="J699" s="290"/>
      <c r="K699" s="7"/>
    </row>
    <row r="700" ht="15.75" customHeight="1">
      <c r="A700" s="291" t="s">
        <v>872</v>
      </c>
      <c r="B700" s="292">
        <v>13.0</v>
      </c>
      <c r="C700" s="291" t="s">
        <v>15</v>
      </c>
      <c r="D700" s="292" t="s">
        <v>313</v>
      </c>
      <c r="E700" s="291"/>
      <c r="F700" s="291" t="s">
        <v>646</v>
      </c>
      <c r="G700" s="293">
        <v>0.0</v>
      </c>
      <c r="H700" s="293">
        <v>4443823.17</v>
      </c>
      <c r="I700" s="294">
        <v>-4443823.17</v>
      </c>
      <c r="J700" s="295"/>
      <c r="K700" s="7"/>
    </row>
    <row r="701" ht="15.75" customHeight="1">
      <c r="A701" s="286" t="s">
        <v>872</v>
      </c>
      <c r="B701" s="287">
        <v>13.0</v>
      </c>
      <c r="C701" s="286" t="s">
        <v>15</v>
      </c>
      <c r="D701" s="287" t="s">
        <v>313</v>
      </c>
      <c r="E701" s="286"/>
      <c r="F701" s="286" t="s">
        <v>890</v>
      </c>
      <c r="G701" s="288">
        <v>0.0</v>
      </c>
      <c r="H701" s="288">
        <v>4568250.21</v>
      </c>
      <c r="I701" s="289">
        <v>-4568250.21</v>
      </c>
      <c r="J701" s="290"/>
      <c r="K701" s="7"/>
    </row>
    <row r="702" ht="15.75" customHeight="1">
      <c r="A702" s="296" t="s">
        <v>872</v>
      </c>
      <c r="B702" s="296">
        <v>13.0</v>
      </c>
      <c r="C702" s="297" t="s">
        <v>15</v>
      </c>
      <c r="D702" s="296" t="s">
        <v>320</v>
      </c>
      <c r="E702" s="298"/>
      <c r="F702" s="297" t="s">
        <v>321</v>
      </c>
      <c r="G702" s="299">
        <v>7848887.71</v>
      </c>
      <c r="H702" s="299">
        <v>1.368376958E7</v>
      </c>
      <c r="I702" s="300">
        <v>-5834881.87</v>
      </c>
      <c r="J702" s="300">
        <v>5834881.87276</v>
      </c>
      <c r="K702" s="301">
        <v>-0.002759999595582485</v>
      </c>
    </row>
    <row r="703" ht="15.75" customHeight="1">
      <c r="A703" s="286" t="s">
        <v>872</v>
      </c>
      <c r="B703" s="287">
        <v>14.0</v>
      </c>
      <c r="C703" s="286" t="s">
        <v>16</v>
      </c>
      <c r="D703" s="287" t="s">
        <v>313</v>
      </c>
      <c r="E703" s="286" t="s">
        <v>314</v>
      </c>
      <c r="F703" s="286" t="s">
        <v>891</v>
      </c>
      <c r="G703" s="288">
        <v>0.0</v>
      </c>
      <c r="H703" s="288">
        <v>1.41158451511E9</v>
      </c>
      <c r="I703" s="289">
        <v>-1.41158451511E9</v>
      </c>
      <c r="J703" s="290"/>
      <c r="K703" s="7"/>
    </row>
    <row r="704" ht="15.75" customHeight="1">
      <c r="A704" s="291" t="s">
        <v>872</v>
      </c>
      <c r="B704" s="292">
        <v>14.0</v>
      </c>
      <c r="C704" s="291" t="s">
        <v>16</v>
      </c>
      <c r="D704" s="292" t="s">
        <v>313</v>
      </c>
      <c r="E704" s="291"/>
      <c r="F704" s="291" t="s">
        <v>648</v>
      </c>
      <c r="G704" s="293">
        <v>1.41158451511E9</v>
      </c>
      <c r="H704" s="293">
        <v>0.0</v>
      </c>
      <c r="I704" s="294">
        <v>1.41158451511E9</v>
      </c>
      <c r="J704" s="295"/>
      <c r="K704" s="7"/>
    </row>
    <row r="705" ht="15.75" customHeight="1">
      <c r="A705" s="286" t="s">
        <v>872</v>
      </c>
      <c r="B705" s="287">
        <v>14.0</v>
      </c>
      <c r="C705" s="286" t="s">
        <v>16</v>
      </c>
      <c r="D705" s="287" t="s">
        <v>313</v>
      </c>
      <c r="E705" s="286"/>
      <c r="F705" s="286" t="s">
        <v>892</v>
      </c>
      <c r="G705" s="288">
        <v>1.3138250125E9</v>
      </c>
      <c r="H705" s="288">
        <v>0.0</v>
      </c>
      <c r="I705" s="289">
        <v>1.3138250125E9</v>
      </c>
      <c r="J705" s="290"/>
      <c r="K705" s="7"/>
    </row>
    <row r="706" ht="15.75" customHeight="1">
      <c r="A706" s="291" t="s">
        <v>872</v>
      </c>
      <c r="B706" s="292">
        <v>14.0</v>
      </c>
      <c r="C706" s="291" t="s">
        <v>16</v>
      </c>
      <c r="D706" s="292" t="s">
        <v>313</v>
      </c>
      <c r="E706" s="291"/>
      <c r="F706" s="291" t="s">
        <v>649</v>
      </c>
      <c r="G706" s="293">
        <v>0.0</v>
      </c>
      <c r="H706" s="293">
        <v>1.32336520371E9</v>
      </c>
      <c r="I706" s="294">
        <v>-1.32336520371E9</v>
      </c>
      <c r="J706" s="295"/>
      <c r="K706" s="7"/>
    </row>
    <row r="707" ht="15.75" customHeight="1">
      <c r="A707" s="286" t="s">
        <v>872</v>
      </c>
      <c r="B707" s="287">
        <v>14.0</v>
      </c>
      <c r="C707" s="286" t="s">
        <v>16</v>
      </c>
      <c r="D707" s="287" t="s">
        <v>313</v>
      </c>
      <c r="E707" s="286"/>
      <c r="F707" s="286" t="s">
        <v>893</v>
      </c>
      <c r="G707" s="288">
        <v>0.0</v>
      </c>
      <c r="H707" s="288">
        <v>1.492282836E9</v>
      </c>
      <c r="I707" s="289">
        <v>-1.492282836E9</v>
      </c>
      <c r="J707" s="290"/>
      <c r="K707" s="7"/>
    </row>
    <row r="708" ht="15.75" customHeight="1">
      <c r="A708" s="296" t="s">
        <v>872</v>
      </c>
      <c r="B708" s="296">
        <v>14.0</v>
      </c>
      <c r="C708" s="297" t="s">
        <v>16</v>
      </c>
      <c r="D708" s="296" t="s">
        <v>320</v>
      </c>
      <c r="E708" s="298"/>
      <c r="F708" s="297" t="s">
        <v>321</v>
      </c>
      <c r="G708" s="299">
        <v>2.72540952761E9</v>
      </c>
      <c r="H708" s="299">
        <v>4.22723255482E9</v>
      </c>
      <c r="I708" s="300">
        <v>-1.50182302721E9</v>
      </c>
      <c r="J708" s="300">
        <v>1.50182302721E9</v>
      </c>
      <c r="K708" s="301">
        <v>0.0</v>
      </c>
    </row>
    <row r="709" ht="15.75" customHeight="1">
      <c r="A709" s="286" t="s">
        <v>872</v>
      </c>
      <c r="B709" s="287">
        <v>15.0</v>
      </c>
      <c r="C709" s="286" t="s">
        <v>17</v>
      </c>
      <c r="D709" s="287" t="s">
        <v>313</v>
      </c>
      <c r="E709" s="286" t="s">
        <v>314</v>
      </c>
      <c r="F709" s="286" t="s">
        <v>894</v>
      </c>
      <c r="G709" s="288">
        <v>0.0</v>
      </c>
      <c r="H709" s="288">
        <v>4.173468768E7</v>
      </c>
      <c r="I709" s="289">
        <v>-4.173468768E7</v>
      </c>
      <c r="J709" s="290"/>
      <c r="K709" s="7"/>
    </row>
    <row r="710" ht="15.75" customHeight="1">
      <c r="A710" s="291" t="s">
        <v>872</v>
      </c>
      <c r="B710" s="292">
        <v>15.0</v>
      </c>
      <c r="C710" s="291" t="s">
        <v>17</v>
      </c>
      <c r="D710" s="292" t="s">
        <v>313</v>
      </c>
      <c r="E710" s="291"/>
      <c r="F710" s="291" t="s">
        <v>651</v>
      </c>
      <c r="G710" s="293">
        <v>4.173468768E7</v>
      </c>
      <c r="H710" s="293">
        <v>0.0</v>
      </c>
      <c r="I710" s="294">
        <v>4.173468768E7</v>
      </c>
      <c r="J710" s="295"/>
      <c r="K710" s="7"/>
    </row>
    <row r="711" ht="15.75" customHeight="1">
      <c r="A711" s="286" t="s">
        <v>872</v>
      </c>
      <c r="B711" s="287">
        <v>15.0</v>
      </c>
      <c r="C711" s="286" t="s">
        <v>17</v>
      </c>
      <c r="D711" s="287" t="s">
        <v>313</v>
      </c>
      <c r="E711" s="286"/>
      <c r="F711" s="286" t="s">
        <v>895</v>
      </c>
      <c r="G711" s="288">
        <v>3.974107368E7</v>
      </c>
      <c r="H711" s="288">
        <v>0.0</v>
      </c>
      <c r="I711" s="289">
        <v>3.974107368E7</v>
      </c>
      <c r="J711" s="290"/>
      <c r="K711" s="7"/>
    </row>
    <row r="712" ht="15.75" customHeight="1">
      <c r="A712" s="291" t="s">
        <v>872</v>
      </c>
      <c r="B712" s="292">
        <v>15.0</v>
      </c>
      <c r="C712" s="291" t="s">
        <v>17</v>
      </c>
      <c r="D712" s="292" t="s">
        <v>313</v>
      </c>
      <c r="E712" s="291"/>
      <c r="F712" s="291" t="s">
        <v>652</v>
      </c>
      <c r="G712" s="293">
        <v>0.0</v>
      </c>
      <c r="H712" s="293">
        <v>3.984397872E7</v>
      </c>
      <c r="I712" s="294">
        <v>-3.984397872E7</v>
      </c>
      <c r="J712" s="295"/>
      <c r="K712" s="7"/>
    </row>
    <row r="713" ht="15.75" customHeight="1">
      <c r="A713" s="286" t="s">
        <v>872</v>
      </c>
      <c r="B713" s="287">
        <v>15.0</v>
      </c>
      <c r="C713" s="286" t="s">
        <v>17</v>
      </c>
      <c r="D713" s="287" t="s">
        <v>313</v>
      </c>
      <c r="E713" s="286"/>
      <c r="F713" s="286" t="s">
        <v>896</v>
      </c>
      <c r="G713" s="288">
        <v>0.0</v>
      </c>
      <c r="H713" s="288">
        <v>4.095961012E7</v>
      </c>
      <c r="I713" s="289">
        <v>-4.095961012E7</v>
      </c>
      <c r="J713" s="290"/>
      <c r="K713" s="7"/>
    </row>
    <row r="714" ht="15.75" customHeight="1">
      <c r="A714" s="296" t="s">
        <v>872</v>
      </c>
      <c r="B714" s="296">
        <v>15.0</v>
      </c>
      <c r="C714" s="297" t="s">
        <v>17</v>
      </c>
      <c r="D714" s="296" t="s">
        <v>320</v>
      </c>
      <c r="E714" s="298"/>
      <c r="F714" s="297" t="s">
        <v>321</v>
      </c>
      <c r="G714" s="299">
        <v>8.147576136E7</v>
      </c>
      <c r="H714" s="299">
        <v>1.2253827652E8</v>
      </c>
      <c r="I714" s="300">
        <v>-4.106251516E7</v>
      </c>
      <c r="J714" s="300">
        <v>4.106251516416E7</v>
      </c>
      <c r="K714" s="301">
        <v>-0.004160001873970032</v>
      </c>
    </row>
    <row r="715" ht="15.75" customHeight="1">
      <c r="A715" s="286" t="s">
        <v>872</v>
      </c>
      <c r="B715" s="287">
        <v>17.0</v>
      </c>
      <c r="C715" s="286" t="s">
        <v>19</v>
      </c>
      <c r="D715" s="287" t="s">
        <v>313</v>
      </c>
      <c r="E715" s="286" t="s">
        <v>19</v>
      </c>
      <c r="F715" s="286" t="s">
        <v>897</v>
      </c>
      <c r="G715" s="288">
        <v>0.0</v>
      </c>
      <c r="H715" s="288">
        <v>1178548.38</v>
      </c>
      <c r="I715" s="289">
        <v>-1178548.38</v>
      </c>
      <c r="J715" s="290"/>
      <c r="K715" s="7"/>
    </row>
    <row r="716" ht="15.75" customHeight="1">
      <c r="A716" s="291" t="s">
        <v>872</v>
      </c>
      <c r="B716" s="292">
        <v>17.0</v>
      </c>
      <c r="C716" s="291" t="s">
        <v>19</v>
      </c>
      <c r="D716" s="292" t="s">
        <v>313</v>
      </c>
      <c r="E716" s="291"/>
      <c r="F716" s="291" t="s">
        <v>898</v>
      </c>
      <c r="G716" s="293">
        <v>1000000.0</v>
      </c>
      <c r="H716" s="293">
        <v>0.0</v>
      </c>
      <c r="I716" s="294">
        <v>1000000.0</v>
      </c>
      <c r="J716" s="295"/>
      <c r="K716" s="7"/>
    </row>
    <row r="717" ht="15.75" customHeight="1">
      <c r="A717" s="286" t="s">
        <v>872</v>
      </c>
      <c r="B717" s="287">
        <v>17.0</v>
      </c>
      <c r="C717" s="286" t="s">
        <v>19</v>
      </c>
      <c r="D717" s="287" t="s">
        <v>313</v>
      </c>
      <c r="E717" s="286"/>
      <c r="F717" s="286" t="s">
        <v>899</v>
      </c>
      <c r="G717" s="288">
        <v>0.0</v>
      </c>
      <c r="H717" s="288">
        <v>1250000.0</v>
      </c>
      <c r="I717" s="289">
        <v>-1250000.0</v>
      </c>
      <c r="J717" s="290"/>
      <c r="K717" s="7"/>
    </row>
    <row r="718" ht="15.75" customHeight="1">
      <c r="A718" s="296" t="s">
        <v>872</v>
      </c>
      <c r="B718" s="296">
        <v>17.0</v>
      </c>
      <c r="C718" s="297" t="s">
        <v>19</v>
      </c>
      <c r="D718" s="296" t="s">
        <v>320</v>
      </c>
      <c r="E718" s="298"/>
      <c r="F718" s="297" t="s">
        <v>321</v>
      </c>
      <c r="G718" s="299">
        <v>1000000.0</v>
      </c>
      <c r="H718" s="299">
        <v>2428548.38</v>
      </c>
      <c r="I718" s="300">
        <v>-1428548.38</v>
      </c>
      <c r="J718" s="300">
        <v>1428548.38</v>
      </c>
      <c r="K718" s="301">
        <v>0.0</v>
      </c>
    </row>
    <row r="719" ht="15.75" customHeight="1">
      <c r="A719" s="286" t="s">
        <v>872</v>
      </c>
      <c r="B719" s="287">
        <v>21.0</v>
      </c>
      <c r="C719" s="286" t="s">
        <v>21</v>
      </c>
      <c r="D719" s="287" t="s">
        <v>313</v>
      </c>
      <c r="E719" s="286" t="s">
        <v>21</v>
      </c>
      <c r="F719" s="286" t="s">
        <v>900</v>
      </c>
      <c r="G719" s="288">
        <v>0.0</v>
      </c>
      <c r="H719" s="288">
        <v>1.968947625E7</v>
      </c>
      <c r="I719" s="289">
        <v>-1.968947625E7</v>
      </c>
      <c r="J719" s="290"/>
      <c r="K719" s="7"/>
    </row>
    <row r="720" ht="15.75" customHeight="1">
      <c r="A720" s="291" t="s">
        <v>872</v>
      </c>
      <c r="B720" s="292">
        <v>21.0</v>
      </c>
      <c r="C720" s="291" t="s">
        <v>21</v>
      </c>
      <c r="D720" s="292" t="s">
        <v>313</v>
      </c>
      <c r="E720" s="291"/>
      <c r="F720" s="291" t="s">
        <v>901</v>
      </c>
      <c r="G720" s="293">
        <v>2.1E7</v>
      </c>
      <c r="H720" s="293">
        <v>0.0</v>
      </c>
      <c r="I720" s="294">
        <v>2.1E7</v>
      </c>
      <c r="J720" s="295"/>
      <c r="K720" s="7"/>
    </row>
    <row r="721" ht="15.75" customHeight="1">
      <c r="A721" s="286" t="s">
        <v>872</v>
      </c>
      <c r="B721" s="287">
        <v>21.0</v>
      </c>
      <c r="C721" s="286" t="s">
        <v>21</v>
      </c>
      <c r="D721" s="287" t="s">
        <v>313</v>
      </c>
      <c r="E721" s="286"/>
      <c r="F721" s="286" t="s">
        <v>902</v>
      </c>
      <c r="G721" s="288">
        <v>0.0</v>
      </c>
      <c r="H721" s="288">
        <v>2.1E7</v>
      </c>
      <c r="I721" s="289">
        <v>-2.1E7</v>
      </c>
      <c r="J721" s="290"/>
      <c r="K721" s="7"/>
    </row>
    <row r="722" ht="15.75" customHeight="1">
      <c r="A722" s="296" t="s">
        <v>872</v>
      </c>
      <c r="B722" s="296">
        <v>21.0</v>
      </c>
      <c r="C722" s="297" t="s">
        <v>21</v>
      </c>
      <c r="D722" s="296" t="s">
        <v>320</v>
      </c>
      <c r="E722" s="298"/>
      <c r="F722" s="297" t="s">
        <v>321</v>
      </c>
      <c r="G722" s="299">
        <v>2.1E7</v>
      </c>
      <c r="H722" s="299">
        <v>4.068947625E7</v>
      </c>
      <c r="I722" s="300">
        <v>-1.968947625E7</v>
      </c>
      <c r="J722" s="300">
        <v>1.968947625E7</v>
      </c>
      <c r="K722" s="301">
        <v>0.0</v>
      </c>
    </row>
    <row r="723" ht="15.75" customHeight="1">
      <c r="A723" s="286" t="s">
        <v>872</v>
      </c>
      <c r="B723" s="287">
        <v>22.0</v>
      </c>
      <c r="C723" s="286" t="s">
        <v>22</v>
      </c>
      <c r="D723" s="287" t="s">
        <v>313</v>
      </c>
      <c r="E723" s="286" t="s">
        <v>22</v>
      </c>
      <c r="F723" s="286" t="s">
        <v>903</v>
      </c>
      <c r="G723" s="288">
        <v>0.0</v>
      </c>
      <c r="H723" s="288">
        <v>4.3454206E7</v>
      </c>
      <c r="I723" s="289">
        <v>-4.3454206E7</v>
      </c>
      <c r="J723" s="290"/>
      <c r="K723" s="7"/>
    </row>
    <row r="724" ht="15.75" customHeight="1">
      <c r="A724" s="291" t="s">
        <v>872</v>
      </c>
      <c r="B724" s="292">
        <v>22.0</v>
      </c>
      <c r="C724" s="291" t="s">
        <v>22</v>
      </c>
      <c r="D724" s="292" t="s">
        <v>313</v>
      </c>
      <c r="E724" s="291"/>
      <c r="F724" s="291" t="s">
        <v>904</v>
      </c>
      <c r="G724" s="293">
        <v>4.3E7</v>
      </c>
      <c r="H724" s="293">
        <v>0.0</v>
      </c>
      <c r="I724" s="294">
        <v>4.3E7</v>
      </c>
      <c r="J724" s="295"/>
      <c r="K724" s="7"/>
    </row>
    <row r="725" ht="15.75" customHeight="1">
      <c r="A725" s="286" t="s">
        <v>872</v>
      </c>
      <c r="B725" s="287">
        <v>22.0</v>
      </c>
      <c r="C725" s="286" t="s">
        <v>22</v>
      </c>
      <c r="D725" s="287" t="s">
        <v>313</v>
      </c>
      <c r="E725" s="286"/>
      <c r="F725" s="286" t="s">
        <v>905</v>
      </c>
      <c r="G725" s="288">
        <v>0.0</v>
      </c>
      <c r="H725" s="288">
        <v>3.9E7</v>
      </c>
      <c r="I725" s="289">
        <v>-3.9E7</v>
      </c>
      <c r="J725" s="290"/>
      <c r="K725" s="7"/>
    </row>
    <row r="726" ht="15.75" customHeight="1">
      <c r="A726" s="296" t="s">
        <v>872</v>
      </c>
      <c r="B726" s="296">
        <v>22.0</v>
      </c>
      <c r="C726" s="297" t="s">
        <v>22</v>
      </c>
      <c r="D726" s="296" t="s">
        <v>320</v>
      </c>
      <c r="E726" s="298"/>
      <c r="F726" s="297" t="s">
        <v>321</v>
      </c>
      <c r="G726" s="299">
        <v>4.3E7</v>
      </c>
      <c r="H726" s="299">
        <v>8.2454206E7</v>
      </c>
      <c r="I726" s="300">
        <v>-3.9454206E7</v>
      </c>
      <c r="J726" s="300">
        <v>3.9454206E7</v>
      </c>
      <c r="K726" s="301">
        <v>0.0</v>
      </c>
    </row>
    <row r="727" ht="15.75" customHeight="1">
      <c r="A727" s="286" t="s">
        <v>872</v>
      </c>
      <c r="B727" s="287">
        <v>24.0</v>
      </c>
      <c r="C727" s="286" t="s">
        <v>25</v>
      </c>
      <c r="D727" s="287" t="s">
        <v>313</v>
      </c>
      <c r="E727" s="286" t="s">
        <v>25</v>
      </c>
      <c r="F727" s="286" t="s">
        <v>906</v>
      </c>
      <c r="G727" s="288">
        <v>0.0</v>
      </c>
      <c r="H727" s="288">
        <v>941267.72</v>
      </c>
      <c r="I727" s="289">
        <v>-941267.72</v>
      </c>
      <c r="J727" s="290"/>
      <c r="K727" s="7"/>
    </row>
    <row r="728" ht="15.75" customHeight="1">
      <c r="A728" s="291" t="s">
        <v>872</v>
      </c>
      <c r="B728" s="292">
        <v>24.0</v>
      </c>
      <c r="C728" s="291" t="s">
        <v>25</v>
      </c>
      <c r="D728" s="292" t="s">
        <v>313</v>
      </c>
      <c r="E728" s="291"/>
      <c r="F728" s="291" t="s">
        <v>907</v>
      </c>
      <c r="G728" s="293">
        <v>987000.0</v>
      </c>
      <c r="H728" s="293">
        <v>0.0</v>
      </c>
      <c r="I728" s="294">
        <v>987000.0</v>
      </c>
      <c r="J728" s="295"/>
      <c r="K728" s="7"/>
    </row>
    <row r="729" ht="15.75" customHeight="1">
      <c r="A729" s="286" t="s">
        <v>872</v>
      </c>
      <c r="B729" s="287">
        <v>24.0</v>
      </c>
      <c r="C729" s="286" t="s">
        <v>25</v>
      </c>
      <c r="D729" s="287" t="s">
        <v>313</v>
      </c>
      <c r="E729" s="286"/>
      <c r="F729" s="286" t="s">
        <v>908</v>
      </c>
      <c r="G729" s="288">
        <v>0.0</v>
      </c>
      <c r="H729" s="288">
        <v>1000000.0</v>
      </c>
      <c r="I729" s="289">
        <v>-1000000.0</v>
      </c>
      <c r="J729" s="290"/>
      <c r="K729" s="7"/>
    </row>
    <row r="730" ht="15.75" customHeight="1">
      <c r="A730" s="296" t="s">
        <v>872</v>
      </c>
      <c r="B730" s="296">
        <v>24.0</v>
      </c>
      <c r="C730" s="297" t="s">
        <v>25</v>
      </c>
      <c r="D730" s="296" t="s">
        <v>320</v>
      </c>
      <c r="E730" s="298"/>
      <c r="F730" s="297" t="s">
        <v>321</v>
      </c>
      <c r="G730" s="299">
        <v>987000.0</v>
      </c>
      <c r="H730" s="299">
        <v>1941267.72</v>
      </c>
      <c r="I730" s="300">
        <v>-954267.72</v>
      </c>
      <c r="J730" s="300">
        <v>954267.72</v>
      </c>
      <c r="K730" s="301">
        <v>0.0</v>
      </c>
    </row>
    <row r="731" ht="15.75" customHeight="1">
      <c r="A731" s="286" t="s">
        <v>872</v>
      </c>
      <c r="B731" s="287">
        <v>26.0</v>
      </c>
      <c r="C731" s="286" t="s">
        <v>27</v>
      </c>
      <c r="D731" s="287" t="s">
        <v>668</v>
      </c>
      <c r="E731" s="286"/>
      <c r="F731" s="286" t="s">
        <v>909</v>
      </c>
      <c r="G731" s="288">
        <v>0.0</v>
      </c>
      <c r="H731" s="288">
        <v>2.01684193E7</v>
      </c>
      <c r="I731" s="289">
        <v>-2.01684193E7</v>
      </c>
      <c r="J731" s="290"/>
      <c r="K731" s="7"/>
    </row>
    <row r="732" ht="15.75" customHeight="1">
      <c r="A732" s="296" t="s">
        <v>872</v>
      </c>
      <c r="B732" s="296">
        <v>26.0</v>
      </c>
      <c r="C732" s="297" t="s">
        <v>27</v>
      </c>
      <c r="D732" s="296" t="s">
        <v>320</v>
      </c>
      <c r="E732" s="298"/>
      <c r="F732" s="297" t="s">
        <v>321</v>
      </c>
      <c r="G732" s="299">
        <v>0.0</v>
      </c>
      <c r="H732" s="299">
        <v>2.01684193E7</v>
      </c>
      <c r="I732" s="300">
        <v>-2.01684193E7</v>
      </c>
      <c r="J732" s="300">
        <v>2.01684193333333E7</v>
      </c>
      <c r="K732" s="301">
        <v>-0.03333329781889915</v>
      </c>
    </row>
    <row r="733" ht="15.75" customHeight="1">
      <c r="A733" s="286" t="s">
        <v>872</v>
      </c>
      <c r="B733" s="287">
        <v>27.0</v>
      </c>
      <c r="C733" s="286" t="s">
        <v>28</v>
      </c>
      <c r="D733" s="287" t="s">
        <v>313</v>
      </c>
      <c r="E733" s="286" t="s">
        <v>374</v>
      </c>
      <c r="F733" s="286" t="s">
        <v>910</v>
      </c>
      <c r="G733" s="288">
        <v>0.0</v>
      </c>
      <c r="H733" s="288">
        <v>1188814.85</v>
      </c>
      <c r="I733" s="289">
        <v>-1188814.85</v>
      </c>
      <c r="J733" s="290"/>
      <c r="K733" s="7"/>
    </row>
    <row r="734" ht="15.75" customHeight="1">
      <c r="A734" s="291" t="s">
        <v>872</v>
      </c>
      <c r="B734" s="292">
        <v>27.0</v>
      </c>
      <c r="C734" s="291" t="s">
        <v>28</v>
      </c>
      <c r="D734" s="292" t="s">
        <v>313</v>
      </c>
      <c r="E734" s="291"/>
      <c r="F734" s="291" t="s">
        <v>911</v>
      </c>
      <c r="G734" s="293">
        <v>1000000.0</v>
      </c>
      <c r="H734" s="293">
        <v>0.0</v>
      </c>
      <c r="I734" s="294">
        <v>1000000.0</v>
      </c>
      <c r="J734" s="295"/>
      <c r="K734" s="7"/>
    </row>
    <row r="735" ht="15.75" customHeight="1">
      <c r="A735" s="286" t="s">
        <v>872</v>
      </c>
      <c r="B735" s="287">
        <v>27.0</v>
      </c>
      <c r="C735" s="286" t="s">
        <v>28</v>
      </c>
      <c r="D735" s="287" t="s">
        <v>313</v>
      </c>
      <c r="E735" s="286"/>
      <c r="F735" s="286" t="s">
        <v>912</v>
      </c>
      <c r="G735" s="288">
        <v>0.0</v>
      </c>
      <c r="H735" s="288">
        <v>1300000.0</v>
      </c>
      <c r="I735" s="289">
        <v>-1300000.0</v>
      </c>
      <c r="J735" s="290"/>
      <c r="K735" s="7"/>
    </row>
    <row r="736" ht="15.75" customHeight="1">
      <c r="A736" s="296" t="s">
        <v>872</v>
      </c>
      <c r="B736" s="296">
        <v>27.0</v>
      </c>
      <c r="C736" s="297" t="s">
        <v>28</v>
      </c>
      <c r="D736" s="296" t="s">
        <v>320</v>
      </c>
      <c r="E736" s="298"/>
      <c r="F736" s="297" t="s">
        <v>321</v>
      </c>
      <c r="G736" s="299">
        <v>1000000.0</v>
      </c>
      <c r="H736" s="299">
        <v>2488814.85</v>
      </c>
      <c r="I736" s="300">
        <v>-1488814.85</v>
      </c>
      <c r="J736" s="300">
        <v>1488814.85</v>
      </c>
      <c r="K736" s="301">
        <v>0.0</v>
      </c>
    </row>
    <row r="737" ht="15.75" customHeight="1">
      <c r="A737" s="286" t="s">
        <v>872</v>
      </c>
      <c r="B737" s="287">
        <v>28.0</v>
      </c>
      <c r="C737" s="286" t="s">
        <v>29</v>
      </c>
      <c r="D737" s="287" t="s">
        <v>313</v>
      </c>
      <c r="E737" s="286" t="s">
        <v>29</v>
      </c>
      <c r="F737" s="286" t="s">
        <v>913</v>
      </c>
      <c r="G737" s="288">
        <v>0.0</v>
      </c>
      <c r="H737" s="288">
        <v>8320434.77</v>
      </c>
      <c r="I737" s="289">
        <v>-8320434.77</v>
      </c>
      <c r="J737" s="290"/>
      <c r="K737" s="7"/>
    </row>
    <row r="738" ht="15.75" customHeight="1">
      <c r="A738" s="296" t="s">
        <v>872</v>
      </c>
      <c r="B738" s="296">
        <v>28.0</v>
      </c>
      <c r="C738" s="297" t="s">
        <v>29</v>
      </c>
      <c r="D738" s="296" t="s">
        <v>320</v>
      </c>
      <c r="E738" s="298"/>
      <c r="F738" s="297" t="s">
        <v>321</v>
      </c>
      <c r="G738" s="299">
        <v>0.0</v>
      </c>
      <c r="H738" s="299">
        <v>8320434.77</v>
      </c>
      <c r="I738" s="300">
        <v>-8320434.77</v>
      </c>
      <c r="J738" s="300">
        <v>9320434.77</v>
      </c>
      <c r="K738" s="302">
        <v>-1000000.0</v>
      </c>
    </row>
    <row r="739" ht="15.75" customHeight="1">
      <c r="A739" s="286" t="s">
        <v>872</v>
      </c>
      <c r="B739" s="287">
        <v>29.0</v>
      </c>
      <c r="C739" s="286" t="s">
        <v>29</v>
      </c>
      <c r="D739" s="287" t="s">
        <v>313</v>
      </c>
      <c r="E739" s="286" t="s">
        <v>29</v>
      </c>
      <c r="F739" s="286" t="s">
        <v>914</v>
      </c>
      <c r="G739" s="288">
        <v>0.0</v>
      </c>
      <c r="H739" s="288">
        <v>2.551469239E7</v>
      </c>
      <c r="I739" s="289">
        <v>-2.551469239E7</v>
      </c>
      <c r="J739" s="290"/>
      <c r="K739" s="7"/>
    </row>
    <row r="740" ht="15.75" customHeight="1">
      <c r="A740" s="291" t="s">
        <v>872</v>
      </c>
      <c r="B740" s="292">
        <v>29.0</v>
      </c>
      <c r="C740" s="291" t="s">
        <v>29</v>
      </c>
      <c r="D740" s="292" t="s">
        <v>313</v>
      </c>
      <c r="E740" s="291"/>
      <c r="F740" s="291" t="s">
        <v>915</v>
      </c>
      <c r="G740" s="293">
        <v>3.3E7</v>
      </c>
      <c r="H740" s="293">
        <v>0.0</v>
      </c>
      <c r="I740" s="294">
        <v>3.3E7</v>
      </c>
      <c r="J740" s="295"/>
      <c r="K740" s="7"/>
    </row>
    <row r="741" ht="15.75" customHeight="1">
      <c r="A741" s="286" t="s">
        <v>872</v>
      </c>
      <c r="B741" s="287">
        <v>29.0</v>
      </c>
      <c r="C741" s="286" t="s">
        <v>29</v>
      </c>
      <c r="D741" s="287" t="s">
        <v>313</v>
      </c>
      <c r="E741" s="286"/>
      <c r="F741" s="286" t="s">
        <v>916</v>
      </c>
      <c r="G741" s="288">
        <v>0.0</v>
      </c>
      <c r="H741" s="288">
        <v>3.9E7</v>
      </c>
      <c r="I741" s="289">
        <v>-3.9E7</v>
      </c>
      <c r="J741" s="290"/>
      <c r="K741" s="7"/>
    </row>
    <row r="742" ht="15.75" customHeight="1">
      <c r="A742" s="296" t="s">
        <v>872</v>
      </c>
      <c r="B742" s="296">
        <v>29.0</v>
      </c>
      <c r="C742" s="297" t="s">
        <v>29</v>
      </c>
      <c r="D742" s="296" t="s">
        <v>320</v>
      </c>
      <c r="E742" s="298"/>
      <c r="F742" s="297" t="s">
        <v>321</v>
      </c>
      <c r="G742" s="299">
        <v>3.3E7</v>
      </c>
      <c r="H742" s="299">
        <v>6.451469239E7</v>
      </c>
      <c r="I742" s="300">
        <v>-3.151469239E7</v>
      </c>
      <c r="J742" s="300">
        <v>3.051469239E7</v>
      </c>
      <c r="K742" s="302">
        <v>1000000.0</v>
      </c>
    </row>
    <row r="743" ht="15.75" customHeight="1">
      <c r="A743" s="286" t="s">
        <v>872</v>
      </c>
      <c r="B743" s="287">
        <v>30.0</v>
      </c>
      <c r="C743" s="286" t="s">
        <v>32</v>
      </c>
      <c r="D743" s="287" t="s">
        <v>313</v>
      </c>
      <c r="E743" s="286" t="s">
        <v>32</v>
      </c>
      <c r="F743" s="286" t="s">
        <v>917</v>
      </c>
      <c r="G743" s="288">
        <v>3909271.78</v>
      </c>
      <c r="H743" s="288">
        <v>0.0</v>
      </c>
      <c r="I743" s="289">
        <v>3909271.78</v>
      </c>
      <c r="J743" s="290"/>
      <c r="K743" s="7"/>
    </row>
    <row r="744" ht="15.75" customHeight="1">
      <c r="A744" s="291" t="s">
        <v>872</v>
      </c>
      <c r="B744" s="292">
        <v>30.0</v>
      </c>
      <c r="C744" s="291" t="s">
        <v>32</v>
      </c>
      <c r="D744" s="292" t="s">
        <v>313</v>
      </c>
      <c r="E744" s="291" t="s">
        <v>32</v>
      </c>
      <c r="F744" s="291" t="s">
        <v>917</v>
      </c>
      <c r="G744" s="293">
        <v>3604695.07</v>
      </c>
      <c r="H744" s="293">
        <v>0.0</v>
      </c>
      <c r="I744" s="294">
        <v>3604695.07</v>
      </c>
      <c r="J744" s="295"/>
      <c r="K744" s="7"/>
    </row>
    <row r="745" ht="15.75" customHeight="1">
      <c r="A745" s="286" t="s">
        <v>872</v>
      </c>
      <c r="B745" s="287">
        <v>30.0</v>
      </c>
      <c r="C745" s="286" t="s">
        <v>32</v>
      </c>
      <c r="D745" s="287" t="s">
        <v>313</v>
      </c>
      <c r="E745" s="286" t="s">
        <v>32</v>
      </c>
      <c r="F745" s="286" t="s">
        <v>918</v>
      </c>
      <c r="G745" s="288">
        <v>0.0</v>
      </c>
      <c r="H745" s="288">
        <v>2849364.65</v>
      </c>
      <c r="I745" s="289">
        <v>-2849364.65</v>
      </c>
      <c r="J745" s="290"/>
      <c r="K745" s="7"/>
    </row>
    <row r="746" ht="15.75" customHeight="1">
      <c r="A746" s="291" t="s">
        <v>872</v>
      </c>
      <c r="B746" s="292">
        <v>30.0</v>
      </c>
      <c r="C746" s="291" t="s">
        <v>32</v>
      </c>
      <c r="D746" s="292" t="s">
        <v>313</v>
      </c>
      <c r="E746" s="291" t="s">
        <v>32</v>
      </c>
      <c r="F746" s="291" t="s">
        <v>919</v>
      </c>
      <c r="G746" s="293">
        <v>0.0</v>
      </c>
      <c r="H746" s="293">
        <v>2775627.75</v>
      </c>
      <c r="I746" s="294">
        <v>-2775627.75</v>
      </c>
      <c r="J746" s="295"/>
      <c r="K746" s="7"/>
    </row>
    <row r="747" ht="15.75" customHeight="1">
      <c r="A747" s="286" t="s">
        <v>872</v>
      </c>
      <c r="B747" s="287">
        <v>30.0</v>
      </c>
      <c r="C747" s="286" t="s">
        <v>32</v>
      </c>
      <c r="D747" s="287" t="s">
        <v>313</v>
      </c>
      <c r="E747" s="286"/>
      <c r="F747" s="286" t="s">
        <v>920</v>
      </c>
      <c r="G747" s="288">
        <v>5275325.0</v>
      </c>
      <c r="H747" s="288">
        <v>0.0</v>
      </c>
      <c r="I747" s="289">
        <v>5275325.0</v>
      </c>
      <c r="J747" s="290"/>
      <c r="K747" s="7"/>
    </row>
    <row r="748" ht="15.75" customHeight="1">
      <c r="A748" s="291" t="s">
        <v>872</v>
      </c>
      <c r="B748" s="292">
        <v>30.0</v>
      </c>
      <c r="C748" s="291" t="s">
        <v>32</v>
      </c>
      <c r="D748" s="292" t="s">
        <v>313</v>
      </c>
      <c r="E748" s="291"/>
      <c r="F748" s="291" t="s">
        <v>921</v>
      </c>
      <c r="G748" s="293">
        <v>0.0</v>
      </c>
      <c r="H748" s="293">
        <v>2500000.0</v>
      </c>
      <c r="I748" s="294">
        <v>-2500000.0</v>
      </c>
      <c r="J748" s="295"/>
      <c r="K748" s="7"/>
    </row>
    <row r="749" ht="15.75" customHeight="1">
      <c r="A749" s="296" t="s">
        <v>872</v>
      </c>
      <c r="B749" s="296">
        <v>30.0</v>
      </c>
      <c r="C749" s="297" t="s">
        <v>32</v>
      </c>
      <c r="D749" s="296" t="s">
        <v>320</v>
      </c>
      <c r="E749" s="298"/>
      <c r="F749" s="297" t="s">
        <v>321</v>
      </c>
      <c r="G749" s="299">
        <v>1.278929185E7</v>
      </c>
      <c r="H749" s="299">
        <v>8124992.4</v>
      </c>
      <c r="I749" s="300">
        <v>4664299.449999999</v>
      </c>
      <c r="J749" s="300">
        <v>-4664299.45</v>
      </c>
      <c r="K749" s="301">
        <v>-9.313225746154785E-10</v>
      </c>
    </row>
    <row r="750" ht="15.75" customHeight="1">
      <c r="A750" s="286" t="s">
        <v>872</v>
      </c>
      <c r="B750" s="287">
        <v>31.0</v>
      </c>
      <c r="C750" s="286" t="s">
        <v>33</v>
      </c>
      <c r="D750" s="287" t="s">
        <v>313</v>
      </c>
      <c r="E750" s="286" t="s">
        <v>33</v>
      </c>
      <c r="F750" s="286" t="s">
        <v>917</v>
      </c>
      <c r="G750" s="288">
        <v>634780.68</v>
      </c>
      <c r="H750" s="288">
        <v>0.0</v>
      </c>
      <c r="I750" s="289">
        <v>634780.68</v>
      </c>
      <c r="J750" s="290"/>
      <c r="K750" s="7"/>
    </row>
    <row r="751" ht="15.75" customHeight="1">
      <c r="A751" s="291" t="s">
        <v>872</v>
      </c>
      <c r="B751" s="292">
        <v>31.0</v>
      </c>
      <c r="C751" s="291" t="s">
        <v>33</v>
      </c>
      <c r="D751" s="292" t="s">
        <v>313</v>
      </c>
      <c r="E751" s="291" t="s">
        <v>33</v>
      </c>
      <c r="F751" s="291" t="s">
        <v>922</v>
      </c>
      <c r="G751" s="293">
        <v>0.0</v>
      </c>
      <c r="H751" s="293">
        <v>766721.67</v>
      </c>
      <c r="I751" s="294">
        <v>-766721.67</v>
      </c>
      <c r="J751" s="295"/>
      <c r="K751" s="7"/>
    </row>
    <row r="752" ht="15.75" customHeight="1">
      <c r="A752" s="286" t="s">
        <v>872</v>
      </c>
      <c r="B752" s="287">
        <v>31.0</v>
      </c>
      <c r="C752" s="286" t="s">
        <v>33</v>
      </c>
      <c r="D752" s="287" t="s">
        <v>313</v>
      </c>
      <c r="E752" s="286"/>
      <c r="F752" s="286" t="s">
        <v>923</v>
      </c>
      <c r="G752" s="288">
        <v>766722.0</v>
      </c>
      <c r="H752" s="288">
        <v>0.0</v>
      </c>
      <c r="I752" s="289">
        <v>766722.0</v>
      </c>
      <c r="J752" s="290"/>
      <c r="K752" s="7"/>
    </row>
    <row r="753" ht="15.75" customHeight="1">
      <c r="A753" s="291" t="s">
        <v>872</v>
      </c>
      <c r="B753" s="292">
        <v>31.0</v>
      </c>
      <c r="C753" s="291" t="s">
        <v>33</v>
      </c>
      <c r="D753" s="292" t="s">
        <v>313</v>
      </c>
      <c r="E753" s="291"/>
      <c r="F753" s="291" t="s">
        <v>924</v>
      </c>
      <c r="G753" s="293">
        <v>0.0</v>
      </c>
      <c r="H753" s="293">
        <v>766722.0</v>
      </c>
      <c r="I753" s="294">
        <v>-766722.0</v>
      </c>
      <c r="J753" s="295"/>
      <c r="K753" s="7"/>
    </row>
    <row r="754" ht="15.75" customHeight="1">
      <c r="A754" s="296" t="s">
        <v>872</v>
      </c>
      <c r="B754" s="296">
        <v>31.0</v>
      </c>
      <c r="C754" s="297" t="s">
        <v>33</v>
      </c>
      <c r="D754" s="296" t="s">
        <v>320</v>
      </c>
      <c r="E754" s="298"/>
      <c r="F754" s="297" t="s">
        <v>321</v>
      </c>
      <c r="G754" s="299">
        <v>1401502.68</v>
      </c>
      <c r="H754" s="299">
        <v>1533443.67</v>
      </c>
      <c r="I754" s="300">
        <v>-131940.99</v>
      </c>
      <c r="J754" s="300">
        <v>131940.99</v>
      </c>
      <c r="K754" s="301">
        <v>0.0</v>
      </c>
    </row>
    <row r="755" ht="15.75" customHeight="1">
      <c r="A755" s="286" t="s">
        <v>872</v>
      </c>
      <c r="B755" s="287">
        <v>32.0</v>
      </c>
      <c r="C755" s="286" t="s">
        <v>34</v>
      </c>
      <c r="D755" s="287" t="s">
        <v>313</v>
      </c>
      <c r="E755" s="286" t="s">
        <v>388</v>
      </c>
      <c r="F755" s="286" t="s">
        <v>925</v>
      </c>
      <c r="G755" s="288">
        <v>0.0</v>
      </c>
      <c r="H755" s="288">
        <v>7296.03</v>
      </c>
      <c r="I755" s="289">
        <v>-7296.03</v>
      </c>
      <c r="J755" s="290"/>
      <c r="K755" s="7"/>
    </row>
    <row r="756" ht="15.75" customHeight="1">
      <c r="A756" s="291" t="s">
        <v>872</v>
      </c>
      <c r="B756" s="292">
        <v>32.0</v>
      </c>
      <c r="C756" s="291" t="s">
        <v>34</v>
      </c>
      <c r="D756" s="292" t="s">
        <v>313</v>
      </c>
      <c r="E756" s="291"/>
      <c r="F756" s="291" t="s">
        <v>926</v>
      </c>
      <c r="G756" s="293">
        <v>9000.0</v>
      </c>
      <c r="H756" s="293">
        <v>0.0</v>
      </c>
      <c r="I756" s="294">
        <v>9000.0</v>
      </c>
      <c r="J756" s="295"/>
      <c r="K756" s="7"/>
    </row>
    <row r="757" ht="15.75" customHeight="1">
      <c r="A757" s="286" t="s">
        <v>872</v>
      </c>
      <c r="B757" s="287">
        <v>32.0</v>
      </c>
      <c r="C757" s="286" t="s">
        <v>34</v>
      </c>
      <c r="D757" s="287" t="s">
        <v>313</v>
      </c>
      <c r="E757" s="286"/>
      <c r="F757" s="286" t="s">
        <v>927</v>
      </c>
      <c r="G757" s="288">
        <v>0.0</v>
      </c>
      <c r="H757" s="288">
        <v>9000.0</v>
      </c>
      <c r="I757" s="289">
        <v>-9000.0</v>
      </c>
      <c r="J757" s="290"/>
      <c r="K757" s="7"/>
    </row>
    <row r="758" ht="15.75" customHeight="1">
      <c r="A758" s="296" t="s">
        <v>872</v>
      </c>
      <c r="B758" s="296">
        <v>32.0</v>
      </c>
      <c r="C758" s="297" t="s">
        <v>34</v>
      </c>
      <c r="D758" s="296" t="s">
        <v>320</v>
      </c>
      <c r="E758" s="298"/>
      <c r="F758" s="297" t="s">
        <v>321</v>
      </c>
      <c r="G758" s="299">
        <v>9000.0</v>
      </c>
      <c r="H758" s="299">
        <v>16296.03</v>
      </c>
      <c r="I758" s="300">
        <v>-7296.03</v>
      </c>
      <c r="J758" s="300">
        <v>7296.03</v>
      </c>
      <c r="K758" s="301">
        <v>0.0</v>
      </c>
    </row>
    <row r="759" ht="15.75" customHeight="1">
      <c r="A759" s="286" t="s">
        <v>872</v>
      </c>
      <c r="B759" s="287">
        <v>33.0</v>
      </c>
      <c r="C759" s="286" t="s">
        <v>35</v>
      </c>
      <c r="D759" s="287" t="s">
        <v>313</v>
      </c>
      <c r="E759" s="286" t="s">
        <v>35</v>
      </c>
      <c r="F759" s="286" t="s">
        <v>928</v>
      </c>
      <c r="G759" s="288">
        <v>0.0</v>
      </c>
      <c r="H759" s="288">
        <v>871875.5</v>
      </c>
      <c r="I759" s="289">
        <v>-871875.5</v>
      </c>
      <c r="J759" s="290"/>
      <c r="K759" s="7"/>
    </row>
    <row r="760" ht="15.75" customHeight="1">
      <c r="A760" s="291" t="s">
        <v>872</v>
      </c>
      <c r="B760" s="292">
        <v>33.0</v>
      </c>
      <c r="C760" s="291" t="s">
        <v>35</v>
      </c>
      <c r="D760" s="292" t="s">
        <v>313</v>
      </c>
      <c r="E760" s="291"/>
      <c r="F760" s="291" t="s">
        <v>929</v>
      </c>
      <c r="G760" s="293">
        <v>370000.0</v>
      </c>
      <c r="H760" s="293">
        <v>0.0</v>
      </c>
      <c r="I760" s="294">
        <v>370000.0</v>
      </c>
      <c r="J760" s="295"/>
      <c r="K760" s="7"/>
    </row>
    <row r="761" ht="15.75" customHeight="1">
      <c r="A761" s="286" t="s">
        <v>872</v>
      </c>
      <c r="B761" s="287">
        <v>33.0</v>
      </c>
      <c r="C761" s="286" t="s">
        <v>35</v>
      </c>
      <c r="D761" s="287" t="s">
        <v>313</v>
      </c>
      <c r="E761" s="286"/>
      <c r="F761" s="286" t="s">
        <v>930</v>
      </c>
      <c r="G761" s="288">
        <v>0.0</v>
      </c>
      <c r="H761" s="288">
        <v>850000.0</v>
      </c>
      <c r="I761" s="289">
        <v>-850000.0</v>
      </c>
      <c r="J761" s="290"/>
      <c r="K761" s="7"/>
    </row>
    <row r="762" ht="15.75" customHeight="1">
      <c r="A762" s="296" t="s">
        <v>872</v>
      </c>
      <c r="B762" s="296">
        <v>33.0</v>
      </c>
      <c r="C762" s="297" t="s">
        <v>35</v>
      </c>
      <c r="D762" s="296" t="s">
        <v>320</v>
      </c>
      <c r="E762" s="298"/>
      <c r="F762" s="297" t="s">
        <v>321</v>
      </c>
      <c r="G762" s="299">
        <v>370000.0</v>
      </c>
      <c r="H762" s="299">
        <v>1721875.5</v>
      </c>
      <c r="I762" s="300">
        <v>-1351875.5</v>
      </c>
      <c r="J762" s="300">
        <v>1351875.5</v>
      </c>
      <c r="K762" s="301">
        <v>0.0</v>
      </c>
    </row>
    <row r="763" ht="15.75" customHeight="1">
      <c r="A763" s="286" t="s">
        <v>872</v>
      </c>
      <c r="B763" s="287">
        <v>34.0</v>
      </c>
      <c r="C763" s="286" t="s">
        <v>36</v>
      </c>
      <c r="D763" s="287" t="s">
        <v>313</v>
      </c>
      <c r="E763" s="286" t="s">
        <v>395</v>
      </c>
      <c r="F763" s="286" t="s">
        <v>917</v>
      </c>
      <c r="G763" s="288">
        <v>1730226.41</v>
      </c>
      <c r="H763" s="288">
        <v>0.0</v>
      </c>
      <c r="I763" s="289">
        <v>1730226.41</v>
      </c>
      <c r="J763" s="290"/>
      <c r="K763" s="7"/>
    </row>
    <row r="764" ht="15.75" customHeight="1">
      <c r="A764" s="291" t="s">
        <v>872</v>
      </c>
      <c r="B764" s="292">
        <v>34.0</v>
      </c>
      <c r="C764" s="291" t="s">
        <v>36</v>
      </c>
      <c r="D764" s="292" t="s">
        <v>313</v>
      </c>
      <c r="E764" s="291" t="s">
        <v>395</v>
      </c>
      <c r="F764" s="291" t="s">
        <v>688</v>
      </c>
      <c r="G764" s="293">
        <v>0.0</v>
      </c>
      <c r="H764" s="293">
        <v>1730226.41</v>
      </c>
      <c r="I764" s="294">
        <v>-1730226.41</v>
      </c>
      <c r="J764" s="295"/>
      <c r="K764" s="7"/>
    </row>
    <row r="765" ht="15.75" customHeight="1">
      <c r="A765" s="286" t="s">
        <v>872</v>
      </c>
      <c r="B765" s="287">
        <v>34.0</v>
      </c>
      <c r="C765" s="286" t="s">
        <v>36</v>
      </c>
      <c r="D765" s="287" t="s">
        <v>313</v>
      </c>
      <c r="E765" s="286" t="s">
        <v>395</v>
      </c>
      <c r="F765" s="286" t="s">
        <v>931</v>
      </c>
      <c r="G765" s="288">
        <v>0.0</v>
      </c>
      <c r="H765" s="288">
        <v>1740459.71</v>
      </c>
      <c r="I765" s="289">
        <v>-1740459.71</v>
      </c>
      <c r="J765" s="290"/>
      <c r="K765" s="7"/>
    </row>
    <row r="766" ht="15.75" customHeight="1">
      <c r="A766" s="291" t="s">
        <v>872</v>
      </c>
      <c r="B766" s="292">
        <v>34.0</v>
      </c>
      <c r="C766" s="291" t="s">
        <v>36</v>
      </c>
      <c r="D766" s="292" t="s">
        <v>313</v>
      </c>
      <c r="E766" s="291"/>
      <c r="F766" s="291" t="s">
        <v>932</v>
      </c>
      <c r="G766" s="293">
        <v>1500000.0</v>
      </c>
      <c r="H766" s="293">
        <v>0.0</v>
      </c>
      <c r="I766" s="294">
        <v>1500000.0</v>
      </c>
      <c r="J766" s="295"/>
      <c r="K766" s="7"/>
    </row>
    <row r="767" ht="15.75" customHeight="1">
      <c r="A767" s="286" t="s">
        <v>872</v>
      </c>
      <c r="B767" s="287">
        <v>34.0</v>
      </c>
      <c r="C767" s="286" t="s">
        <v>36</v>
      </c>
      <c r="D767" s="287" t="s">
        <v>313</v>
      </c>
      <c r="E767" s="286"/>
      <c r="F767" s="286" t="s">
        <v>933</v>
      </c>
      <c r="G767" s="288">
        <v>0.0</v>
      </c>
      <c r="H767" s="288">
        <v>2300000.0</v>
      </c>
      <c r="I767" s="289">
        <v>-2300000.0</v>
      </c>
      <c r="J767" s="290"/>
      <c r="K767" s="7"/>
    </row>
    <row r="768" ht="15.75" customHeight="1">
      <c r="A768" s="296" t="s">
        <v>872</v>
      </c>
      <c r="B768" s="296">
        <v>34.0</v>
      </c>
      <c r="C768" s="297" t="s">
        <v>36</v>
      </c>
      <c r="D768" s="296" t="s">
        <v>320</v>
      </c>
      <c r="E768" s="298"/>
      <c r="F768" s="297" t="s">
        <v>321</v>
      </c>
      <c r="G768" s="299">
        <v>3230226.41</v>
      </c>
      <c r="H768" s="299">
        <v>5770686.12</v>
      </c>
      <c r="I768" s="300">
        <v>-2540459.71</v>
      </c>
      <c r="J768" s="300">
        <v>2540459.71</v>
      </c>
      <c r="K768" s="301">
        <v>0.0</v>
      </c>
    </row>
    <row r="769" ht="15.75" customHeight="1">
      <c r="A769" s="286" t="s">
        <v>872</v>
      </c>
      <c r="B769" s="287">
        <v>35.0</v>
      </c>
      <c r="C769" s="286" t="s">
        <v>37</v>
      </c>
      <c r="D769" s="287" t="s">
        <v>313</v>
      </c>
      <c r="E769" s="286" t="s">
        <v>691</v>
      </c>
      <c r="F769" s="286" t="s">
        <v>934</v>
      </c>
      <c r="G769" s="288">
        <v>0.0</v>
      </c>
      <c r="H769" s="288">
        <v>500000.0</v>
      </c>
      <c r="I769" s="289">
        <v>-500000.0</v>
      </c>
      <c r="J769" s="290"/>
      <c r="K769" s="7"/>
    </row>
    <row r="770" ht="15.75" customHeight="1">
      <c r="A770" s="291" t="s">
        <v>872</v>
      </c>
      <c r="B770" s="292">
        <v>35.0</v>
      </c>
      <c r="C770" s="291" t="s">
        <v>37</v>
      </c>
      <c r="D770" s="292" t="s">
        <v>313</v>
      </c>
      <c r="E770" s="291"/>
      <c r="F770" s="291" t="s">
        <v>935</v>
      </c>
      <c r="G770" s="293">
        <v>500000.0</v>
      </c>
      <c r="H770" s="293">
        <v>0.0</v>
      </c>
      <c r="I770" s="294">
        <v>500000.0</v>
      </c>
      <c r="J770" s="295"/>
      <c r="K770" s="7"/>
    </row>
    <row r="771" ht="15.75" customHeight="1">
      <c r="A771" s="286" t="s">
        <v>872</v>
      </c>
      <c r="B771" s="287">
        <v>35.0</v>
      </c>
      <c r="C771" s="286" t="s">
        <v>37</v>
      </c>
      <c r="D771" s="287" t="s">
        <v>313</v>
      </c>
      <c r="E771" s="286"/>
      <c r="F771" s="286" t="s">
        <v>936</v>
      </c>
      <c r="G771" s="288">
        <v>0.0</v>
      </c>
      <c r="H771" s="288">
        <v>500000.0</v>
      </c>
      <c r="I771" s="289">
        <v>-500000.0</v>
      </c>
      <c r="J771" s="290"/>
      <c r="K771" s="7"/>
    </row>
    <row r="772" ht="15.75" customHeight="1">
      <c r="A772" s="296" t="s">
        <v>872</v>
      </c>
      <c r="B772" s="296">
        <v>35.0</v>
      </c>
      <c r="C772" s="297" t="s">
        <v>37</v>
      </c>
      <c r="D772" s="296" t="s">
        <v>320</v>
      </c>
      <c r="E772" s="298"/>
      <c r="F772" s="297" t="s">
        <v>321</v>
      </c>
      <c r="G772" s="299">
        <v>500000.0</v>
      </c>
      <c r="H772" s="299">
        <v>1000000.0</v>
      </c>
      <c r="I772" s="300">
        <v>-500000.0</v>
      </c>
      <c r="J772" s="300">
        <v>500000.0</v>
      </c>
      <c r="K772" s="301">
        <v>0.0</v>
      </c>
    </row>
    <row r="773" ht="15.75" customHeight="1">
      <c r="A773" s="286" t="s">
        <v>872</v>
      </c>
      <c r="B773" s="287">
        <v>38.0</v>
      </c>
      <c r="C773" s="286" t="s">
        <v>39</v>
      </c>
      <c r="D773" s="287" t="s">
        <v>313</v>
      </c>
      <c r="E773" s="286" t="s">
        <v>399</v>
      </c>
      <c r="F773" s="286" t="s">
        <v>695</v>
      </c>
      <c r="G773" s="288">
        <v>0.0</v>
      </c>
      <c r="H773" s="288">
        <v>1.203464049E7</v>
      </c>
      <c r="I773" s="289">
        <v>-1.203464049E7</v>
      </c>
      <c r="J773" s="290"/>
      <c r="K773" s="7"/>
    </row>
    <row r="774" ht="15.75" customHeight="1">
      <c r="A774" s="291" t="s">
        <v>872</v>
      </c>
      <c r="B774" s="292">
        <v>38.0</v>
      </c>
      <c r="C774" s="291" t="s">
        <v>39</v>
      </c>
      <c r="D774" s="292" t="s">
        <v>313</v>
      </c>
      <c r="E774" s="291"/>
      <c r="F774" s="291" t="s">
        <v>937</v>
      </c>
      <c r="G774" s="293">
        <v>1.203464049E7</v>
      </c>
      <c r="H774" s="293">
        <v>0.0</v>
      </c>
      <c r="I774" s="294">
        <v>1.203464049E7</v>
      </c>
      <c r="J774" s="295"/>
      <c r="K774" s="7"/>
    </row>
    <row r="775" ht="15.75" customHeight="1">
      <c r="A775" s="286" t="s">
        <v>872</v>
      </c>
      <c r="B775" s="287">
        <v>38.0</v>
      </c>
      <c r="C775" s="286" t="s">
        <v>39</v>
      </c>
      <c r="D775" s="287" t="s">
        <v>313</v>
      </c>
      <c r="E775" s="286"/>
      <c r="F775" s="286" t="s">
        <v>938</v>
      </c>
      <c r="G775" s="288">
        <v>1.203464049E7</v>
      </c>
      <c r="H775" s="288">
        <v>0.0</v>
      </c>
      <c r="I775" s="289">
        <v>1.203464049E7</v>
      </c>
      <c r="J775" s="290"/>
      <c r="K775" s="7"/>
    </row>
    <row r="776" ht="15.75" customHeight="1">
      <c r="A776" s="291" t="s">
        <v>872</v>
      </c>
      <c r="B776" s="292">
        <v>38.0</v>
      </c>
      <c r="C776" s="291" t="s">
        <v>39</v>
      </c>
      <c r="D776" s="292" t="s">
        <v>313</v>
      </c>
      <c r="E776" s="291"/>
      <c r="F776" s="291" t="s">
        <v>939</v>
      </c>
      <c r="G776" s="293">
        <v>1.203464E7</v>
      </c>
      <c r="H776" s="293">
        <v>0.0</v>
      </c>
      <c r="I776" s="294">
        <v>1.203464E7</v>
      </c>
      <c r="J776" s="295"/>
      <c r="K776" s="7"/>
    </row>
    <row r="777" ht="15.75" customHeight="1">
      <c r="A777" s="286" t="s">
        <v>872</v>
      </c>
      <c r="B777" s="287">
        <v>38.0</v>
      </c>
      <c r="C777" s="286" t="s">
        <v>39</v>
      </c>
      <c r="D777" s="287" t="s">
        <v>313</v>
      </c>
      <c r="E777" s="286"/>
      <c r="F777" s="286" t="s">
        <v>940</v>
      </c>
      <c r="G777" s="288">
        <v>0.0</v>
      </c>
      <c r="H777" s="288">
        <v>1.203464E7</v>
      </c>
      <c r="I777" s="289">
        <v>-1.203464E7</v>
      </c>
      <c r="J777" s="290"/>
      <c r="K777" s="7"/>
    </row>
    <row r="778" ht="15.75" customHeight="1">
      <c r="A778" s="296" t="s">
        <v>872</v>
      </c>
      <c r="B778" s="296">
        <v>38.0</v>
      </c>
      <c r="C778" s="297" t="s">
        <v>39</v>
      </c>
      <c r="D778" s="296" t="s">
        <v>320</v>
      </c>
      <c r="E778" s="298"/>
      <c r="F778" s="297" t="s">
        <v>321</v>
      </c>
      <c r="G778" s="299">
        <v>3.610392098E7</v>
      </c>
      <c r="H778" s="299">
        <v>2.406928049E7</v>
      </c>
      <c r="I778" s="300">
        <v>1.203464049E7</v>
      </c>
      <c r="J778" s="300">
        <v>-1.203464E7</v>
      </c>
      <c r="K778" s="301">
        <v>0.4900000002235174</v>
      </c>
    </row>
    <row r="779" ht="15.75" customHeight="1">
      <c r="A779" s="286" t="s">
        <v>872</v>
      </c>
      <c r="B779" s="287">
        <v>41.0</v>
      </c>
      <c r="C779" s="286" t="s">
        <v>41</v>
      </c>
      <c r="D779" s="287" t="s">
        <v>403</v>
      </c>
      <c r="E779" s="286"/>
      <c r="F779" s="286" t="s">
        <v>941</v>
      </c>
      <c r="G779" s="288">
        <v>0.0</v>
      </c>
      <c r="H779" s="288">
        <v>1.2441061746E8</v>
      </c>
      <c r="I779" s="289">
        <v>-1.2441061746E8</v>
      </c>
      <c r="J779" s="290"/>
      <c r="K779" s="7"/>
    </row>
    <row r="780" ht="15.75" customHeight="1">
      <c r="A780" s="291" t="s">
        <v>872</v>
      </c>
      <c r="B780" s="292">
        <v>41.0</v>
      </c>
      <c r="C780" s="291" t="s">
        <v>41</v>
      </c>
      <c r="D780" s="292" t="s">
        <v>403</v>
      </c>
      <c r="E780" s="291"/>
      <c r="F780" s="291" t="s">
        <v>942</v>
      </c>
      <c r="G780" s="293">
        <v>1.2441061746E8</v>
      </c>
      <c r="H780" s="293">
        <v>0.0</v>
      </c>
      <c r="I780" s="294">
        <v>1.2441061746E8</v>
      </c>
      <c r="J780" s="295"/>
      <c r="K780" s="7"/>
    </row>
    <row r="781" ht="15.75" customHeight="1">
      <c r="A781" s="286" t="s">
        <v>872</v>
      </c>
      <c r="B781" s="287">
        <v>41.0</v>
      </c>
      <c r="C781" s="286" t="s">
        <v>41</v>
      </c>
      <c r="D781" s="287" t="s">
        <v>403</v>
      </c>
      <c r="E781" s="286"/>
      <c r="F781" s="286" t="s">
        <v>943</v>
      </c>
      <c r="G781" s="288">
        <v>1.2598474811E8</v>
      </c>
      <c r="H781" s="288">
        <v>0.0</v>
      </c>
      <c r="I781" s="289">
        <v>1.2598474811E8</v>
      </c>
      <c r="J781" s="290"/>
      <c r="K781" s="7"/>
    </row>
    <row r="782" ht="15.75" customHeight="1">
      <c r="A782" s="296" t="s">
        <v>872</v>
      </c>
      <c r="B782" s="296">
        <v>41.0</v>
      </c>
      <c r="C782" s="297" t="s">
        <v>41</v>
      </c>
      <c r="D782" s="296" t="s">
        <v>320</v>
      </c>
      <c r="E782" s="298"/>
      <c r="F782" s="297" t="s">
        <v>321</v>
      </c>
      <c r="G782" s="299">
        <v>2.5039536557E8</v>
      </c>
      <c r="H782" s="299">
        <v>1.2441061746E8</v>
      </c>
      <c r="I782" s="300">
        <v>1.2598474811E8</v>
      </c>
      <c r="J782" s="300">
        <v>-1.2598474811E8</v>
      </c>
      <c r="K782" s="301">
        <v>0.0</v>
      </c>
    </row>
    <row r="783" ht="15.75" customHeight="1">
      <c r="A783" s="286" t="s">
        <v>872</v>
      </c>
      <c r="B783" s="287">
        <v>47.0</v>
      </c>
      <c r="C783" s="286" t="s">
        <v>50</v>
      </c>
      <c r="D783" s="287" t="s">
        <v>405</v>
      </c>
      <c r="E783" s="286" t="s">
        <v>406</v>
      </c>
      <c r="F783" s="286" t="s">
        <v>944</v>
      </c>
      <c r="G783" s="288">
        <v>6496050.0</v>
      </c>
      <c r="H783" s="288">
        <v>0.0</v>
      </c>
      <c r="I783" s="289">
        <v>6496050.0</v>
      </c>
      <c r="J783" s="290"/>
      <c r="K783" s="7"/>
    </row>
    <row r="784" ht="15.75" customHeight="1">
      <c r="A784" s="291" t="s">
        <v>872</v>
      </c>
      <c r="B784" s="292">
        <v>47.0</v>
      </c>
      <c r="C784" s="291" t="s">
        <v>50</v>
      </c>
      <c r="D784" s="292" t="s">
        <v>405</v>
      </c>
      <c r="E784" s="291" t="s">
        <v>406</v>
      </c>
      <c r="F784" s="291" t="s">
        <v>945</v>
      </c>
      <c r="G784" s="293">
        <v>0.0</v>
      </c>
      <c r="H784" s="293">
        <v>941720.33</v>
      </c>
      <c r="I784" s="294">
        <v>-941720.33</v>
      </c>
      <c r="J784" s="295"/>
      <c r="K784" s="7"/>
    </row>
    <row r="785" ht="15.75" customHeight="1">
      <c r="A785" s="296" t="s">
        <v>872</v>
      </c>
      <c r="B785" s="296">
        <v>47.0</v>
      </c>
      <c r="C785" s="297" t="s">
        <v>50</v>
      </c>
      <c r="D785" s="296" t="s">
        <v>320</v>
      </c>
      <c r="E785" s="298"/>
      <c r="F785" s="297" t="s">
        <v>321</v>
      </c>
      <c r="G785" s="299">
        <v>6496050.0</v>
      </c>
      <c r="H785" s="299">
        <v>941720.33</v>
      </c>
      <c r="I785" s="300">
        <v>5554329.67</v>
      </c>
      <c r="J785" s="300">
        <v>5554330.0</v>
      </c>
      <c r="K785" s="301">
        <v>-0.3300000000745058</v>
      </c>
    </row>
    <row r="786" ht="15.75" customHeight="1">
      <c r="A786" s="286" t="s">
        <v>872</v>
      </c>
      <c r="B786" s="287">
        <v>48.0</v>
      </c>
      <c r="C786" s="286" t="s">
        <v>50</v>
      </c>
      <c r="D786" s="287" t="s">
        <v>409</v>
      </c>
      <c r="E786" s="286" t="s">
        <v>406</v>
      </c>
      <c r="F786" s="286" t="s">
        <v>946</v>
      </c>
      <c r="G786" s="288">
        <v>5700000.0</v>
      </c>
      <c r="H786" s="288">
        <v>0.0</v>
      </c>
      <c r="I786" s="289">
        <v>5700000.0</v>
      </c>
      <c r="J786" s="290"/>
      <c r="K786" s="7"/>
    </row>
    <row r="787" ht="15.75" customHeight="1">
      <c r="A787" s="291" t="s">
        <v>872</v>
      </c>
      <c r="B787" s="292">
        <v>48.0</v>
      </c>
      <c r="C787" s="291" t="s">
        <v>50</v>
      </c>
      <c r="D787" s="292" t="s">
        <v>409</v>
      </c>
      <c r="E787" s="291" t="s">
        <v>406</v>
      </c>
      <c r="F787" s="291" t="s">
        <v>947</v>
      </c>
      <c r="G787" s="293">
        <v>0.0</v>
      </c>
      <c r="H787" s="293">
        <v>570000.0</v>
      </c>
      <c r="I787" s="294">
        <v>-570000.0</v>
      </c>
      <c r="J787" s="295"/>
      <c r="K787" s="7"/>
    </row>
    <row r="788" ht="15.75" customHeight="1">
      <c r="A788" s="296" t="s">
        <v>872</v>
      </c>
      <c r="B788" s="296">
        <v>48.0</v>
      </c>
      <c r="C788" s="297" t="s">
        <v>50</v>
      </c>
      <c r="D788" s="296" t="s">
        <v>320</v>
      </c>
      <c r="E788" s="298"/>
      <c r="F788" s="297" t="s">
        <v>321</v>
      </c>
      <c r="G788" s="299">
        <v>5700000.0</v>
      </c>
      <c r="H788" s="299">
        <v>570000.0</v>
      </c>
      <c r="I788" s="300">
        <v>5130000.0</v>
      </c>
      <c r="J788" s="300">
        <v>5130000.0</v>
      </c>
      <c r="K788" s="301">
        <v>0.0</v>
      </c>
    </row>
    <row r="789" ht="15.75" customHeight="1">
      <c r="A789" s="286" t="s">
        <v>872</v>
      </c>
      <c r="B789" s="287">
        <v>53.0</v>
      </c>
      <c r="C789" s="286" t="s">
        <v>60</v>
      </c>
      <c r="D789" s="287" t="s">
        <v>409</v>
      </c>
      <c r="E789" s="286"/>
      <c r="F789" s="286" t="s">
        <v>948</v>
      </c>
      <c r="G789" s="288">
        <v>0.0</v>
      </c>
      <c r="H789" s="288">
        <v>2.4913963E7</v>
      </c>
      <c r="I789" s="289">
        <v>-2.4913963E7</v>
      </c>
      <c r="J789" s="290"/>
      <c r="K789" s="7"/>
    </row>
    <row r="790" ht="15.75" customHeight="1">
      <c r="A790" s="291" t="s">
        <v>872</v>
      </c>
      <c r="B790" s="292">
        <v>53.0</v>
      </c>
      <c r="C790" s="291" t="s">
        <v>60</v>
      </c>
      <c r="D790" s="292" t="s">
        <v>409</v>
      </c>
      <c r="E790" s="291" t="s">
        <v>949</v>
      </c>
      <c r="F790" s="291" t="s">
        <v>950</v>
      </c>
      <c r="G790" s="293">
        <v>800000.0</v>
      </c>
      <c r="H790" s="293">
        <v>0.0</v>
      </c>
      <c r="I790" s="294">
        <v>800000.0</v>
      </c>
      <c r="J790" s="295"/>
      <c r="K790" s="7"/>
    </row>
    <row r="791" ht="15.75" customHeight="1">
      <c r="A791" s="286" t="s">
        <v>872</v>
      </c>
      <c r="B791" s="287">
        <v>53.0</v>
      </c>
      <c r="C791" s="286" t="s">
        <v>60</v>
      </c>
      <c r="D791" s="287" t="s">
        <v>409</v>
      </c>
      <c r="E791" s="286" t="s">
        <v>413</v>
      </c>
      <c r="F791" s="286" t="s">
        <v>951</v>
      </c>
      <c r="G791" s="288">
        <v>2.273299061E7</v>
      </c>
      <c r="H791" s="288">
        <v>0.0</v>
      </c>
      <c r="I791" s="289">
        <v>2.273299061E7</v>
      </c>
      <c r="J791" s="290"/>
      <c r="K791" s="7"/>
    </row>
    <row r="792" ht="15.75" customHeight="1">
      <c r="A792" s="291" t="s">
        <v>872</v>
      </c>
      <c r="B792" s="292">
        <v>53.0</v>
      </c>
      <c r="C792" s="291" t="s">
        <v>60</v>
      </c>
      <c r="D792" s="292" t="s">
        <v>409</v>
      </c>
      <c r="E792" s="291" t="s">
        <v>413</v>
      </c>
      <c r="F792" s="291" t="s">
        <v>952</v>
      </c>
      <c r="G792" s="293">
        <v>2180956.04</v>
      </c>
      <c r="H792" s="293">
        <v>0.0</v>
      </c>
      <c r="I792" s="294">
        <v>2180956.04</v>
      </c>
      <c r="J792" s="295"/>
      <c r="K792" s="7"/>
    </row>
    <row r="793" ht="15.75" customHeight="1">
      <c r="A793" s="286" t="s">
        <v>872</v>
      </c>
      <c r="B793" s="287">
        <v>53.0</v>
      </c>
      <c r="C793" s="286" t="s">
        <v>60</v>
      </c>
      <c r="D793" s="287" t="s">
        <v>409</v>
      </c>
      <c r="E793" s="286"/>
      <c r="F793" s="286" t="s">
        <v>953</v>
      </c>
      <c r="G793" s="288">
        <v>2.4110437E7</v>
      </c>
      <c r="H793" s="288">
        <v>0.0</v>
      </c>
      <c r="I793" s="289">
        <v>2.4110437E7</v>
      </c>
      <c r="J793" s="290"/>
      <c r="K793" s="7"/>
    </row>
    <row r="794" ht="15.75" customHeight="1">
      <c r="A794" s="296" t="s">
        <v>872</v>
      </c>
      <c r="B794" s="296">
        <v>53.0</v>
      </c>
      <c r="C794" s="297" t="s">
        <v>60</v>
      </c>
      <c r="D794" s="296" t="s">
        <v>320</v>
      </c>
      <c r="E794" s="298"/>
      <c r="F794" s="297" t="s">
        <v>321</v>
      </c>
      <c r="G794" s="299">
        <v>4.982438365E7</v>
      </c>
      <c r="H794" s="299">
        <v>2.4913963E7</v>
      </c>
      <c r="I794" s="300">
        <v>2.491042065E7</v>
      </c>
      <c r="J794" s="300">
        <v>1380430.0</v>
      </c>
      <c r="K794" s="302">
        <v>2.352999065E7</v>
      </c>
    </row>
    <row r="795" ht="15.75" customHeight="1">
      <c r="A795" s="286" t="s">
        <v>872</v>
      </c>
      <c r="B795" s="287">
        <v>54.0</v>
      </c>
      <c r="C795" s="286" t="s">
        <v>50</v>
      </c>
      <c r="D795" s="287" t="s">
        <v>418</v>
      </c>
      <c r="E795" s="286"/>
      <c r="F795" s="286" t="s">
        <v>954</v>
      </c>
      <c r="G795" s="288">
        <v>343167.67</v>
      </c>
      <c r="H795" s="288">
        <v>0.0</v>
      </c>
      <c r="I795" s="289">
        <v>343167.67</v>
      </c>
      <c r="J795" s="290"/>
      <c r="K795" s="7"/>
    </row>
    <row r="796" ht="15.75" customHeight="1">
      <c r="A796" s="291" t="s">
        <v>872</v>
      </c>
      <c r="B796" s="292">
        <v>54.0</v>
      </c>
      <c r="C796" s="291" t="s">
        <v>50</v>
      </c>
      <c r="D796" s="292" t="s">
        <v>418</v>
      </c>
      <c r="E796" s="291"/>
      <c r="F796" s="291" t="s">
        <v>955</v>
      </c>
      <c r="G796" s="293">
        <v>365230.46</v>
      </c>
      <c r="H796" s="293">
        <v>0.0</v>
      </c>
      <c r="I796" s="294">
        <v>365230.46</v>
      </c>
      <c r="J796" s="295"/>
      <c r="K796" s="7"/>
    </row>
    <row r="797" ht="15.75" customHeight="1">
      <c r="A797" s="286" t="s">
        <v>872</v>
      </c>
      <c r="B797" s="287">
        <v>54.0</v>
      </c>
      <c r="C797" s="286" t="s">
        <v>50</v>
      </c>
      <c r="D797" s="287" t="s">
        <v>418</v>
      </c>
      <c r="E797" s="286"/>
      <c r="F797" s="286" t="s">
        <v>956</v>
      </c>
      <c r="G797" s="288">
        <v>354986.14</v>
      </c>
      <c r="H797" s="288">
        <v>0.0</v>
      </c>
      <c r="I797" s="289">
        <v>354986.14</v>
      </c>
      <c r="J797" s="290"/>
      <c r="K797" s="7"/>
    </row>
    <row r="798" ht="15.75" customHeight="1">
      <c r="A798" s="296" t="s">
        <v>872</v>
      </c>
      <c r="B798" s="296">
        <v>54.0</v>
      </c>
      <c r="C798" s="297" t="s">
        <v>50</v>
      </c>
      <c r="D798" s="296" t="s">
        <v>320</v>
      </c>
      <c r="E798" s="298"/>
      <c r="F798" s="297" t="s">
        <v>321</v>
      </c>
      <c r="G798" s="299">
        <v>1063384.27</v>
      </c>
      <c r="H798" s="299">
        <v>0.0</v>
      </c>
      <c r="I798" s="300">
        <v>1063384.27</v>
      </c>
      <c r="J798" s="300">
        <v>1063384.27</v>
      </c>
      <c r="K798" s="301">
        <v>0.0</v>
      </c>
    </row>
    <row r="799" ht="15.75" customHeight="1">
      <c r="A799" s="286" t="s">
        <v>872</v>
      </c>
      <c r="B799" s="287">
        <v>59.0</v>
      </c>
      <c r="C799" s="286" t="s">
        <v>66</v>
      </c>
      <c r="D799" s="287" t="s">
        <v>425</v>
      </c>
      <c r="E799" s="286" t="s">
        <v>423</v>
      </c>
      <c r="F799" s="286" t="s">
        <v>957</v>
      </c>
      <c r="G799" s="288">
        <v>477797.0</v>
      </c>
      <c r="H799" s="288">
        <v>0.0</v>
      </c>
      <c r="I799" s="289">
        <v>477797.0</v>
      </c>
      <c r="J799" s="290"/>
      <c r="K799" s="7"/>
    </row>
    <row r="800" ht="15.75" customHeight="1">
      <c r="A800" s="291" t="s">
        <v>872</v>
      </c>
      <c r="B800" s="292">
        <v>59.0</v>
      </c>
      <c r="C800" s="291" t="s">
        <v>66</v>
      </c>
      <c r="D800" s="292" t="s">
        <v>425</v>
      </c>
      <c r="E800" s="291" t="s">
        <v>423</v>
      </c>
      <c r="F800" s="291" t="s">
        <v>958</v>
      </c>
      <c r="G800" s="293">
        <v>30085.0</v>
      </c>
      <c r="H800" s="293">
        <v>0.0</v>
      </c>
      <c r="I800" s="294">
        <v>30085.0</v>
      </c>
      <c r="J800" s="295"/>
      <c r="K800" s="7"/>
    </row>
    <row r="801" ht="15.75" customHeight="1">
      <c r="A801" s="286" t="s">
        <v>872</v>
      </c>
      <c r="B801" s="287">
        <v>59.0</v>
      </c>
      <c r="C801" s="286" t="s">
        <v>66</v>
      </c>
      <c r="D801" s="287" t="s">
        <v>425</v>
      </c>
      <c r="E801" s="286" t="s">
        <v>423</v>
      </c>
      <c r="F801" s="286" t="s">
        <v>959</v>
      </c>
      <c r="G801" s="288">
        <v>23497.5</v>
      </c>
      <c r="H801" s="288">
        <v>0.0</v>
      </c>
      <c r="I801" s="289">
        <v>23497.5</v>
      </c>
      <c r="J801" s="290"/>
      <c r="K801" s="7"/>
    </row>
    <row r="802" ht="15.75" customHeight="1">
      <c r="A802" s="296" t="s">
        <v>872</v>
      </c>
      <c r="B802" s="296">
        <v>59.0</v>
      </c>
      <c r="C802" s="297" t="s">
        <v>66</v>
      </c>
      <c r="D802" s="296" t="s">
        <v>320</v>
      </c>
      <c r="E802" s="298"/>
      <c r="F802" s="297" t="s">
        <v>321</v>
      </c>
      <c r="G802" s="299">
        <v>531379.5</v>
      </c>
      <c r="H802" s="299">
        <v>0.0</v>
      </c>
      <c r="I802" s="300">
        <v>531379.5</v>
      </c>
      <c r="J802" s="300">
        <v>477797.0</v>
      </c>
      <c r="K802" s="302">
        <v>53582.5</v>
      </c>
    </row>
    <row r="803" ht="15.75" customHeight="1">
      <c r="A803" s="286" t="s">
        <v>872</v>
      </c>
      <c r="B803" s="287">
        <v>60.0</v>
      </c>
      <c r="C803" s="286" t="s">
        <v>68</v>
      </c>
      <c r="D803" s="287" t="s">
        <v>422</v>
      </c>
      <c r="E803" s="286" t="s">
        <v>428</v>
      </c>
      <c r="F803" s="286" t="s">
        <v>960</v>
      </c>
      <c r="G803" s="288">
        <v>849000.0</v>
      </c>
      <c r="H803" s="288">
        <v>0.0</v>
      </c>
      <c r="I803" s="289">
        <v>849000.0</v>
      </c>
      <c r="J803" s="290"/>
      <c r="K803" s="7"/>
    </row>
    <row r="804" ht="15.75" customHeight="1">
      <c r="A804" s="296" t="s">
        <v>872</v>
      </c>
      <c r="B804" s="296">
        <v>60.0</v>
      </c>
      <c r="C804" s="297" t="s">
        <v>68</v>
      </c>
      <c r="D804" s="296" t="s">
        <v>320</v>
      </c>
      <c r="E804" s="298"/>
      <c r="F804" s="297" t="s">
        <v>321</v>
      </c>
      <c r="G804" s="299">
        <v>849000.0</v>
      </c>
      <c r="H804" s="299">
        <v>0.0</v>
      </c>
      <c r="I804" s="300">
        <v>849000.0</v>
      </c>
      <c r="J804" s="300">
        <v>849000.0</v>
      </c>
      <c r="K804" s="301">
        <v>0.0</v>
      </c>
    </row>
    <row r="805" ht="15.75" customHeight="1">
      <c r="A805" s="286" t="s">
        <v>872</v>
      </c>
      <c r="B805" s="287">
        <v>61.0</v>
      </c>
      <c r="C805" s="286" t="s">
        <v>70</v>
      </c>
      <c r="D805" s="287" t="s">
        <v>405</v>
      </c>
      <c r="E805" s="286"/>
      <c r="F805" s="286" t="s">
        <v>961</v>
      </c>
      <c r="G805" s="288">
        <v>0.0</v>
      </c>
      <c r="H805" s="288">
        <v>579360.0</v>
      </c>
      <c r="I805" s="289">
        <v>-579360.0</v>
      </c>
      <c r="J805" s="290"/>
      <c r="K805" s="7"/>
    </row>
    <row r="806" ht="15.75" customHeight="1">
      <c r="A806" s="291" t="s">
        <v>872</v>
      </c>
      <c r="B806" s="292">
        <v>61.0</v>
      </c>
      <c r="C806" s="291" t="s">
        <v>70</v>
      </c>
      <c r="D806" s="292" t="s">
        <v>405</v>
      </c>
      <c r="E806" s="291" t="s">
        <v>614</v>
      </c>
      <c r="F806" s="291" t="s">
        <v>962</v>
      </c>
      <c r="G806" s="293">
        <v>569568.0</v>
      </c>
      <c r="H806" s="293">
        <v>0.0</v>
      </c>
      <c r="I806" s="294">
        <v>569568.0</v>
      </c>
      <c r="J806" s="295"/>
      <c r="K806" s="7"/>
    </row>
    <row r="807" ht="15.75" customHeight="1">
      <c r="A807" s="286" t="s">
        <v>872</v>
      </c>
      <c r="B807" s="287">
        <v>61.0</v>
      </c>
      <c r="C807" s="286" t="s">
        <v>70</v>
      </c>
      <c r="D807" s="287" t="s">
        <v>405</v>
      </c>
      <c r="E807" s="286"/>
      <c r="F807" s="286" t="s">
        <v>963</v>
      </c>
      <c r="G807" s="288">
        <v>708120.0</v>
      </c>
      <c r="H807" s="288">
        <v>0.0</v>
      </c>
      <c r="I807" s="289">
        <v>708120.0</v>
      </c>
      <c r="J807" s="290"/>
      <c r="K807" s="7"/>
    </row>
    <row r="808" ht="15.75" customHeight="1">
      <c r="A808" s="296" t="s">
        <v>872</v>
      </c>
      <c r="B808" s="296">
        <v>61.0</v>
      </c>
      <c r="C808" s="297" t="s">
        <v>70</v>
      </c>
      <c r="D808" s="296" t="s">
        <v>320</v>
      </c>
      <c r="E808" s="298"/>
      <c r="F808" s="297" t="s">
        <v>321</v>
      </c>
      <c r="G808" s="299">
        <v>1277688.0</v>
      </c>
      <c r="H808" s="299">
        <v>579360.0</v>
      </c>
      <c r="I808" s="300">
        <v>698328.0</v>
      </c>
      <c r="J808" s="300">
        <v>698328.0</v>
      </c>
      <c r="K808" s="301">
        <v>0.0</v>
      </c>
    </row>
    <row r="809" ht="15.75" customHeight="1">
      <c r="A809" s="286" t="s">
        <v>872</v>
      </c>
      <c r="B809" s="287">
        <v>64.0</v>
      </c>
      <c r="C809" s="286" t="s">
        <v>76</v>
      </c>
      <c r="D809" s="287" t="s">
        <v>405</v>
      </c>
      <c r="E809" s="286"/>
      <c r="F809" s="286" t="s">
        <v>964</v>
      </c>
      <c r="G809" s="288">
        <v>0.0</v>
      </c>
      <c r="H809" s="288">
        <v>618382.0</v>
      </c>
      <c r="I809" s="289">
        <v>-618382.0</v>
      </c>
      <c r="J809" s="290"/>
      <c r="K809" s="7"/>
    </row>
    <row r="810" ht="15.75" customHeight="1">
      <c r="A810" s="291" t="s">
        <v>872</v>
      </c>
      <c r="B810" s="292">
        <v>64.0</v>
      </c>
      <c r="C810" s="291" t="s">
        <v>76</v>
      </c>
      <c r="D810" s="292" t="s">
        <v>405</v>
      </c>
      <c r="E810" s="291" t="s">
        <v>433</v>
      </c>
      <c r="F810" s="291" t="s">
        <v>965</v>
      </c>
      <c r="G810" s="293">
        <v>605534.94</v>
      </c>
      <c r="H810" s="293">
        <v>0.0</v>
      </c>
      <c r="I810" s="294">
        <v>605534.94</v>
      </c>
      <c r="J810" s="295"/>
      <c r="K810" s="7"/>
    </row>
    <row r="811" ht="15.75" customHeight="1">
      <c r="A811" s="286" t="s">
        <v>872</v>
      </c>
      <c r="B811" s="287">
        <v>64.0</v>
      </c>
      <c r="C811" s="286" t="s">
        <v>76</v>
      </c>
      <c r="D811" s="287" t="s">
        <v>405</v>
      </c>
      <c r="E811" s="286"/>
      <c r="F811" s="286" t="s">
        <v>966</v>
      </c>
      <c r="G811" s="288">
        <v>611849.0</v>
      </c>
      <c r="H811" s="288">
        <v>0.0</v>
      </c>
      <c r="I811" s="289">
        <v>611849.0</v>
      </c>
      <c r="J811" s="290"/>
      <c r="K811" s="7"/>
    </row>
    <row r="812" ht="15.75" customHeight="1">
      <c r="A812" s="296" t="s">
        <v>872</v>
      </c>
      <c r="B812" s="296">
        <v>64.0</v>
      </c>
      <c r="C812" s="297" t="s">
        <v>76</v>
      </c>
      <c r="D812" s="296" t="s">
        <v>320</v>
      </c>
      <c r="E812" s="298"/>
      <c r="F812" s="297" t="s">
        <v>321</v>
      </c>
      <c r="G812" s="299">
        <v>1217383.94</v>
      </c>
      <c r="H812" s="299">
        <v>618382.0</v>
      </c>
      <c r="I812" s="300">
        <v>599001.94</v>
      </c>
      <c r="J812" s="300">
        <v>599002.0</v>
      </c>
      <c r="K812" s="301">
        <v>-0.06000000005587935</v>
      </c>
    </row>
    <row r="813" ht="15.75" customHeight="1">
      <c r="A813" s="286" t="s">
        <v>872</v>
      </c>
      <c r="B813" s="287">
        <v>66.0</v>
      </c>
      <c r="C813" s="286" t="s">
        <v>80</v>
      </c>
      <c r="D813" s="287" t="s">
        <v>405</v>
      </c>
      <c r="E813" s="286" t="s">
        <v>438</v>
      </c>
      <c r="F813" s="286" t="s">
        <v>967</v>
      </c>
      <c r="G813" s="288">
        <v>10182.25</v>
      </c>
      <c r="H813" s="288">
        <v>0.0</v>
      </c>
      <c r="I813" s="289">
        <v>10182.25</v>
      </c>
      <c r="J813" s="290"/>
      <c r="K813" s="7"/>
    </row>
    <row r="814" ht="15.75" customHeight="1">
      <c r="A814" s="291" t="s">
        <v>872</v>
      </c>
      <c r="B814" s="292">
        <v>66.0</v>
      </c>
      <c r="C814" s="291" t="s">
        <v>80</v>
      </c>
      <c r="D814" s="292" t="s">
        <v>405</v>
      </c>
      <c r="E814" s="291" t="s">
        <v>438</v>
      </c>
      <c r="F814" s="291" t="s">
        <v>968</v>
      </c>
      <c r="G814" s="293">
        <v>9298.73</v>
      </c>
      <c r="H814" s="293">
        <v>0.0</v>
      </c>
      <c r="I814" s="294">
        <v>9298.73</v>
      </c>
      <c r="J814" s="295"/>
      <c r="K814" s="7"/>
    </row>
    <row r="815" ht="15.75" customHeight="1">
      <c r="A815" s="286" t="s">
        <v>872</v>
      </c>
      <c r="B815" s="287">
        <v>66.0</v>
      </c>
      <c r="C815" s="286" t="s">
        <v>80</v>
      </c>
      <c r="D815" s="287" t="s">
        <v>405</v>
      </c>
      <c r="E815" s="286" t="s">
        <v>438</v>
      </c>
      <c r="F815" s="286" t="s">
        <v>969</v>
      </c>
      <c r="G815" s="288">
        <v>3997.58</v>
      </c>
      <c r="H815" s="288">
        <v>0.0</v>
      </c>
      <c r="I815" s="289">
        <v>3997.58</v>
      </c>
      <c r="J815" s="290"/>
      <c r="K815" s="7"/>
    </row>
    <row r="816" ht="15.75" customHeight="1">
      <c r="A816" s="291" t="s">
        <v>872</v>
      </c>
      <c r="B816" s="292">
        <v>66.0</v>
      </c>
      <c r="C816" s="291" t="s">
        <v>80</v>
      </c>
      <c r="D816" s="292" t="s">
        <v>405</v>
      </c>
      <c r="E816" s="291" t="s">
        <v>438</v>
      </c>
      <c r="F816" s="291" t="s">
        <v>970</v>
      </c>
      <c r="G816" s="293">
        <v>615570.0</v>
      </c>
      <c r="H816" s="293">
        <v>0.0</v>
      </c>
      <c r="I816" s="294">
        <v>615570.0</v>
      </c>
      <c r="J816" s="295"/>
      <c r="K816" s="7"/>
    </row>
    <row r="817" ht="15.75" customHeight="1">
      <c r="A817" s="296" t="s">
        <v>872</v>
      </c>
      <c r="B817" s="296">
        <v>66.0</v>
      </c>
      <c r="C817" s="297" t="s">
        <v>80</v>
      </c>
      <c r="D817" s="296" t="s">
        <v>320</v>
      </c>
      <c r="E817" s="298"/>
      <c r="F817" s="297" t="s">
        <v>321</v>
      </c>
      <c r="G817" s="299">
        <v>639048.56</v>
      </c>
      <c r="H817" s="299">
        <v>0.0</v>
      </c>
      <c r="I817" s="300">
        <v>639048.56</v>
      </c>
      <c r="J817" s="300">
        <v>639049.0</v>
      </c>
      <c r="K817" s="301">
        <v>-0.4399999999441206</v>
      </c>
    </row>
    <row r="818" ht="15.75" customHeight="1">
      <c r="A818" s="286" t="s">
        <v>872</v>
      </c>
      <c r="B818" s="287">
        <v>69.0</v>
      </c>
      <c r="C818" s="286" t="s">
        <v>86</v>
      </c>
      <c r="D818" s="287" t="s">
        <v>405</v>
      </c>
      <c r="E818" s="286" t="s">
        <v>438</v>
      </c>
      <c r="F818" s="286" t="s">
        <v>971</v>
      </c>
      <c r="G818" s="288">
        <v>11727.32</v>
      </c>
      <c r="H818" s="288">
        <v>0.0</v>
      </c>
      <c r="I818" s="289">
        <v>11727.32</v>
      </c>
      <c r="J818" s="290"/>
      <c r="K818" s="7"/>
    </row>
    <row r="819" ht="15.75" customHeight="1">
      <c r="A819" s="296" t="s">
        <v>872</v>
      </c>
      <c r="B819" s="296">
        <v>69.0</v>
      </c>
      <c r="C819" s="297" t="s">
        <v>86</v>
      </c>
      <c r="D819" s="296" t="s">
        <v>320</v>
      </c>
      <c r="E819" s="298"/>
      <c r="F819" s="297" t="s">
        <v>321</v>
      </c>
      <c r="G819" s="299">
        <v>11727.32</v>
      </c>
      <c r="H819" s="299">
        <v>0.0</v>
      </c>
      <c r="I819" s="300">
        <v>11727.32</v>
      </c>
      <c r="J819" s="300">
        <v>11727.32</v>
      </c>
      <c r="K819" s="301">
        <v>0.0</v>
      </c>
    </row>
    <row r="820" ht="15.75" customHeight="1">
      <c r="A820" s="286" t="s">
        <v>872</v>
      </c>
      <c r="B820" s="287">
        <v>71.0</v>
      </c>
      <c r="C820" s="286" t="s">
        <v>89</v>
      </c>
      <c r="D820" s="287" t="s">
        <v>444</v>
      </c>
      <c r="E820" s="286"/>
      <c r="F820" s="286" t="s">
        <v>972</v>
      </c>
      <c r="G820" s="288">
        <v>3464932.49</v>
      </c>
      <c r="H820" s="288">
        <v>0.0</v>
      </c>
      <c r="I820" s="289">
        <v>3464932.49</v>
      </c>
      <c r="J820" s="290"/>
      <c r="K820" s="7"/>
    </row>
    <row r="821" ht="15.75" customHeight="1">
      <c r="A821" s="291" t="s">
        <v>872</v>
      </c>
      <c r="B821" s="292">
        <v>71.0</v>
      </c>
      <c r="C821" s="291" t="s">
        <v>89</v>
      </c>
      <c r="D821" s="292" t="s">
        <v>444</v>
      </c>
      <c r="E821" s="291"/>
      <c r="F821" s="291" t="s">
        <v>973</v>
      </c>
      <c r="G821" s="293">
        <v>1817356.27</v>
      </c>
      <c r="H821" s="293">
        <v>0.0</v>
      </c>
      <c r="I821" s="294">
        <v>1817356.27</v>
      </c>
      <c r="J821" s="295"/>
      <c r="K821" s="7"/>
    </row>
    <row r="822" ht="15.75" customHeight="1">
      <c r="A822" s="286" t="s">
        <v>872</v>
      </c>
      <c r="B822" s="287">
        <v>71.0</v>
      </c>
      <c r="C822" s="286" t="s">
        <v>89</v>
      </c>
      <c r="D822" s="287" t="s">
        <v>444</v>
      </c>
      <c r="E822" s="286"/>
      <c r="F822" s="286" t="s">
        <v>974</v>
      </c>
      <c r="G822" s="288">
        <v>40831.88</v>
      </c>
      <c r="H822" s="288">
        <v>0.0</v>
      </c>
      <c r="I822" s="289">
        <v>40831.88</v>
      </c>
      <c r="J822" s="290"/>
      <c r="K822" s="7"/>
    </row>
    <row r="823" ht="15.75" customHeight="1">
      <c r="A823" s="296" t="s">
        <v>872</v>
      </c>
      <c r="B823" s="296">
        <v>71.0</v>
      </c>
      <c r="C823" s="297" t="s">
        <v>89</v>
      </c>
      <c r="D823" s="296" t="s">
        <v>320</v>
      </c>
      <c r="E823" s="298"/>
      <c r="F823" s="297" t="s">
        <v>321</v>
      </c>
      <c r="G823" s="299">
        <v>5323120.640000001</v>
      </c>
      <c r="H823" s="299">
        <v>0.0</v>
      </c>
      <c r="I823" s="300">
        <v>5323120.640000001</v>
      </c>
      <c r="J823" s="300">
        <v>5323120.64</v>
      </c>
      <c r="K823" s="301">
        <v>9.313225746154785E-10</v>
      </c>
    </row>
    <row r="824" ht="15.75" customHeight="1">
      <c r="A824" s="286" t="s">
        <v>872</v>
      </c>
      <c r="B824" s="287">
        <v>76.0</v>
      </c>
      <c r="C824" s="286" t="s">
        <v>96</v>
      </c>
      <c r="D824" s="287" t="s">
        <v>448</v>
      </c>
      <c r="E824" s="286" t="s">
        <v>449</v>
      </c>
      <c r="F824" s="286" t="s">
        <v>975</v>
      </c>
      <c r="G824" s="288">
        <v>1.06123779E7</v>
      </c>
      <c r="H824" s="288">
        <v>0.0</v>
      </c>
      <c r="I824" s="289">
        <v>1.06123779E7</v>
      </c>
      <c r="J824" s="290"/>
      <c r="K824" s="7"/>
    </row>
    <row r="825" ht="15.75" customHeight="1">
      <c r="A825" s="296" t="s">
        <v>872</v>
      </c>
      <c r="B825" s="296">
        <v>76.0</v>
      </c>
      <c r="C825" s="297" t="s">
        <v>96</v>
      </c>
      <c r="D825" s="296" t="s">
        <v>320</v>
      </c>
      <c r="E825" s="298"/>
      <c r="F825" s="297" t="s">
        <v>321</v>
      </c>
      <c r="G825" s="299">
        <v>1.06123779E7</v>
      </c>
      <c r="H825" s="299">
        <v>0.0</v>
      </c>
      <c r="I825" s="300">
        <v>1.06123779E7</v>
      </c>
      <c r="J825" s="300">
        <v>1.0612E7</v>
      </c>
      <c r="K825" s="302">
        <v>377.9000000003725</v>
      </c>
    </row>
    <row r="826" ht="15.75" customHeight="1">
      <c r="A826" s="286" t="s">
        <v>872</v>
      </c>
      <c r="B826" s="287">
        <v>78.0</v>
      </c>
      <c r="C826" s="286" t="s">
        <v>100</v>
      </c>
      <c r="D826" s="287" t="s">
        <v>451</v>
      </c>
      <c r="E826" s="286" t="s">
        <v>452</v>
      </c>
      <c r="F826" s="286" t="s">
        <v>976</v>
      </c>
      <c r="G826" s="288">
        <v>2180494.0</v>
      </c>
      <c r="H826" s="288">
        <v>0.0</v>
      </c>
      <c r="I826" s="289">
        <v>2180494.0</v>
      </c>
      <c r="J826" s="290"/>
      <c r="K826" s="7"/>
    </row>
    <row r="827" ht="15.75" customHeight="1">
      <c r="A827" s="296" t="s">
        <v>872</v>
      </c>
      <c r="B827" s="296">
        <v>78.0</v>
      </c>
      <c r="C827" s="297" t="s">
        <v>100</v>
      </c>
      <c r="D827" s="296" t="s">
        <v>320</v>
      </c>
      <c r="E827" s="298"/>
      <c r="F827" s="297" t="s">
        <v>321</v>
      </c>
      <c r="G827" s="299">
        <v>2180494.0</v>
      </c>
      <c r="H827" s="299">
        <v>0.0</v>
      </c>
      <c r="I827" s="300">
        <v>2180494.0</v>
      </c>
      <c r="J827" s="300">
        <v>2180494.0</v>
      </c>
      <c r="K827" s="301">
        <v>0.0</v>
      </c>
    </row>
    <row r="828" ht="15.75" customHeight="1">
      <c r="A828" s="286" t="s">
        <v>872</v>
      </c>
      <c r="B828" s="287">
        <v>82.0</v>
      </c>
      <c r="C828" s="286" t="s">
        <v>104</v>
      </c>
      <c r="D828" s="287" t="s">
        <v>451</v>
      </c>
      <c r="E828" s="286"/>
      <c r="F828" s="286" t="s">
        <v>977</v>
      </c>
      <c r="G828" s="288">
        <v>0.0</v>
      </c>
      <c r="H828" s="288">
        <v>1.17E7</v>
      </c>
      <c r="I828" s="289">
        <v>-1.17E7</v>
      </c>
      <c r="J828" s="290"/>
      <c r="K828" s="7"/>
    </row>
    <row r="829" ht="15.75" customHeight="1">
      <c r="A829" s="291" t="s">
        <v>872</v>
      </c>
      <c r="B829" s="292">
        <v>82.0</v>
      </c>
      <c r="C829" s="291" t="s">
        <v>104</v>
      </c>
      <c r="D829" s="292" t="s">
        <v>451</v>
      </c>
      <c r="E829" s="291" t="s">
        <v>455</v>
      </c>
      <c r="F829" s="291" t="s">
        <v>978</v>
      </c>
      <c r="G829" s="293">
        <v>2976652.0</v>
      </c>
      <c r="H829" s="293">
        <v>0.0</v>
      </c>
      <c r="I829" s="294">
        <v>2976652.0</v>
      </c>
      <c r="J829" s="295"/>
      <c r="K829" s="7"/>
    </row>
    <row r="830" ht="15.75" customHeight="1">
      <c r="A830" s="286" t="s">
        <v>872</v>
      </c>
      <c r="B830" s="287">
        <v>82.0</v>
      </c>
      <c r="C830" s="286" t="s">
        <v>104</v>
      </c>
      <c r="D830" s="287" t="s">
        <v>451</v>
      </c>
      <c r="E830" s="286" t="s">
        <v>455</v>
      </c>
      <c r="F830" s="286" t="s">
        <v>979</v>
      </c>
      <c r="G830" s="288">
        <v>8093364.0</v>
      </c>
      <c r="H830" s="288">
        <v>0.0</v>
      </c>
      <c r="I830" s="289">
        <v>8093364.0</v>
      </c>
      <c r="J830" s="290"/>
      <c r="K830" s="7"/>
    </row>
    <row r="831" ht="15.75" customHeight="1">
      <c r="A831" s="291" t="s">
        <v>872</v>
      </c>
      <c r="B831" s="292">
        <v>82.0</v>
      </c>
      <c r="C831" s="291" t="s">
        <v>104</v>
      </c>
      <c r="D831" s="292" t="s">
        <v>451</v>
      </c>
      <c r="E831" s="291"/>
      <c r="F831" s="291" t="s">
        <v>980</v>
      </c>
      <c r="G831" s="293">
        <v>1.3E7</v>
      </c>
      <c r="H831" s="293">
        <v>0.0</v>
      </c>
      <c r="I831" s="294">
        <v>1.3E7</v>
      </c>
      <c r="J831" s="295"/>
      <c r="K831" s="7"/>
    </row>
    <row r="832" ht="15.75" customHeight="1">
      <c r="A832" s="296" t="s">
        <v>872</v>
      </c>
      <c r="B832" s="296">
        <v>82.0</v>
      </c>
      <c r="C832" s="297" t="s">
        <v>104</v>
      </c>
      <c r="D832" s="296" t="s">
        <v>320</v>
      </c>
      <c r="E832" s="298"/>
      <c r="F832" s="297" t="s">
        <v>321</v>
      </c>
      <c r="G832" s="299">
        <v>2.4070016E7</v>
      </c>
      <c r="H832" s="299">
        <v>1.17E7</v>
      </c>
      <c r="I832" s="300">
        <v>1.2370016E7</v>
      </c>
      <c r="J832" s="300">
        <v>1.2370016E7</v>
      </c>
      <c r="K832" s="301">
        <v>0.0</v>
      </c>
    </row>
    <row r="833" ht="15.75" customHeight="1">
      <c r="A833" s="286" t="s">
        <v>872</v>
      </c>
      <c r="B833" s="287">
        <v>83.0</v>
      </c>
      <c r="C833" s="286" t="s">
        <v>107</v>
      </c>
      <c r="D833" s="287" t="s">
        <v>448</v>
      </c>
      <c r="E833" s="286" t="s">
        <v>459</v>
      </c>
      <c r="F833" s="286" t="s">
        <v>981</v>
      </c>
      <c r="G833" s="288">
        <v>6282207.8</v>
      </c>
      <c r="H833" s="288">
        <v>0.0</v>
      </c>
      <c r="I833" s="289">
        <v>6282207.8</v>
      </c>
      <c r="J833" s="290"/>
      <c r="K833" s="7"/>
    </row>
    <row r="834" ht="15.75" customHeight="1">
      <c r="A834" s="291" t="s">
        <v>872</v>
      </c>
      <c r="B834" s="292">
        <v>83.0</v>
      </c>
      <c r="C834" s="291" t="s">
        <v>107</v>
      </c>
      <c r="D834" s="292" t="s">
        <v>448</v>
      </c>
      <c r="E834" s="291" t="s">
        <v>459</v>
      </c>
      <c r="F834" s="291" t="s">
        <v>981</v>
      </c>
      <c r="G834" s="293">
        <v>0.22</v>
      </c>
      <c r="H834" s="293">
        <v>0.0</v>
      </c>
      <c r="I834" s="294">
        <v>0.22</v>
      </c>
      <c r="J834" s="295"/>
      <c r="K834" s="7"/>
    </row>
    <row r="835" ht="15.75" customHeight="1">
      <c r="A835" s="296" t="s">
        <v>872</v>
      </c>
      <c r="B835" s="296">
        <v>83.0</v>
      </c>
      <c r="C835" s="297" t="s">
        <v>107</v>
      </c>
      <c r="D835" s="296" t="s">
        <v>320</v>
      </c>
      <c r="E835" s="298"/>
      <c r="F835" s="297" t="s">
        <v>321</v>
      </c>
      <c r="G835" s="299">
        <v>6282208.02</v>
      </c>
      <c r="H835" s="299">
        <v>0.0</v>
      </c>
      <c r="I835" s="300">
        <v>6282208.02</v>
      </c>
      <c r="J835" s="300">
        <v>6282208.0</v>
      </c>
      <c r="K835" s="301">
        <v>0.01999999955296516</v>
      </c>
    </row>
    <row r="836" ht="15.75" customHeight="1">
      <c r="A836" s="286" t="s">
        <v>872</v>
      </c>
      <c r="B836" s="287">
        <v>84.0</v>
      </c>
      <c r="C836" s="286" t="s">
        <v>110</v>
      </c>
      <c r="D836" s="287" t="s">
        <v>425</v>
      </c>
      <c r="E836" s="286"/>
      <c r="F836" s="286" t="s">
        <v>982</v>
      </c>
      <c r="G836" s="288">
        <v>0.0</v>
      </c>
      <c r="H836" s="288">
        <v>681119.0</v>
      </c>
      <c r="I836" s="289">
        <v>-681119.0</v>
      </c>
      <c r="J836" s="290"/>
      <c r="K836" s="7"/>
    </row>
    <row r="837" ht="15.75" customHeight="1">
      <c r="A837" s="291" t="s">
        <v>872</v>
      </c>
      <c r="B837" s="292">
        <v>84.0</v>
      </c>
      <c r="C837" s="291" t="s">
        <v>110</v>
      </c>
      <c r="D837" s="292" t="s">
        <v>425</v>
      </c>
      <c r="E837" s="291"/>
      <c r="F837" s="291" t="s">
        <v>983</v>
      </c>
      <c r="G837" s="293">
        <v>0.0</v>
      </c>
      <c r="H837" s="293">
        <v>7909191.0</v>
      </c>
      <c r="I837" s="294">
        <v>-7909191.0</v>
      </c>
      <c r="J837" s="295"/>
      <c r="K837" s="7"/>
    </row>
    <row r="838" ht="15.75" customHeight="1">
      <c r="A838" s="286" t="s">
        <v>872</v>
      </c>
      <c r="B838" s="287">
        <v>84.0</v>
      </c>
      <c r="C838" s="286" t="s">
        <v>110</v>
      </c>
      <c r="D838" s="287" t="s">
        <v>425</v>
      </c>
      <c r="E838" s="286" t="s">
        <v>984</v>
      </c>
      <c r="F838" s="286" t="s">
        <v>740</v>
      </c>
      <c r="G838" s="288">
        <v>27807.0</v>
      </c>
      <c r="H838" s="288">
        <v>0.0</v>
      </c>
      <c r="I838" s="289">
        <v>27807.0</v>
      </c>
      <c r="J838" s="290"/>
      <c r="K838" s="7"/>
    </row>
    <row r="839" ht="15.75" customHeight="1">
      <c r="A839" s="291" t="s">
        <v>872</v>
      </c>
      <c r="B839" s="292">
        <v>84.0</v>
      </c>
      <c r="C839" s="291" t="s">
        <v>110</v>
      </c>
      <c r="D839" s="292" t="s">
        <v>425</v>
      </c>
      <c r="E839" s="291" t="s">
        <v>467</v>
      </c>
      <c r="F839" s="291" t="s">
        <v>985</v>
      </c>
      <c r="G839" s="293">
        <v>147522.5</v>
      </c>
      <c r="H839" s="293">
        <v>0.0</v>
      </c>
      <c r="I839" s="294">
        <v>147522.5</v>
      </c>
      <c r="J839" s="295"/>
      <c r="K839" s="7"/>
    </row>
    <row r="840" ht="15.75" customHeight="1">
      <c r="A840" s="286" t="s">
        <v>872</v>
      </c>
      <c r="B840" s="287">
        <v>84.0</v>
      </c>
      <c r="C840" s="286" t="s">
        <v>110</v>
      </c>
      <c r="D840" s="287" t="s">
        <v>425</v>
      </c>
      <c r="E840" s="286" t="s">
        <v>737</v>
      </c>
      <c r="F840" s="286" t="s">
        <v>986</v>
      </c>
      <c r="G840" s="288">
        <v>166542.49</v>
      </c>
      <c r="H840" s="288">
        <v>0.0</v>
      </c>
      <c r="I840" s="289">
        <v>166542.49</v>
      </c>
      <c r="J840" s="290"/>
      <c r="K840" s="7"/>
    </row>
    <row r="841" ht="15.75" customHeight="1">
      <c r="A841" s="291" t="s">
        <v>872</v>
      </c>
      <c r="B841" s="292">
        <v>84.0</v>
      </c>
      <c r="C841" s="291" t="s">
        <v>110</v>
      </c>
      <c r="D841" s="292" t="s">
        <v>425</v>
      </c>
      <c r="E841" s="291" t="s">
        <v>466</v>
      </c>
      <c r="F841" s="291" t="s">
        <v>986</v>
      </c>
      <c r="G841" s="293">
        <v>9632.5</v>
      </c>
      <c r="H841" s="293">
        <v>0.0</v>
      </c>
      <c r="I841" s="294">
        <v>9632.5</v>
      </c>
      <c r="J841" s="295"/>
      <c r="K841" s="7"/>
    </row>
    <row r="842" ht="15.75" customHeight="1">
      <c r="A842" s="286" t="s">
        <v>872</v>
      </c>
      <c r="B842" s="287">
        <v>84.0</v>
      </c>
      <c r="C842" s="286" t="s">
        <v>110</v>
      </c>
      <c r="D842" s="287" t="s">
        <v>425</v>
      </c>
      <c r="E842" s="286" t="s">
        <v>464</v>
      </c>
      <c r="F842" s="286" t="s">
        <v>987</v>
      </c>
      <c r="G842" s="288">
        <v>200.0</v>
      </c>
      <c r="H842" s="288">
        <v>0.0</v>
      </c>
      <c r="I842" s="289">
        <v>200.0</v>
      </c>
      <c r="J842" s="290"/>
      <c r="K842" s="7"/>
    </row>
    <row r="843" ht="15.75" customHeight="1">
      <c r="A843" s="291" t="s">
        <v>872</v>
      </c>
      <c r="B843" s="292">
        <v>84.0</v>
      </c>
      <c r="C843" s="291" t="s">
        <v>110</v>
      </c>
      <c r="D843" s="292" t="s">
        <v>425</v>
      </c>
      <c r="E843" s="291"/>
      <c r="F843" s="291" t="s">
        <v>987</v>
      </c>
      <c r="G843" s="293">
        <v>0.0</v>
      </c>
      <c r="H843" s="293">
        <v>200.0</v>
      </c>
      <c r="I843" s="294">
        <v>-200.0</v>
      </c>
      <c r="J843" s="295"/>
      <c r="K843" s="7"/>
    </row>
    <row r="844" ht="15.75" customHeight="1">
      <c r="A844" s="286" t="s">
        <v>872</v>
      </c>
      <c r="B844" s="287">
        <v>84.0</v>
      </c>
      <c r="C844" s="286" t="s">
        <v>110</v>
      </c>
      <c r="D844" s="287" t="s">
        <v>425</v>
      </c>
      <c r="E844" s="286" t="s">
        <v>988</v>
      </c>
      <c r="F844" s="286" t="s">
        <v>989</v>
      </c>
      <c r="G844" s="288">
        <v>12721.0</v>
      </c>
      <c r="H844" s="288">
        <v>0.0</v>
      </c>
      <c r="I844" s="289">
        <v>12721.0</v>
      </c>
      <c r="J844" s="290"/>
      <c r="K844" s="7"/>
    </row>
    <row r="845" ht="15.75" customHeight="1">
      <c r="A845" s="291" t="s">
        <v>872</v>
      </c>
      <c r="B845" s="292">
        <v>84.0</v>
      </c>
      <c r="C845" s="291" t="s">
        <v>110</v>
      </c>
      <c r="D845" s="292" t="s">
        <v>425</v>
      </c>
      <c r="E845" s="291" t="s">
        <v>469</v>
      </c>
      <c r="F845" s="291" t="s">
        <v>985</v>
      </c>
      <c r="G845" s="293">
        <v>1121878.75</v>
      </c>
      <c r="H845" s="293">
        <v>0.0</v>
      </c>
      <c r="I845" s="294">
        <v>1121878.75</v>
      </c>
      <c r="J845" s="295"/>
      <c r="K845" s="7"/>
    </row>
    <row r="846" ht="15.75" customHeight="1">
      <c r="A846" s="286" t="s">
        <v>872</v>
      </c>
      <c r="B846" s="287">
        <v>84.0</v>
      </c>
      <c r="C846" s="286" t="s">
        <v>110</v>
      </c>
      <c r="D846" s="287" t="s">
        <v>425</v>
      </c>
      <c r="E846" s="286" t="s">
        <v>462</v>
      </c>
      <c r="F846" s="286" t="s">
        <v>986</v>
      </c>
      <c r="G846" s="288">
        <v>77640.0</v>
      </c>
      <c r="H846" s="288">
        <v>0.0</v>
      </c>
      <c r="I846" s="289">
        <v>77640.0</v>
      </c>
      <c r="J846" s="290"/>
      <c r="K846" s="7"/>
    </row>
    <row r="847" ht="15.75" customHeight="1">
      <c r="A847" s="291" t="s">
        <v>872</v>
      </c>
      <c r="B847" s="292">
        <v>84.0</v>
      </c>
      <c r="C847" s="291" t="s">
        <v>110</v>
      </c>
      <c r="D847" s="292" t="s">
        <v>425</v>
      </c>
      <c r="E847" s="291" t="s">
        <v>743</v>
      </c>
      <c r="F847" s="291" t="s">
        <v>986</v>
      </c>
      <c r="G847" s="293">
        <v>1023431.24</v>
      </c>
      <c r="H847" s="293">
        <v>0.0</v>
      </c>
      <c r="I847" s="294">
        <v>1023431.24</v>
      </c>
      <c r="J847" s="295"/>
      <c r="K847" s="7"/>
    </row>
    <row r="848" ht="15.75" customHeight="1">
      <c r="A848" s="286" t="s">
        <v>872</v>
      </c>
      <c r="B848" s="287">
        <v>84.0</v>
      </c>
      <c r="C848" s="286" t="s">
        <v>110</v>
      </c>
      <c r="D848" s="287" t="s">
        <v>425</v>
      </c>
      <c r="E848" s="286" t="s">
        <v>464</v>
      </c>
      <c r="F848" s="286" t="s">
        <v>986</v>
      </c>
      <c r="G848" s="288">
        <v>3829950.41</v>
      </c>
      <c r="H848" s="288">
        <v>0.0</v>
      </c>
      <c r="I848" s="289">
        <v>3829950.41</v>
      </c>
      <c r="J848" s="290"/>
      <c r="K848" s="7"/>
    </row>
    <row r="849" ht="15.75" customHeight="1">
      <c r="A849" s="291" t="s">
        <v>872</v>
      </c>
      <c r="B849" s="292">
        <v>84.0</v>
      </c>
      <c r="C849" s="291" t="s">
        <v>110</v>
      </c>
      <c r="D849" s="292" t="s">
        <v>425</v>
      </c>
      <c r="E849" s="291" t="s">
        <v>465</v>
      </c>
      <c r="F849" s="291" t="s">
        <v>986</v>
      </c>
      <c r="G849" s="293">
        <v>177411.26</v>
      </c>
      <c r="H849" s="293">
        <v>0.0</v>
      </c>
      <c r="I849" s="294">
        <v>177411.26</v>
      </c>
      <c r="J849" s="295"/>
      <c r="K849" s="7"/>
    </row>
    <row r="850" ht="15.75" customHeight="1">
      <c r="A850" s="286" t="s">
        <v>872</v>
      </c>
      <c r="B850" s="287">
        <v>84.0</v>
      </c>
      <c r="C850" s="286" t="s">
        <v>110</v>
      </c>
      <c r="D850" s="287" t="s">
        <v>425</v>
      </c>
      <c r="E850" s="286" t="s">
        <v>470</v>
      </c>
      <c r="F850" s="286" t="s">
        <v>986</v>
      </c>
      <c r="G850" s="288">
        <v>34087.49</v>
      </c>
      <c r="H850" s="288">
        <v>0.0</v>
      </c>
      <c r="I850" s="289">
        <v>34087.49</v>
      </c>
      <c r="J850" s="290"/>
      <c r="K850" s="7"/>
    </row>
    <row r="851" ht="15.75" customHeight="1">
      <c r="A851" s="291" t="s">
        <v>872</v>
      </c>
      <c r="B851" s="292">
        <v>84.0</v>
      </c>
      <c r="C851" s="291" t="s">
        <v>110</v>
      </c>
      <c r="D851" s="292" t="s">
        <v>425</v>
      </c>
      <c r="E851" s="291" t="s">
        <v>470</v>
      </c>
      <c r="F851" s="291" t="s">
        <v>986</v>
      </c>
      <c r="G851" s="293">
        <v>0.01</v>
      </c>
      <c r="H851" s="293">
        <v>0.0</v>
      </c>
      <c r="I851" s="294">
        <v>0.01</v>
      </c>
      <c r="J851" s="295"/>
      <c r="K851" s="7"/>
    </row>
    <row r="852" ht="15.75" customHeight="1">
      <c r="A852" s="286" t="s">
        <v>872</v>
      </c>
      <c r="B852" s="287">
        <v>84.0</v>
      </c>
      <c r="C852" s="286" t="s">
        <v>110</v>
      </c>
      <c r="D852" s="287" t="s">
        <v>425</v>
      </c>
      <c r="E852" s="286"/>
      <c r="F852" s="286" t="s">
        <v>990</v>
      </c>
      <c r="G852" s="288">
        <v>5860542.0</v>
      </c>
      <c r="H852" s="288">
        <v>0.0</v>
      </c>
      <c r="I852" s="289">
        <v>5860542.0</v>
      </c>
      <c r="J852" s="290"/>
      <c r="K852" s="7"/>
    </row>
    <row r="853" ht="15.75" customHeight="1">
      <c r="A853" s="296" t="s">
        <v>872</v>
      </c>
      <c r="B853" s="296">
        <v>84.0</v>
      </c>
      <c r="C853" s="297" t="s">
        <v>110</v>
      </c>
      <c r="D853" s="296" t="s">
        <v>320</v>
      </c>
      <c r="E853" s="298"/>
      <c r="F853" s="297" t="s">
        <v>321</v>
      </c>
      <c r="G853" s="299">
        <v>1.248936665E7</v>
      </c>
      <c r="H853" s="299">
        <v>8590510.0</v>
      </c>
      <c r="I853" s="300">
        <v>3898856.65</v>
      </c>
      <c r="J853" s="300">
        <v>3952439.0</v>
      </c>
      <c r="K853" s="302">
        <v>-53582.35000000009</v>
      </c>
    </row>
    <row r="854" ht="15.75" customHeight="1">
      <c r="A854" s="286" t="s">
        <v>872</v>
      </c>
      <c r="B854" s="287">
        <v>85.0</v>
      </c>
      <c r="C854" s="286" t="s">
        <v>113</v>
      </c>
      <c r="D854" s="287" t="s">
        <v>472</v>
      </c>
      <c r="E854" s="286"/>
      <c r="F854" s="286" t="s">
        <v>991</v>
      </c>
      <c r="G854" s="288">
        <v>0.0</v>
      </c>
      <c r="H854" s="288">
        <v>3660000.0</v>
      </c>
      <c r="I854" s="289">
        <v>-3660000.0</v>
      </c>
      <c r="J854" s="290"/>
      <c r="K854" s="7"/>
    </row>
    <row r="855" ht="15.75" customHeight="1">
      <c r="A855" s="291" t="s">
        <v>872</v>
      </c>
      <c r="B855" s="292">
        <v>85.0</v>
      </c>
      <c r="C855" s="291" t="s">
        <v>113</v>
      </c>
      <c r="D855" s="292" t="s">
        <v>472</v>
      </c>
      <c r="E855" s="291" t="s">
        <v>474</v>
      </c>
      <c r="F855" s="291" t="s">
        <v>992</v>
      </c>
      <c r="G855" s="293">
        <v>4544586.52</v>
      </c>
      <c r="H855" s="293">
        <v>0.0</v>
      </c>
      <c r="I855" s="294">
        <v>4544586.52</v>
      </c>
      <c r="J855" s="295"/>
      <c r="K855" s="7"/>
    </row>
    <row r="856" ht="15.75" customHeight="1">
      <c r="A856" s="286" t="s">
        <v>872</v>
      </c>
      <c r="B856" s="287">
        <v>85.0</v>
      </c>
      <c r="C856" s="286" t="s">
        <v>113</v>
      </c>
      <c r="D856" s="287" t="s">
        <v>472</v>
      </c>
      <c r="E856" s="286"/>
      <c r="F856" s="286" t="s">
        <v>993</v>
      </c>
      <c r="G856" s="288">
        <v>0.0</v>
      </c>
      <c r="H856" s="288">
        <v>0.06</v>
      </c>
      <c r="I856" s="289">
        <v>-0.06</v>
      </c>
      <c r="J856" s="290"/>
      <c r="K856" s="7"/>
    </row>
    <row r="857" ht="15.75" customHeight="1">
      <c r="A857" s="291" t="s">
        <v>872</v>
      </c>
      <c r="B857" s="292">
        <v>85.0</v>
      </c>
      <c r="C857" s="291" t="s">
        <v>113</v>
      </c>
      <c r="D857" s="292" t="s">
        <v>472</v>
      </c>
      <c r="E857" s="291"/>
      <c r="F857" s="291" t="s">
        <v>994</v>
      </c>
      <c r="G857" s="293">
        <v>5037950.0</v>
      </c>
      <c r="H857" s="293">
        <v>0.0</v>
      </c>
      <c r="I857" s="294">
        <v>5037950.0</v>
      </c>
      <c r="J857" s="295"/>
      <c r="K857" s="7"/>
    </row>
    <row r="858" ht="15.75" customHeight="1">
      <c r="A858" s="296" t="s">
        <v>872</v>
      </c>
      <c r="B858" s="296">
        <v>85.0</v>
      </c>
      <c r="C858" s="297" t="s">
        <v>113</v>
      </c>
      <c r="D858" s="296" t="s">
        <v>320</v>
      </c>
      <c r="E858" s="298"/>
      <c r="F858" s="297" t="s">
        <v>321</v>
      </c>
      <c r="G858" s="299">
        <v>9582536.52</v>
      </c>
      <c r="H858" s="299">
        <v>3660000.06</v>
      </c>
      <c r="I858" s="300">
        <v>5922536.46</v>
      </c>
      <c r="J858" s="300">
        <v>5922537.0</v>
      </c>
      <c r="K858" s="301">
        <v>-0.5400000000372529</v>
      </c>
    </row>
    <row r="859" ht="15.75" customHeight="1">
      <c r="A859" s="286" t="s">
        <v>872</v>
      </c>
      <c r="B859" s="287">
        <v>86.0</v>
      </c>
      <c r="C859" s="286" t="s">
        <v>116</v>
      </c>
      <c r="D859" s="287" t="s">
        <v>479</v>
      </c>
      <c r="E859" s="286"/>
      <c r="F859" s="286" t="s">
        <v>995</v>
      </c>
      <c r="G859" s="288">
        <v>0.0</v>
      </c>
      <c r="H859" s="288">
        <v>400000.0</v>
      </c>
      <c r="I859" s="289">
        <v>-400000.0</v>
      </c>
      <c r="J859" s="290"/>
      <c r="K859" s="7"/>
    </row>
    <row r="860" ht="15.75" customHeight="1">
      <c r="A860" s="291" t="s">
        <v>872</v>
      </c>
      <c r="B860" s="292">
        <v>86.0</v>
      </c>
      <c r="C860" s="291" t="s">
        <v>116</v>
      </c>
      <c r="D860" s="292" t="s">
        <v>479</v>
      </c>
      <c r="E860" s="291"/>
      <c r="F860" s="291" t="s">
        <v>996</v>
      </c>
      <c r="G860" s="293">
        <v>400000.0</v>
      </c>
      <c r="H860" s="293">
        <v>0.0</v>
      </c>
      <c r="I860" s="294">
        <v>400000.0</v>
      </c>
      <c r="J860" s="295"/>
      <c r="K860" s="7"/>
    </row>
    <row r="861" ht="15.75" customHeight="1">
      <c r="A861" s="296" t="s">
        <v>872</v>
      </c>
      <c r="B861" s="296">
        <v>86.0</v>
      </c>
      <c r="C861" s="297" t="s">
        <v>116</v>
      </c>
      <c r="D861" s="296" t="s">
        <v>320</v>
      </c>
      <c r="E861" s="298"/>
      <c r="F861" s="297" t="s">
        <v>321</v>
      </c>
      <c r="G861" s="299">
        <v>400000.0</v>
      </c>
      <c r="H861" s="299">
        <v>400000.0</v>
      </c>
      <c r="I861" s="300">
        <v>0.0</v>
      </c>
      <c r="J861" s="300">
        <v>800000.0</v>
      </c>
      <c r="K861" s="302">
        <v>-800000.0</v>
      </c>
    </row>
    <row r="862" ht="15.75" customHeight="1">
      <c r="A862" s="286" t="s">
        <v>872</v>
      </c>
      <c r="B862" s="287">
        <v>88.0</v>
      </c>
      <c r="C862" s="286" t="s">
        <v>119</v>
      </c>
      <c r="D862" s="287" t="s">
        <v>422</v>
      </c>
      <c r="E862" s="286"/>
      <c r="F862" s="286" t="s">
        <v>997</v>
      </c>
      <c r="G862" s="288">
        <v>0.0</v>
      </c>
      <c r="H862" s="288">
        <v>1.05616454E8</v>
      </c>
      <c r="I862" s="289">
        <v>-1.05616454E8</v>
      </c>
      <c r="J862" s="290"/>
      <c r="K862" s="7"/>
    </row>
    <row r="863" ht="15.75" customHeight="1">
      <c r="A863" s="291" t="s">
        <v>872</v>
      </c>
      <c r="B863" s="292">
        <v>88.0</v>
      </c>
      <c r="C863" s="291" t="s">
        <v>119</v>
      </c>
      <c r="D863" s="292" t="s">
        <v>422</v>
      </c>
      <c r="E863" s="291" t="s">
        <v>483</v>
      </c>
      <c r="F863" s="291" t="s">
        <v>998</v>
      </c>
      <c r="G863" s="293">
        <v>7.230895135E7</v>
      </c>
      <c r="H863" s="293">
        <v>0.0</v>
      </c>
      <c r="I863" s="294">
        <v>7.230895135E7</v>
      </c>
      <c r="J863" s="295"/>
      <c r="K863" s="7"/>
    </row>
    <row r="864" ht="15.75" customHeight="1">
      <c r="A864" s="286" t="s">
        <v>872</v>
      </c>
      <c r="B864" s="287">
        <v>88.0</v>
      </c>
      <c r="C864" s="286" t="s">
        <v>119</v>
      </c>
      <c r="D864" s="287" t="s">
        <v>422</v>
      </c>
      <c r="E864" s="286" t="s">
        <v>483</v>
      </c>
      <c r="F864" s="286" t="s">
        <v>999</v>
      </c>
      <c r="G864" s="288">
        <v>3289305.41</v>
      </c>
      <c r="H864" s="288">
        <v>0.0</v>
      </c>
      <c r="I864" s="289">
        <v>3289305.41</v>
      </c>
      <c r="J864" s="290"/>
      <c r="K864" s="7"/>
    </row>
    <row r="865" ht="15.75" customHeight="1">
      <c r="A865" s="291" t="s">
        <v>872</v>
      </c>
      <c r="B865" s="292">
        <v>88.0</v>
      </c>
      <c r="C865" s="291" t="s">
        <v>119</v>
      </c>
      <c r="D865" s="292" t="s">
        <v>422</v>
      </c>
      <c r="E865" s="291" t="s">
        <v>483</v>
      </c>
      <c r="F865" s="291" t="s">
        <v>1000</v>
      </c>
      <c r="G865" s="293">
        <v>3.001819726E7</v>
      </c>
      <c r="H865" s="293">
        <v>0.0</v>
      </c>
      <c r="I865" s="294">
        <v>3.001819726E7</v>
      </c>
      <c r="J865" s="295"/>
      <c r="K865" s="7"/>
    </row>
    <row r="866" ht="15.75" customHeight="1">
      <c r="A866" s="286" t="s">
        <v>872</v>
      </c>
      <c r="B866" s="287">
        <v>88.0</v>
      </c>
      <c r="C866" s="286" t="s">
        <v>119</v>
      </c>
      <c r="D866" s="287" t="s">
        <v>422</v>
      </c>
      <c r="E866" s="286"/>
      <c r="F866" s="286" t="s">
        <v>1001</v>
      </c>
      <c r="G866" s="288">
        <v>1.05201517E8</v>
      </c>
      <c r="H866" s="288">
        <v>0.0</v>
      </c>
      <c r="I866" s="289">
        <v>1.05201517E8</v>
      </c>
      <c r="J866" s="290"/>
      <c r="K866" s="7"/>
    </row>
    <row r="867" ht="15.75" customHeight="1">
      <c r="A867" s="296" t="s">
        <v>872</v>
      </c>
      <c r="B867" s="296">
        <v>88.0</v>
      </c>
      <c r="C867" s="297" t="s">
        <v>119</v>
      </c>
      <c r="D867" s="296" t="s">
        <v>320</v>
      </c>
      <c r="E867" s="298"/>
      <c r="F867" s="297" t="s">
        <v>321</v>
      </c>
      <c r="G867" s="299">
        <v>2.1081797102E8</v>
      </c>
      <c r="H867" s="299">
        <v>1.05616454E8</v>
      </c>
      <c r="I867" s="300">
        <v>1.0520151702E8</v>
      </c>
      <c r="J867" s="300">
        <v>1.05201617E8</v>
      </c>
      <c r="K867" s="302">
        <v>-99.98000000417233</v>
      </c>
    </row>
    <row r="868" ht="15.75" customHeight="1">
      <c r="A868" s="286" t="s">
        <v>872</v>
      </c>
      <c r="B868" s="287">
        <v>89.0</v>
      </c>
      <c r="C868" s="286" t="s">
        <v>121</v>
      </c>
      <c r="D868" s="287" t="s">
        <v>422</v>
      </c>
      <c r="E868" s="286"/>
      <c r="F868" s="286" t="s">
        <v>1002</v>
      </c>
      <c r="G868" s="288">
        <v>171376.0</v>
      </c>
      <c r="H868" s="288">
        <v>0.0</v>
      </c>
      <c r="I868" s="289">
        <v>171376.0</v>
      </c>
      <c r="J868" s="290"/>
      <c r="K868" s="7"/>
    </row>
    <row r="869" ht="15.75" customHeight="1">
      <c r="A869" s="291" t="s">
        <v>872</v>
      </c>
      <c r="B869" s="292">
        <v>89.0</v>
      </c>
      <c r="C869" s="291" t="s">
        <v>121</v>
      </c>
      <c r="D869" s="292" t="s">
        <v>422</v>
      </c>
      <c r="E869" s="291"/>
      <c r="F869" s="291" t="s">
        <v>1003</v>
      </c>
      <c r="G869" s="293">
        <v>1178845.0</v>
      </c>
      <c r="H869" s="293">
        <v>0.0</v>
      </c>
      <c r="I869" s="294">
        <v>1178845.0</v>
      </c>
      <c r="J869" s="295"/>
      <c r="K869" s="7"/>
    </row>
    <row r="870" ht="15.75" customHeight="1">
      <c r="A870" s="286" t="s">
        <v>872</v>
      </c>
      <c r="B870" s="287">
        <v>89.0</v>
      </c>
      <c r="C870" s="286" t="s">
        <v>121</v>
      </c>
      <c r="D870" s="287" t="s">
        <v>422</v>
      </c>
      <c r="E870" s="286"/>
      <c r="F870" s="286" t="s">
        <v>1004</v>
      </c>
      <c r="G870" s="288">
        <v>1812431.0</v>
      </c>
      <c r="H870" s="288">
        <v>0.0</v>
      </c>
      <c r="I870" s="289">
        <v>1812431.0</v>
      </c>
      <c r="J870" s="290"/>
      <c r="K870" s="7"/>
    </row>
    <row r="871" ht="15.75" customHeight="1">
      <c r="A871" s="291" t="s">
        <v>872</v>
      </c>
      <c r="B871" s="292">
        <v>89.0</v>
      </c>
      <c r="C871" s="291" t="s">
        <v>121</v>
      </c>
      <c r="D871" s="292" t="s">
        <v>422</v>
      </c>
      <c r="E871" s="291"/>
      <c r="F871" s="291" t="s">
        <v>1005</v>
      </c>
      <c r="G871" s="293">
        <v>994850.0</v>
      </c>
      <c r="H871" s="293">
        <v>0.0</v>
      </c>
      <c r="I871" s="294">
        <v>994850.0</v>
      </c>
      <c r="J871" s="295"/>
      <c r="K871" s="7"/>
    </row>
    <row r="872" ht="15.75" customHeight="1">
      <c r="A872" s="286" t="s">
        <v>872</v>
      </c>
      <c r="B872" s="287">
        <v>89.0</v>
      </c>
      <c r="C872" s="286" t="s">
        <v>121</v>
      </c>
      <c r="D872" s="287" t="s">
        <v>422</v>
      </c>
      <c r="E872" s="286"/>
      <c r="F872" s="286" t="s">
        <v>1006</v>
      </c>
      <c r="G872" s="288">
        <v>352871.0</v>
      </c>
      <c r="H872" s="288">
        <v>0.0</v>
      </c>
      <c r="I872" s="289">
        <v>352871.0</v>
      </c>
      <c r="J872" s="290"/>
      <c r="K872" s="7"/>
    </row>
    <row r="873" ht="15.75" customHeight="1">
      <c r="A873" s="291" t="s">
        <v>872</v>
      </c>
      <c r="B873" s="292">
        <v>89.0</v>
      </c>
      <c r="C873" s="291" t="s">
        <v>121</v>
      </c>
      <c r="D873" s="292" t="s">
        <v>422</v>
      </c>
      <c r="E873" s="291"/>
      <c r="F873" s="291" t="s">
        <v>1007</v>
      </c>
      <c r="G873" s="293">
        <v>170243.0</v>
      </c>
      <c r="H873" s="293">
        <v>0.0</v>
      </c>
      <c r="I873" s="294">
        <v>170243.0</v>
      </c>
      <c r="J873" s="295"/>
      <c r="K873" s="7"/>
    </row>
    <row r="874" ht="15.75" customHeight="1">
      <c r="A874" s="286" t="s">
        <v>872</v>
      </c>
      <c r="B874" s="287">
        <v>89.0</v>
      </c>
      <c r="C874" s="286" t="s">
        <v>121</v>
      </c>
      <c r="D874" s="287" t="s">
        <v>422</v>
      </c>
      <c r="E874" s="286"/>
      <c r="F874" s="286" t="s">
        <v>1008</v>
      </c>
      <c r="G874" s="288">
        <v>844391.0</v>
      </c>
      <c r="H874" s="288">
        <v>0.0</v>
      </c>
      <c r="I874" s="289">
        <v>844391.0</v>
      </c>
      <c r="J874" s="290"/>
      <c r="K874" s="7"/>
    </row>
    <row r="875" ht="15.75" customHeight="1">
      <c r="A875" s="291" t="s">
        <v>872</v>
      </c>
      <c r="B875" s="292">
        <v>89.0</v>
      </c>
      <c r="C875" s="291" t="s">
        <v>121</v>
      </c>
      <c r="D875" s="292" t="s">
        <v>422</v>
      </c>
      <c r="E875" s="291"/>
      <c r="F875" s="291" t="s">
        <v>1009</v>
      </c>
      <c r="G875" s="293">
        <v>247538.0</v>
      </c>
      <c r="H875" s="293">
        <v>0.0</v>
      </c>
      <c r="I875" s="294">
        <v>247538.0</v>
      </c>
      <c r="J875" s="295"/>
      <c r="K875" s="7"/>
    </row>
    <row r="876" ht="15.75" customHeight="1">
      <c r="A876" s="286" t="s">
        <v>872</v>
      </c>
      <c r="B876" s="287">
        <v>89.0</v>
      </c>
      <c r="C876" s="286" t="s">
        <v>121</v>
      </c>
      <c r="D876" s="287" t="s">
        <v>422</v>
      </c>
      <c r="E876" s="286"/>
      <c r="F876" s="286" t="s">
        <v>1010</v>
      </c>
      <c r="G876" s="288">
        <v>538986.0</v>
      </c>
      <c r="H876" s="288">
        <v>0.0</v>
      </c>
      <c r="I876" s="289">
        <v>538986.0</v>
      </c>
      <c r="J876" s="290"/>
      <c r="K876" s="7"/>
    </row>
    <row r="877" ht="15.75" customHeight="1">
      <c r="A877" s="291" t="s">
        <v>872</v>
      </c>
      <c r="B877" s="292">
        <v>89.0</v>
      </c>
      <c r="C877" s="291" t="s">
        <v>121</v>
      </c>
      <c r="D877" s="292" t="s">
        <v>422</v>
      </c>
      <c r="E877" s="291"/>
      <c r="F877" s="291" t="s">
        <v>1011</v>
      </c>
      <c r="G877" s="293">
        <v>1339004.0</v>
      </c>
      <c r="H877" s="293">
        <v>0.0</v>
      </c>
      <c r="I877" s="294">
        <v>1339004.0</v>
      </c>
      <c r="J877" s="295"/>
      <c r="K877" s="7"/>
    </row>
    <row r="878" ht="15.75" customHeight="1">
      <c r="A878" s="286" t="s">
        <v>872</v>
      </c>
      <c r="B878" s="287">
        <v>89.0</v>
      </c>
      <c r="C878" s="286" t="s">
        <v>121</v>
      </c>
      <c r="D878" s="287" t="s">
        <v>422</v>
      </c>
      <c r="E878" s="286"/>
      <c r="F878" s="286" t="s">
        <v>1012</v>
      </c>
      <c r="G878" s="288">
        <v>1339333.0</v>
      </c>
      <c r="H878" s="288">
        <v>0.0</v>
      </c>
      <c r="I878" s="289">
        <v>1339333.0</v>
      </c>
      <c r="J878" s="290"/>
      <c r="K878" s="7"/>
    </row>
    <row r="879" ht="15.75" customHeight="1">
      <c r="A879" s="291" t="s">
        <v>872</v>
      </c>
      <c r="B879" s="292">
        <v>89.0</v>
      </c>
      <c r="C879" s="291" t="s">
        <v>121</v>
      </c>
      <c r="D879" s="292" t="s">
        <v>422</v>
      </c>
      <c r="E879" s="291"/>
      <c r="F879" s="291" t="s">
        <v>1013</v>
      </c>
      <c r="G879" s="293">
        <v>4229602.0</v>
      </c>
      <c r="H879" s="293">
        <v>0.0</v>
      </c>
      <c r="I879" s="294">
        <v>4229602.0</v>
      </c>
      <c r="J879" s="295"/>
      <c r="K879" s="7"/>
    </row>
    <row r="880" ht="15.75" customHeight="1">
      <c r="A880" s="286" t="s">
        <v>872</v>
      </c>
      <c r="B880" s="287">
        <v>89.0</v>
      </c>
      <c r="C880" s="286" t="s">
        <v>121</v>
      </c>
      <c r="D880" s="287" t="s">
        <v>422</v>
      </c>
      <c r="E880" s="286"/>
      <c r="F880" s="286" t="s">
        <v>1014</v>
      </c>
      <c r="G880" s="288">
        <v>610756.0</v>
      </c>
      <c r="H880" s="288">
        <v>0.0</v>
      </c>
      <c r="I880" s="289">
        <v>610756.0</v>
      </c>
      <c r="J880" s="290"/>
      <c r="K880" s="7"/>
    </row>
    <row r="881" ht="15.75" customHeight="1">
      <c r="A881" s="296" t="s">
        <v>872</v>
      </c>
      <c r="B881" s="296">
        <v>89.0</v>
      </c>
      <c r="C881" s="297" t="s">
        <v>121</v>
      </c>
      <c r="D881" s="296" t="s">
        <v>320</v>
      </c>
      <c r="E881" s="298"/>
      <c r="F881" s="297" t="s">
        <v>321</v>
      </c>
      <c r="G881" s="299">
        <v>1.3830226E7</v>
      </c>
      <c r="H881" s="299">
        <v>0.0</v>
      </c>
      <c r="I881" s="300">
        <v>1.3830226E7</v>
      </c>
      <c r="J881" s="300">
        <v>1.3830226E7</v>
      </c>
      <c r="K881" s="301">
        <v>0.0</v>
      </c>
    </row>
    <row r="882" ht="15.75" customHeight="1">
      <c r="A882" s="286" t="s">
        <v>872</v>
      </c>
      <c r="B882" s="287">
        <v>94.0</v>
      </c>
      <c r="C882" s="286" t="s">
        <v>126</v>
      </c>
      <c r="D882" s="287" t="s">
        <v>549</v>
      </c>
      <c r="E882" s="286" t="s">
        <v>1015</v>
      </c>
      <c r="F882" s="286" t="s">
        <v>1016</v>
      </c>
      <c r="G882" s="288">
        <v>188902.4</v>
      </c>
      <c r="H882" s="288">
        <v>0.0</v>
      </c>
      <c r="I882" s="289">
        <v>188902.4</v>
      </c>
      <c r="J882" s="290"/>
      <c r="K882" s="7"/>
    </row>
    <row r="883" ht="15.75" customHeight="1">
      <c r="A883" s="296" t="s">
        <v>872</v>
      </c>
      <c r="B883" s="296">
        <v>94.0</v>
      </c>
      <c r="C883" s="297" t="s">
        <v>126</v>
      </c>
      <c r="D883" s="296" t="s">
        <v>320</v>
      </c>
      <c r="E883" s="298"/>
      <c r="F883" s="297" t="s">
        <v>321</v>
      </c>
      <c r="G883" s="299">
        <v>188902.4</v>
      </c>
      <c r="H883" s="299">
        <v>0.0</v>
      </c>
      <c r="I883" s="300">
        <v>188902.4</v>
      </c>
      <c r="J883" s="300">
        <v>188902.0</v>
      </c>
      <c r="K883" s="301">
        <v>0.3999999999941792</v>
      </c>
    </row>
    <row r="884" ht="15.75" customHeight="1">
      <c r="A884" s="286" t="s">
        <v>872</v>
      </c>
      <c r="B884" s="287">
        <v>95.0</v>
      </c>
      <c r="C884" s="286" t="s">
        <v>129</v>
      </c>
      <c r="D884" s="287" t="s">
        <v>503</v>
      </c>
      <c r="E884" s="286" t="s">
        <v>504</v>
      </c>
      <c r="F884" s="286" t="s">
        <v>1017</v>
      </c>
      <c r="G884" s="288">
        <v>6048000.0</v>
      </c>
      <c r="H884" s="288">
        <v>0.0</v>
      </c>
      <c r="I884" s="289">
        <v>6048000.0</v>
      </c>
      <c r="J884" s="290"/>
      <c r="K884" s="7"/>
    </row>
    <row r="885" ht="15.75" customHeight="1">
      <c r="A885" s="291" t="s">
        <v>872</v>
      </c>
      <c r="B885" s="292">
        <v>95.0</v>
      </c>
      <c r="C885" s="291" t="s">
        <v>129</v>
      </c>
      <c r="D885" s="292" t="s">
        <v>503</v>
      </c>
      <c r="E885" s="291" t="s">
        <v>504</v>
      </c>
      <c r="F885" s="291" t="s">
        <v>1018</v>
      </c>
      <c r="G885" s="293">
        <v>980000.0</v>
      </c>
      <c r="H885" s="293">
        <v>0.0</v>
      </c>
      <c r="I885" s="294">
        <v>980000.0</v>
      </c>
      <c r="J885" s="295"/>
      <c r="K885" s="7"/>
    </row>
    <row r="886" ht="15.75" customHeight="1">
      <c r="A886" s="296" t="s">
        <v>872</v>
      </c>
      <c r="B886" s="296">
        <v>95.0</v>
      </c>
      <c r="C886" s="297" t="s">
        <v>129</v>
      </c>
      <c r="D886" s="296" t="s">
        <v>320</v>
      </c>
      <c r="E886" s="298"/>
      <c r="F886" s="297" t="s">
        <v>321</v>
      </c>
      <c r="G886" s="299">
        <v>7028000.0</v>
      </c>
      <c r="H886" s="299">
        <v>0.0</v>
      </c>
      <c r="I886" s="300">
        <v>7028000.0</v>
      </c>
      <c r="J886" s="300">
        <v>7028000.0</v>
      </c>
      <c r="K886" s="301">
        <v>0.0</v>
      </c>
    </row>
    <row r="887" ht="15.75" customHeight="1">
      <c r="A887" s="286" t="s">
        <v>872</v>
      </c>
      <c r="B887" s="287">
        <v>96.0</v>
      </c>
      <c r="C887" s="286" t="s">
        <v>132</v>
      </c>
      <c r="D887" s="287" t="s">
        <v>503</v>
      </c>
      <c r="E887" s="286"/>
      <c r="F887" s="286" t="s">
        <v>1019</v>
      </c>
      <c r="G887" s="288">
        <v>0.0</v>
      </c>
      <c r="H887" s="288">
        <v>1500000.0</v>
      </c>
      <c r="I887" s="289">
        <v>-1500000.0</v>
      </c>
      <c r="J887" s="290"/>
      <c r="K887" s="7"/>
    </row>
    <row r="888" ht="15.75" customHeight="1">
      <c r="A888" s="291" t="s">
        <v>872</v>
      </c>
      <c r="B888" s="292">
        <v>96.0</v>
      </c>
      <c r="C888" s="291" t="s">
        <v>132</v>
      </c>
      <c r="D888" s="292" t="s">
        <v>509</v>
      </c>
      <c r="E888" s="291" t="s">
        <v>510</v>
      </c>
      <c r="F888" s="291" t="s">
        <v>1020</v>
      </c>
      <c r="G888" s="293">
        <v>200000.0</v>
      </c>
      <c r="H888" s="293">
        <v>0.0</v>
      </c>
      <c r="I888" s="294">
        <v>200000.0</v>
      </c>
      <c r="J888" s="295"/>
      <c r="K888" s="7"/>
    </row>
    <row r="889" ht="15.75" customHeight="1">
      <c r="A889" s="296" t="s">
        <v>872</v>
      </c>
      <c r="B889" s="296">
        <v>96.0</v>
      </c>
      <c r="C889" s="297" t="s">
        <v>132</v>
      </c>
      <c r="D889" s="296" t="s">
        <v>320</v>
      </c>
      <c r="E889" s="298"/>
      <c r="F889" s="297" t="s">
        <v>321</v>
      </c>
      <c r="G889" s="299">
        <v>200000.0</v>
      </c>
      <c r="H889" s="299">
        <v>1500000.0</v>
      </c>
      <c r="I889" s="300">
        <v>-1300000.0</v>
      </c>
      <c r="J889" s="300">
        <v>200000.0</v>
      </c>
      <c r="K889" s="302">
        <v>-1500000.0</v>
      </c>
    </row>
    <row r="890" ht="15.75" customHeight="1">
      <c r="A890" s="286" t="s">
        <v>872</v>
      </c>
      <c r="B890" s="287">
        <v>97.0</v>
      </c>
      <c r="C890" s="286" t="s">
        <v>133</v>
      </c>
      <c r="D890" s="287" t="s">
        <v>222</v>
      </c>
      <c r="E890" s="286" t="s">
        <v>514</v>
      </c>
      <c r="F890" s="286" t="s">
        <v>1021</v>
      </c>
      <c r="G890" s="288">
        <v>257900.0</v>
      </c>
      <c r="H890" s="288">
        <v>0.0</v>
      </c>
      <c r="I890" s="289">
        <v>257900.0</v>
      </c>
      <c r="J890" s="290"/>
      <c r="K890" s="7"/>
    </row>
    <row r="891" ht="15.75" customHeight="1">
      <c r="A891" s="296" t="s">
        <v>872</v>
      </c>
      <c r="B891" s="296">
        <v>97.0</v>
      </c>
      <c r="C891" s="297" t="s">
        <v>133</v>
      </c>
      <c r="D891" s="296" t="s">
        <v>320</v>
      </c>
      <c r="E891" s="298"/>
      <c r="F891" s="297" t="s">
        <v>321</v>
      </c>
      <c r="G891" s="299">
        <v>257900.0</v>
      </c>
      <c r="H891" s="299">
        <v>0.0</v>
      </c>
      <c r="I891" s="300">
        <v>257900.0</v>
      </c>
      <c r="J891" s="300">
        <v>257900.0</v>
      </c>
      <c r="K891" s="301">
        <v>0.0</v>
      </c>
    </row>
    <row r="892" ht="15.75" customHeight="1">
      <c r="A892" s="286" t="s">
        <v>872</v>
      </c>
      <c r="B892" s="287">
        <v>101.0</v>
      </c>
      <c r="C892" s="286" t="s">
        <v>139</v>
      </c>
      <c r="D892" s="287" t="s">
        <v>222</v>
      </c>
      <c r="E892" s="286" t="s">
        <v>438</v>
      </c>
      <c r="F892" s="286" t="s">
        <v>1022</v>
      </c>
      <c r="G892" s="288">
        <v>11400.0</v>
      </c>
      <c r="H892" s="288">
        <v>0.0</v>
      </c>
      <c r="I892" s="289">
        <v>11400.0</v>
      </c>
      <c r="J892" s="290"/>
      <c r="K892" s="7"/>
    </row>
    <row r="893" ht="15.75" customHeight="1">
      <c r="A893" s="296" t="s">
        <v>872</v>
      </c>
      <c r="B893" s="296">
        <v>101.0</v>
      </c>
      <c r="C893" s="297" t="s">
        <v>139</v>
      </c>
      <c r="D893" s="296" t="s">
        <v>320</v>
      </c>
      <c r="E893" s="298"/>
      <c r="F893" s="297" t="s">
        <v>321</v>
      </c>
      <c r="G893" s="299">
        <v>11400.0</v>
      </c>
      <c r="H893" s="299">
        <v>0.0</v>
      </c>
      <c r="I893" s="300">
        <v>11400.0</v>
      </c>
      <c r="J893" s="300">
        <v>11400.0</v>
      </c>
      <c r="K893" s="301">
        <v>0.0</v>
      </c>
    </row>
    <row r="894" ht="15.75" customHeight="1">
      <c r="A894" s="286" t="s">
        <v>872</v>
      </c>
      <c r="B894" s="287">
        <v>107.0</v>
      </c>
      <c r="C894" s="286" t="s">
        <v>149</v>
      </c>
      <c r="D894" s="287" t="s">
        <v>516</v>
      </c>
      <c r="E894" s="286"/>
      <c r="F894" s="286" t="s">
        <v>1023</v>
      </c>
      <c r="G894" s="288">
        <v>9.325749431E7</v>
      </c>
      <c r="H894" s="288">
        <v>0.0</v>
      </c>
      <c r="I894" s="289">
        <v>9.325749431E7</v>
      </c>
      <c r="J894" s="290"/>
      <c r="K894" s="7"/>
    </row>
    <row r="895" ht="15.75" customHeight="1">
      <c r="A895" s="291" t="s">
        <v>872</v>
      </c>
      <c r="B895" s="292">
        <v>107.0</v>
      </c>
      <c r="C895" s="291" t="s">
        <v>149</v>
      </c>
      <c r="D895" s="292" t="s">
        <v>516</v>
      </c>
      <c r="E895" s="291"/>
      <c r="F895" s="291" t="s">
        <v>1023</v>
      </c>
      <c r="G895" s="293">
        <v>1.8426226841E8</v>
      </c>
      <c r="H895" s="293">
        <v>0.0</v>
      </c>
      <c r="I895" s="294">
        <v>1.8426226841E8</v>
      </c>
      <c r="J895" s="295"/>
      <c r="K895" s="7"/>
    </row>
    <row r="896" ht="15.75" customHeight="1">
      <c r="A896" s="286" t="s">
        <v>872</v>
      </c>
      <c r="B896" s="287">
        <v>107.0</v>
      </c>
      <c r="C896" s="286" t="s">
        <v>149</v>
      </c>
      <c r="D896" s="287" t="s">
        <v>518</v>
      </c>
      <c r="E896" s="286"/>
      <c r="F896" s="286" t="s">
        <v>1023</v>
      </c>
      <c r="G896" s="288">
        <v>2.319239275E7</v>
      </c>
      <c r="H896" s="288">
        <v>0.0</v>
      </c>
      <c r="I896" s="289">
        <v>2.319239275E7</v>
      </c>
      <c r="J896" s="290"/>
      <c r="K896" s="7"/>
    </row>
    <row r="897" ht="15.75" customHeight="1">
      <c r="A897" s="296" t="s">
        <v>872</v>
      </c>
      <c r="B897" s="296">
        <v>107.0</v>
      </c>
      <c r="C897" s="297" t="s">
        <v>149</v>
      </c>
      <c r="D897" s="296" t="s">
        <v>320</v>
      </c>
      <c r="E897" s="298"/>
      <c r="F897" s="297" t="s">
        <v>321</v>
      </c>
      <c r="G897" s="299">
        <v>3.0071215547E8</v>
      </c>
      <c r="H897" s="299">
        <v>0.0</v>
      </c>
      <c r="I897" s="300">
        <v>3.0071215547E8</v>
      </c>
      <c r="J897" s="300">
        <v>1.1644988706E8</v>
      </c>
      <c r="K897" s="302">
        <v>1.8426226841E8</v>
      </c>
    </row>
    <row r="898" ht="15.75" customHeight="1">
      <c r="A898" s="286" t="s">
        <v>872</v>
      </c>
      <c r="B898" s="287">
        <v>108.0</v>
      </c>
      <c r="C898" s="286" t="s">
        <v>153</v>
      </c>
      <c r="D898" s="287" t="s">
        <v>516</v>
      </c>
      <c r="E898" s="286"/>
      <c r="F898" s="286" t="s">
        <v>1024</v>
      </c>
      <c r="G898" s="288">
        <v>4776934.03</v>
      </c>
      <c r="H898" s="288">
        <v>0.0</v>
      </c>
      <c r="I898" s="289">
        <v>4776934.03</v>
      </c>
      <c r="J898" s="290"/>
      <c r="K898" s="7"/>
    </row>
    <row r="899" ht="15.75" customHeight="1">
      <c r="A899" s="291" t="s">
        <v>872</v>
      </c>
      <c r="B899" s="292">
        <v>108.0</v>
      </c>
      <c r="C899" s="291" t="s">
        <v>153</v>
      </c>
      <c r="D899" s="292" t="s">
        <v>518</v>
      </c>
      <c r="E899" s="291"/>
      <c r="F899" s="291" t="s">
        <v>1024</v>
      </c>
      <c r="G899" s="293">
        <v>1146464.17</v>
      </c>
      <c r="H899" s="293">
        <v>0.0</v>
      </c>
      <c r="I899" s="294">
        <v>1146464.17</v>
      </c>
      <c r="J899" s="295"/>
      <c r="K899" s="7"/>
    </row>
    <row r="900" ht="15.75" customHeight="1">
      <c r="A900" s="296" t="s">
        <v>872</v>
      </c>
      <c r="B900" s="296">
        <v>108.0</v>
      </c>
      <c r="C900" s="297" t="s">
        <v>153</v>
      </c>
      <c r="D900" s="296" t="s">
        <v>320</v>
      </c>
      <c r="E900" s="298"/>
      <c r="F900" s="297" t="s">
        <v>321</v>
      </c>
      <c r="G900" s="299">
        <v>5923398.2</v>
      </c>
      <c r="H900" s="299">
        <v>0.0</v>
      </c>
      <c r="I900" s="300">
        <v>5923398.2</v>
      </c>
      <c r="J900" s="300">
        <v>5923398.2</v>
      </c>
      <c r="K900" s="301">
        <v>0.0</v>
      </c>
    </row>
    <row r="901" ht="15.75" customHeight="1">
      <c r="A901" s="286" t="s">
        <v>872</v>
      </c>
      <c r="B901" s="287">
        <v>109.0</v>
      </c>
      <c r="C901" s="286" t="s">
        <v>154</v>
      </c>
      <c r="D901" s="287" t="s">
        <v>516</v>
      </c>
      <c r="E901" s="286"/>
      <c r="F901" s="286" t="s">
        <v>1025</v>
      </c>
      <c r="G901" s="288">
        <v>5868783.45</v>
      </c>
      <c r="H901" s="288">
        <v>0.0</v>
      </c>
      <c r="I901" s="289">
        <v>5868783.45</v>
      </c>
      <c r="J901" s="290"/>
      <c r="K901" s="7"/>
    </row>
    <row r="902" ht="15.75" customHeight="1">
      <c r="A902" s="291" t="s">
        <v>872</v>
      </c>
      <c r="B902" s="292">
        <v>109.0</v>
      </c>
      <c r="C902" s="291" t="s">
        <v>154</v>
      </c>
      <c r="D902" s="292" t="s">
        <v>518</v>
      </c>
      <c r="E902" s="291"/>
      <c r="F902" s="291" t="s">
        <v>1025</v>
      </c>
      <c r="G902" s="293">
        <v>1408508.03</v>
      </c>
      <c r="H902" s="293">
        <v>0.0</v>
      </c>
      <c r="I902" s="294">
        <v>1408508.03</v>
      </c>
      <c r="J902" s="295"/>
      <c r="K902" s="7"/>
    </row>
    <row r="903" ht="15.75" customHeight="1">
      <c r="A903" s="296" t="s">
        <v>872</v>
      </c>
      <c r="B903" s="296">
        <v>109.0</v>
      </c>
      <c r="C903" s="297" t="s">
        <v>154</v>
      </c>
      <c r="D903" s="296" t="s">
        <v>320</v>
      </c>
      <c r="E903" s="298"/>
      <c r="F903" s="297" t="s">
        <v>321</v>
      </c>
      <c r="G903" s="299">
        <v>7277291.48</v>
      </c>
      <c r="H903" s="299">
        <v>0.0</v>
      </c>
      <c r="I903" s="300">
        <v>7277291.48</v>
      </c>
      <c r="J903" s="300">
        <v>7277291.48</v>
      </c>
      <c r="K903" s="301">
        <v>0.0</v>
      </c>
    </row>
    <row r="904" ht="15.75" customHeight="1">
      <c r="A904" s="286" t="s">
        <v>872</v>
      </c>
      <c r="B904" s="287">
        <v>110.0</v>
      </c>
      <c r="C904" s="286" t="s">
        <v>155</v>
      </c>
      <c r="D904" s="287" t="s">
        <v>516</v>
      </c>
      <c r="E904" s="286"/>
      <c r="F904" s="286" t="s">
        <v>1026</v>
      </c>
      <c r="G904" s="288">
        <v>0.0</v>
      </c>
      <c r="H904" s="288">
        <v>6772481.23</v>
      </c>
      <c r="I904" s="289">
        <v>-6772481.23</v>
      </c>
      <c r="J904" s="290"/>
      <c r="K904" s="7"/>
    </row>
    <row r="905" ht="15.75" customHeight="1">
      <c r="A905" s="291" t="s">
        <v>872</v>
      </c>
      <c r="B905" s="292">
        <v>110.0</v>
      </c>
      <c r="C905" s="291" t="s">
        <v>155</v>
      </c>
      <c r="D905" s="292" t="s">
        <v>518</v>
      </c>
      <c r="E905" s="291"/>
      <c r="F905" s="291" t="s">
        <v>1026</v>
      </c>
      <c r="G905" s="293">
        <v>0.0</v>
      </c>
      <c r="H905" s="293">
        <v>1625395.5</v>
      </c>
      <c r="I905" s="294">
        <v>-1625395.5</v>
      </c>
      <c r="J905" s="295"/>
      <c r="K905" s="7"/>
    </row>
    <row r="906" ht="15.75" customHeight="1">
      <c r="A906" s="296" t="s">
        <v>872</v>
      </c>
      <c r="B906" s="296">
        <v>110.0</v>
      </c>
      <c r="C906" s="297" t="s">
        <v>155</v>
      </c>
      <c r="D906" s="296" t="s">
        <v>320</v>
      </c>
      <c r="E906" s="298"/>
      <c r="F906" s="297" t="s">
        <v>321</v>
      </c>
      <c r="G906" s="299">
        <v>0.0</v>
      </c>
      <c r="H906" s="299">
        <v>8397876.73</v>
      </c>
      <c r="I906" s="300">
        <v>-8397876.73</v>
      </c>
      <c r="J906" s="300">
        <v>-8397876.73</v>
      </c>
      <c r="K906" s="301">
        <v>0.0</v>
      </c>
    </row>
    <row r="907" ht="15.75" customHeight="1">
      <c r="A907" s="286" t="s">
        <v>872</v>
      </c>
      <c r="B907" s="287">
        <v>111.0</v>
      </c>
      <c r="C907" s="286" t="s">
        <v>156</v>
      </c>
      <c r="D907" s="287" t="s">
        <v>522</v>
      </c>
      <c r="E907" s="286" t="s">
        <v>523</v>
      </c>
      <c r="F907" s="286" t="s">
        <v>1027</v>
      </c>
      <c r="G907" s="288">
        <v>8211062.49</v>
      </c>
      <c r="H907" s="288">
        <v>0.0</v>
      </c>
      <c r="I907" s="289">
        <v>8211062.49</v>
      </c>
      <c r="J907" s="290"/>
      <c r="K907" s="7"/>
    </row>
    <row r="908" ht="15.75" customHeight="1">
      <c r="A908" s="291" t="s">
        <v>872</v>
      </c>
      <c r="B908" s="292">
        <v>111.0</v>
      </c>
      <c r="C908" s="291" t="s">
        <v>156</v>
      </c>
      <c r="D908" s="292" t="s">
        <v>522</v>
      </c>
      <c r="E908" s="291" t="s">
        <v>523</v>
      </c>
      <c r="F908" s="291" t="s">
        <v>1027</v>
      </c>
      <c r="G908" s="293">
        <v>175198.37</v>
      </c>
      <c r="H908" s="293">
        <v>0.0</v>
      </c>
      <c r="I908" s="294">
        <v>175198.37</v>
      </c>
      <c r="J908" s="295"/>
      <c r="K908" s="7"/>
    </row>
    <row r="909" ht="15.75" customHeight="1">
      <c r="A909" s="286" t="s">
        <v>872</v>
      </c>
      <c r="B909" s="287">
        <v>111.0</v>
      </c>
      <c r="C909" s="286" t="s">
        <v>156</v>
      </c>
      <c r="D909" s="287" t="s">
        <v>522</v>
      </c>
      <c r="E909" s="286" t="s">
        <v>523</v>
      </c>
      <c r="F909" s="286" t="s">
        <v>1028</v>
      </c>
      <c r="G909" s="288">
        <v>0.0</v>
      </c>
      <c r="H909" s="288">
        <v>2362713.77</v>
      </c>
      <c r="I909" s="289">
        <v>-2362713.77</v>
      </c>
      <c r="J909" s="290"/>
      <c r="K909" s="7"/>
    </row>
    <row r="910" ht="15.75" customHeight="1">
      <c r="A910" s="291" t="s">
        <v>872</v>
      </c>
      <c r="B910" s="292">
        <v>111.0</v>
      </c>
      <c r="C910" s="291" t="s">
        <v>156</v>
      </c>
      <c r="D910" s="292" t="s">
        <v>522</v>
      </c>
      <c r="E910" s="291" t="s">
        <v>523</v>
      </c>
      <c r="F910" s="291" t="s">
        <v>1029</v>
      </c>
      <c r="G910" s="293">
        <v>238120.69</v>
      </c>
      <c r="H910" s="293">
        <v>0.0</v>
      </c>
      <c r="I910" s="294">
        <v>238120.69</v>
      </c>
      <c r="J910" s="295"/>
      <c r="K910" s="7"/>
    </row>
    <row r="911" ht="15.75" customHeight="1">
      <c r="A911" s="286" t="s">
        <v>872</v>
      </c>
      <c r="B911" s="287">
        <v>111.0</v>
      </c>
      <c r="C911" s="286" t="s">
        <v>156</v>
      </c>
      <c r="D911" s="287" t="s">
        <v>522</v>
      </c>
      <c r="E911" s="286" t="s">
        <v>523</v>
      </c>
      <c r="F911" s="286" t="s">
        <v>1029</v>
      </c>
      <c r="G911" s="288">
        <v>5080.75</v>
      </c>
      <c r="H911" s="288">
        <v>0.0</v>
      </c>
      <c r="I911" s="289">
        <v>5080.75</v>
      </c>
      <c r="J911" s="290"/>
      <c r="K911" s="7"/>
    </row>
    <row r="912" ht="15.75" customHeight="1">
      <c r="A912" s="296" t="s">
        <v>872</v>
      </c>
      <c r="B912" s="296">
        <v>111.0</v>
      </c>
      <c r="C912" s="297" t="s">
        <v>156</v>
      </c>
      <c r="D912" s="296" t="s">
        <v>320</v>
      </c>
      <c r="E912" s="298"/>
      <c r="F912" s="297" t="s">
        <v>321</v>
      </c>
      <c r="G912" s="299">
        <v>8629462.3</v>
      </c>
      <c r="H912" s="299">
        <v>2362713.77</v>
      </c>
      <c r="I912" s="300">
        <v>6266748.53</v>
      </c>
      <c r="J912" s="300">
        <v>6266749.0</v>
      </c>
      <c r="K912" s="301">
        <v>-0.4699999997392297</v>
      </c>
    </row>
    <row r="913" ht="15.75" customHeight="1">
      <c r="A913" s="286" t="s">
        <v>872</v>
      </c>
      <c r="B913" s="287">
        <v>112.0</v>
      </c>
      <c r="C913" s="286" t="s">
        <v>157</v>
      </c>
      <c r="D913" s="287" t="s">
        <v>522</v>
      </c>
      <c r="E913" s="286" t="s">
        <v>791</v>
      </c>
      <c r="F913" s="286" t="s">
        <v>1030</v>
      </c>
      <c r="G913" s="288">
        <v>1126441.38</v>
      </c>
      <c r="H913" s="288">
        <v>0.0</v>
      </c>
      <c r="I913" s="289">
        <v>1126441.38</v>
      </c>
      <c r="J913" s="290"/>
      <c r="K913" s="7"/>
    </row>
    <row r="914" ht="15.75" customHeight="1">
      <c r="A914" s="291" t="s">
        <v>872</v>
      </c>
      <c r="B914" s="292">
        <v>112.0</v>
      </c>
      <c r="C914" s="291" t="s">
        <v>157</v>
      </c>
      <c r="D914" s="292" t="s">
        <v>522</v>
      </c>
      <c r="E914" s="291"/>
      <c r="F914" s="291" t="s">
        <v>1031</v>
      </c>
      <c r="G914" s="293">
        <v>0.0</v>
      </c>
      <c r="H914" s="293">
        <v>1300000.0</v>
      </c>
      <c r="I914" s="294">
        <v>-1300000.0</v>
      </c>
      <c r="J914" s="295"/>
      <c r="K914" s="7"/>
    </row>
    <row r="915" ht="15.75" customHeight="1">
      <c r="A915" s="286" t="s">
        <v>872</v>
      </c>
      <c r="B915" s="287">
        <v>112.0</v>
      </c>
      <c r="C915" s="286" t="s">
        <v>157</v>
      </c>
      <c r="D915" s="287" t="s">
        <v>522</v>
      </c>
      <c r="E915" s="286"/>
      <c r="F915" s="286" t="s">
        <v>1032</v>
      </c>
      <c r="G915" s="288">
        <v>1300000.0</v>
      </c>
      <c r="H915" s="288">
        <v>0.0</v>
      </c>
      <c r="I915" s="289">
        <v>1300000.0</v>
      </c>
      <c r="J915" s="290"/>
      <c r="K915" s="7"/>
    </row>
    <row r="916" ht="15.75" customHeight="1">
      <c r="A916" s="296" t="s">
        <v>872</v>
      </c>
      <c r="B916" s="296">
        <v>112.0</v>
      </c>
      <c r="C916" s="297" t="s">
        <v>157</v>
      </c>
      <c r="D916" s="296" t="s">
        <v>320</v>
      </c>
      <c r="E916" s="298"/>
      <c r="F916" s="297" t="s">
        <v>321</v>
      </c>
      <c r="G916" s="299">
        <v>2426441.38</v>
      </c>
      <c r="H916" s="299">
        <v>1300000.0</v>
      </c>
      <c r="I916" s="300">
        <v>1126441.38</v>
      </c>
      <c r="J916" s="300">
        <v>1126442.0</v>
      </c>
      <c r="K916" s="301">
        <v>-0.6200000001117587</v>
      </c>
    </row>
    <row r="917" ht="15.75" customHeight="1">
      <c r="A917" s="286" t="s">
        <v>872</v>
      </c>
      <c r="B917" s="287">
        <v>114.0</v>
      </c>
      <c r="C917" s="286" t="s">
        <v>160</v>
      </c>
      <c r="D917" s="287" t="s">
        <v>527</v>
      </c>
      <c r="E917" s="286" t="s">
        <v>1033</v>
      </c>
      <c r="F917" s="286" t="s">
        <v>1034</v>
      </c>
      <c r="G917" s="288">
        <v>1430000.0</v>
      </c>
      <c r="H917" s="288">
        <v>0.0</v>
      </c>
      <c r="I917" s="289">
        <v>1430000.0</v>
      </c>
      <c r="J917" s="290"/>
      <c r="K917" s="7"/>
    </row>
    <row r="918" ht="15.75" customHeight="1">
      <c r="A918" s="291" t="s">
        <v>872</v>
      </c>
      <c r="B918" s="292">
        <v>114.0</v>
      </c>
      <c r="C918" s="291" t="s">
        <v>160</v>
      </c>
      <c r="D918" s="292" t="s">
        <v>527</v>
      </c>
      <c r="E918" s="291" t="s">
        <v>507</v>
      </c>
      <c r="F918" s="291" t="s">
        <v>1035</v>
      </c>
      <c r="G918" s="293">
        <v>125000.0</v>
      </c>
      <c r="H918" s="293">
        <v>0.0</v>
      </c>
      <c r="I918" s="294">
        <v>125000.0</v>
      </c>
      <c r="J918" s="295"/>
      <c r="K918" s="7"/>
    </row>
    <row r="919" ht="15.75" customHeight="1">
      <c r="A919" s="286" t="s">
        <v>872</v>
      </c>
      <c r="B919" s="287">
        <v>114.0</v>
      </c>
      <c r="C919" s="286" t="s">
        <v>160</v>
      </c>
      <c r="D919" s="287" t="s">
        <v>527</v>
      </c>
      <c r="E919" s="286" t="s">
        <v>1033</v>
      </c>
      <c r="F919" s="286" t="s">
        <v>1036</v>
      </c>
      <c r="G919" s="288">
        <v>1430000.0</v>
      </c>
      <c r="H919" s="288">
        <v>0.0</v>
      </c>
      <c r="I919" s="289">
        <v>1430000.0</v>
      </c>
      <c r="J919" s="290"/>
      <c r="K919" s="7"/>
    </row>
    <row r="920" ht="15.75" customHeight="1">
      <c r="A920" s="296" t="s">
        <v>872</v>
      </c>
      <c r="B920" s="296">
        <v>114.0</v>
      </c>
      <c r="C920" s="297" t="s">
        <v>160</v>
      </c>
      <c r="D920" s="296" t="s">
        <v>320</v>
      </c>
      <c r="E920" s="298"/>
      <c r="F920" s="297" t="s">
        <v>321</v>
      </c>
      <c r="G920" s="299">
        <v>2985000.0</v>
      </c>
      <c r="H920" s="299">
        <v>0.0</v>
      </c>
      <c r="I920" s="300">
        <v>2985000.0</v>
      </c>
      <c r="J920" s="300">
        <v>1485000.0</v>
      </c>
      <c r="K920" s="302">
        <v>1500000.0</v>
      </c>
    </row>
    <row r="921" ht="15.75" customHeight="1">
      <c r="A921" s="286" t="s">
        <v>872</v>
      </c>
      <c r="B921" s="287">
        <v>115.0</v>
      </c>
      <c r="C921" s="286" t="s">
        <v>162</v>
      </c>
      <c r="D921" s="287" t="s">
        <v>529</v>
      </c>
      <c r="E921" s="286" t="s">
        <v>530</v>
      </c>
      <c r="F921" s="286" t="s">
        <v>1037</v>
      </c>
      <c r="G921" s="288">
        <v>33138.0</v>
      </c>
      <c r="H921" s="288">
        <v>0.0</v>
      </c>
      <c r="I921" s="289">
        <v>33138.0</v>
      </c>
      <c r="J921" s="290"/>
      <c r="K921" s="7"/>
    </row>
    <row r="922" ht="15.75" customHeight="1">
      <c r="A922" s="291" t="s">
        <v>872</v>
      </c>
      <c r="B922" s="292">
        <v>115.0</v>
      </c>
      <c r="C922" s="291" t="s">
        <v>162</v>
      </c>
      <c r="D922" s="292" t="s">
        <v>529</v>
      </c>
      <c r="E922" s="291" t="s">
        <v>530</v>
      </c>
      <c r="F922" s="291" t="s">
        <v>1038</v>
      </c>
      <c r="G922" s="293">
        <v>785596.33</v>
      </c>
      <c r="H922" s="293">
        <v>0.0</v>
      </c>
      <c r="I922" s="294">
        <v>785596.33</v>
      </c>
      <c r="J922" s="295"/>
      <c r="K922" s="7"/>
    </row>
    <row r="923" ht="15.75" customHeight="1">
      <c r="A923" s="286" t="s">
        <v>872</v>
      </c>
      <c r="B923" s="287">
        <v>115.0</v>
      </c>
      <c r="C923" s="286" t="s">
        <v>162</v>
      </c>
      <c r="D923" s="287" t="s">
        <v>529</v>
      </c>
      <c r="E923" s="286" t="s">
        <v>530</v>
      </c>
      <c r="F923" s="286" t="s">
        <v>1038</v>
      </c>
      <c r="G923" s="288">
        <v>185819.9</v>
      </c>
      <c r="H923" s="288">
        <v>0.0</v>
      </c>
      <c r="I923" s="289">
        <v>185819.9</v>
      </c>
      <c r="J923" s="290"/>
      <c r="K923" s="7"/>
    </row>
    <row r="924" ht="15.75" customHeight="1">
      <c r="A924" s="296" t="s">
        <v>872</v>
      </c>
      <c r="B924" s="296">
        <v>115.0</v>
      </c>
      <c r="C924" s="297" t="s">
        <v>162</v>
      </c>
      <c r="D924" s="296" t="s">
        <v>320</v>
      </c>
      <c r="E924" s="298"/>
      <c r="F924" s="297" t="s">
        <v>321</v>
      </c>
      <c r="G924" s="299">
        <v>1004554.23</v>
      </c>
      <c r="H924" s="299">
        <v>0.0</v>
      </c>
      <c r="I924" s="300">
        <v>1004554.23</v>
      </c>
      <c r="J924" s="300">
        <v>1004554.0</v>
      </c>
      <c r="K924" s="301">
        <v>0.2299999999813735</v>
      </c>
    </row>
    <row r="925" ht="15.75" customHeight="1">
      <c r="A925" s="286" t="s">
        <v>872</v>
      </c>
      <c r="B925" s="287">
        <v>117.0</v>
      </c>
      <c r="C925" s="286" t="s">
        <v>165</v>
      </c>
      <c r="D925" s="287" t="s">
        <v>534</v>
      </c>
      <c r="E925" s="286" t="s">
        <v>535</v>
      </c>
      <c r="F925" s="286" t="s">
        <v>1039</v>
      </c>
      <c r="G925" s="288">
        <v>340800.0</v>
      </c>
      <c r="H925" s="288">
        <v>0.0</v>
      </c>
      <c r="I925" s="289">
        <v>340800.0</v>
      </c>
      <c r="J925" s="290"/>
      <c r="K925" s="7"/>
    </row>
    <row r="926" ht="15.75" customHeight="1">
      <c r="A926" s="291" t="s">
        <v>872</v>
      </c>
      <c r="B926" s="292">
        <v>117.0</v>
      </c>
      <c r="C926" s="291" t="s">
        <v>165</v>
      </c>
      <c r="D926" s="292" t="s">
        <v>534</v>
      </c>
      <c r="E926" s="291" t="s">
        <v>535</v>
      </c>
      <c r="F926" s="291" t="s">
        <v>1040</v>
      </c>
      <c r="G926" s="293">
        <v>0.0</v>
      </c>
      <c r="H926" s="293">
        <v>56800.0</v>
      </c>
      <c r="I926" s="294">
        <v>-56800.0</v>
      </c>
      <c r="J926" s="295"/>
      <c r="K926" s="7"/>
    </row>
    <row r="927" ht="15.75" customHeight="1">
      <c r="A927" s="296" t="s">
        <v>872</v>
      </c>
      <c r="B927" s="296">
        <v>117.0</v>
      </c>
      <c r="C927" s="297" t="s">
        <v>165</v>
      </c>
      <c r="D927" s="296" t="s">
        <v>320</v>
      </c>
      <c r="E927" s="298"/>
      <c r="F927" s="297" t="s">
        <v>321</v>
      </c>
      <c r="G927" s="299">
        <v>340800.0</v>
      </c>
      <c r="H927" s="299">
        <v>56800.0</v>
      </c>
      <c r="I927" s="300">
        <v>284000.0</v>
      </c>
      <c r="J927" s="300">
        <v>284000.0</v>
      </c>
      <c r="K927" s="301">
        <v>0.0</v>
      </c>
    </row>
    <row r="928" ht="15.75" customHeight="1">
      <c r="A928" s="286" t="s">
        <v>872</v>
      </c>
      <c r="B928" s="287">
        <v>118.0</v>
      </c>
      <c r="C928" s="286" t="s">
        <v>167</v>
      </c>
      <c r="D928" s="287" t="s">
        <v>537</v>
      </c>
      <c r="E928" s="286" t="s">
        <v>438</v>
      </c>
      <c r="F928" s="286" t="s">
        <v>1041</v>
      </c>
      <c r="G928" s="288">
        <v>276790.0</v>
      </c>
      <c r="H928" s="288">
        <v>0.0</v>
      </c>
      <c r="I928" s="289">
        <v>276790.0</v>
      </c>
      <c r="J928" s="290"/>
      <c r="K928" s="7"/>
    </row>
    <row r="929" ht="15.75" customHeight="1">
      <c r="A929" s="291" t="s">
        <v>872</v>
      </c>
      <c r="B929" s="292">
        <v>118.0</v>
      </c>
      <c r="C929" s="291" t="s">
        <v>167</v>
      </c>
      <c r="D929" s="292" t="s">
        <v>537</v>
      </c>
      <c r="E929" s="291" t="s">
        <v>438</v>
      </c>
      <c r="F929" s="291" t="s">
        <v>1042</v>
      </c>
      <c r="G929" s="293">
        <v>59647.4</v>
      </c>
      <c r="H929" s="293">
        <v>0.0</v>
      </c>
      <c r="I929" s="294">
        <v>59647.4</v>
      </c>
      <c r="J929" s="295"/>
      <c r="K929" s="7"/>
    </row>
    <row r="930" ht="15.75" customHeight="1">
      <c r="A930" s="286" t="s">
        <v>872</v>
      </c>
      <c r="B930" s="287">
        <v>118.0</v>
      </c>
      <c r="C930" s="286" t="s">
        <v>167</v>
      </c>
      <c r="D930" s="287" t="s">
        <v>537</v>
      </c>
      <c r="E930" s="286" t="s">
        <v>438</v>
      </c>
      <c r="F930" s="286" t="s">
        <v>1043</v>
      </c>
      <c r="G930" s="288">
        <v>131898.3</v>
      </c>
      <c r="H930" s="288">
        <v>0.0</v>
      </c>
      <c r="I930" s="289">
        <v>131898.3</v>
      </c>
      <c r="J930" s="290"/>
      <c r="K930" s="7"/>
    </row>
    <row r="931" ht="15.75" customHeight="1">
      <c r="A931" s="291" t="s">
        <v>872</v>
      </c>
      <c r="B931" s="292">
        <v>118.0</v>
      </c>
      <c r="C931" s="291" t="s">
        <v>167</v>
      </c>
      <c r="D931" s="292" t="s">
        <v>537</v>
      </c>
      <c r="E931" s="291" t="s">
        <v>438</v>
      </c>
      <c r="F931" s="291" t="s">
        <v>1044</v>
      </c>
      <c r="G931" s="293">
        <v>1207930.99</v>
      </c>
      <c r="H931" s="293">
        <v>0.0</v>
      </c>
      <c r="I931" s="294">
        <v>1207930.99</v>
      </c>
      <c r="J931" s="295"/>
      <c r="K931" s="7"/>
    </row>
    <row r="932" ht="15.75" customHeight="1">
      <c r="A932" s="286" t="s">
        <v>872</v>
      </c>
      <c r="B932" s="287">
        <v>118.0</v>
      </c>
      <c r="C932" s="286" t="s">
        <v>167</v>
      </c>
      <c r="D932" s="287" t="s">
        <v>540</v>
      </c>
      <c r="E932" s="286" t="s">
        <v>438</v>
      </c>
      <c r="F932" s="286" t="s">
        <v>1041</v>
      </c>
      <c r="G932" s="288">
        <v>32500.0</v>
      </c>
      <c r="H932" s="288">
        <v>0.0</v>
      </c>
      <c r="I932" s="289">
        <v>32500.0</v>
      </c>
      <c r="J932" s="290"/>
      <c r="K932" s="7"/>
    </row>
    <row r="933" ht="15.75" customHeight="1">
      <c r="A933" s="291" t="s">
        <v>872</v>
      </c>
      <c r="B933" s="292">
        <v>118.0</v>
      </c>
      <c r="C933" s="291" t="s">
        <v>167</v>
      </c>
      <c r="D933" s="292" t="s">
        <v>540</v>
      </c>
      <c r="E933" s="291" t="s">
        <v>438</v>
      </c>
      <c r="F933" s="291" t="s">
        <v>1042</v>
      </c>
      <c r="G933" s="293">
        <v>98980.0</v>
      </c>
      <c r="H933" s="293">
        <v>0.0</v>
      </c>
      <c r="I933" s="294">
        <v>98980.0</v>
      </c>
      <c r="J933" s="295"/>
      <c r="K933" s="7"/>
    </row>
    <row r="934" ht="15.75" customHeight="1">
      <c r="A934" s="286" t="s">
        <v>872</v>
      </c>
      <c r="B934" s="287">
        <v>118.0</v>
      </c>
      <c r="C934" s="286" t="s">
        <v>167</v>
      </c>
      <c r="D934" s="287" t="s">
        <v>540</v>
      </c>
      <c r="E934" s="286" t="s">
        <v>438</v>
      </c>
      <c r="F934" s="286" t="s">
        <v>1043</v>
      </c>
      <c r="G934" s="288">
        <v>43900.0</v>
      </c>
      <c r="H934" s="288">
        <v>0.0</v>
      </c>
      <c r="I934" s="289">
        <v>43900.0</v>
      </c>
      <c r="J934" s="290"/>
      <c r="K934" s="7"/>
    </row>
    <row r="935" ht="15.75" customHeight="1">
      <c r="A935" s="291" t="s">
        <v>872</v>
      </c>
      <c r="B935" s="292">
        <v>118.0</v>
      </c>
      <c r="C935" s="291" t="s">
        <v>167</v>
      </c>
      <c r="D935" s="292" t="s">
        <v>540</v>
      </c>
      <c r="E935" s="291" t="s">
        <v>438</v>
      </c>
      <c r="F935" s="291" t="s">
        <v>1045</v>
      </c>
      <c r="G935" s="293">
        <v>157600.0</v>
      </c>
      <c r="H935" s="293">
        <v>0.0</v>
      </c>
      <c r="I935" s="294">
        <v>157600.0</v>
      </c>
      <c r="J935" s="295"/>
      <c r="K935" s="7"/>
    </row>
    <row r="936" ht="15.75" customHeight="1">
      <c r="A936" s="286" t="s">
        <v>872</v>
      </c>
      <c r="B936" s="287">
        <v>118.0</v>
      </c>
      <c r="C936" s="286" t="s">
        <v>167</v>
      </c>
      <c r="D936" s="287" t="s">
        <v>540</v>
      </c>
      <c r="E936" s="286" t="s">
        <v>438</v>
      </c>
      <c r="F936" s="286" t="s">
        <v>1046</v>
      </c>
      <c r="G936" s="288">
        <v>6250.0</v>
      </c>
      <c r="H936" s="288">
        <v>0.0</v>
      </c>
      <c r="I936" s="289">
        <v>6250.0</v>
      </c>
      <c r="J936" s="290"/>
      <c r="K936" s="7"/>
    </row>
    <row r="937" ht="15.75" customHeight="1">
      <c r="A937" s="296" t="s">
        <v>872</v>
      </c>
      <c r="B937" s="296">
        <v>118.0</v>
      </c>
      <c r="C937" s="297" t="s">
        <v>167</v>
      </c>
      <c r="D937" s="296" t="s">
        <v>320</v>
      </c>
      <c r="E937" s="298"/>
      <c r="F937" s="297" t="s">
        <v>321</v>
      </c>
      <c r="G937" s="299">
        <v>2015496.69</v>
      </c>
      <c r="H937" s="299">
        <v>0.0</v>
      </c>
      <c r="I937" s="300">
        <v>2015496.69</v>
      </c>
      <c r="J937" s="300">
        <v>2015497.0</v>
      </c>
      <c r="K937" s="301">
        <v>-0.3100000000558794</v>
      </c>
    </row>
    <row r="938" ht="15.75" customHeight="1">
      <c r="A938" s="286" t="s">
        <v>872</v>
      </c>
      <c r="B938" s="287">
        <v>119.0</v>
      </c>
      <c r="C938" s="286" t="s">
        <v>169</v>
      </c>
      <c r="D938" s="287" t="s">
        <v>542</v>
      </c>
      <c r="E938" s="286" t="s">
        <v>438</v>
      </c>
      <c r="F938" s="286" t="s">
        <v>1047</v>
      </c>
      <c r="G938" s="288">
        <v>81300.0</v>
      </c>
      <c r="H938" s="288">
        <v>0.0</v>
      </c>
      <c r="I938" s="289">
        <v>81300.0</v>
      </c>
      <c r="J938" s="290"/>
      <c r="K938" s="7"/>
    </row>
    <row r="939" ht="15.75" customHeight="1">
      <c r="A939" s="291" t="s">
        <v>872</v>
      </c>
      <c r="B939" s="292">
        <v>119.0</v>
      </c>
      <c r="C939" s="291" t="s">
        <v>169</v>
      </c>
      <c r="D939" s="292" t="s">
        <v>542</v>
      </c>
      <c r="E939" s="291" t="s">
        <v>438</v>
      </c>
      <c r="F939" s="291" t="s">
        <v>1048</v>
      </c>
      <c r="G939" s="293">
        <v>137400.0</v>
      </c>
      <c r="H939" s="293">
        <v>0.0</v>
      </c>
      <c r="I939" s="294">
        <v>137400.0</v>
      </c>
      <c r="J939" s="295"/>
      <c r="K939" s="7"/>
    </row>
    <row r="940" ht="15.75" customHeight="1">
      <c r="A940" s="286" t="s">
        <v>872</v>
      </c>
      <c r="B940" s="287">
        <v>119.0</v>
      </c>
      <c r="C940" s="286" t="s">
        <v>169</v>
      </c>
      <c r="D940" s="287" t="s">
        <v>542</v>
      </c>
      <c r="E940" s="286" t="s">
        <v>438</v>
      </c>
      <c r="F940" s="286" t="s">
        <v>803</v>
      </c>
      <c r="G940" s="288">
        <v>88500.0</v>
      </c>
      <c r="H940" s="288">
        <v>0.0</v>
      </c>
      <c r="I940" s="289">
        <v>88500.0</v>
      </c>
      <c r="J940" s="290"/>
      <c r="K940" s="7"/>
    </row>
    <row r="941" ht="15.75" customHeight="1">
      <c r="A941" s="291" t="s">
        <v>872</v>
      </c>
      <c r="B941" s="292">
        <v>119.0</v>
      </c>
      <c r="C941" s="291" t="s">
        <v>169</v>
      </c>
      <c r="D941" s="292" t="s">
        <v>542</v>
      </c>
      <c r="E941" s="291" t="s">
        <v>438</v>
      </c>
      <c r="F941" s="291" t="s">
        <v>548</v>
      </c>
      <c r="G941" s="293">
        <v>18800.0</v>
      </c>
      <c r="H941" s="293">
        <v>0.0</v>
      </c>
      <c r="I941" s="294">
        <v>18800.0</v>
      </c>
      <c r="J941" s="295"/>
      <c r="K941" s="7"/>
    </row>
    <row r="942" ht="15.75" customHeight="1">
      <c r="A942" s="296" t="s">
        <v>872</v>
      </c>
      <c r="B942" s="296">
        <v>119.0</v>
      </c>
      <c r="C942" s="297" t="s">
        <v>169</v>
      </c>
      <c r="D942" s="296" t="s">
        <v>320</v>
      </c>
      <c r="E942" s="298"/>
      <c r="F942" s="297" t="s">
        <v>321</v>
      </c>
      <c r="G942" s="299">
        <v>326000.0</v>
      </c>
      <c r="H942" s="299">
        <v>0.0</v>
      </c>
      <c r="I942" s="300">
        <v>326000.0</v>
      </c>
      <c r="J942" s="300">
        <v>326000.0</v>
      </c>
      <c r="K942" s="301">
        <v>0.0</v>
      </c>
    </row>
    <row r="943" ht="15.75" customHeight="1">
      <c r="A943" s="286" t="s">
        <v>872</v>
      </c>
      <c r="B943" s="287">
        <v>120.0</v>
      </c>
      <c r="C943" s="286" t="s">
        <v>171</v>
      </c>
      <c r="D943" s="287" t="s">
        <v>1049</v>
      </c>
      <c r="E943" s="286" t="s">
        <v>1050</v>
      </c>
      <c r="F943" s="286" t="s">
        <v>1051</v>
      </c>
      <c r="G943" s="288">
        <v>44953.42</v>
      </c>
      <c r="H943" s="288">
        <v>0.0</v>
      </c>
      <c r="I943" s="289">
        <v>44953.42</v>
      </c>
      <c r="J943" s="290"/>
      <c r="K943" s="7"/>
    </row>
    <row r="944" ht="15.75" customHeight="1">
      <c r="A944" s="291" t="s">
        <v>872</v>
      </c>
      <c r="B944" s="292">
        <v>120.0</v>
      </c>
      <c r="C944" s="291" t="s">
        <v>171</v>
      </c>
      <c r="D944" s="292" t="s">
        <v>1049</v>
      </c>
      <c r="E944" s="291" t="s">
        <v>1050</v>
      </c>
      <c r="F944" s="291" t="s">
        <v>1052</v>
      </c>
      <c r="G944" s="293">
        <v>44953.42</v>
      </c>
      <c r="H944" s="293">
        <v>0.0</v>
      </c>
      <c r="I944" s="294">
        <v>44953.42</v>
      </c>
      <c r="J944" s="295"/>
      <c r="K944" s="7"/>
    </row>
    <row r="945" ht="15.75" customHeight="1">
      <c r="A945" s="286" t="s">
        <v>872</v>
      </c>
      <c r="B945" s="287">
        <v>120.0</v>
      </c>
      <c r="C945" s="286" t="s">
        <v>171</v>
      </c>
      <c r="D945" s="287" t="s">
        <v>1049</v>
      </c>
      <c r="E945" s="286" t="s">
        <v>1050</v>
      </c>
      <c r="F945" s="286" t="s">
        <v>1053</v>
      </c>
      <c r="G945" s="288">
        <v>44953.42</v>
      </c>
      <c r="H945" s="288">
        <v>0.0</v>
      </c>
      <c r="I945" s="289">
        <v>44953.42</v>
      </c>
      <c r="J945" s="290"/>
      <c r="K945" s="7"/>
    </row>
    <row r="946" ht="15.75" customHeight="1">
      <c r="A946" s="296" t="s">
        <v>872</v>
      </c>
      <c r="B946" s="296">
        <v>120.0</v>
      </c>
      <c r="C946" s="297" t="s">
        <v>171</v>
      </c>
      <c r="D946" s="296" t="s">
        <v>320</v>
      </c>
      <c r="E946" s="298"/>
      <c r="F946" s="297" t="s">
        <v>321</v>
      </c>
      <c r="G946" s="299">
        <v>134860.26</v>
      </c>
      <c r="H946" s="299">
        <v>0.0</v>
      </c>
      <c r="I946" s="300">
        <v>134860.26</v>
      </c>
      <c r="J946" s="300">
        <v>134860.0</v>
      </c>
      <c r="K946" s="301">
        <v>0.2600000000093132</v>
      </c>
    </row>
    <row r="947" ht="15.75" customHeight="1">
      <c r="A947" s="286" t="s">
        <v>872</v>
      </c>
      <c r="B947" s="287">
        <v>121.0</v>
      </c>
      <c r="C947" s="286" t="s">
        <v>173</v>
      </c>
      <c r="D947" s="287" t="s">
        <v>1049</v>
      </c>
      <c r="E947" s="286" t="s">
        <v>173</v>
      </c>
      <c r="F947" s="286" t="s">
        <v>1054</v>
      </c>
      <c r="G947" s="288">
        <v>4500000.0</v>
      </c>
      <c r="H947" s="288">
        <v>0.0</v>
      </c>
      <c r="I947" s="289">
        <v>4500000.0</v>
      </c>
      <c r="J947" s="290"/>
      <c r="K947" s="7"/>
    </row>
    <row r="948" ht="15.75" customHeight="1">
      <c r="A948" s="291" t="s">
        <v>872</v>
      </c>
      <c r="B948" s="292">
        <v>121.0</v>
      </c>
      <c r="C948" s="291" t="s">
        <v>173</v>
      </c>
      <c r="D948" s="292" t="s">
        <v>1049</v>
      </c>
      <c r="E948" s="291" t="s">
        <v>173</v>
      </c>
      <c r="F948" s="291" t="s">
        <v>1055</v>
      </c>
      <c r="G948" s="293">
        <v>0.0</v>
      </c>
      <c r="H948" s="293">
        <v>4500000.0</v>
      </c>
      <c r="I948" s="294">
        <v>-4500000.0</v>
      </c>
      <c r="J948" s="295"/>
      <c r="K948" s="7"/>
    </row>
    <row r="949" ht="15.75" customHeight="1">
      <c r="A949" s="286" t="s">
        <v>872</v>
      </c>
      <c r="B949" s="287">
        <v>121.0</v>
      </c>
      <c r="C949" s="286" t="s">
        <v>173</v>
      </c>
      <c r="D949" s="287" t="s">
        <v>1049</v>
      </c>
      <c r="E949" s="286" t="s">
        <v>173</v>
      </c>
      <c r="F949" s="286" t="s">
        <v>1056</v>
      </c>
      <c r="G949" s="288">
        <v>4500000.0</v>
      </c>
      <c r="H949" s="288">
        <v>0.0</v>
      </c>
      <c r="I949" s="289">
        <v>4500000.0</v>
      </c>
      <c r="J949" s="290"/>
      <c r="K949" s="7"/>
    </row>
    <row r="950" ht="15.75" customHeight="1">
      <c r="A950" s="296" t="s">
        <v>872</v>
      </c>
      <c r="B950" s="296">
        <v>121.0</v>
      </c>
      <c r="C950" s="297" t="s">
        <v>173</v>
      </c>
      <c r="D950" s="296" t="s">
        <v>320</v>
      </c>
      <c r="E950" s="298"/>
      <c r="F950" s="297" t="s">
        <v>321</v>
      </c>
      <c r="G950" s="299">
        <v>9000000.0</v>
      </c>
      <c r="H950" s="299">
        <v>4500000.0</v>
      </c>
      <c r="I950" s="300">
        <v>4500000.0</v>
      </c>
      <c r="J950" s="300">
        <v>4500000.0</v>
      </c>
      <c r="K950" s="301">
        <v>0.0</v>
      </c>
    </row>
    <row r="951" ht="15.75" customHeight="1">
      <c r="A951" s="286" t="s">
        <v>872</v>
      </c>
      <c r="B951" s="287">
        <v>122.0</v>
      </c>
      <c r="C951" s="286" t="s">
        <v>175</v>
      </c>
      <c r="D951" s="287" t="s">
        <v>549</v>
      </c>
      <c r="E951" s="286"/>
      <c r="F951" s="286" t="s">
        <v>1057</v>
      </c>
      <c r="G951" s="288">
        <v>432412.0</v>
      </c>
      <c r="H951" s="288">
        <v>0.0</v>
      </c>
      <c r="I951" s="289">
        <v>432412.0</v>
      </c>
      <c r="J951" s="290"/>
      <c r="K951" s="7"/>
    </row>
    <row r="952" ht="15.75" customHeight="1">
      <c r="A952" s="296" t="s">
        <v>872</v>
      </c>
      <c r="B952" s="296">
        <v>122.0</v>
      </c>
      <c r="C952" s="297" t="s">
        <v>175</v>
      </c>
      <c r="D952" s="296" t="s">
        <v>320</v>
      </c>
      <c r="E952" s="298"/>
      <c r="F952" s="297" t="s">
        <v>321</v>
      </c>
      <c r="G952" s="299">
        <v>432412.0</v>
      </c>
      <c r="H952" s="299">
        <v>0.0</v>
      </c>
      <c r="I952" s="300">
        <v>432412.0</v>
      </c>
      <c r="J952" s="300">
        <v>432412.0</v>
      </c>
      <c r="K952" s="301">
        <v>0.0</v>
      </c>
    </row>
    <row r="953" ht="15.75" customHeight="1">
      <c r="A953" s="286" t="s">
        <v>872</v>
      </c>
      <c r="B953" s="287">
        <v>123.0</v>
      </c>
      <c r="C953" s="286" t="s">
        <v>177</v>
      </c>
      <c r="D953" s="287" t="s">
        <v>551</v>
      </c>
      <c r="E953" s="286" t="s">
        <v>552</v>
      </c>
      <c r="F953" s="286" t="s">
        <v>1058</v>
      </c>
      <c r="G953" s="288">
        <v>1934933.0</v>
      </c>
      <c r="H953" s="288">
        <v>0.0</v>
      </c>
      <c r="I953" s="289">
        <v>1934933.0</v>
      </c>
      <c r="J953" s="290"/>
      <c r="K953" s="7"/>
    </row>
    <row r="954" ht="15.75" customHeight="1">
      <c r="A954" s="291" t="s">
        <v>872</v>
      </c>
      <c r="B954" s="292">
        <v>123.0</v>
      </c>
      <c r="C954" s="291" t="s">
        <v>177</v>
      </c>
      <c r="D954" s="292" t="s">
        <v>551</v>
      </c>
      <c r="E954" s="291" t="s">
        <v>552</v>
      </c>
      <c r="F954" s="291" t="s">
        <v>1059</v>
      </c>
      <c r="G954" s="293">
        <v>252536.0</v>
      </c>
      <c r="H954" s="293">
        <v>0.0</v>
      </c>
      <c r="I954" s="294">
        <v>252536.0</v>
      </c>
      <c r="J954" s="295"/>
      <c r="K954" s="7"/>
    </row>
    <row r="955" ht="15.75" customHeight="1">
      <c r="A955" s="296" t="s">
        <v>872</v>
      </c>
      <c r="B955" s="296">
        <v>123.0</v>
      </c>
      <c r="C955" s="297" t="s">
        <v>177</v>
      </c>
      <c r="D955" s="296" t="s">
        <v>320</v>
      </c>
      <c r="E955" s="298"/>
      <c r="F955" s="297" t="s">
        <v>321</v>
      </c>
      <c r="G955" s="299">
        <v>2187469.0</v>
      </c>
      <c r="H955" s="299">
        <v>0.0</v>
      </c>
      <c r="I955" s="300">
        <v>2187469.0</v>
      </c>
      <c r="J955" s="300">
        <v>2187469.0</v>
      </c>
      <c r="K955" s="301">
        <v>0.0</v>
      </c>
    </row>
    <row r="956" ht="15.75" customHeight="1">
      <c r="A956" s="286" t="s">
        <v>872</v>
      </c>
      <c r="B956" s="287">
        <v>129.0</v>
      </c>
      <c r="C956" s="286" t="s">
        <v>183</v>
      </c>
      <c r="D956" s="287" t="s">
        <v>553</v>
      </c>
      <c r="E956" s="286" t="s">
        <v>554</v>
      </c>
      <c r="F956" s="286" t="s">
        <v>1060</v>
      </c>
      <c r="G956" s="288">
        <v>4376750.0</v>
      </c>
      <c r="H956" s="288">
        <v>0.0</v>
      </c>
      <c r="I956" s="289">
        <v>4376750.0</v>
      </c>
      <c r="J956" s="290"/>
      <c r="K956" s="7"/>
    </row>
    <row r="957" ht="15.75" customHeight="1">
      <c r="A957" s="296" t="s">
        <v>872</v>
      </c>
      <c r="B957" s="296">
        <v>129.0</v>
      </c>
      <c r="C957" s="297" t="s">
        <v>183</v>
      </c>
      <c r="D957" s="296" t="s">
        <v>320</v>
      </c>
      <c r="E957" s="298"/>
      <c r="F957" s="297" t="s">
        <v>321</v>
      </c>
      <c r="G957" s="299">
        <v>4376750.0</v>
      </c>
      <c r="H957" s="299">
        <v>0.0</v>
      </c>
      <c r="I957" s="300">
        <v>4376750.0</v>
      </c>
      <c r="J957" s="300">
        <v>4376750.0</v>
      </c>
      <c r="K957" s="301">
        <v>0.0</v>
      </c>
    </row>
    <row r="958" ht="15.75" customHeight="1">
      <c r="A958" s="286" t="s">
        <v>872</v>
      </c>
      <c r="B958" s="287">
        <v>130.0</v>
      </c>
      <c r="C958" s="286" t="s">
        <v>186</v>
      </c>
      <c r="D958" s="287" t="s">
        <v>553</v>
      </c>
      <c r="E958" s="286" t="s">
        <v>557</v>
      </c>
      <c r="F958" s="286" t="s">
        <v>1061</v>
      </c>
      <c r="G958" s="288">
        <v>1245219.09</v>
      </c>
      <c r="H958" s="288">
        <v>0.0</v>
      </c>
      <c r="I958" s="289">
        <v>1245219.09</v>
      </c>
      <c r="J958" s="290"/>
      <c r="K958" s="7"/>
    </row>
    <row r="959" ht="15.75" customHeight="1">
      <c r="A959" s="291" t="s">
        <v>872</v>
      </c>
      <c r="B959" s="292">
        <v>130.0</v>
      </c>
      <c r="C959" s="291" t="s">
        <v>186</v>
      </c>
      <c r="D959" s="292" t="s">
        <v>553</v>
      </c>
      <c r="E959" s="291"/>
      <c r="F959" s="291" t="s">
        <v>1062</v>
      </c>
      <c r="G959" s="293">
        <v>0.0</v>
      </c>
      <c r="H959" s="293">
        <v>1250000.0</v>
      </c>
      <c r="I959" s="294">
        <v>-1250000.0</v>
      </c>
      <c r="J959" s="295"/>
      <c r="K959" s="7"/>
    </row>
    <row r="960" ht="15.75" customHeight="1">
      <c r="A960" s="286" t="s">
        <v>872</v>
      </c>
      <c r="B960" s="287">
        <v>130.0</v>
      </c>
      <c r="C960" s="286" t="s">
        <v>186</v>
      </c>
      <c r="D960" s="287" t="s">
        <v>553</v>
      </c>
      <c r="E960" s="286"/>
      <c r="F960" s="286" t="s">
        <v>1063</v>
      </c>
      <c r="G960" s="288">
        <v>1300000.0</v>
      </c>
      <c r="H960" s="288">
        <v>0.0</v>
      </c>
      <c r="I960" s="289">
        <v>1300000.0</v>
      </c>
      <c r="J960" s="290"/>
      <c r="K960" s="7"/>
    </row>
    <row r="961" ht="15.75" customHeight="1">
      <c r="A961" s="296" t="s">
        <v>872</v>
      </c>
      <c r="B961" s="296">
        <v>130.0</v>
      </c>
      <c r="C961" s="297" t="s">
        <v>186</v>
      </c>
      <c r="D961" s="296" t="s">
        <v>320</v>
      </c>
      <c r="E961" s="298"/>
      <c r="F961" s="297" t="s">
        <v>321</v>
      </c>
      <c r="G961" s="299">
        <v>2545219.09</v>
      </c>
      <c r="H961" s="299">
        <v>1250000.0</v>
      </c>
      <c r="I961" s="300">
        <v>1295219.09</v>
      </c>
      <c r="J961" s="300">
        <v>1295219.0</v>
      </c>
      <c r="K961" s="301">
        <v>0.09000000008381903</v>
      </c>
    </row>
    <row r="962" ht="15.75" customHeight="1">
      <c r="A962" s="286" t="s">
        <v>872</v>
      </c>
      <c r="B962" s="287">
        <v>131.0</v>
      </c>
      <c r="C962" s="286" t="s">
        <v>188</v>
      </c>
      <c r="D962" s="287" t="s">
        <v>560</v>
      </c>
      <c r="E962" s="286" t="s">
        <v>438</v>
      </c>
      <c r="F962" s="286" t="s">
        <v>1064</v>
      </c>
      <c r="G962" s="288">
        <v>323560.0</v>
      </c>
      <c r="H962" s="288">
        <v>0.0</v>
      </c>
      <c r="I962" s="289">
        <v>323560.0</v>
      </c>
      <c r="J962" s="290"/>
      <c r="K962" s="7"/>
    </row>
    <row r="963" ht="15.75" customHeight="1">
      <c r="A963" s="291" t="s">
        <v>872</v>
      </c>
      <c r="B963" s="292">
        <v>131.0</v>
      </c>
      <c r="C963" s="291" t="s">
        <v>188</v>
      </c>
      <c r="D963" s="292" t="s">
        <v>560</v>
      </c>
      <c r="E963" s="291" t="s">
        <v>438</v>
      </c>
      <c r="F963" s="291" t="s">
        <v>1065</v>
      </c>
      <c r="G963" s="293">
        <v>6221.0</v>
      </c>
      <c r="H963" s="293">
        <v>0.0</v>
      </c>
      <c r="I963" s="294">
        <v>6221.0</v>
      </c>
      <c r="J963" s="295"/>
      <c r="K963" s="7"/>
    </row>
    <row r="964" ht="15.75" customHeight="1">
      <c r="A964" s="286" t="s">
        <v>872</v>
      </c>
      <c r="B964" s="287">
        <v>131.0</v>
      </c>
      <c r="C964" s="286" t="s">
        <v>188</v>
      </c>
      <c r="D964" s="287" t="s">
        <v>560</v>
      </c>
      <c r="E964" s="286" t="s">
        <v>438</v>
      </c>
      <c r="F964" s="286" t="s">
        <v>1066</v>
      </c>
      <c r="G964" s="288">
        <v>6221.0</v>
      </c>
      <c r="H964" s="288">
        <v>0.0</v>
      </c>
      <c r="I964" s="289">
        <v>6221.0</v>
      </c>
      <c r="J964" s="290"/>
      <c r="K964" s="7"/>
    </row>
    <row r="965" ht="15.75" customHeight="1">
      <c r="A965" s="291" t="s">
        <v>872</v>
      </c>
      <c r="B965" s="292">
        <v>131.0</v>
      </c>
      <c r="C965" s="291" t="s">
        <v>188</v>
      </c>
      <c r="D965" s="292" t="s">
        <v>560</v>
      </c>
      <c r="E965" s="291" t="s">
        <v>438</v>
      </c>
      <c r="F965" s="291" t="s">
        <v>1067</v>
      </c>
      <c r="G965" s="293">
        <v>6221.0</v>
      </c>
      <c r="H965" s="293">
        <v>0.0</v>
      </c>
      <c r="I965" s="294">
        <v>6221.0</v>
      </c>
      <c r="J965" s="295"/>
      <c r="K965" s="7"/>
    </row>
    <row r="966" ht="15.75" customHeight="1">
      <c r="A966" s="296" t="s">
        <v>872</v>
      </c>
      <c r="B966" s="296">
        <v>131.0</v>
      </c>
      <c r="C966" s="297" t="s">
        <v>188</v>
      </c>
      <c r="D966" s="296" t="s">
        <v>320</v>
      </c>
      <c r="E966" s="298"/>
      <c r="F966" s="297" t="s">
        <v>321</v>
      </c>
      <c r="G966" s="299">
        <v>342223.0</v>
      </c>
      <c r="H966" s="299">
        <v>0.0</v>
      </c>
      <c r="I966" s="300">
        <v>342223.0</v>
      </c>
      <c r="J966" s="300">
        <v>342223.0</v>
      </c>
      <c r="K966" s="301">
        <v>0.0</v>
      </c>
    </row>
    <row r="967" ht="15.75" customHeight="1">
      <c r="A967" s="286" t="s">
        <v>872</v>
      </c>
      <c r="B967" s="287">
        <v>132.0</v>
      </c>
      <c r="C967" s="286" t="s">
        <v>190</v>
      </c>
      <c r="D967" s="287" t="s">
        <v>565</v>
      </c>
      <c r="E967" s="286" t="s">
        <v>566</v>
      </c>
      <c r="F967" s="286" t="s">
        <v>1068</v>
      </c>
      <c r="G967" s="288">
        <v>848699.69</v>
      </c>
      <c r="H967" s="288">
        <v>0.0</v>
      </c>
      <c r="I967" s="289">
        <v>848699.69</v>
      </c>
      <c r="J967" s="290"/>
      <c r="K967" s="7"/>
    </row>
    <row r="968" ht="15.75" customHeight="1">
      <c r="A968" s="296" t="s">
        <v>872</v>
      </c>
      <c r="B968" s="296">
        <v>132.0</v>
      </c>
      <c r="C968" s="297" t="s">
        <v>190</v>
      </c>
      <c r="D968" s="296" t="s">
        <v>320</v>
      </c>
      <c r="E968" s="298"/>
      <c r="F968" s="297" t="s">
        <v>321</v>
      </c>
      <c r="G968" s="299">
        <v>848699.69</v>
      </c>
      <c r="H968" s="299">
        <v>0.0</v>
      </c>
      <c r="I968" s="300">
        <v>848699.69</v>
      </c>
      <c r="J968" s="300">
        <v>848700.0</v>
      </c>
      <c r="K968" s="301">
        <v>-0.3100000000558794</v>
      </c>
    </row>
    <row r="969" ht="15.75" customHeight="1">
      <c r="A969" s="286" t="s">
        <v>872</v>
      </c>
      <c r="B969" s="287">
        <v>134.0</v>
      </c>
      <c r="C969" s="286" t="s">
        <v>194</v>
      </c>
      <c r="D969" s="287" t="s">
        <v>549</v>
      </c>
      <c r="E969" s="286" t="s">
        <v>568</v>
      </c>
      <c r="F969" s="286" t="s">
        <v>1069</v>
      </c>
      <c r="G969" s="288">
        <v>8289.07</v>
      </c>
      <c r="H969" s="288">
        <v>0.0</v>
      </c>
      <c r="I969" s="289">
        <v>8289.07</v>
      </c>
      <c r="J969" s="290"/>
      <c r="K969" s="7"/>
    </row>
    <row r="970" ht="15.75" customHeight="1">
      <c r="A970" s="291" t="s">
        <v>872</v>
      </c>
      <c r="B970" s="292">
        <v>134.0</v>
      </c>
      <c r="C970" s="291" t="s">
        <v>194</v>
      </c>
      <c r="D970" s="292" t="s">
        <v>549</v>
      </c>
      <c r="E970" s="291" t="s">
        <v>568</v>
      </c>
      <c r="F970" s="291" t="s">
        <v>1069</v>
      </c>
      <c r="G970" s="293">
        <v>224.0</v>
      </c>
      <c r="H970" s="293">
        <v>0.0</v>
      </c>
      <c r="I970" s="294">
        <v>224.0</v>
      </c>
      <c r="J970" s="295"/>
      <c r="K970" s="7"/>
    </row>
    <row r="971" ht="15.75" customHeight="1">
      <c r="A971" s="296" t="s">
        <v>872</v>
      </c>
      <c r="B971" s="296">
        <v>134.0</v>
      </c>
      <c r="C971" s="297" t="s">
        <v>194</v>
      </c>
      <c r="D971" s="296" t="s">
        <v>320</v>
      </c>
      <c r="E971" s="298"/>
      <c r="F971" s="297" t="s">
        <v>321</v>
      </c>
      <c r="G971" s="299">
        <v>8513.07</v>
      </c>
      <c r="H971" s="299">
        <v>0.0</v>
      </c>
      <c r="I971" s="300">
        <v>8513.07</v>
      </c>
      <c r="J971" s="300">
        <v>8513.0</v>
      </c>
      <c r="K971" s="301">
        <v>0.06999999999970896</v>
      </c>
    </row>
    <row r="972" ht="15.75" customHeight="1">
      <c r="A972" s="286" t="s">
        <v>872</v>
      </c>
      <c r="B972" s="287">
        <v>135.0</v>
      </c>
      <c r="C972" s="286" t="s">
        <v>196</v>
      </c>
      <c r="D972" s="287" t="s">
        <v>571</v>
      </c>
      <c r="E972" s="286" t="s">
        <v>572</v>
      </c>
      <c r="F972" s="286" t="s">
        <v>1070</v>
      </c>
      <c r="G972" s="288">
        <v>91890.0</v>
      </c>
      <c r="H972" s="288">
        <v>0.0</v>
      </c>
      <c r="I972" s="289">
        <v>91890.0</v>
      </c>
      <c r="J972" s="290"/>
      <c r="K972" s="7"/>
    </row>
    <row r="973" ht="15.75" customHeight="1">
      <c r="A973" s="291" t="s">
        <v>872</v>
      </c>
      <c r="B973" s="292">
        <v>135.0</v>
      </c>
      <c r="C973" s="291" t="s">
        <v>196</v>
      </c>
      <c r="D973" s="292" t="s">
        <v>571</v>
      </c>
      <c r="E973" s="291" t="s">
        <v>575</v>
      </c>
      <c r="F973" s="291" t="s">
        <v>1071</v>
      </c>
      <c r="G973" s="293">
        <v>29760.0</v>
      </c>
      <c r="H973" s="293">
        <v>0.0</v>
      </c>
      <c r="I973" s="294">
        <v>29760.0</v>
      </c>
      <c r="J973" s="295"/>
      <c r="K973" s="7"/>
    </row>
    <row r="974" ht="15.75" customHeight="1">
      <c r="A974" s="286" t="s">
        <v>872</v>
      </c>
      <c r="B974" s="287">
        <v>135.0</v>
      </c>
      <c r="C974" s="286" t="s">
        <v>196</v>
      </c>
      <c r="D974" s="287" t="s">
        <v>571</v>
      </c>
      <c r="E974" s="286" t="s">
        <v>575</v>
      </c>
      <c r="F974" s="286" t="s">
        <v>1071</v>
      </c>
      <c r="G974" s="288">
        <v>187.2</v>
      </c>
      <c r="H974" s="288">
        <v>0.0</v>
      </c>
      <c r="I974" s="289">
        <v>187.2</v>
      </c>
      <c r="J974" s="290"/>
      <c r="K974" s="7"/>
    </row>
    <row r="975" ht="15.75" customHeight="1">
      <c r="A975" s="296" t="s">
        <v>872</v>
      </c>
      <c r="B975" s="296">
        <v>135.0</v>
      </c>
      <c r="C975" s="297" t="s">
        <v>196</v>
      </c>
      <c r="D975" s="296" t="s">
        <v>320</v>
      </c>
      <c r="E975" s="298"/>
      <c r="F975" s="297" t="s">
        <v>321</v>
      </c>
      <c r="G975" s="299">
        <v>121837.2</v>
      </c>
      <c r="H975" s="299">
        <v>0.0</v>
      </c>
      <c r="I975" s="300">
        <v>121837.2</v>
      </c>
      <c r="J975" s="300">
        <v>29947.0</v>
      </c>
      <c r="K975" s="302">
        <v>91890.2</v>
      </c>
    </row>
    <row r="976" ht="15.75" customHeight="1">
      <c r="A976" s="286" t="s">
        <v>872</v>
      </c>
      <c r="B976" s="287">
        <v>136.0</v>
      </c>
      <c r="C976" s="286" t="s">
        <v>198</v>
      </c>
      <c r="D976" s="287" t="s">
        <v>222</v>
      </c>
      <c r="E976" s="286" t="s">
        <v>577</v>
      </c>
      <c r="F976" s="286" t="s">
        <v>1072</v>
      </c>
      <c r="G976" s="288">
        <v>79466.4</v>
      </c>
      <c r="H976" s="288">
        <v>0.0</v>
      </c>
      <c r="I976" s="289">
        <v>79466.4</v>
      </c>
      <c r="J976" s="290"/>
      <c r="K976" s="7"/>
    </row>
    <row r="977" ht="15.75" customHeight="1">
      <c r="A977" s="296" t="s">
        <v>872</v>
      </c>
      <c r="B977" s="296">
        <v>136.0</v>
      </c>
      <c r="C977" s="297" t="s">
        <v>198</v>
      </c>
      <c r="D977" s="296" t="s">
        <v>320</v>
      </c>
      <c r="E977" s="298"/>
      <c r="F977" s="297" t="s">
        <v>321</v>
      </c>
      <c r="G977" s="299">
        <v>79466.4</v>
      </c>
      <c r="H977" s="299">
        <v>0.0</v>
      </c>
      <c r="I977" s="300">
        <v>79466.4</v>
      </c>
      <c r="J977" s="300">
        <v>79466.0</v>
      </c>
      <c r="K977" s="301">
        <v>0.3999999999941792</v>
      </c>
    </row>
    <row r="978" ht="15.75" customHeight="1">
      <c r="A978" s="286" t="s">
        <v>872</v>
      </c>
      <c r="B978" s="287">
        <v>137.0</v>
      </c>
      <c r="C978" s="286" t="s">
        <v>200</v>
      </c>
      <c r="D978" s="287" t="s">
        <v>222</v>
      </c>
      <c r="E978" s="286" t="s">
        <v>1073</v>
      </c>
      <c r="F978" s="286" t="s">
        <v>1074</v>
      </c>
      <c r="G978" s="288">
        <v>0.19</v>
      </c>
      <c r="H978" s="288">
        <v>0.0</v>
      </c>
      <c r="I978" s="289">
        <v>0.19</v>
      </c>
      <c r="J978" s="290"/>
      <c r="K978" s="7"/>
    </row>
    <row r="979" ht="15.75" customHeight="1">
      <c r="A979" s="291" t="s">
        <v>872</v>
      </c>
      <c r="B979" s="292">
        <v>137.0</v>
      </c>
      <c r="C979" s="291" t="s">
        <v>200</v>
      </c>
      <c r="D979" s="292" t="s">
        <v>582</v>
      </c>
      <c r="E979" s="291" t="s">
        <v>438</v>
      </c>
      <c r="F979" s="291" t="s">
        <v>1075</v>
      </c>
      <c r="G979" s="293">
        <v>443907.63</v>
      </c>
      <c r="H979" s="293">
        <v>0.0</v>
      </c>
      <c r="I979" s="294">
        <v>443907.63</v>
      </c>
      <c r="J979" s="295"/>
      <c r="K979" s="7"/>
    </row>
    <row r="980" ht="15.75" customHeight="1">
      <c r="A980" s="286" t="s">
        <v>872</v>
      </c>
      <c r="B980" s="287">
        <v>137.0</v>
      </c>
      <c r="C980" s="286" t="s">
        <v>200</v>
      </c>
      <c r="D980" s="287" t="s">
        <v>582</v>
      </c>
      <c r="E980" s="286" t="s">
        <v>438</v>
      </c>
      <c r="F980" s="286" t="s">
        <v>585</v>
      </c>
      <c r="G980" s="288">
        <v>433754.54</v>
      </c>
      <c r="H980" s="288">
        <v>0.0</v>
      </c>
      <c r="I980" s="289">
        <v>433754.54</v>
      </c>
      <c r="J980" s="290"/>
      <c r="K980" s="7"/>
    </row>
    <row r="981" ht="15.75" customHeight="1">
      <c r="A981" s="296" t="s">
        <v>872</v>
      </c>
      <c r="B981" s="296">
        <v>137.0</v>
      </c>
      <c r="C981" s="297" t="s">
        <v>200</v>
      </c>
      <c r="D981" s="296" t="s">
        <v>320</v>
      </c>
      <c r="E981" s="298"/>
      <c r="F981" s="297" t="s">
        <v>321</v>
      </c>
      <c r="G981" s="299">
        <v>877662.36</v>
      </c>
      <c r="H981" s="299">
        <v>0.0</v>
      </c>
      <c r="I981" s="300">
        <v>877662.36</v>
      </c>
      <c r="J981" s="300">
        <v>877662.0</v>
      </c>
      <c r="K981" s="301">
        <v>0.3599999999860302</v>
      </c>
    </row>
    <row r="982" ht="15.75" customHeight="1">
      <c r="A982" s="286" t="s">
        <v>872</v>
      </c>
      <c r="B982" s="287">
        <v>138.0</v>
      </c>
      <c r="C982" s="286" t="s">
        <v>202</v>
      </c>
      <c r="D982" s="287" t="s">
        <v>222</v>
      </c>
      <c r="E982" s="286" t="s">
        <v>586</v>
      </c>
      <c r="F982" s="286" t="s">
        <v>1076</v>
      </c>
      <c r="G982" s="288">
        <v>30263.0</v>
      </c>
      <c r="H982" s="288">
        <v>0.0</v>
      </c>
      <c r="I982" s="289">
        <v>30263.0</v>
      </c>
      <c r="J982" s="290"/>
      <c r="K982" s="7"/>
    </row>
    <row r="983" ht="15.75" customHeight="1">
      <c r="A983" s="296" t="s">
        <v>872</v>
      </c>
      <c r="B983" s="296">
        <v>138.0</v>
      </c>
      <c r="C983" s="297" t="s">
        <v>202</v>
      </c>
      <c r="D983" s="296" t="s">
        <v>320</v>
      </c>
      <c r="E983" s="298"/>
      <c r="F983" s="297" t="s">
        <v>321</v>
      </c>
      <c r="G983" s="299">
        <v>30263.0</v>
      </c>
      <c r="H983" s="299">
        <v>0.0</v>
      </c>
      <c r="I983" s="300">
        <v>30263.0</v>
      </c>
      <c r="J983" s="300">
        <v>30263.0</v>
      </c>
      <c r="K983" s="301">
        <v>0.0</v>
      </c>
    </row>
    <row r="984" ht="15.75" customHeight="1">
      <c r="A984" s="286" t="s">
        <v>872</v>
      </c>
      <c r="B984" s="287">
        <v>139.0</v>
      </c>
      <c r="C984" s="286" t="s">
        <v>204</v>
      </c>
      <c r="D984" s="287" t="s">
        <v>588</v>
      </c>
      <c r="E984" s="286"/>
      <c r="F984" s="286" t="s">
        <v>1077</v>
      </c>
      <c r="G984" s="288">
        <v>108223.17</v>
      </c>
      <c r="H984" s="288">
        <v>0.0</v>
      </c>
      <c r="I984" s="289">
        <v>108223.17</v>
      </c>
      <c r="J984" s="290"/>
      <c r="K984" s="7"/>
    </row>
    <row r="985" ht="15.75" customHeight="1">
      <c r="A985" s="291" t="s">
        <v>872</v>
      </c>
      <c r="B985" s="292">
        <v>139.0</v>
      </c>
      <c r="C985" s="291" t="s">
        <v>204</v>
      </c>
      <c r="D985" s="292" t="s">
        <v>588</v>
      </c>
      <c r="E985" s="291"/>
      <c r="F985" s="291" t="s">
        <v>1078</v>
      </c>
      <c r="G985" s="293">
        <v>44676.47</v>
      </c>
      <c r="H985" s="293">
        <v>0.0</v>
      </c>
      <c r="I985" s="294">
        <v>44676.47</v>
      </c>
      <c r="J985" s="295"/>
      <c r="K985" s="7"/>
    </row>
    <row r="986" ht="15.75" customHeight="1">
      <c r="A986" s="286" t="s">
        <v>872</v>
      </c>
      <c r="B986" s="287">
        <v>139.0</v>
      </c>
      <c r="C986" s="286" t="s">
        <v>204</v>
      </c>
      <c r="D986" s="287" t="s">
        <v>588</v>
      </c>
      <c r="E986" s="286"/>
      <c r="F986" s="286" t="s">
        <v>1079</v>
      </c>
      <c r="G986" s="288">
        <v>96029.57</v>
      </c>
      <c r="H986" s="288">
        <v>0.0</v>
      </c>
      <c r="I986" s="289">
        <v>96029.57</v>
      </c>
      <c r="J986" s="290"/>
      <c r="K986" s="7"/>
    </row>
    <row r="987" ht="15.75" customHeight="1">
      <c r="A987" s="291" t="s">
        <v>872</v>
      </c>
      <c r="B987" s="292">
        <v>139.0</v>
      </c>
      <c r="C987" s="291" t="s">
        <v>204</v>
      </c>
      <c r="D987" s="292" t="s">
        <v>588</v>
      </c>
      <c r="E987" s="291"/>
      <c r="F987" s="291" t="s">
        <v>1080</v>
      </c>
      <c r="G987" s="293">
        <v>118150.72</v>
      </c>
      <c r="H987" s="293">
        <v>0.0</v>
      </c>
      <c r="I987" s="294">
        <v>118150.72</v>
      </c>
      <c r="J987" s="295"/>
      <c r="K987" s="7"/>
    </row>
    <row r="988" ht="15.75" customHeight="1">
      <c r="A988" s="286" t="s">
        <v>872</v>
      </c>
      <c r="B988" s="287">
        <v>139.0</v>
      </c>
      <c r="C988" s="286" t="s">
        <v>204</v>
      </c>
      <c r="D988" s="287" t="s">
        <v>588</v>
      </c>
      <c r="E988" s="286"/>
      <c r="F988" s="286" t="s">
        <v>1081</v>
      </c>
      <c r="G988" s="288">
        <v>84273.2</v>
      </c>
      <c r="H988" s="288">
        <v>0.0</v>
      </c>
      <c r="I988" s="289">
        <v>84273.2</v>
      </c>
      <c r="J988" s="290"/>
      <c r="K988" s="7"/>
    </row>
    <row r="989" ht="15.75" customHeight="1">
      <c r="A989" s="291" t="s">
        <v>872</v>
      </c>
      <c r="B989" s="292">
        <v>139.0</v>
      </c>
      <c r="C989" s="291" t="s">
        <v>204</v>
      </c>
      <c r="D989" s="292" t="s">
        <v>588</v>
      </c>
      <c r="E989" s="291"/>
      <c r="F989" s="291" t="s">
        <v>1082</v>
      </c>
      <c r="G989" s="293">
        <v>44260.69</v>
      </c>
      <c r="H989" s="293">
        <v>0.0</v>
      </c>
      <c r="I989" s="294">
        <v>44260.69</v>
      </c>
      <c r="J989" s="295"/>
      <c r="K989" s="7"/>
    </row>
    <row r="990" ht="15.75" customHeight="1">
      <c r="A990" s="286" t="s">
        <v>872</v>
      </c>
      <c r="B990" s="287">
        <v>139.0</v>
      </c>
      <c r="C990" s="286" t="s">
        <v>204</v>
      </c>
      <c r="D990" s="287" t="s">
        <v>588</v>
      </c>
      <c r="E990" s="286"/>
      <c r="F990" s="286" t="s">
        <v>1083</v>
      </c>
      <c r="G990" s="288">
        <v>144680.0</v>
      </c>
      <c r="H990" s="288">
        <v>0.0</v>
      </c>
      <c r="I990" s="289">
        <v>144680.0</v>
      </c>
      <c r="J990" s="290"/>
      <c r="K990" s="7"/>
    </row>
    <row r="991" ht="15.75" customHeight="1">
      <c r="A991" s="291" t="s">
        <v>872</v>
      </c>
      <c r="B991" s="292">
        <v>139.0</v>
      </c>
      <c r="C991" s="291" t="s">
        <v>204</v>
      </c>
      <c r="D991" s="292" t="s">
        <v>588</v>
      </c>
      <c r="E991" s="291"/>
      <c r="F991" s="291" t="s">
        <v>1084</v>
      </c>
      <c r="G991" s="293">
        <v>448884.0</v>
      </c>
      <c r="H991" s="293">
        <v>0.0</v>
      </c>
      <c r="I991" s="294">
        <v>448884.0</v>
      </c>
      <c r="J991" s="295"/>
      <c r="K991" s="7"/>
    </row>
    <row r="992" ht="15.75" customHeight="1">
      <c r="A992" s="296" t="s">
        <v>872</v>
      </c>
      <c r="B992" s="296">
        <v>139.0</v>
      </c>
      <c r="C992" s="297" t="s">
        <v>204</v>
      </c>
      <c r="D992" s="296" t="s">
        <v>320</v>
      </c>
      <c r="E992" s="298"/>
      <c r="F992" s="297" t="s">
        <v>321</v>
      </c>
      <c r="G992" s="299">
        <v>1089177.82</v>
      </c>
      <c r="H992" s="299">
        <v>0.0</v>
      </c>
      <c r="I992" s="300">
        <v>1089177.82</v>
      </c>
      <c r="J992" s="300">
        <v>1089178.0</v>
      </c>
      <c r="K992" s="301">
        <v>-0.1799999999348074</v>
      </c>
    </row>
    <row r="993" ht="15.75" customHeight="1">
      <c r="A993" s="286" t="s">
        <v>872</v>
      </c>
      <c r="B993" s="287">
        <v>146.0</v>
      </c>
      <c r="C993" s="286" t="s">
        <v>215</v>
      </c>
      <c r="D993" s="287" t="s">
        <v>222</v>
      </c>
      <c r="E993" s="286" t="s">
        <v>1085</v>
      </c>
      <c r="F993" s="286" t="s">
        <v>1086</v>
      </c>
      <c r="G993" s="288">
        <v>750000.0</v>
      </c>
      <c r="H993" s="288">
        <v>0.0</v>
      </c>
      <c r="I993" s="289">
        <v>750000.0</v>
      </c>
      <c r="J993" s="290"/>
      <c r="K993" s="7"/>
    </row>
    <row r="994" ht="15.75" customHeight="1">
      <c r="A994" s="291" t="s">
        <v>872</v>
      </c>
      <c r="B994" s="292">
        <v>146.0</v>
      </c>
      <c r="C994" s="291" t="s">
        <v>215</v>
      </c>
      <c r="D994" s="292" t="s">
        <v>222</v>
      </c>
      <c r="E994" s="291" t="s">
        <v>1085</v>
      </c>
      <c r="F994" s="291" t="s">
        <v>1087</v>
      </c>
      <c r="G994" s="293">
        <v>750000.0</v>
      </c>
      <c r="H994" s="293">
        <v>0.0</v>
      </c>
      <c r="I994" s="294">
        <v>750000.0</v>
      </c>
      <c r="J994" s="295"/>
      <c r="K994" s="7"/>
    </row>
    <row r="995" ht="15.75" customHeight="1">
      <c r="A995" s="296" t="s">
        <v>872</v>
      </c>
      <c r="B995" s="296">
        <v>146.0</v>
      </c>
      <c r="C995" s="297" t="s">
        <v>215</v>
      </c>
      <c r="D995" s="296" t="s">
        <v>320</v>
      </c>
      <c r="E995" s="298"/>
      <c r="F995" s="297" t="s">
        <v>321</v>
      </c>
      <c r="G995" s="299">
        <v>1500000.0</v>
      </c>
      <c r="H995" s="299">
        <v>0.0</v>
      </c>
      <c r="I995" s="300">
        <v>1500000.0</v>
      </c>
      <c r="J995" s="300">
        <v>1500000.0</v>
      </c>
      <c r="K995" s="301">
        <v>0.0</v>
      </c>
    </row>
    <row r="996" ht="15.75" customHeight="1">
      <c r="A996" s="286" t="s">
        <v>872</v>
      </c>
      <c r="B996" s="287">
        <v>147.0</v>
      </c>
      <c r="C996" s="286" t="s">
        <v>217</v>
      </c>
      <c r="D996" s="287" t="s">
        <v>549</v>
      </c>
      <c r="E996" s="286"/>
      <c r="F996" s="286" t="s">
        <v>1088</v>
      </c>
      <c r="G996" s="288">
        <v>128926.0</v>
      </c>
      <c r="H996" s="288">
        <v>0.0</v>
      </c>
      <c r="I996" s="289">
        <v>128926.0</v>
      </c>
      <c r="J996" s="290"/>
      <c r="K996" s="7"/>
    </row>
    <row r="997" ht="15.75" customHeight="1">
      <c r="A997" s="296" t="s">
        <v>872</v>
      </c>
      <c r="B997" s="296">
        <v>147.0</v>
      </c>
      <c r="C997" s="297" t="s">
        <v>217</v>
      </c>
      <c r="D997" s="296" t="s">
        <v>320</v>
      </c>
      <c r="E997" s="298"/>
      <c r="F997" s="297" t="s">
        <v>321</v>
      </c>
      <c r="G997" s="299">
        <v>128926.0</v>
      </c>
      <c r="H997" s="299">
        <v>0.0</v>
      </c>
      <c r="I997" s="300">
        <v>128926.0</v>
      </c>
      <c r="J997" s="300">
        <v>128926.0</v>
      </c>
      <c r="K997" s="301">
        <v>0.0</v>
      </c>
    </row>
    <row r="998" ht="15.75" customHeight="1">
      <c r="A998" s="286" t="s">
        <v>872</v>
      </c>
      <c r="B998" s="287">
        <v>150.0</v>
      </c>
      <c r="C998" s="286" t="s">
        <v>224</v>
      </c>
      <c r="D998" s="287" t="s">
        <v>596</v>
      </c>
      <c r="E998" s="286" t="s">
        <v>852</v>
      </c>
      <c r="F998" s="286" t="s">
        <v>1089</v>
      </c>
      <c r="G998" s="288">
        <v>296900.0</v>
      </c>
      <c r="H998" s="288">
        <v>0.0</v>
      </c>
      <c r="I998" s="289">
        <v>296900.0</v>
      </c>
      <c r="J998" s="290"/>
      <c r="K998" s="7"/>
    </row>
    <row r="999" ht="15.75" customHeight="1">
      <c r="A999" s="296" t="s">
        <v>872</v>
      </c>
      <c r="B999" s="296">
        <v>150.0</v>
      </c>
      <c r="C999" s="297" t="s">
        <v>224</v>
      </c>
      <c r="D999" s="296" t="s">
        <v>320</v>
      </c>
      <c r="E999" s="298"/>
      <c r="F999" s="297" t="s">
        <v>321</v>
      </c>
      <c r="G999" s="299">
        <v>296900.0</v>
      </c>
      <c r="H999" s="299">
        <v>0.0</v>
      </c>
      <c r="I999" s="300">
        <v>296900.0</v>
      </c>
      <c r="J999" s="300">
        <v>296900.0</v>
      </c>
      <c r="K999" s="301">
        <v>0.0</v>
      </c>
    </row>
    <row r="1000" ht="15.75" customHeight="1">
      <c r="A1000" s="286" t="s">
        <v>872</v>
      </c>
      <c r="B1000" s="287">
        <v>152.0</v>
      </c>
      <c r="C1000" s="286" t="s">
        <v>226</v>
      </c>
      <c r="D1000" s="287" t="s">
        <v>600</v>
      </c>
      <c r="E1000" s="286"/>
      <c r="F1000" s="286" t="s">
        <v>1090</v>
      </c>
      <c r="G1000" s="288">
        <v>1.384723965E7</v>
      </c>
      <c r="H1000" s="288">
        <v>0.0</v>
      </c>
      <c r="I1000" s="289">
        <v>1.384723965E7</v>
      </c>
      <c r="J1000" s="290"/>
      <c r="K1000" s="7"/>
    </row>
    <row r="1001" ht="15.75" customHeight="1">
      <c r="A1001" s="296" t="s">
        <v>872</v>
      </c>
      <c r="B1001" s="296">
        <v>152.0</v>
      </c>
      <c r="C1001" s="297" t="s">
        <v>226</v>
      </c>
      <c r="D1001" s="296" t="s">
        <v>320</v>
      </c>
      <c r="E1001" s="298"/>
      <c r="F1001" s="297" t="s">
        <v>321</v>
      </c>
      <c r="G1001" s="299">
        <v>1.384723965E7</v>
      </c>
      <c r="H1001" s="299">
        <v>0.0</v>
      </c>
      <c r="I1001" s="300">
        <v>1.384723965E7</v>
      </c>
      <c r="J1001" s="300">
        <v>1.384723965E7</v>
      </c>
      <c r="K1001" s="301">
        <v>0.0</v>
      </c>
    </row>
    <row r="1002" ht="15.75" customHeight="1">
      <c r="A1002" s="286" t="s">
        <v>872</v>
      </c>
      <c r="B1002" s="287">
        <v>158.0</v>
      </c>
      <c r="C1002" s="286" t="s">
        <v>229</v>
      </c>
      <c r="D1002" s="287" t="s">
        <v>602</v>
      </c>
      <c r="E1002" s="286"/>
      <c r="F1002" s="286" t="s">
        <v>1091</v>
      </c>
      <c r="G1002" s="288">
        <v>0.0</v>
      </c>
      <c r="H1002" s="288">
        <v>2.26278054E8</v>
      </c>
      <c r="I1002" s="289">
        <v>-2.26278054E8</v>
      </c>
      <c r="J1002" s="290"/>
      <c r="K1002" s="7"/>
    </row>
    <row r="1003" ht="15.75" customHeight="1">
      <c r="A1003" s="291" t="s">
        <v>872</v>
      </c>
      <c r="B1003" s="292">
        <v>158.0</v>
      </c>
      <c r="C1003" s="291" t="s">
        <v>229</v>
      </c>
      <c r="D1003" s="292" t="s">
        <v>602</v>
      </c>
      <c r="E1003" s="291" t="s">
        <v>604</v>
      </c>
      <c r="F1003" s="291" t="s">
        <v>1092</v>
      </c>
      <c r="G1003" s="293">
        <v>2.259938916E8</v>
      </c>
      <c r="H1003" s="293">
        <v>0.0</v>
      </c>
      <c r="I1003" s="294">
        <v>2.259938916E8</v>
      </c>
      <c r="J1003" s="295"/>
      <c r="K1003" s="7"/>
    </row>
    <row r="1004" ht="15.75" customHeight="1">
      <c r="A1004" s="286" t="s">
        <v>872</v>
      </c>
      <c r="B1004" s="287">
        <v>158.0</v>
      </c>
      <c r="C1004" s="286" t="s">
        <v>229</v>
      </c>
      <c r="D1004" s="287" t="s">
        <v>602</v>
      </c>
      <c r="E1004" s="286"/>
      <c r="F1004" s="286" t="s">
        <v>1093</v>
      </c>
      <c r="G1004" s="288">
        <v>2.35E8</v>
      </c>
      <c r="H1004" s="288">
        <v>0.0</v>
      </c>
      <c r="I1004" s="289">
        <v>2.35E8</v>
      </c>
      <c r="J1004" s="290"/>
      <c r="K1004" s="7"/>
    </row>
    <row r="1005" ht="15.75" customHeight="1">
      <c r="A1005" s="296" t="s">
        <v>872</v>
      </c>
      <c r="B1005" s="296">
        <v>158.0</v>
      </c>
      <c r="C1005" s="297" t="s">
        <v>229</v>
      </c>
      <c r="D1005" s="296" t="s">
        <v>320</v>
      </c>
      <c r="E1005" s="298"/>
      <c r="F1005" s="297" t="s">
        <v>321</v>
      </c>
      <c r="G1005" s="299">
        <v>4.609938916E8</v>
      </c>
      <c r="H1005" s="299">
        <v>2.26278054E8</v>
      </c>
      <c r="I1005" s="300">
        <v>2.347158376E8</v>
      </c>
      <c r="J1005" s="300">
        <v>3.5081080468E8</v>
      </c>
      <c r="K1005" s="302">
        <v>-1.1609496708E8</v>
      </c>
    </row>
    <row r="1006" ht="15.75" customHeight="1">
      <c r="A1006" s="286" t="s">
        <v>872</v>
      </c>
      <c r="B1006" s="287">
        <v>164.0</v>
      </c>
      <c r="C1006" s="286" t="s">
        <v>238</v>
      </c>
      <c r="D1006" s="287" t="s">
        <v>607</v>
      </c>
      <c r="E1006" s="286"/>
      <c r="F1006" s="286" t="s">
        <v>1094</v>
      </c>
      <c r="G1006" s="288">
        <v>0.0</v>
      </c>
      <c r="H1006" s="288">
        <v>1.5E8</v>
      </c>
      <c r="I1006" s="289">
        <v>-1.5E8</v>
      </c>
      <c r="J1006" s="290"/>
      <c r="K1006" s="7"/>
    </row>
    <row r="1007" ht="15.75" customHeight="1">
      <c r="A1007" s="291" t="s">
        <v>872</v>
      </c>
      <c r="B1007" s="292">
        <v>164.0</v>
      </c>
      <c r="C1007" s="291" t="s">
        <v>238</v>
      </c>
      <c r="D1007" s="292" t="s">
        <v>607</v>
      </c>
      <c r="E1007" s="291" t="s">
        <v>604</v>
      </c>
      <c r="F1007" s="291" t="s">
        <v>1095</v>
      </c>
      <c r="G1007" s="293">
        <v>1.5E8</v>
      </c>
      <c r="H1007" s="293">
        <v>0.0</v>
      </c>
      <c r="I1007" s="294">
        <v>1.5E8</v>
      </c>
      <c r="J1007" s="295"/>
      <c r="K1007" s="7"/>
    </row>
    <row r="1008" ht="15.75" customHeight="1">
      <c r="A1008" s="286" t="s">
        <v>872</v>
      </c>
      <c r="B1008" s="287">
        <v>164.0</v>
      </c>
      <c r="C1008" s="286" t="s">
        <v>238</v>
      </c>
      <c r="D1008" s="287" t="s">
        <v>607</v>
      </c>
      <c r="E1008" s="286"/>
      <c r="F1008" s="286" t="s">
        <v>1096</v>
      </c>
      <c r="G1008" s="288">
        <v>1.5E8</v>
      </c>
      <c r="H1008" s="288">
        <v>0.0</v>
      </c>
      <c r="I1008" s="289">
        <v>1.5E8</v>
      </c>
      <c r="J1008" s="290"/>
      <c r="K1008" s="7"/>
    </row>
    <row r="1009" ht="15.75" customHeight="1">
      <c r="A1009" s="296" t="s">
        <v>872</v>
      </c>
      <c r="B1009" s="296">
        <v>164.0</v>
      </c>
      <c r="C1009" s="297" t="s">
        <v>238</v>
      </c>
      <c r="D1009" s="296" t="s">
        <v>320</v>
      </c>
      <c r="E1009" s="298"/>
      <c r="F1009" s="297" t="s">
        <v>321</v>
      </c>
      <c r="G1009" s="299">
        <v>3.0E8</v>
      </c>
      <c r="H1009" s="299">
        <v>1.5E8</v>
      </c>
      <c r="I1009" s="300">
        <v>1.5E8</v>
      </c>
      <c r="J1009" s="300">
        <v>2.133917668E7</v>
      </c>
      <c r="K1009" s="302">
        <v>1.2866082332E8</v>
      </c>
    </row>
    <row r="1010" ht="15.75" customHeight="1">
      <c r="A1010" s="286" t="s">
        <v>872</v>
      </c>
      <c r="B1010" s="287">
        <v>174.0</v>
      </c>
      <c r="C1010" s="286" t="s">
        <v>248</v>
      </c>
      <c r="D1010" s="287" t="s">
        <v>534</v>
      </c>
      <c r="E1010" s="286" t="s">
        <v>611</v>
      </c>
      <c r="F1010" s="286" t="s">
        <v>1097</v>
      </c>
      <c r="G1010" s="288">
        <v>49000.0</v>
      </c>
      <c r="H1010" s="288">
        <v>0.0</v>
      </c>
      <c r="I1010" s="289">
        <v>49000.0</v>
      </c>
      <c r="J1010" s="290"/>
      <c r="K1010" s="7"/>
    </row>
    <row r="1011" ht="15.75" customHeight="1">
      <c r="A1011" s="296" t="s">
        <v>872</v>
      </c>
      <c r="B1011" s="296">
        <v>174.0</v>
      </c>
      <c r="C1011" s="297" t="s">
        <v>248</v>
      </c>
      <c r="D1011" s="296" t="s">
        <v>320</v>
      </c>
      <c r="E1011" s="298"/>
      <c r="F1011" s="297" t="s">
        <v>321</v>
      </c>
      <c r="G1011" s="299">
        <v>49000.0</v>
      </c>
      <c r="H1011" s="299">
        <v>0.0</v>
      </c>
      <c r="I1011" s="300">
        <v>49000.0</v>
      </c>
      <c r="J1011" s="300">
        <v>49000.0</v>
      </c>
      <c r="K1011" s="301">
        <v>0.0</v>
      </c>
    </row>
    <row r="1012" ht="15.75" customHeight="1">
      <c r="A1012" s="286" t="s">
        <v>872</v>
      </c>
      <c r="B1012" s="287">
        <v>176.0</v>
      </c>
      <c r="C1012" s="286" t="s">
        <v>250</v>
      </c>
      <c r="D1012" s="287" t="s">
        <v>613</v>
      </c>
      <c r="E1012" s="286" t="s">
        <v>614</v>
      </c>
      <c r="F1012" s="286" t="s">
        <v>1098</v>
      </c>
      <c r="G1012" s="288">
        <v>8792.28</v>
      </c>
      <c r="H1012" s="288">
        <v>0.0</v>
      </c>
      <c r="I1012" s="289">
        <v>8792.28</v>
      </c>
      <c r="J1012" s="290"/>
      <c r="K1012" s="7"/>
    </row>
    <row r="1013" ht="15.75" customHeight="1">
      <c r="A1013" s="291" t="s">
        <v>872</v>
      </c>
      <c r="B1013" s="292">
        <v>176.0</v>
      </c>
      <c r="C1013" s="291" t="s">
        <v>250</v>
      </c>
      <c r="D1013" s="292" t="s">
        <v>613</v>
      </c>
      <c r="E1013" s="291" t="s">
        <v>428</v>
      </c>
      <c r="F1013" s="291" t="s">
        <v>1099</v>
      </c>
      <c r="G1013" s="293">
        <v>0.0</v>
      </c>
      <c r="H1013" s="293">
        <v>14520.0</v>
      </c>
      <c r="I1013" s="294">
        <v>-14520.0</v>
      </c>
      <c r="J1013" s="295"/>
      <c r="K1013" s="7"/>
    </row>
    <row r="1014" ht="15.75" customHeight="1">
      <c r="A1014" s="296" t="s">
        <v>872</v>
      </c>
      <c r="B1014" s="296">
        <v>176.0</v>
      </c>
      <c r="C1014" s="297" t="s">
        <v>250</v>
      </c>
      <c r="D1014" s="296" t="s">
        <v>320</v>
      </c>
      <c r="E1014" s="298"/>
      <c r="F1014" s="297" t="s">
        <v>321</v>
      </c>
      <c r="G1014" s="299">
        <v>8792.28</v>
      </c>
      <c r="H1014" s="299">
        <v>14520.0</v>
      </c>
      <c r="I1014" s="300">
        <v>-5727.719999999999</v>
      </c>
      <c r="J1014" s="300">
        <v>-5728.0</v>
      </c>
      <c r="K1014" s="301">
        <v>0.2800000000006548</v>
      </c>
    </row>
    <row r="1015" ht="15.75" customHeight="1">
      <c r="A1015" s="286" t="s">
        <v>872</v>
      </c>
      <c r="B1015" s="287">
        <v>178.0</v>
      </c>
      <c r="C1015" s="286" t="s">
        <v>251</v>
      </c>
      <c r="D1015" s="287" t="s">
        <v>618</v>
      </c>
      <c r="E1015" s="286"/>
      <c r="F1015" s="286" t="s">
        <v>1100</v>
      </c>
      <c r="G1015" s="288">
        <v>0.0</v>
      </c>
      <c r="H1015" s="288">
        <v>7.512264231E7</v>
      </c>
      <c r="I1015" s="289">
        <v>-7.512264231E7</v>
      </c>
      <c r="J1015" s="290"/>
      <c r="K1015" s="7"/>
    </row>
    <row r="1016" ht="15.75" customHeight="1">
      <c r="A1016" s="291" t="s">
        <v>872</v>
      </c>
      <c r="B1016" s="292">
        <v>178.0</v>
      </c>
      <c r="C1016" s="291" t="s">
        <v>251</v>
      </c>
      <c r="D1016" s="292" t="s">
        <v>620</v>
      </c>
      <c r="E1016" s="291"/>
      <c r="F1016" s="291" t="s">
        <v>1101</v>
      </c>
      <c r="G1016" s="293">
        <v>4456889.85</v>
      </c>
      <c r="H1016" s="293">
        <v>0.0</v>
      </c>
      <c r="I1016" s="294">
        <v>4456889.85</v>
      </c>
      <c r="J1016" s="295"/>
      <c r="K1016" s="7"/>
    </row>
    <row r="1017" ht="15.75" customHeight="1">
      <c r="A1017" s="286" t="s">
        <v>872</v>
      </c>
      <c r="B1017" s="287">
        <v>178.0</v>
      </c>
      <c r="C1017" s="286" t="s">
        <v>251</v>
      </c>
      <c r="D1017" s="287" t="s">
        <v>622</v>
      </c>
      <c r="E1017" s="286"/>
      <c r="F1017" s="286" t="s">
        <v>1102</v>
      </c>
      <c r="G1017" s="288">
        <v>0.0</v>
      </c>
      <c r="H1017" s="288">
        <v>1.922E8</v>
      </c>
      <c r="I1017" s="289">
        <v>-1.922E8</v>
      </c>
      <c r="J1017" s="290"/>
      <c r="K1017" s="7"/>
    </row>
    <row r="1018" ht="15.75" customHeight="1">
      <c r="A1018" s="296" t="s">
        <v>872</v>
      </c>
      <c r="B1018" s="296">
        <v>178.0</v>
      </c>
      <c r="C1018" s="297" t="s">
        <v>251</v>
      </c>
      <c r="D1018" s="296" t="s">
        <v>320</v>
      </c>
      <c r="E1018" s="298"/>
      <c r="F1018" s="297" t="s">
        <v>321</v>
      </c>
      <c r="G1018" s="299">
        <v>4456889.85</v>
      </c>
      <c r="H1018" s="299">
        <v>2.6732264231E8</v>
      </c>
      <c r="I1018" s="300">
        <v>-2.6286575246E8</v>
      </c>
      <c r="J1018" s="300">
        <v>-2.62865752E8</v>
      </c>
      <c r="K1018" s="301">
        <v>-0.4600000083446503</v>
      </c>
    </row>
    <row r="1019" ht="15.75" customHeight="1">
      <c r="A1019" s="286" t="s">
        <v>872</v>
      </c>
      <c r="B1019" s="287">
        <v>182.0</v>
      </c>
      <c r="C1019" s="286" t="s">
        <v>255</v>
      </c>
      <c r="D1019" s="287" t="s">
        <v>624</v>
      </c>
      <c r="E1019" s="286" t="s">
        <v>438</v>
      </c>
      <c r="F1019" s="286" t="s">
        <v>1103</v>
      </c>
      <c r="G1019" s="288">
        <v>1.3158188E7</v>
      </c>
      <c r="H1019" s="288">
        <v>0.0</v>
      </c>
      <c r="I1019" s="289">
        <v>1.3158188E7</v>
      </c>
      <c r="J1019" s="290"/>
      <c r="K1019" s="7"/>
    </row>
    <row r="1020" ht="15.75" customHeight="1">
      <c r="A1020" s="291" t="s">
        <v>872</v>
      </c>
      <c r="B1020" s="292">
        <v>182.0</v>
      </c>
      <c r="C1020" s="291" t="s">
        <v>255</v>
      </c>
      <c r="D1020" s="292" t="s">
        <v>624</v>
      </c>
      <c r="E1020" s="291"/>
      <c r="F1020" s="291" t="s">
        <v>1104</v>
      </c>
      <c r="G1020" s="293">
        <v>0.0</v>
      </c>
      <c r="H1020" s="293">
        <v>1.3158188E7</v>
      </c>
      <c r="I1020" s="294">
        <v>-1.3158188E7</v>
      </c>
      <c r="J1020" s="295"/>
      <c r="K1020" s="7"/>
    </row>
    <row r="1021" ht="15.75" customHeight="1">
      <c r="A1021" s="286" t="s">
        <v>872</v>
      </c>
      <c r="B1021" s="287">
        <v>182.0</v>
      </c>
      <c r="C1021" s="286" t="s">
        <v>255</v>
      </c>
      <c r="D1021" s="287" t="s">
        <v>624</v>
      </c>
      <c r="E1021" s="286"/>
      <c r="F1021" s="286" t="s">
        <v>1105</v>
      </c>
      <c r="G1021" s="288">
        <v>6619703.31</v>
      </c>
      <c r="H1021" s="288">
        <v>0.0</v>
      </c>
      <c r="I1021" s="289">
        <v>6619703.31</v>
      </c>
      <c r="J1021" s="290"/>
      <c r="K1021" s="7"/>
    </row>
    <row r="1022" ht="15.75" customHeight="1">
      <c r="A1022" s="296" t="s">
        <v>872</v>
      </c>
      <c r="B1022" s="296">
        <v>182.0</v>
      </c>
      <c r="C1022" s="297" t="s">
        <v>255</v>
      </c>
      <c r="D1022" s="296" t="s">
        <v>320</v>
      </c>
      <c r="E1022" s="298"/>
      <c r="F1022" s="297" t="s">
        <v>321</v>
      </c>
      <c r="G1022" s="299">
        <v>1.977789131E7</v>
      </c>
      <c r="H1022" s="299">
        <v>1.3158188E7</v>
      </c>
      <c r="I1022" s="300">
        <v>6619703.31</v>
      </c>
      <c r="J1022" s="300">
        <v>6619713.0</v>
      </c>
      <c r="K1022" s="302">
        <v>-9.690000000409782</v>
      </c>
    </row>
    <row r="1023" ht="15.75" customHeight="1">
      <c r="A1023" s="286" t="s">
        <v>872</v>
      </c>
      <c r="B1023" s="287">
        <v>184.0</v>
      </c>
      <c r="C1023" s="286" t="s">
        <v>256</v>
      </c>
      <c r="D1023" s="287" t="s">
        <v>626</v>
      </c>
      <c r="E1023" s="286"/>
      <c r="F1023" s="286" t="s">
        <v>1106</v>
      </c>
      <c r="G1023" s="288">
        <v>4.7773253776E8</v>
      </c>
      <c r="H1023" s="288">
        <v>0.0</v>
      </c>
      <c r="I1023" s="289">
        <v>4.7773253776E8</v>
      </c>
      <c r="J1023" s="290"/>
      <c r="K1023" s="7"/>
    </row>
    <row r="1024" ht="15.75" customHeight="1">
      <c r="A1024" s="296" t="s">
        <v>872</v>
      </c>
      <c r="B1024" s="296">
        <v>184.0</v>
      </c>
      <c r="C1024" s="297" t="s">
        <v>256</v>
      </c>
      <c r="D1024" s="296" t="s">
        <v>320</v>
      </c>
      <c r="E1024" s="298"/>
      <c r="F1024" s="297" t="s">
        <v>321</v>
      </c>
      <c r="G1024" s="299">
        <v>4.7773253776E8</v>
      </c>
      <c r="H1024" s="299">
        <v>0.0</v>
      </c>
      <c r="I1024" s="300">
        <v>4.7773253776E8</v>
      </c>
      <c r="J1024" s="300">
        <v>4.7773253776E8</v>
      </c>
      <c r="K1024" s="301">
        <v>0.0</v>
      </c>
    </row>
    <row r="1025" ht="15.75" customHeight="1">
      <c r="A1025" s="286" t="s">
        <v>300</v>
      </c>
      <c r="B1025" s="287">
        <v>8.0</v>
      </c>
      <c r="C1025" s="286" t="s">
        <v>10</v>
      </c>
      <c r="D1025" s="287" t="s">
        <v>313</v>
      </c>
      <c r="E1025" s="286" t="s">
        <v>314</v>
      </c>
      <c r="F1025" s="286" t="s">
        <v>1107</v>
      </c>
      <c r="G1025" s="288">
        <v>0.0</v>
      </c>
      <c r="H1025" s="288">
        <v>2.258670484E8</v>
      </c>
      <c r="I1025" s="289">
        <v>-2.258670484E8</v>
      </c>
      <c r="J1025" s="290"/>
      <c r="K1025" s="7"/>
    </row>
    <row r="1026" ht="15.75" customHeight="1">
      <c r="A1026" s="291" t="s">
        <v>300</v>
      </c>
      <c r="B1026" s="292">
        <v>8.0</v>
      </c>
      <c r="C1026" s="291" t="s">
        <v>10</v>
      </c>
      <c r="D1026" s="292" t="s">
        <v>313</v>
      </c>
      <c r="E1026" s="291"/>
      <c r="F1026" s="291" t="s">
        <v>874</v>
      </c>
      <c r="G1026" s="293">
        <v>2.258670484E8</v>
      </c>
      <c r="H1026" s="293">
        <v>0.0</v>
      </c>
      <c r="I1026" s="294">
        <v>2.258670484E8</v>
      </c>
      <c r="J1026" s="295"/>
      <c r="K1026" s="7"/>
    </row>
    <row r="1027" ht="15.75" customHeight="1">
      <c r="A1027" s="286" t="s">
        <v>300</v>
      </c>
      <c r="B1027" s="287">
        <v>8.0</v>
      </c>
      <c r="C1027" s="286" t="s">
        <v>10</v>
      </c>
      <c r="D1027" s="287" t="s">
        <v>313</v>
      </c>
      <c r="E1027" s="286"/>
      <c r="F1027" s="286" t="s">
        <v>1108</v>
      </c>
      <c r="G1027" s="288">
        <v>2.80874272E8</v>
      </c>
      <c r="H1027" s="288">
        <v>0.0</v>
      </c>
      <c r="I1027" s="289">
        <v>2.80874272E8</v>
      </c>
      <c r="J1027" s="290"/>
      <c r="K1027" s="7"/>
    </row>
    <row r="1028" ht="15.75" customHeight="1">
      <c r="A1028" s="291" t="s">
        <v>300</v>
      </c>
      <c r="B1028" s="292">
        <v>8.0</v>
      </c>
      <c r="C1028" s="291" t="s">
        <v>10</v>
      </c>
      <c r="D1028" s="292" t="s">
        <v>313</v>
      </c>
      <c r="E1028" s="291"/>
      <c r="F1028" s="291" t="s">
        <v>875</v>
      </c>
      <c r="G1028" s="293">
        <v>0.0</v>
      </c>
      <c r="H1028" s="293">
        <v>2.7943931428E8</v>
      </c>
      <c r="I1028" s="294">
        <v>-2.7943931428E8</v>
      </c>
      <c r="J1028" s="295"/>
      <c r="K1028" s="7"/>
    </row>
    <row r="1029" ht="15.75" customHeight="1">
      <c r="A1029" s="286" t="s">
        <v>300</v>
      </c>
      <c r="B1029" s="287">
        <v>8.0</v>
      </c>
      <c r="C1029" s="286" t="s">
        <v>10</v>
      </c>
      <c r="D1029" s="287" t="s">
        <v>313</v>
      </c>
      <c r="E1029" s="286"/>
      <c r="F1029" s="286" t="s">
        <v>1109</v>
      </c>
      <c r="G1029" s="288">
        <v>0.0</v>
      </c>
      <c r="H1029" s="288">
        <v>2.90133662E8</v>
      </c>
      <c r="I1029" s="289">
        <v>-2.90133662E8</v>
      </c>
      <c r="J1029" s="290"/>
      <c r="K1029" s="7"/>
    </row>
    <row r="1030" ht="15.75" customHeight="1">
      <c r="A1030" s="296" t="s">
        <v>300</v>
      </c>
      <c r="B1030" s="296">
        <v>8.0</v>
      </c>
      <c r="C1030" s="297" t="s">
        <v>10</v>
      </c>
      <c r="D1030" s="296" t="s">
        <v>320</v>
      </c>
      <c r="E1030" s="298"/>
      <c r="F1030" s="297" t="s">
        <v>321</v>
      </c>
      <c r="G1030" s="299">
        <v>5.067413204E8</v>
      </c>
      <c r="H1030" s="299">
        <v>7.9544002468E8</v>
      </c>
      <c r="I1030" s="300">
        <v>-2.8869870428E8</v>
      </c>
      <c r="J1030" s="300">
        <v>2.8869870428E8</v>
      </c>
      <c r="K1030" s="301">
        <v>0.0</v>
      </c>
    </row>
    <row r="1031" ht="15.75" customHeight="1">
      <c r="A1031" s="286" t="s">
        <v>300</v>
      </c>
      <c r="B1031" s="287">
        <v>9.0</v>
      </c>
      <c r="C1031" s="286" t="s">
        <v>11</v>
      </c>
      <c r="D1031" s="287" t="s">
        <v>313</v>
      </c>
      <c r="E1031" s="286" t="s">
        <v>314</v>
      </c>
      <c r="F1031" s="286" t="s">
        <v>1110</v>
      </c>
      <c r="G1031" s="288">
        <v>0.0</v>
      </c>
      <c r="H1031" s="288">
        <v>3.113516056E7</v>
      </c>
      <c r="I1031" s="289">
        <v>-3.113516056E7</v>
      </c>
      <c r="J1031" s="290"/>
      <c r="K1031" s="7"/>
    </row>
    <row r="1032" ht="15.75" customHeight="1">
      <c r="A1032" s="291" t="s">
        <v>300</v>
      </c>
      <c r="B1032" s="292">
        <v>9.0</v>
      </c>
      <c r="C1032" s="291" t="s">
        <v>11</v>
      </c>
      <c r="D1032" s="292" t="s">
        <v>313</v>
      </c>
      <c r="E1032" s="291"/>
      <c r="F1032" s="291" t="s">
        <v>877</v>
      </c>
      <c r="G1032" s="293">
        <v>3.113516056E7</v>
      </c>
      <c r="H1032" s="293">
        <v>0.0</v>
      </c>
      <c r="I1032" s="294">
        <v>3.113516056E7</v>
      </c>
      <c r="J1032" s="295"/>
      <c r="K1032" s="7"/>
    </row>
    <row r="1033" ht="15.75" customHeight="1">
      <c r="A1033" s="286" t="s">
        <v>300</v>
      </c>
      <c r="B1033" s="287">
        <v>9.0</v>
      </c>
      <c r="C1033" s="286" t="s">
        <v>11</v>
      </c>
      <c r="D1033" s="287" t="s">
        <v>313</v>
      </c>
      <c r="E1033" s="286"/>
      <c r="F1033" s="286" t="s">
        <v>1111</v>
      </c>
      <c r="G1033" s="288">
        <v>3.3044032E7</v>
      </c>
      <c r="H1033" s="288">
        <v>0.0</v>
      </c>
      <c r="I1033" s="289">
        <v>3.3044032E7</v>
      </c>
      <c r="J1033" s="290"/>
      <c r="K1033" s="7"/>
    </row>
    <row r="1034" ht="15.75" customHeight="1">
      <c r="A1034" s="291" t="s">
        <v>300</v>
      </c>
      <c r="B1034" s="292">
        <v>9.0</v>
      </c>
      <c r="C1034" s="291" t="s">
        <v>11</v>
      </c>
      <c r="D1034" s="292" t="s">
        <v>313</v>
      </c>
      <c r="E1034" s="291"/>
      <c r="F1034" s="291" t="s">
        <v>878</v>
      </c>
      <c r="G1034" s="293">
        <v>0.0</v>
      </c>
      <c r="H1034" s="293">
        <v>3.758858656E7</v>
      </c>
      <c r="I1034" s="294">
        <v>-3.758858656E7</v>
      </c>
      <c r="J1034" s="295"/>
      <c r="K1034" s="7"/>
    </row>
    <row r="1035" ht="15.75" customHeight="1">
      <c r="A1035" s="286" t="s">
        <v>300</v>
      </c>
      <c r="B1035" s="287">
        <v>9.0</v>
      </c>
      <c r="C1035" s="286" t="s">
        <v>11</v>
      </c>
      <c r="D1035" s="287" t="s">
        <v>313</v>
      </c>
      <c r="E1035" s="286"/>
      <c r="F1035" s="286" t="s">
        <v>1112</v>
      </c>
      <c r="G1035" s="288">
        <v>0.0</v>
      </c>
      <c r="H1035" s="288">
        <v>3.75467092E7</v>
      </c>
      <c r="I1035" s="289">
        <v>-3.75467092E7</v>
      </c>
      <c r="J1035" s="290"/>
      <c r="K1035" s="7"/>
    </row>
    <row r="1036" ht="15.75" customHeight="1">
      <c r="A1036" s="296" t="s">
        <v>300</v>
      </c>
      <c r="B1036" s="296">
        <v>9.0</v>
      </c>
      <c r="C1036" s="297" t="s">
        <v>11</v>
      </c>
      <c r="D1036" s="296" t="s">
        <v>320</v>
      </c>
      <c r="E1036" s="298"/>
      <c r="F1036" s="297" t="s">
        <v>321</v>
      </c>
      <c r="G1036" s="299">
        <v>6.417919256E7</v>
      </c>
      <c r="H1036" s="299">
        <v>1.0627045632E8</v>
      </c>
      <c r="I1036" s="300">
        <v>-4.209126376000001E7</v>
      </c>
      <c r="J1036" s="300">
        <v>4.209126376E7</v>
      </c>
      <c r="K1036" s="301">
        <v>7.450580596923828E-9</v>
      </c>
    </row>
    <row r="1037" ht="15.75" customHeight="1">
      <c r="A1037" s="286" t="s">
        <v>300</v>
      </c>
      <c r="B1037" s="287">
        <v>10.0</v>
      </c>
      <c r="C1037" s="286" t="s">
        <v>12</v>
      </c>
      <c r="D1037" s="287" t="s">
        <v>313</v>
      </c>
      <c r="E1037" s="286" t="s">
        <v>314</v>
      </c>
      <c r="F1037" s="286" t="s">
        <v>1113</v>
      </c>
      <c r="G1037" s="288">
        <v>0.0</v>
      </c>
      <c r="H1037" s="288">
        <v>1.3039525323E8</v>
      </c>
      <c r="I1037" s="289">
        <v>-1.3039525323E8</v>
      </c>
      <c r="J1037" s="290"/>
      <c r="K1037" s="7"/>
    </row>
    <row r="1038" ht="15.75" customHeight="1">
      <c r="A1038" s="291" t="s">
        <v>300</v>
      </c>
      <c r="B1038" s="292">
        <v>10.0</v>
      </c>
      <c r="C1038" s="291" t="s">
        <v>12</v>
      </c>
      <c r="D1038" s="292" t="s">
        <v>313</v>
      </c>
      <c r="E1038" s="291"/>
      <c r="F1038" s="291" t="s">
        <v>880</v>
      </c>
      <c r="G1038" s="293">
        <v>1.3039525323E8</v>
      </c>
      <c r="H1038" s="293">
        <v>0.0</v>
      </c>
      <c r="I1038" s="294">
        <v>1.3039525323E8</v>
      </c>
      <c r="J1038" s="295"/>
      <c r="K1038" s="7"/>
    </row>
    <row r="1039" ht="15.75" customHeight="1">
      <c r="A1039" s="286" t="s">
        <v>300</v>
      </c>
      <c r="B1039" s="287">
        <v>10.0</v>
      </c>
      <c r="C1039" s="286" t="s">
        <v>12</v>
      </c>
      <c r="D1039" s="287" t="s">
        <v>313</v>
      </c>
      <c r="E1039" s="286"/>
      <c r="F1039" s="286" t="s">
        <v>1114</v>
      </c>
      <c r="G1039" s="288">
        <v>1.497602736E8</v>
      </c>
      <c r="H1039" s="288">
        <v>0.0</v>
      </c>
      <c r="I1039" s="289">
        <v>1.497602736E8</v>
      </c>
      <c r="J1039" s="290"/>
      <c r="K1039" s="7"/>
    </row>
    <row r="1040" ht="15.75" customHeight="1">
      <c r="A1040" s="291" t="s">
        <v>300</v>
      </c>
      <c r="B1040" s="292">
        <v>10.0</v>
      </c>
      <c r="C1040" s="291" t="s">
        <v>12</v>
      </c>
      <c r="D1040" s="292" t="s">
        <v>313</v>
      </c>
      <c r="E1040" s="291"/>
      <c r="F1040" s="291" t="s">
        <v>881</v>
      </c>
      <c r="G1040" s="293">
        <v>0.0</v>
      </c>
      <c r="H1040" s="293">
        <v>1.5108857361E8</v>
      </c>
      <c r="I1040" s="294">
        <v>-1.5108857361E8</v>
      </c>
      <c r="J1040" s="295"/>
      <c r="K1040" s="7"/>
    </row>
    <row r="1041" ht="15.75" customHeight="1">
      <c r="A1041" s="286" t="s">
        <v>300</v>
      </c>
      <c r="B1041" s="287">
        <v>10.0</v>
      </c>
      <c r="C1041" s="286" t="s">
        <v>12</v>
      </c>
      <c r="D1041" s="287" t="s">
        <v>313</v>
      </c>
      <c r="E1041" s="286"/>
      <c r="F1041" s="286" t="s">
        <v>1115</v>
      </c>
      <c r="G1041" s="288">
        <v>0.0</v>
      </c>
      <c r="H1041" s="288">
        <v>1.5562526395E8</v>
      </c>
      <c r="I1041" s="289">
        <v>-1.5562526395E8</v>
      </c>
      <c r="J1041" s="290"/>
      <c r="K1041" s="7"/>
    </row>
    <row r="1042" ht="15.75" customHeight="1">
      <c r="A1042" s="296" t="s">
        <v>300</v>
      </c>
      <c r="B1042" s="296">
        <v>10.0</v>
      </c>
      <c r="C1042" s="297" t="s">
        <v>12</v>
      </c>
      <c r="D1042" s="296" t="s">
        <v>320</v>
      </c>
      <c r="E1042" s="298"/>
      <c r="F1042" s="297" t="s">
        <v>321</v>
      </c>
      <c r="G1042" s="299">
        <v>2.8015552683E8</v>
      </c>
      <c r="H1042" s="299">
        <v>4.3710909079E8</v>
      </c>
      <c r="I1042" s="300">
        <v>-1.5695356396E8</v>
      </c>
      <c r="J1042" s="300">
        <v>1.5695356396E8</v>
      </c>
      <c r="K1042" s="301">
        <v>0.0</v>
      </c>
    </row>
    <row r="1043" ht="15.75" customHeight="1">
      <c r="A1043" s="286" t="s">
        <v>300</v>
      </c>
      <c r="B1043" s="287">
        <v>11.0</v>
      </c>
      <c r="C1043" s="286" t="s">
        <v>13</v>
      </c>
      <c r="D1043" s="287" t="s">
        <v>313</v>
      </c>
      <c r="E1043" s="286" t="s">
        <v>314</v>
      </c>
      <c r="F1043" s="286" t="s">
        <v>1116</v>
      </c>
      <c r="G1043" s="288">
        <v>0.0</v>
      </c>
      <c r="H1043" s="288">
        <v>1.290434128E7</v>
      </c>
      <c r="I1043" s="289">
        <v>-1.290434128E7</v>
      </c>
      <c r="J1043" s="290"/>
      <c r="K1043" s="7"/>
    </row>
    <row r="1044" ht="15.75" customHeight="1">
      <c r="A1044" s="291" t="s">
        <v>300</v>
      </c>
      <c r="B1044" s="292">
        <v>11.0</v>
      </c>
      <c r="C1044" s="291" t="s">
        <v>13</v>
      </c>
      <c r="D1044" s="292" t="s">
        <v>313</v>
      </c>
      <c r="E1044" s="291"/>
      <c r="F1044" s="291" t="s">
        <v>883</v>
      </c>
      <c r="G1044" s="293">
        <v>1.290434128E7</v>
      </c>
      <c r="H1044" s="293">
        <v>0.0</v>
      </c>
      <c r="I1044" s="294">
        <v>1.290434128E7</v>
      </c>
      <c r="J1044" s="295"/>
      <c r="K1044" s="7"/>
    </row>
    <row r="1045" ht="15.75" customHeight="1">
      <c r="A1045" s="286" t="s">
        <v>300</v>
      </c>
      <c r="B1045" s="287">
        <v>11.0</v>
      </c>
      <c r="C1045" s="286" t="s">
        <v>13</v>
      </c>
      <c r="D1045" s="287" t="s">
        <v>313</v>
      </c>
      <c r="E1045" s="286"/>
      <c r="F1045" s="286" t="s">
        <v>1117</v>
      </c>
      <c r="G1045" s="288">
        <v>1.326566283E7</v>
      </c>
      <c r="H1045" s="288">
        <v>0.0</v>
      </c>
      <c r="I1045" s="289">
        <v>1.326566283E7</v>
      </c>
      <c r="J1045" s="290"/>
      <c r="K1045" s="7"/>
    </row>
    <row r="1046" ht="15.75" customHeight="1">
      <c r="A1046" s="291" t="s">
        <v>300</v>
      </c>
      <c r="B1046" s="292">
        <v>11.0</v>
      </c>
      <c r="C1046" s="291" t="s">
        <v>13</v>
      </c>
      <c r="D1046" s="292" t="s">
        <v>313</v>
      </c>
      <c r="E1046" s="291"/>
      <c r="F1046" s="291" t="s">
        <v>884</v>
      </c>
      <c r="G1046" s="293">
        <v>0.0</v>
      </c>
      <c r="H1046" s="293">
        <v>1.657504878E7</v>
      </c>
      <c r="I1046" s="294">
        <v>-1.657504878E7</v>
      </c>
      <c r="J1046" s="295"/>
      <c r="K1046" s="7"/>
    </row>
    <row r="1047" ht="15.75" customHeight="1">
      <c r="A1047" s="286" t="s">
        <v>300</v>
      </c>
      <c r="B1047" s="287">
        <v>11.0</v>
      </c>
      <c r="C1047" s="286" t="s">
        <v>13</v>
      </c>
      <c r="D1047" s="287" t="s">
        <v>313</v>
      </c>
      <c r="E1047" s="286"/>
      <c r="F1047" s="286" t="s">
        <v>1118</v>
      </c>
      <c r="G1047" s="288">
        <v>0.0</v>
      </c>
      <c r="H1047" s="288">
        <v>1.331719073E7</v>
      </c>
      <c r="I1047" s="289">
        <v>-1.331719073E7</v>
      </c>
      <c r="J1047" s="290"/>
      <c r="K1047" s="7"/>
    </row>
    <row r="1048" ht="15.75" customHeight="1">
      <c r="A1048" s="296" t="s">
        <v>300</v>
      </c>
      <c r="B1048" s="296">
        <v>11.0</v>
      </c>
      <c r="C1048" s="297" t="s">
        <v>13</v>
      </c>
      <c r="D1048" s="296" t="s">
        <v>320</v>
      </c>
      <c r="E1048" s="298"/>
      <c r="F1048" s="297" t="s">
        <v>321</v>
      </c>
      <c r="G1048" s="299">
        <v>2.617000411E7</v>
      </c>
      <c r="H1048" s="299">
        <v>4.279658079E7</v>
      </c>
      <c r="I1048" s="300">
        <v>-1.662657668E7</v>
      </c>
      <c r="J1048" s="300">
        <v>1.662657668E7</v>
      </c>
      <c r="K1048" s="301">
        <v>0.0</v>
      </c>
    </row>
    <row r="1049" ht="15.75" customHeight="1">
      <c r="A1049" s="286" t="s">
        <v>300</v>
      </c>
      <c r="B1049" s="287">
        <v>12.0</v>
      </c>
      <c r="C1049" s="286" t="s">
        <v>14</v>
      </c>
      <c r="D1049" s="287" t="s">
        <v>313</v>
      </c>
      <c r="E1049" s="286" t="s">
        <v>314</v>
      </c>
      <c r="F1049" s="286" t="s">
        <v>1119</v>
      </c>
      <c r="G1049" s="288">
        <v>0.0</v>
      </c>
      <c r="H1049" s="288">
        <v>2491856.48</v>
      </c>
      <c r="I1049" s="289">
        <v>-2491856.48</v>
      </c>
      <c r="J1049" s="290"/>
      <c r="K1049" s="7"/>
    </row>
    <row r="1050" ht="15.75" customHeight="1">
      <c r="A1050" s="291" t="s">
        <v>300</v>
      </c>
      <c r="B1050" s="292">
        <v>12.0</v>
      </c>
      <c r="C1050" s="291" t="s">
        <v>14</v>
      </c>
      <c r="D1050" s="292" t="s">
        <v>313</v>
      </c>
      <c r="E1050" s="291"/>
      <c r="F1050" s="291" t="s">
        <v>886</v>
      </c>
      <c r="G1050" s="293">
        <v>2491856.48</v>
      </c>
      <c r="H1050" s="293">
        <v>0.0</v>
      </c>
      <c r="I1050" s="294">
        <v>2491856.48</v>
      </c>
      <c r="J1050" s="295"/>
      <c r="K1050" s="7"/>
    </row>
    <row r="1051" ht="15.75" customHeight="1">
      <c r="A1051" s="286" t="s">
        <v>300</v>
      </c>
      <c r="B1051" s="287">
        <v>12.0</v>
      </c>
      <c r="C1051" s="286" t="s">
        <v>14</v>
      </c>
      <c r="D1051" s="287" t="s">
        <v>313</v>
      </c>
      <c r="E1051" s="286"/>
      <c r="F1051" s="286" t="s">
        <v>1120</v>
      </c>
      <c r="G1051" s="288">
        <v>2561628.46</v>
      </c>
      <c r="H1051" s="288">
        <v>0.0</v>
      </c>
      <c r="I1051" s="289">
        <v>2561628.46</v>
      </c>
      <c r="J1051" s="290"/>
      <c r="K1051" s="7"/>
    </row>
    <row r="1052" ht="15.75" customHeight="1">
      <c r="A1052" s="291" t="s">
        <v>300</v>
      </c>
      <c r="B1052" s="292">
        <v>12.0</v>
      </c>
      <c r="C1052" s="291" t="s">
        <v>14</v>
      </c>
      <c r="D1052" s="292" t="s">
        <v>313</v>
      </c>
      <c r="E1052" s="291"/>
      <c r="F1052" s="291" t="s">
        <v>887</v>
      </c>
      <c r="G1052" s="293">
        <v>0.0</v>
      </c>
      <c r="H1052" s="293">
        <v>3006264.45</v>
      </c>
      <c r="I1052" s="294">
        <v>-3006264.45</v>
      </c>
      <c r="J1052" s="295"/>
      <c r="K1052" s="7"/>
    </row>
    <row r="1053" ht="15.75" customHeight="1">
      <c r="A1053" s="286" t="s">
        <v>300</v>
      </c>
      <c r="B1053" s="287">
        <v>12.0</v>
      </c>
      <c r="C1053" s="286" t="s">
        <v>14</v>
      </c>
      <c r="D1053" s="287" t="s">
        <v>313</v>
      </c>
      <c r="E1053" s="286"/>
      <c r="F1053" s="286" t="s">
        <v>1121</v>
      </c>
      <c r="G1053" s="288">
        <v>0.0</v>
      </c>
      <c r="H1053" s="288">
        <v>2916127.13</v>
      </c>
      <c r="I1053" s="289">
        <v>-2916127.13</v>
      </c>
      <c r="J1053" s="290"/>
      <c r="K1053" s="7"/>
    </row>
    <row r="1054" ht="15.75" customHeight="1">
      <c r="A1054" s="296" t="s">
        <v>300</v>
      </c>
      <c r="B1054" s="296">
        <v>12.0</v>
      </c>
      <c r="C1054" s="297" t="s">
        <v>14</v>
      </c>
      <c r="D1054" s="296" t="s">
        <v>320</v>
      </c>
      <c r="E1054" s="298"/>
      <c r="F1054" s="297" t="s">
        <v>321</v>
      </c>
      <c r="G1054" s="299">
        <v>5053484.939999999</v>
      </c>
      <c r="H1054" s="299">
        <v>8414248.06</v>
      </c>
      <c r="I1054" s="300">
        <v>-3360763.12</v>
      </c>
      <c r="J1054" s="300">
        <v>3360763.12</v>
      </c>
      <c r="K1054" s="301">
        <v>0.0</v>
      </c>
    </row>
    <row r="1055" ht="15.75" customHeight="1">
      <c r="A1055" s="286" t="s">
        <v>300</v>
      </c>
      <c r="B1055" s="287">
        <v>13.0</v>
      </c>
      <c r="C1055" s="286" t="s">
        <v>15</v>
      </c>
      <c r="D1055" s="287" t="s">
        <v>313</v>
      </c>
      <c r="E1055" s="286" t="s">
        <v>314</v>
      </c>
      <c r="F1055" s="286" t="s">
        <v>1122</v>
      </c>
      <c r="G1055" s="288">
        <v>0.0</v>
      </c>
      <c r="H1055" s="288">
        <v>4443823.17</v>
      </c>
      <c r="I1055" s="289">
        <v>-4443823.17</v>
      </c>
      <c r="J1055" s="290"/>
      <c r="K1055" s="7"/>
    </row>
    <row r="1056" ht="15.75" customHeight="1">
      <c r="A1056" s="291" t="s">
        <v>300</v>
      </c>
      <c r="B1056" s="292">
        <v>13.0</v>
      </c>
      <c r="C1056" s="291" t="s">
        <v>15</v>
      </c>
      <c r="D1056" s="292" t="s">
        <v>313</v>
      </c>
      <c r="E1056" s="291"/>
      <c r="F1056" s="291" t="s">
        <v>889</v>
      </c>
      <c r="G1056" s="293">
        <v>4443823.17</v>
      </c>
      <c r="H1056" s="293">
        <v>0.0</v>
      </c>
      <c r="I1056" s="294">
        <v>4443823.17</v>
      </c>
      <c r="J1056" s="295"/>
      <c r="K1056" s="7"/>
    </row>
    <row r="1057" ht="15.75" customHeight="1">
      <c r="A1057" s="286" t="s">
        <v>300</v>
      </c>
      <c r="B1057" s="287">
        <v>13.0</v>
      </c>
      <c r="C1057" s="286" t="s">
        <v>15</v>
      </c>
      <c r="D1057" s="287" t="s">
        <v>313</v>
      </c>
      <c r="E1057" s="286"/>
      <c r="F1057" s="286" t="s">
        <v>1123</v>
      </c>
      <c r="G1057" s="288">
        <v>4568250.21</v>
      </c>
      <c r="H1057" s="288">
        <v>0.0</v>
      </c>
      <c r="I1057" s="289">
        <v>4568250.21</v>
      </c>
      <c r="J1057" s="290"/>
      <c r="K1057" s="7"/>
    </row>
    <row r="1058" ht="15.75" customHeight="1">
      <c r="A1058" s="291" t="s">
        <v>300</v>
      </c>
      <c r="B1058" s="292">
        <v>13.0</v>
      </c>
      <c r="C1058" s="291" t="s">
        <v>15</v>
      </c>
      <c r="D1058" s="292" t="s">
        <v>313</v>
      </c>
      <c r="E1058" s="291"/>
      <c r="F1058" s="291" t="s">
        <v>890</v>
      </c>
      <c r="G1058" s="293">
        <v>0.0</v>
      </c>
      <c r="H1058" s="293">
        <v>5189189.6</v>
      </c>
      <c r="I1058" s="294">
        <v>-5189189.6</v>
      </c>
      <c r="J1058" s="295"/>
      <c r="K1058" s="7"/>
    </row>
    <row r="1059" ht="15.75" customHeight="1">
      <c r="A1059" s="286" t="s">
        <v>300</v>
      </c>
      <c r="B1059" s="287">
        <v>13.0</v>
      </c>
      <c r="C1059" s="286" t="s">
        <v>15</v>
      </c>
      <c r="D1059" s="287" t="s">
        <v>313</v>
      </c>
      <c r="E1059" s="286"/>
      <c r="F1059" s="286" t="s">
        <v>1124</v>
      </c>
      <c r="G1059" s="288">
        <v>0.0</v>
      </c>
      <c r="H1059" s="288">
        <v>3842849.04</v>
      </c>
      <c r="I1059" s="289">
        <v>-3842849.04</v>
      </c>
      <c r="J1059" s="290"/>
      <c r="K1059" s="7"/>
    </row>
    <row r="1060" ht="15.75" customHeight="1">
      <c r="A1060" s="296" t="s">
        <v>300</v>
      </c>
      <c r="B1060" s="296">
        <v>13.0</v>
      </c>
      <c r="C1060" s="297" t="s">
        <v>15</v>
      </c>
      <c r="D1060" s="296" t="s">
        <v>320</v>
      </c>
      <c r="E1060" s="298"/>
      <c r="F1060" s="297" t="s">
        <v>321</v>
      </c>
      <c r="G1060" s="299">
        <v>9012073.379999999</v>
      </c>
      <c r="H1060" s="299">
        <v>1.347586181E7</v>
      </c>
      <c r="I1060" s="300">
        <v>-4463788.43</v>
      </c>
      <c r="J1060" s="300">
        <v>4463788.43</v>
      </c>
      <c r="K1060" s="301">
        <v>0.0</v>
      </c>
    </row>
    <row r="1061" ht="15.75" customHeight="1">
      <c r="A1061" s="286" t="s">
        <v>300</v>
      </c>
      <c r="B1061" s="287">
        <v>14.0</v>
      </c>
      <c r="C1061" s="286" t="s">
        <v>16</v>
      </c>
      <c r="D1061" s="287" t="s">
        <v>313</v>
      </c>
      <c r="E1061" s="286" t="s">
        <v>314</v>
      </c>
      <c r="F1061" s="286" t="s">
        <v>1125</v>
      </c>
      <c r="G1061" s="288">
        <v>0.0</v>
      </c>
      <c r="H1061" s="288">
        <v>1.32336520371E9</v>
      </c>
      <c r="I1061" s="289">
        <v>-1.32336520371E9</v>
      </c>
      <c r="J1061" s="290"/>
      <c r="K1061" s="7"/>
    </row>
    <row r="1062" ht="15.75" customHeight="1">
      <c r="A1062" s="291" t="s">
        <v>300</v>
      </c>
      <c r="B1062" s="292">
        <v>14.0</v>
      </c>
      <c r="C1062" s="291" t="s">
        <v>16</v>
      </c>
      <c r="D1062" s="292" t="s">
        <v>313</v>
      </c>
      <c r="E1062" s="291"/>
      <c r="F1062" s="291" t="s">
        <v>892</v>
      </c>
      <c r="G1062" s="293">
        <v>1.32336520371E9</v>
      </c>
      <c r="H1062" s="293">
        <v>0.0</v>
      </c>
      <c r="I1062" s="294">
        <v>1.32336520371E9</v>
      </c>
      <c r="J1062" s="295"/>
      <c r="K1062" s="7"/>
    </row>
    <row r="1063" ht="15.75" customHeight="1">
      <c r="A1063" s="286" t="s">
        <v>300</v>
      </c>
      <c r="B1063" s="287">
        <v>14.0</v>
      </c>
      <c r="C1063" s="286" t="s">
        <v>16</v>
      </c>
      <c r="D1063" s="287" t="s">
        <v>313</v>
      </c>
      <c r="E1063" s="286"/>
      <c r="F1063" s="286" t="s">
        <v>1126</v>
      </c>
      <c r="G1063" s="288">
        <v>1.492282836E9</v>
      </c>
      <c r="H1063" s="288">
        <v>0.0</v>
      </c>
      <c r="I1063" s="289">
        <v>1.492282836E9</v>
      </c>
      <c r="J1063" s="290"/>
      <c r="K1063" s="7"/>
    </row>
    <row r="1064" ht="15.75" customHeight="1">
      <c r="A1064" s="291" t="s">
        <v>300</v>
      </c>
      <c r="B1064" s="292">
        <v>14.0</v>
      </c>
      <c r="C1064" s="291" t="s">
        <v>16</v>
      </c>
      <c r="D1064" s="292" t="s">
        <v>313</v>
      </c>
      <c r="E1064" s="291"/>
      <c r="F1064" s="291" t="s">
        <v>893</v>
      </c>
      <c r="G1064" s="293">
        <v>0.0</v>
      </c>
      <c r="H1064" s="293">
        <v>1.5094110246E9</v>
      </c>
      <c r="I1064" s="294">
        <v>-1.5094110246E9</v>
      </c>
      <c r="J1064" s="295"/>
      <c r="K1064" s="7"/>
    </row>
    <row r="1065" ht="15.75" customHeight="1">
      <c r="A1065" s="286" t="s">
        <v>300</v>
      </c>
      <c r="B1065" s="287">
        <v>14.0</v>
      </c>
      <c r="C1065" s="286" t="s">
        <v>16</v>
      </c>
      <c r="D1065" s="287" t="s">
        <v>313</v>
      </c>
      <c r="E1065" s="286"/>
      <c r="F1065" s="286" t="s">
        <v>1127</v>
      </c>
      <c r="G1065" s="288">
        <v>0.0</v>
      </c>
      <c r="H1065" s="288">
        <v>1.50839598E9</v>
      </c>
      <c r="I1065" s="289">
        <v>-1.50839598E9</v>
      </c>
      <c r="J1065" s="290"/>
      <c r="K1065" s="7"/>
    </row>
    <row r="1066" ht="15.75" customHeight="1">
      <c r="A1066" s="296" t="s">
        <v>300</v>
      </c>
      <c r="B1066" s="296">
        <v>14.0</v>
      </c>
      <c r="C1066" s="297" t="s">
        <v>16</v>
      </c>
      <c r="D1066" s="296" t="s">
        <v>320</v>
      </c>
      <c r="E1066" s="298"/>
      <c r="F1066" s="297" t="s">
        <v>321</v>
      </c>
      <c r="G1066" s="299">
        <v>2.81564803971E9</v>
      </c>
      <c r="H1066" s="299">
        <v>4.341172208309999E9</v>
      </c>
      <c r="I1066" s="300">
        <v>-1.5255241686E9</v>
      </c>
      <c r="J1066" s="300">
        <v>1.5255241686E9</v>
      </c>
      <c r="K1066" s="301">
        <v>0.0</v>
      </c>
    </row>
    <row r="1067" ht="15.75" customHeight="1">
      <c r="A1067" s="286" t="s">
        <v>300</v>
      </c>
      <c r="B1067" s="287">
        <v>15.0</v>
      </c>
      <c r="C1067" s="286" t="s">
        <v>17</v>
      </c>
      <c r="D1067" s="287" t="s">
        <v>313</v>
      </c>
      <c r="E1067" s="286" t="s">
        <v>314</v>
      </c>
      <c r="F1067" s="286" t="s">
        <v>1128</v>
      </c>
      <c r="G1067" s="288">
        <v>0.0</v>
      </c>
      <c r="H1067" s="288">
        <v>3.984397872E7</v>
      </c>
      <c r="I1067" s="289">
        <v>-3.984397872E7</v>
      </c>
      <c r="J1067" s="290"/>
      <c r="K1067" s="7"/>
    </row>
    <row r="1068" ht="15.75" customHeight="1">
      <c r="A1068" s="291" t="s">
        <v>300</v>
      </c>
      <c r="B1068" s="292">
        <v>15.0</v>
      </c>
      <c r="C1068" s="291" t="s">
        <v>17</v>
      </c>
      <c r="D1068" s="292" t="s">
        <v>313</v>
      </c>
      <c r="E1068" s="291"/>
      <c r="F1068" s="291" t="s">
        <v>895</v>
      </c>
      <c r="G1068" s="293">
        <v>3.984397872E7</v>
      </c>
      <c r="H1068" s="293">
        <v>0.0</v>
      </c>
      <c r="I1068" s="294">
        <v>3.984397872E7</v>
      </c>
      <c r="J1068" s="295"/>
      <c r="K1068" s="7"/>
    </row>
    <row r="1069" ht="15.75" customHeight="1">
      <c r="A1069" s="286" t="s">
        <v>300</v>
      </c>
      <c r="B1069" s="287">
        <v>15.0</v>
      </c>
      <c r="C1069" s="286" t="s">
        <v>17</v>
      </c>
      <c r="D1069" s="287" t="s">
        <v>313</v>
      </c>
      <c r="E1069" s="286"/>
      <c r="F1069" s="286" t="s">
        <v>1129</v>
      </c>
      <c r="G1069" s="288">
        <v>4.095961012E7</v>
      </c>
      <c r="H1069" s="288">
        <v>0.0</v>
      </c>
      <c r="I1069" s="289">
        <v>4.095961012E7</v>
      </c>
      <c r="J1069" s="290"/>
      <c r="K1069" s="7"/>
    </row>
    <row r="1070" ht="15.75" customHeight="1">
      <c r="A1070" s="291" t="s">
        <v>300</v>
      </c>
      <c r="B1070" s="292">
        <v>15.0</v>
      </c>
      <c r="C1070" s="291" t="s">
        <v>17</v>
      </c>
      <c r="D1070" s="292" t="s">
        <v>313</v>
      </c>
      <c r="E1070" s="291"/>
      <c r="F1070" s="291" t="s">
        <v>896</v>
      </c>
      <c r="G1070" s="293">
        <v>0.0</v>
      </c>
      <c r="H1070" s="293">
        <v>4.46128707E7</v>
      </c>
      <c r="I1070" s="294">
        <v>-4.46128707E7</v>
      </c>
      <c r="J1070" s="295"/>
      <c r="K1070" s="7"/>
    </row>
    <row r="1071" ht="15.75" customHeight="1">
      <c r="A1071" s="286" t="s">
        <v>300</v>
      </c>
      <c r="B1071" s="287">
        <v>15.0</v>
      </c>
      <c r="C1071" s="286" t="s">
        <v>17</v>
      </c>
      <c r="D1071" s="287" t="s">
        <v>313</v>
      </c>
      <c r="E1071" s="286"/>
      <c r="F1071" s="286" t="s">
        <v>1130</v>
      </c>
      <c r="G1071" s="288">
        <v>0.0</v>
      </c>
      <c r="H1071" s="288">
        <v>4.37086065E7</v>
      </c>
      <c r="I1071" s="289">
        <v>-4.37086065E7</v>
      </c>
      <c r="J1071" s="290"/>
      <c r="K1071" s="7"/>
    </row>
    <row r="1072" ht="15.75" customHeight="1">
      <c r="A1072" s="296" t="s">
        <v>300</v>
      </c>
      <c r="B1072" s="296">
        <v>15.0</v>
      </c>
      <c r="C1072" s="297" t="s">
        <v>17</v>
      </c>
      <c r="D1072" s="296" t="s">
        <v>320</v>
      </c>
      <c r="E1072" s="298"/>
      <c r="F1072" s="297" t="s">
        <v>321</v>
      </c>
      <c r="G1072" s="299">
        <v>8.080358884E7</v>
      </c>
      <c r="H1072" s="299">
        <v>1.2816545592E8</v>
      </c>
      <c r="I1072" s="300">
        <v>-4.736186708000001E7</v>
      </c>
      <c r="J1072" s="300">
        <v>4.736186708E7</v>
      </c>
      <c r="K1072" s="301">
        <v>7.450580596923828E-9</v>
      </c>
    </row>
    <row r="1073" ht="15.75" customHeight="1">
      <c r="A1073" s="286" t="s">
        <v>300</v>
      </c>
      <c r="B1073" s="287">
        <v>17.0</v>
      </c>
      <c r="C1073" s="286" t="s">
        <v>19</v>
      </c>
      <c r="D1073" s="287" t="s">
        <v>313</v>
      </c>
      <c r="E1073" s="286" t="s">
        <v>19</v>
      </c>
      <c r="F1073" s="286" t="s">
        <v>1131</v>
      </c>
      <c r="G1073" s="288">
        <v>0.0</v>
      </c>
      <c r="H1073" s="288">
        <v>1293685.97</v>
      </c>
      <c r="I1073" s="289">
        <v>-1293685.97</v>
      </c>
      <c r="J1073" s="290"/>
      <c r="K1073" s="7"/>
    </row>
    <row r="1074" ht="15.75" customHeight="1">
      <c r="A1074" s="291" t="s">
        <v>300</v>
      </c>
      <c r="B1074" s="292">
        <v>17.0</v>
      </c>
      <c r="C1074" s="291" t="s">
        <v>19</v>
      </c>
      <c r="D1074" s="292" t="s">
        <v>313</v>
      </c>
      <c r="E1074" s="291"/>
      <c r="F1074" s="291" t="s">
        <v>1132</v>
      </c>
      <c r="G1074" s="293">
        <v>1250000.0</v>
      </c>
      <c r="H1074" s="293">
        <v>0.0</v>
      </c>
      <c r="I1074" s="294">
        <v>1250000.0</v>
      </c>
      <c r="J1074" s="295"/>
      <c r="K1074" s="7"/>
    </row>
    <row r="1075" ht="15.75" customHeight="1">
      <c r="A1075" s="286" t="s">
        <v>300</v>
      </c>
      <c r="B1075" s="287">
        <v>17.0</v>
      </c>
      <c r="C1075" s="286" t="s">
        <v>19</v>
      </c>
      <c r="D1075" s="287" t="s">
        <v>313</v>
      </c>
      <c r="E1075" s="286"/>
      <c r="F1075" s="286" t="s">
        <v>1133</v>
      </c>
      <c r="G1075" s="288">
        <v>0.0</v>
      </c>
      <c r="H1075" s="288">
        <v>1300000.0</v>
      </c>
      <c r="I1075" s="289">
        <v>-1300000.0</v>
      </c>
      <c r="J1075" s="290"/>
      <c r="K1075" s="7"/>
    </row>
    <row r="1076" ht="15.75" customHeight="1">
      <c r="A1076" s="296" t="s">
        <v>300</v>
      </c>
      <c r="B1076" s="296">
        <v>17.0</v>
      </c>
      <c r="C1076" s="297" t="s">
        <v>19</v>
      </c>
      <c r="D1076" s="296" t="s">
        <v>320</v>
      </c>
      <c r="E1076" s="298"/>
      <c r="F1076" s="297" t="s">
        <v>321</v>
      </c>
      <c r="G1076" s="299">
        <v>1250000.0</v>
      </c>
      <c r="H1076" s="299">
        <v>2593685.97</v>
      </c>
      <c r="I1076" s="300">
        <v>-1343685.97</v>
      </c>
      <c r="J1076" s="300">
        <v>1343685.97</v>
      </c>
      <c r="K1076" s="301">
        <v>0.0</v>
      </c>
    </row>
    <row r="1077" ht="15.75" customHeight="1">
      <c r="A1077" s="286" t="s">
        <v>300</v>
      </c>
      <c r="B1077" s="287">
        <v>21.0</v>
      </c>
      <c r="C1077" s="286" t="s">
        <v>21</v>
      </c>
      <c r="D1077" s="287" t="s">
        <v>313</v>
      </c>
      <c r="E1077" s="286" t="s">
        <v>21</v>
      </c>
      <c r="F1077" s="286" t="s">
        <v>1134</v>
      </c>
      <c r="G1077" s="288">
        <v>0.0</v>
      </c>
      <c r="H1077" s="288">
        <v>2.161262937E7</v>
      </c>
      <c r="I1077" s="289">
        <v>-2.161262937E7</v>
      </c>
      <c r="J1077" s="290"/>
      <c r="K1077" s="7"/>
    </row>
    <row r="1078" ht="15.75" customHeight="1">
      <c r="A1078" s="291" t="s">
        <v>300</v>
      </c>
      <c r="B1078" s="292">
        <v>21.0</v>
      </c>
      <c r="C1078" s="291" t="s">
        <v>21</v>
      </c>
      <c r="D1078" s="292" t="s">
        <v>313</v>
      </c>
      <c r="E1078" s="291"/>
      <c r="F1078" s="291" t="s">
        <v>1135</v>
      </c>
      <c r="G1078" s="293">
        <v>2.1E7</v>
      </c>
      <c r="H1078" s="293">
        <v>0.0</v>
      </c>
      <c r="I1078" s="294">
        <v>2.1E7</v>
      </c>
      <c r="J1078" s="295"/>
      <c r="K1078" s="7"/>
    </row>
    <row r="1079" ht="15.75" customHeight="1">
      <c r="A1079" s="286" t="s">
        <v>300</v>
      </c>
      <c r="B1079" s="287">
        <v>21.0</v>
      </c>
      <c r="C1079" s="286" t="s">
        <v>21</v>
      </c>
      <c r="D1079" s="287" t="s">
        <v>313</v>
      </c>
      <c r="E1079" s="286"/>
      <c r="F1079" s="286" t="s">
        <v>1136</v>
      </c>
      <c r="G1079" s="288">
        <v>0.0</v>
      </c>
      <c r="H1079" s="288">
        <v>2.2E7</v>
      </c>
      <c r="I1079" s="289">
        <v>-2.2E7</v>
      </c>
      <c r="J1079" s="290"/>
      <c r="K1079" s="7"/>
    </row>
    <row r="1080" ht="15.75" customHeight="1">
      <c r="A1080" s="296" t="s">
        <v>300</v>
      </c>
      <c r="B1080" s="296">
        <v>21.0</v>
      </c>
      <c r="C1080" s="297" t="s">
        <v>21</v>
      </c>
      <c r="D1080" s="296" t="s">
        <v>320</v>
      </c>
      <c r="E1080" s="298"/>
      <c r="F1080" s="297" t="s">
        <v>321</v>
      </c>
      <c r="G1080" s="299">
        <v>2.1E7</v>
      </c>
      <c r="H1080" s="299">
        <v>4.361262937E7</v>
      </c>
      <c r="I1080" s="300">
        <v>-2.261262937E7</v>
      </c>
      <c r="J1080" s="300">
        <v>2.261262937E7</v>
      </c>
      <c r="K1080" s="301">
        <v>0.0</v>
      </c>
    </row>
    <row r="1081" ht="15.75" customHeight="1">
      <c r="A1081" s="286" t="s">
        <v>300</v>
      </c>
      <c r="B1081" s="287">
        <v>22.0</v>
      </c>
      <c r="C1081" s="286" t="s">
        <v>22</v>
      </c>
      <c r="D1081" s="287" t="s">
        <v>313</v>
      </c>
      <c r="E1081" s="286" t="s">
        <v>22</v>
      </c>
      <c r="F1081" s="286" t="s">
        <v>1137</v>
      </c>
      <c r="G1081" s="288">
        <v>0.0</v>
      </c>
      <c r="H1081" s="288">
        <v>3.939353E7</v>
      </c>
      <c r="I1081" s="289">
        <v>-3.939353E7</v>
      </c>
      <c r="J1081" s="290"/>
      <c r="K1081" s="7"/>
    </row>
    <row r="1082" ht="15.75" customHeight="1">
      <c r="A1082" s="291" t="s">
        <v>300</v>
      </c>
      <c r="B1082" s="292">
        <v>22.0</v>
      </c>
      <c r="C1082" s="291" t="s">
        <v>22</v>
      </c>
      <c r="D1082" s="292" t="s">
        <v>313</v>
      </c>
      <c r="E1082" s="291"/>
      <c r="F1082" s="291" t="s">
        <v>1138</v>
      </c>
      <c r="G1082" s="293">
        <v>3.9E7</v>
      </c>
      <c r="H1082" s="293">
        <v>0.0</v>
      </c>
      <c r="I1082" s="294">
        <v>3.9E7</v>
      </c>
      <c r="J1082" s="295"/>
      <c r="K1082" s="7"/>
    </row>
    <row r="1083" ht="15.75" customHeight="1">
      <c r="A1083" s="286" t="s">
        <v>300</v>
      </c>
      <c r="B1083" s="287">
        <v>22.0</v>
      </c>
      <c r="C1083" s="286" t="s">
        <v>22</v>
      </c>
      <c r="D1083" s="287" t="s">
        <v>313</v>
      </c>
      <c r="E1083" s="286"/>
      <c r="F1083" s="286" t="s">
        <v>1139</v>
      </c>
      <c r="G1083" s="288">
        <v>0.0</v>
      </c>
      <c r="H1083" s="288">
        <v>4.46352E7</v>
      </c>
      <c r="I1083" s="289">
        <v>-4.46352E7</v>
      </c>
      <c r="J1083" s="290"/>
      <c r="K1083" s="7"/>
    </row>
    <row r="1084" ht="15.75" customHeight="1">
      <c r="A1084" s="296" t="s">
        <v>300</v>
      </c>
      <c r="B1084" s="296">
        <v>22.0</v>
      </c>
      <c r="C1084" s="297" t="s">
        <v>22</v>
      </c>
      <c r="D1084" s="296" t="s">
        <v>320</v>
      </c>
      <c r="E1084" s="298"/>
      <c r="F1084" s="297" t="s">
        <v>321</v>
      </c>
      <c r="G1084" s="299">
        <v>3.9E7</v>
      </c>
      <c r="H1084" s="299">
        <v>8.402873E7</v>
      </c>
      <c r="I1084" s="300">
        <v>-4.502873E7</v>
      </c>
      <c r="J1084" s="300">
        <v>4.502873E7</v>
      </c>
      <c r="K1084" s="301">
        <v>0.0</v>
      </c>
    </row>
    <row r="1085" ht="15.75" customHeight="1">
      <c r="A1085" s="286" t="s">
        <v>300</v>
      </c>
      <c r="B1085" s="287">
        <v>24.0</v>
      </c>
      <c r="C1085" s="286" t="s">
        <v>25</v>
      </c>
      <c r="D1085" s="287" t="s">
        <v>313</v>
      </c>
      <c r="E1085" s="286" t="s">
        <v>25</v>
      </c>
      <c r="F1085" s="286" t="s">
        <v>1140</v>
      </c>
      <c r="G1085" s="288">
        <v>0.0</v>
      </c>
      <c r="H1085" s="288">
        <v>1044493.17</v>
      </c>
      <c r="I1085" s="289">
        <v>-1044493.17</v>
      </c>
      <c r="J1085" s="290"/>
      <c r="K1085" s="7"/>
    </row>
    <row r="1086" ht="15.75" customHeight="1">
      <c r="A1086" s="291" t="s">
        <v>300</v>
      </c>
      <c r="B1086" s="292">
        <v>24.0</v>
      </c>
      <c r="C1086" s="291" t="s">
        <v>25</v>
      </c>
      <c r="D1086" s="292" t="s">
        <v>313</v>
      </c>
      <c r="E1086" s="291"/>
      <c r="F1086" s="291" t="s">
        <v>1141</v>
      </c>
      <c r="G1086" s="293">
        <v>1000000.0</v>
      </c>
      <c r="H1086" s="293">
        <v>0.0</v>
      </c>
      <c r="I1086" s="294">
        <v>1000000.0</v>
      </c>
      <c r="J1086" s="295"/>
      <c r="K1086" s="7"/>
    </row>
    <row r="1087" ht="15.75" customHeight="1">
      <c r="A1087" s="286" t="s">
        <v>300</v>
      </c>
      <c r="B1087" s="287">
        <v>24.0</v>
      </c>
      <c r="C1087" s="286" t="s">
        <v>25</v>
      </c>
      <c r="D1087" s="287" t="s">
        <v>313</v>
      </c>
      <c r="E1087" s="286"/>
      <c r="F1087" s="286" t="s">
        <v>1142</v>
      </c>
      <c r="G1087" s="288">
        <v>0.0</v>
      </c>
      <c r="H1087" s="288">
        <v>1000000.0</v>
      </c>
      <c r="I1087" s="289">
        <v>-1000000.0</v>
      </c>
      <c r="J1087" s="290"/>
      <c r="K1087" s="7"/>
    </row>
    <row r="1088" ht="15.75" customHeight="1">
      <c r="A1088" s="296" t="s">
        <v>300</v>
      </c>
      <c r="B1088" s="296">
        <v>24.0</v>
      </c>
      <c r="C1088" s="297" t="s">
        <v>25</v>
      </c>
      <c r="D1088" s="296" t="s">
        <v>320</v>
      </c>
      <c r="E1088" s="298"/>
      <c r="F1088" s="297" t="s">
        <v>321</v>
      </c>
      <c r="G1088" s="299">
        <v>1000000.0</v>
      </c>
      <c r="H1088" s="299">
        <v>2044493.17</v>
      </c>
      <c r="I1088" s="300">
        <v>-1044493.17</v>
      </c>
      <c r="J1088" s="300">
        <v>1044493.17</v>
      </c>
      <c r="K1088" s="301">
        <v>0.0</v>
      </c>
    </row>
    <row r="1089" ht="15.75" customHeight="1">
      <c r="A1089" s="286" t="s">
        <v>300</v>
      </c>
      <c r="B1089" s="287">
        <v>26.0</v>
      </c>
      <c r="C1089" s="286" t="s">
        <v>27</v>
      </c>
      <c r="D1089" s="287" t="s">
        <v>668</v>
      </c>
      <c r="E1089" s="286"/>
      <c r="F1089" s="286" t="s">
        <v>1143</v>
      </c>
      <c r="G1089" s="288">
        <v>0.0</v>
      </c>
      <c r="H1089" s="288">
        <v>2.01684193E7</v>
      </c>
      <c r="I1089" s="289">
        <v>-2.01684193E7</v>
      </c>
      <c r="J1089" s="290"/>
      <c r="K1089" s="7"/>
    </row>
    <row r="1090" ht="15.75" customHeight="1">
      <c r="A1090" s="296" t="s">
        <v>300</v>
      </c>
      <c r="B1090" s="296">
        <v>26.0</v>
      </c>
      <c r="C1090" s="297" t="s">
        <v>27</v>
      </c>
      <c r="D1090" s="296" t="s">
        <v>320</v>
      </c>
      <c r="E1090" s="298"/>
      <c r="F1090" s="297" t="s">
        <v>321</v>
      </c>
      <c r="G1090" s="299">
        <v>0.0</v>
      </c>
      <c r="H1090" s="299">
        <v>2.01684193E7</v>
      </c>
      <c r="I1090" s="300">
        <v>-2.01684193E7</v>
      </c>
      <c r="J1090" s="300">
        <v>2.01684193E7</v>
      </c>
      <c r="K1090" s="301">
        <v>0.0</v>
      </c>
    </row>
    <row r="1091" ht="15.75" customHeight="1">
      <c r="A1091" s="286" t="s">
        <v>300</v>
      </c>
      <c r="B1091" s="287">
        <v>27.0</v>
      </c>
      <c r="C1091" s="286" t="s">
        <v>28</v>
      </c>
      <c r="D1091" s="287" t="s">
        <v>313</v>
      </c>
      <c r="E1091" s="286" t="s">
        <v>374</v>
      </c>
      <c r="F1091" s="286" t="s">
        <v>1144</v>
      </c>
      <c r="G1091" s="288">
        <v>0.0</v>
      </c>
      <c r="H1091" s="288">
        <v>1368036.9</v>
      </c>
      <c r="I1091" s="289">
        <v>-1368036.9</v>
      </c>
      <c r="J1091" s="290"/>
      <c r="K1091" s="7"/>
    </row>
    <row r="1092" ht="15.75" customHeight="1">
      <c r="A1092" s="291" t="s">
        <v>300</v>
      </c>
      <c r="B1092" s="292">
        <v>27.0</v>
      </c>
      <c r="C1092" s="291" t="s">
        <v>28</v>
      </c>
      <c r="D1092" s="292" t="s">
        <v>313</v>
      </c>
      <c r="E1092" s="291"/>
      <c r="F1092" s="291" t="s">
        <v>1145</v>
      </c>
      <c r="G1092" s="293">
        <v>1300000.0</v>
      </c>
      <c r="H1092" s="293">
        <v>0.0</v>
      </c>
      <c r="I1092" s="294">
        <v>1300000.0</v>
      </c>
      <c r="J1092" s="295"/>
      <c r="K1092" s="7"/>
    </row>
    <row r="1093" ht="15.75" customHeight="1">
      <c r="A1093" s="286" t="s">
        <v>300</v>
      </c>
      <c r="B1093" s="287">
        <v>27.0</v>
      </c>
      <c r="C1093" s="286" t="s">
        <v>28</v>
      </c>
      <c r="D1093" s="287" t="s">
        <v>313</v>
      </c>
      <c r="E1093" s="286"/>
      <c r="F1093" s="286" t="s">
        <v>1146</v>
      </c>
      <c r="G1093" s="288">
        <v>0.0</v>
      </c>
      <c r="H1093" s="288">
        <v>1300000.0</v>
      </c>
      <c r="I1093" s="289">
        <v>-1300000.0</v>
      </c>
      <c r="J1093" s="290"/>
      <c r="K1093" s="7"/>
    </row>
    <row r="1094" ht="15.75" customHeight="1">
      <c r="A1094" s="296" t="s">
        <v>300</v>
      </c>
      <c r="B1094" s="296">
        <v>27.0</v>
      </c>
      <c r="C1094" s="297" t="s">
        <v>28</v>
      </c>
      <c r="D1094" s="296" t="s">
        <v>320</v>
      </c>
      <c r="E1094" s="298"/>
      <c r="F1094" s="297" t="s">
        <v>321</v>
      </c>
      <c r="G1094" s="299">
        <v>1300000.0</v>
      </c>
      <c r="H1094" s="299">
        <v>2668036.9</v>
      </c>
      <c r="I1094" s="300">
        <v>-1368036.9</v>
      </c>
      <c r="J1094" s="300">
        <v>1368036.9</v>
      </c>
      <c r="K1094" s="301">
        <v>0.0</v>
      </c>
    </row>
    <row r="1095" ht="15.75" customHeight="1">
      <c r="A1095" s="286" t="s">
        <v>300</v>
      </c>
      <c r="B1095" s="287">
        <v>28.0</v>
      </c>
      <c r="C1095" s="286" t="s">
        <v>29</v>
      </c>
      <c r="D1095" s="287" t="s">
        <v>313</v>
      </c>
      <c r="E1095" s="286" t="s">
        <v>29</v>
      </c>
      <c r="F1095" s="286" t="s">
        <v>1147</v>
      </c>
      <c r="G1095" s="288">
        <v>0.0</v>
      </c>
      <c r="H1095" s="288">
        <v>9289060.32</v>
      </c>
      <c r="I1095" s="289">
        <v>-9289060.32</v>
      </c>
      <c r="J1095" s="290"/>
      <c r="K1095" s="7"/>
    </row>
    <row r="1096" ht="15.75" customHeight="1">
      <c r="A1096" s="296" t="s">
        <v>300</v>
      </c>
      <c r="B1096" s="296">
        <v>28.0</v>
      </c>
      <c r="C1096" s="297" t="s">
        <v>29</v>
      </c>
      <c r="D1096" s="296" t="s">
        <v>320</v>
      </c>
      <c r="E1096" s="298"/>
      <c r="F1096" s="297" t="s">
        <v>321</v>
      </c>
      <c r="G1096" s="299">
        <v>0.0</v>
      </c>
      <c r="H1096" s="299">
        <v>9289060.32</v>
      </c>
      <c r="I1096" s="300">
        <v>-9289060.32</v>
      </c>
      <c r="J1096" s="300">
        <v>9289060.32</v>
      </c>
      <c r="K1096" s="301">
        <v>0.0</v>
      </c>
    </row>
    <row r="1097" ht="15.75" customHeight="1">
      <c r="A1097" s="286" t="s">
        <v>300</v>
      </c>
      <c r="B1097" s="287">
        <v>29.0</v>
      </c>
      <c r="C1097" s="286" t="s">
        <v>29</v>
      </c>
      <c r="D1097" s="287" t="s">
        <v>313</v>
      </c>
      <c r="E1097" s="286" t="s">
        <v>29</v>
      </c>
      <c r="F1097" s="286" t="s">
        <v>1148</v>
      </c>
      <c r="G1097" s="288">
        <v>0.0</v>
      </c>
      <c r="H1097" s="288">
        <v>3.070951951E7</v>
      </c>
      <c r="I1097" s="289">
        <v>-3.070951951E7</v>
      </c>
      <c r="J1097" s="290"/>
      <c r="K1097" s="7"/>
    </row>
    <row r="1098" ht="15.75" customHeight="1">
      <c r="A1098" s="291" t="s">
        <v>300</v>
      </c>
      <c r="B1098" s="292">
        <v>29.0</v>
      </c>
      <c r="C1098" s="291" t="s">
        <v>29</v>
      </c>
      <c r="D1098" s="292" t="s">
        <v>313</v>
      </c>
      <c r="E1098" s="291"/>
      <c r="F1098" s="291" t="s">
        <v>1149</v>
      </c>
      <c r="G1098" s="293">
        <v>3.9E7</v>
      </c>
      <c r="H1098" s="293">
        <v>0.0</v>
      </c>
      <c r="I1098" s="294">
        <v>3.9E7</v>
      </c>
      <c r="J1098" s="295"/>
      <c r="K1098" s="7"/>
    </row>
    <row r="1099" ht="15.75" customHeight="1">
      <c r="A1099" s="286" t="s">
        <v>300</v>
      </c>
      <c r="B1099" s="287">
        <v>29.0</v>
      </c>
      <c r="C1099" s="286" t="s">
        <v>29</v>
      </c>
      <c r="D1099" s="287" t="s">
        <v>313</v>
      </c>
      <c r="E1099" s="286"/>
      <c r="F1099" s="286" t="s">
        <v>1150</v>
      </c>
      <c r="G1099" s="288">
        <v>0.0</v>
      </c>
      <c r="H1099" s="288">
        <v>4.0E7</v>
      </c>
      <c r="I1099" s="289">
        <v>-4.0E7</v>
      </c>
      <c r="J1099" s="290"/>
      <c r="K1099" s="7"/>
    </row>
    <row r="1100" ht="15.75" customHeight="1">
      <c r="A1100" s="296" t="s">
        <v>300</v>
      </c>
      <c r="B1100" s="296">
        <v>29.0</v>
      </c>
      <c r="C1100" s="297" t="s">
        <v>29</v>
      </c>
      <c r="D1100" s="296" t="s">
        <v>320</v>
      </c>
      <c r="E1100" s="298"/>
      <c r="F1100" s="297" t="s">
        <v>321</v>
      </c>
      <c r="G1100" s="299">
        <v>3.9E7</v>
      </c>
      <c r="H1100" s="299">
        <v>7.070951951E7</v>
      </c>
      <c r="I1100" s="300">
        <v>-3.170951951E7</v>
      </c>
      <c r="J1100" s="300">
        <v>3.170951951E7</v>
      </c>
      <c r="K1100" s="301">
        <v>0.0</v>
      </c>
    </row>
    <row r="1101" ht="15.75" customHeight="1">
      <c r="A1101" s="286" t="s">
        <v>300</v>
      </c>
      <c r="B1101" s="287">
        <v>30.0</v>
      </c>
      <c r="C1101" s="286" t="s">
        <v>32</v>
      </c>
      <c r="D1101" s="287" t="s">
        <v>313</v>
      </c>
      <c r="E1101" s="286" t="s">
        <v>32</v>
      </c>
      <c r="F1101" s="286" t="s">
        <v>1151</v>
      </c>
      <c r="G1101" s="288">
        <v>0.0</v>
      </c>
      <c r="H1101" s="288">
        <v>2929705.4</v>
      </c>
      <c r="I1101" s="289">
        <v>-2929705.4</v>
      </c>
      <c r="J1101" s="290"/>
      <c r="K1101" s="7"/>
    </row>
    <row r="1102" ht="15.75" customHeight="1">
      <c r="A1102" s="291" t="s">
        <v>300</v>
      </c>
      <c r="B1102" s="292">
        <v>30.0</v>
      </c>
      <c r="C1102" s="291" t="s">
        <v>32</v>
      </c>
      <c r="D1102" s="292" t="s">
        <v>313</v>
      </c>
      <c r="E1102" s="291"/>
      <c r="F1102" s="291" t="s">
        <v>1152</v>
      </c>
      <c r="G1102" s="293">
        <v>2500000.0</v>
      </c>
      <c r="H1102" s="293">
        <v>0.0</v>
      </c>
      <c r="I1102" s="294">
        <v>2500000.0</v>
      </c>
      <c r="J1102" s="295"/>
      <c r="K1102" s="7"/>
    </row>
    <row r="1103" ht="15.75" customHeight="1">
      <c r="A1103" s="286" t="s">
        <v>300</v>
      </c>
      <c r="B1103" s="287">
        <v>30.0</v>
      </c>
      <c r="C1103" s="286" t="s">
        <v>32</v>
      </c>
      <c r="D1103" s="287" t="s">
        <v>313</v>
      </c>
      <c r="E1103" s="286"/>
      <c r="F1103" s="286" t="s">
        <v>1153</v>
      </c>
      <c r="G1103" s="288">
        <v>0.0</v>
      </c>
      <c r="H1103" s="288">
        <v>2500000.0</v>
      </c>
      <c r="I1103" s="289">
        <v>-2500000.0</v>
      </c>
      <c r="J1103" s="290"/>
      <c r="K1103" s="7"/>
    </row>
    <row r="1104" ht="15.75" customHeight="1">
      <c r="A1104" s="296" t="s">
        <v>300</v>
      </c>
      <c r="B1104" s="296">
        <v>30.0</v>
      </c>
      <c r="C1104" s="297" t="s">
        <v>32</v>
      </c>
      <c r="D1104" s="296" t="s">
        <v>320</v>
      </c>
      <c r="E1104" s="298"/>
      <c r="F1104" s="297" t="s">
        <v>321</v>
      </c>
      <c r="G1104" s="299">
        <v>2500000.0</v>
      </c>
      <c r="H1104" s="299">
        <v>5429705.4</v>
      </c>
      <c r="I1104" s="300">
        <v>-2929705.4</v>
      </c>
      <c r="J1104" s="300">
        <v>2929705.4</v>
      </c>
      <c r="K1104" s="301">
        <v>0.0</v>
      </c>
    </row>
    <row r="1105" ht="15.75" customHeight="1">
      <c r="A1105" s="286" t="s">
        <v>300</v>
      </c>
      <c r="B1105" s="287">
        <v>31.0</v>
      </c>
      <c r="C1105" s="286" t="s">
        <v>33</v>
      </c>
      <c r="D1105" s="287" t="s">
        <v>313</v>
      </c>
      <c r="E1105" s="286" t="s">
        <v>33</v>
      </c>
      <c r="F1105" s="286" t="s">
        <v>1154</v>
      </c>
      <c r="G1105" s="288">
        <v>0.0</v>
      </c>
      <c r="H1105" s="288">
        <v>500000.0</v>
      </c>
      <c r="I1105" s="289">
        <v>-500000.0</v>
      </c>
      <c r="J1105" s="290"/>
      <c r="K1105" s="7"/>
    </row>
    <row r="1106" ht="15.75" customHeight="1">
      <c r="A1106" s="291" t="s">
        <v>300</v>
      </c>
      <c r="B1106" s="292">
        <v>31.0</v>
      </c>
      <c r="C1106" s="291" t="s">
        <v>33</v>
      </c>
      <c r="D1106" s="292" t="s">
        <v>313</v>
      </c>
      <c r="E1106" s="291" t="s">
        <v>33</v>
      </c>
      <c r="F1106" s="291" t="s">
        <v>1155</v>
      </c>
      <c r="G1106" s="293">
        <v>0.0</v>
      </c>
      <c r="H1106" s="293">
        <v>766721.67</v>
      </c>
      <c r="I1106" s="294">
        <v>-766721.67</v>
      </c>
      <c r="J1106" s="295"/>
      <c r="K1106" s="7"/>
    </row>
    <row r="1107" ht="15.75" customHeight="1">
      <c r="A1107" s="286" t="s">
        <v>300</v>
      </c>
      <c r="B1107" s="287">
        <v>31.0</v>
      </c>
      <c r="C1107" s="286" t="s">
        <v>33</v>
      </c>
      <c r="D1107" s="287" t="s">
        <v>313</v>
      </c>
      <c r="E1107" s="286"/>
      <c r="F1107" s="286" t="s">
        <v>1156</v>
      </c>
      <c r="G1107" s="288">
        <v>766722.0</v>
      </c>
      <c r="H1107" s="288">
        <v>0.0</v>
      </c>
      <c r="I1107" s="289">
        <v>766722.0</v>
      </c>
      <c r="J1107" s="290"/>
      <c r="K1107" s="7"/>
    </row>
    <row r="1108" ht="15.75" customHeight="1">
      <c r="A1108" s="291" t="s">
        <v>300</v>
      </c>
      <c r="B1108" s="292">
        <v>31.0</v>
      </c>
      <c r="C1108" s="291" t="s">
        <v>33</v>
      </c>
      <c r="D1108" s="292" t="s">
        <v>313</v>
      </c>
      <c r="E1108" s="291"/>
      <c r="F1108" s="291" t="s">
        <v>1157</v>
      </c>
      <c r="G1108" s="293">
        <v>0.0</v>
      </c>
      <c r="H1108" s="293">
        <v>1266722.0</v>
      </c>
      <c r="I1108" s="294">
        <v>-1266722.0</v>
      </c>
      <c r="J1108" s="295"/>
      <c r="K1108" s="7"/>
    </row>
    <row r="1109" ht="15.75" customHeight="1">
      <c r="A1109" s="296" t="s">
        <v>300</v>
      </c>
      <c r="B1109" s="296">
        <v>31.0</v>
      </c>
      <c r="C1109" s="297" t="s">
        <v>33</v>
      </c>
      <c r="D1109" s="296" t="s">
        <v>320</v>
      </c>
      <c r="E1109" s="298"/>
      <c r="F1109" s="297" t="s">
        <v>321</v>
      </c>
      <c r="G1109" s="299">
        <v>766722.0</v>
      </c>
      <c r="H1109" s="299">
        <v>2533443.67</v>
      </c>
      <c r="I1109" s="300">
        <v>-1766721.67</v>
      </c>
      <c r="J1109" s="300">
        <v>1766721.67</v>
      </c>
      <c r="K1109" s="301">
        <v>0.0</v>
      </c>
    </row>
    <row r="1110" ht="15.75" customHeight="1">
      <c r="A1110" s="286" t="s">
        <v>300</v>
      </c>
      <c r="B1110" s="287">
        <v>32.0</v>
      </c>
      <c r="C1110" s="286" t="s">
        <v>34</v>
      </c>
      <c r="D1110" s="287" t="s">
        <v>313</v>
      </c>
      <c r="E1110" s="286" t="s">
        <v>388</v>
      </c>
      <c r="F1110" s="286" t="s">
        <v>1158</v>
      </c>
      <c r="G1110" s="288">
        <v>0.0</v>
      </c>
      <c r="H1110" s="288">
        <v>8321.72</v>
      </c>
      <c r="I1110" s="289">
        <v>-8321.72</v>
      </c>
      <c r="J1110" s="290"/>
      <c r="K1110" s="7"/>
    </row>
    <row r="1111" ht="15.75" customHeight="1">
      <c r="A1111" s="291" t="s">
        <v>300</v>
      </c>
      <c r="B1111" s="292">
        <v>32.0</v>
      </c>
      <c r="C1111" s="291" t="s">
        <v>34</v>
      </c>
      <c r="D1111" s="292" t="s">
        <v>313</v>
      </c>
      <c r="E1111" s="291"/>
      <c r="F1111" s="291" t="s">
        <v>1159</v>
      </c>
      <c r="G1111" s="293">
        <v>9000.0</v>
      </c>
      <c r="H1111" s="293">
        <v>0.0</v>
      </c>
      <c r="I1111" s="294">
        <v>9000.0</v>
      </c>
      <c r="J1111" s="295"/>
      <c r="K1111" s="7"/>
    </row>
    <row r="1112" ht="15.75" customHeight="1">
      <c r="A1112" s="286" t="s">
        <v>300</v>
      </c>
      <c r="B1112" s="287">
        <v>32.0</v>
      </c>
      <c r="C1112" s="286" t="s">
        <v>34</v>
      </c>
      <c r="D1112" s="287" t="s">
        <v>313</v>
      </c>
      <c r="E1112" s="286"/>
      <c r="F1112" s="286" t="s">
        <v>1160</v>
      </c>
      <c r="G1112" s="288">
        <v>0.0</v>
      </c>
      <c r="H1112" s="288">
        <v>9000.0</v>
      </c>
      <c r="I1112" s="289">
        <v>-9000.0</v>
      </c>
      <c r="J1112" s="290"/>
      <c r="K1112" s="7"/>
    </row>
    <row r="1113" ht="15.75" customHeight="1">
      <c r="A1113" s="296" t="s">
        <v>300</v>
      </c>
      <c r="B1113" s="296">
        <v>32.0</v>
      </c>
      <c r="C1113" s="297" t="s">
        <v>34</v>
      </c>
      <c r="D1113" s="296" t="s">
        <v>320</v>
      </c>
      <c r="E1113" s="298"/>
      <c r="F1113" s="297" t="s">
        <v>321</v>
      </c>
      <c r="G1113" s="299">
        <v>9000.0</v>
      </c>
      <c r="H1113" s="299">
        <v>17321.72</v>
      </c>
      <c r="I1113" s="300">
        <v>-8321.72</v>
      </c>
      <c r="J1113" s="300">
        <v>8321.72</v>
      </c>
      <c r="K1113" s="301">
        <v>0.0</v>
      </c>
    </row>
    <row r="1114" ht="15.75" customHeight="1">
      <c r="A1114" s="286" t="s">
        <v>300</v>
      </c>
      <c r="B1114" s="287">
        <v>33.0</v>
      </c>
      <c r="C1114" s="286" t="s">
        <v>35</v>
      </c>
      <c r="D1114" s="287" t="s">
        <v>313</v>
      </c>
      <c r="E1114" s="286" t="s">
        <v>35</v>
      </c>
      <c r="F1114" s="286" t="s">
        <v>1161</v>
      </c>
      <c r="G1114" s="288">
        <v>0.0</v>
      </c>
      <c r="H1114" s="288">
        <v>404782.22</v>
      </c>
      <c r="I1114" s="289">
        <v>-404782.22</v>
      </c>
      <c r="J1114" s="290"/>
      <c r="K1114" s="7"/>
    </row>
    <row r="1115" ht="15.75" customHeight="1">
      <c r="A1115" s="291" t="s">
        <v>300</v>
      </c>
      <c r="B1115" s="292">
        <v>33.0</v>
      </c>
      <c r="C1115" s="291" t="s">
        <v>35</v>
      </c>
      <c r="D1115" s="292" t="s">
        <v>313</v>
      </c>
      <c r="E1115" s="291" t="s">
        <v>35</v>
      </c>
      <c r="F1115" s="291" t="s">
        <v>1162</v>
      </c>
      <c r="G1115" s="293">
        <v>0.0</v>
      </c>
      <c r="H1115" s="293">
        <v>500000.0</v>
      </c>
      <c r="I1115" s="294">
        <v>-500000.0</v>
      </c>
      <c r="J1115" s="295"/>
      <c r="K1115" s="7"/>
    </row>
    <row r="1116" ht="15.75" customHeight="1">
      <c r="A1116" s="286" t="s">
        <v>300</v>
      </c>
      <c r="B1116" s="287">
        <v>33.0</v>
      </c>
      <c r="C1116" s="286" t="s">
        <v>35</v>
      </c>
      <c r="D1116" s="287" t="s">
        <v>313</v>
      </c>
      <c r="E1116" s="286"/>
      <c r="F1116" s="286" t="s">
        <v>1163</v>
      </c>
      <c r="G1116" s="288">
        <v>850000.0</v>
      </c>
      <c r="H1116" s="288">
        <v>0.0</v>
      </c>
      <c r="I1116" s="289">
        <v>850000.0</v>
      </c>
      <c r="J1116" s="290"/>
      <c r="K1116" s="7"/>
    </row>
    <row r="1117" ht="15.75" customHeight="1">
      <c r="A1117" s="291" t="s">
        <v>300</v>
      </c>
      <c r="B1117" s="292">
        <v>33.0</v>
      </c>
      <c r="C1117" s="291" t="s">
        <v>35</v>
      </c>
      <c r="D1117" s="292" t="s">
        <v>313</v>
      </c>
      <c r="E1117" s="291"/>
      <c r="F1117" s="291" t="s">
        <v>1164</v>
      </c>
      <c r="G1117" s="293">
        <v>0.0</v>
      </c>
      <c r="H1117" s="293">
        <v>850000.0</v>
      </c>
      <c r="I1117" s="294">
        <v>-850000.0</v>
      </c>
      <c r="J1117" s="295"/>
      <c r="K1117" s="7"/>
    </row>
    <row r="1118" ht="15.75" customHeight="1">
      <c r="A1118" s="296" t="s">
        <v>300</v>
      </c>
      <c r="B1118" s="296">
        <v>33.0</v>
      </c>
      <c r="C1118" s="297" t="s">
        <v>35</v>
      </c>
      <c r="D1118" s="296" t="s">
        <v>320</v>
      </c>
      <c r="E1118" s="298"/>
      <c r="F1118" s="297" t="s">
        <v>321</v>
      </c>
      <c r="G1118" s="299">
        <v>850000.0</v>
      </c>
      <c r="H1118" s="299">
        <v>1754782.22</v>
      </c>
      <c r="I1118" s="300">
        <v>-904782.22</v>
      </c>
      <c r="J1118" s="300">
        <v>904782.22</v>
      </c>
      <c r="K1118" s="301">
        <v>0.0</v>
      </c>
    </row>
    <row r="1119" ht="15.75" customHeight="1">
      <c r="A1119" s="286" t="s">
        <v>300</v>
      </c>
      <c r="B1119" s="287">
        <v>34.0</v>
      </c>
      <c r="C1119" s="286" t="s">
        <v>36</v>
      </c>
      <c r="D1119" s="287" t="s">
        <v>313</v>
      </c>
      <c r="E1119" s="286" t="s">
        <v>395</v>
      </c>
      <c r="F1119" s="286" t="s">
        <v>1165</v>
      </c>
      <c r="G1119" s="288">
        <v>0.0</v>
      </c>
      <c r="H1119" s="288">
        <v>2338884.94</v>
      </c>
      <c r="I1119" s="289">
        <v>-2338884.94</v>
      </c>
      <c r="J1119" s="290"/>
      <c r="K1119" s="7"/>
    </row>
    <row r="1120" ht="15.75" customHeight="1">
      <c r="A1120" s="291" t="s">
        <v>300</v>
      </c>
      <c r="B1120" s="292">
        <v>34.0</v>
      </c>
      <c r="C1120" s="291" t="s">
        <v>36</v>
      </c>
      <c r="D1120" s="292" t="s">
        <v>313</v>
      </c>
      <c r="E1120" s="291"/>
      <c r="F1120" s="291" t="s">
        <v>1166</v>
      </c>
      <c r="G1120" s="293">
        <v>2300000.0</v>
      </c>
      <c r="H1120" s="293">
        <v>0.0</v>
      </c>
      <c r="I1120" s="294">
        <v>2300000.0</v>
      </c>
      <c r="J1120" s="295"/>
      <c r="K1120" s="7"/>
    </row>
    <row r="1121" ht="15.75" customHeight="1">
      <c r="A1121" s="286" t="s">
        <v>300</v>
      </c>
      <c r="B1121" s="287">
        <v>34.0</v>
      </c>
      <c r="C1121" s="286" t="s">
        <v>36</v>
      </c>
      <c r="D1121" s="287" t="s">
        <v>313</v>
      </c>
      <c r="E1121" s="286"/>
      <c r="F1121" s="286" t="s">
        <v>1167</v>
      </c>
      <c r="G1121" s="288">
        <v>0.0</v>
      </c>
      <c r="H1121" s="288">
        <v>2300000.0</v>
      </c>
      <c r="I1121" s="289">
        <v>-2300000.0</v>
      </c>
      <c r="J1121" s="290"/>
      <c r="K1121" s="7"/>
    </row>
    <row r="1122" ht="15.75" customHeight="1">
      <c r="A1122" s="296" t="s">
        <v>300</v>
      </c>
      <c r="B1122" s="296">
        <v>34.0</v>
      </c>
      <c r="C1122" s="297" t="s">
        <v>36</v>
      </c>
      <c r="D1122" s="296" t="s">
        <v>320</v>
      </c>
      <c r="E1122" s="298"/>
      <c r="F1122" s="297" t="s">
        <v>321</v>
      </c>
      <c r="G1122" s="299">
        <v>2300000.0</v>
      </c>
      <c r="H1122" s="299">
        <v>4638884.939999999</v>
      </c>
      <c r="I1122" s="300">
        <v>-2338884.94</v>
      </c>
      <c r="J1122" s="300">
        <v>2338884.94</v>
      </c>
      <c r="K1122" s="301">
        <v>0.0</v>
      </c>
    </row>
    <row r="1123" ht="15.75" customHeight="1">
      <c r="A1123" s="286" t="s">
        <v>300</v>
      </c>
      <c r="B1123" s="287">
        <v>35.0</v>
      </c>
      <c r="C1123" s="286" t="s">
        <v>37</v>
      </c>
      <c r="D1123" s="287" t="s">
        <v>313</v>
      </c>
      <c r="E1123" s="286" t="s">
        <v>691</v>
      </c>
      <c r="F1123" s="286" t="s">
        <v>1168</v>
      </c>
      <c r="G1123" s="288">
        <v>0.0</v>
      </c>
      <c r="H1123" s="288">
        <v>500000.0</v>
      </c>
      <c r="I1123" s="289">
        <v>-500000.0</v>
      </c>
      <c r="J1123" s="290"/>
      <c r="K1123" s="7"/>
    </row>
    <row r="1124" ht="15.75" customHeight="1">
      <c r="A1124" s="291" t="s">
        <v>300</v>
      </c>
      <c r="B1124" s="292">
        <v>35.0</v>
      </c>
      <c r="C1124" s="291" t="s">
        <v>37</v>
      </c>
      <c r="D1124" s="292" t="s">
        <v>313</v>
      </c>
      <c r="E1124" s="291"/>
      <c r="F1124" s="291" t="s">
        <v>1169</v>
      </c>
      <c r="G1124" s="293">
        <v>500000.0</v>
      </c>
      <c r="H1124" s="293">
        <v>0.0</v>
      </c>
      <c r="I1124" s="294">
        <v>500000.0</v>
      </c>
      <c r="J1124" s="295"/>
      <c r="K1124" s="7"/>
    </row>
    <row r="1125" ht="15.75" customHeight="1">
      <c r="A1125" s="286" t="s">
        <v>300</v>
      </c>
      <c r="B1125" s="287">
        <v>35.0</v>
      </c>
      <c r="C1125" s="286" t="s">
        <v>37</v>
      </c>
      <c r="D1125" s="287" t="s">
        <v>313</v>
      </c>
      <c r="E1125" s="286"/>
      <c r="F1125" s="286" t="s">
        <v>1170</v>
      </c>
      <c r="G1125" s="288">
        <v>0.0</v>
      </c>
      <c r="H1125" s="288">
        <v>500000.0</v>
      </c>
      <c r="I1125" s="289">
        <v>-500000.0</v>
      </c>
      <c r="J1125" s="290"/>
      <c r="K1125" s="7"/>
    </row>
    <row r="1126" ht="15.75" customHeight="1">
      <c r="A1126" s="296" t="s">
        <v>300</v>
      </c>
      <c r="B1126" s="296">
        <v>35.0</v>
      </c>
      <c r="C1126" s="297" t="s">
        <v>37</v>
      </c>
      <c r="D1126" s="296" t="s">
        <v>320</v>
      </c>
      <c r="E1126" s="298"/>
      <c r="F1126" s="297" t="s">
        <v>321</v>
      </c>
      <c r="G1126" s="299">
        <v>500000.0</v>
      </c>
      <c r="H1126" s="299">
        <v>1000000.0</v>
      </c>
      <c r="I1126" s="300">
        <v>-500000.0</v>
      </c>
      <c r="J1126" s="300">
        <v>500000.0</v>
      </c>
      <c r="K1126" s="301">
        <v>0.0</v>
      </c>
    </row>
    <row r="1127" ht="15.75" customHeight="1">
      <c r="A1127" s="286" t="s">
        <v>300</v>
      </c>
      <c r="B1127" s="287">
        <v>38.0</v>
      </c>
      <c r="C1127" s="286" t="s">
        <v>39</v>
      </c>
      <c r="D1127" s="287" t="s">
        <v>313</v>
      </c>
      <c r="E1127" s="286" t="s">
        <v>399</v>
      </c>
      <c r="F1127" s="286" t="s">
        <v>1171</v>
      </c>
      <c r="G1127" s="288">
        <v>0.0</v>
      </c>
      <c r="H1127" s="288">
        <v>1.203464049E7</v>
      </c>
      <c r="I1127" s="289">
        <v>-1.203464049E7</v>
      </c>
      <c r="J1127" s="290"/>
      <c r="K1127" s="7"/>
    </row>
    <row r="1128" ht="15.75" customHeight="1">
      <c r="A1128" s="291" t="s">
        <v>300</v>
      </c>
      <c r="B1128" s="292">
        <v>38.0</v>
      </c>
      <c r="C1128" s="291" t="s">
        <v>39</v>
      </c>
      <c r="D1128" s="292" t="s">
        <v>313</v>
      </c>
      <c r="E1128" s="291"/>
      <c r="F1128" s="291" t="s">
        <v>1172</v>
      </c>
      <c r="G1128" s="293">
        <v>1.203464E7</v>
      </c>
      <c r="H1128" s="293">
        <v>0.0</v>
      </c>
      <c r="I1128" s="294">
        <v>1.203464E7</v>
      </c>
      <c r="J1128" s="295"/>
      <c r="K1128" s="7"/>
    </row>
    <row r="1129" ht="15.75" customHeight="1">
      <c r="A1129" s="286" t="s">
        <v>300</v>
      </c>
      <c r="B1129" s="287">
        <v>38.0</v>
      </c>
      <c r="C1129" s="286" t="s">
        <v>39</v>
      </c>
      <c r="D1129" s="287" t="s">
        <v>313</v>
      </c>
      <c r="E1129" s="286"/>
      <c r="F1129" s="286" t="s">
        <v>1173</v>
      </c>
      <c r="G1129" s="288">
        <v>0.0</v>
      </c>
      <c r="H1129" s="288">
        <v>1.203464E7</v>
      </c>
      <c r="I1129" s="289">
        <v>-1.203464E7</v>
      </c>
      <c r="J1129" s="290"/>
      <c r="K1129" s="7"/>
    </row>
    <row r="1130" ht="15.75" customHeight="1">
      <c r="A1130" s="296" t="s">
        <v>300</v>
      </c>
      <c r="B1130" s="296">
        <v>38.0</v>
      </c>
      <c r="C1130" s="297" t="s">
        <v>39</v>
      </c>
      <c r="D1130" s="296" t="s">
        <v>320</v>
      </c>
      <c r="E1130" s="298"/>
      <c r="F1130" s="297" t="s">
        <v>321</v>
      </c>
      <c r="G1130" s="299">
        <v>1.203464E7</v>
      </c>
      <c r="H1130" s="299">
        <v>2.406928049E7</v>
      </c>
      <c r="I1130" s="300">
        <v>-1.203464049E7</v>
      </c>
      <c r="J1130" s="300">
        <v>1.203464049E7</v>
      </c>
      <c r="K1130" s="301">
        <v>0.0</v>
      </c>
    </row>
    <row r="1131" ht="15.75" customHeight="1">
      <c r="A1131" s="286" t="s">
        <v>300</v>
      </c>
      <c r="B1131" s="287">
        <v>41.0</v>
      </c>
      <c r="C1131" s="286" t="s">
        <v>41</v>
      </c>
      <c r="D1131" s="287" t="s">
        <v>403</v>
      </c>
      <c r="E1131" s="286"/>
      <c r="F1131" s="286" t="s">
        <v>1174</v>
      </c>
      <c r="G1131" s="288">
        <v>0.0</v>
      </c>
      <c r="H1131" s="288">
        <v>1.2598474811E8</v>
      </c>
      <c r="I1131" s="289">
        <v>-1.2598474811E8</v>
      </c>
      <c r="J1131" s="290"/>
      <c r="K1131" s="7"/>
    </row>
    <row r="1132" ht="15.75" customHeight="1">
      <c r="A1132" s="291" t="s">
        <v>300</v>
      </c>
      <c r="B1132" s="292">
        <v>41.0</v>
      </c>
      <c r="C1132" s="291" t="s">
        <v>41</v>
      </c>
      <c r="D1132" s="292" t="s">
        <v>403</v>
      </c>
      <c r="E1132" s="291"/>
      <c r="F1132" s="291" t="s">
        <v>1175</v>
      </c>
      <c r="G1132" s="293">
        <v>1.2599058884E8</v>
      </c>
      <c r="H1132" s="293">
        <v>0.0</v>
      </c>
      <c r="I1132" s="294">
        <v>1.2599058884E8</v>
      </c>
      <c r="J1132" s="295"/>
      <c r="K1132" s="7"/>
    </row>
    <row r="1133" ht="15.75" customHeight="1">
      <c r="A1133" s="286" t="s">
        <v>300</v>
      </c>
      <c r="B1133" s="287">
        <v>41.0</v>
      </c>
      <c r="C1133" s="286" t="s">
        <v>41</v>
      </c>
      <c r="D1133" s="287" t="s">
        <v>403</v>
      </c>
      <c r="E1133" s="286"/>
      <c r="F1133" s="286" t="s">
        <v>1176</v>
      </c>
      <c r="G1133" s="288">
        <v>1.1081754333E8</v>
      </c>
      <c r="H1133" s="288">
        <v>0.0</v>
      </c>
      <c r="I1133" s="289">
        <v>1.1081754333E8</v>
      </c>
      <c r="J1133" s="290"/>
      <c r="K1133" s="7"/>
    </row>
    <row r="1134" ht="15.75" customHeight="1">
      <c r="A1134" s="296" t="s">
        <v>300</v>
      </c>
      <c r="B1134" s="296">
        <v>41.0</v>
      </c>
      <c r="C1134" s="297" t="s">
        <v>41</v>
      </c>
      <c r="D1134" s="296" t="s">
        <v>320</v>
      </c>
      <c r="E1134" s="298"/>
      <c r="F1134" s="297" t="s">
        <v>321</v>
      </c>
      <c r="G1134" s="299">
        <v>2.3680813217E8</v>
      </c>
      <c r="H1134" s="299">
        <v>1.2598474811E8</v>
      </c>
      <c r="I1134" s="300">
        <v>1.1082338406E8</v>
      </c>
      <c r="J1134" s="300">
        <v>-1.1082338406E8</v>
      </c>
      <c r="K1134" s="301">
        <v>0.0</v>
      </c>
    </row>
    <row r="1135" ht="15.75" customHeight="1">
      <c r="A1135" s="286" t="s">
        <v>300</v>
      </c>
      <c r="B1135" s="287">
        <v>47.0</v>
      </c>
      <c r="C1135" s="286" t="s">
        <v>50</v>
      </c>
      <c r="D1135" s="287" t="s">
        <v>405</v>
      </c>
      <c r="E1135" s="286" t="s">
        <v>406</v>
      </c>
      <c r="F1135" s="286" t="s">
        <v>1177</v>
      </c>
      <c r="G1135" s="288">
        <v>6477450.0</v>
      </c>
      <c r="H1135" s="288">
        <v>0.0</v>
      </c>
      <c r="I1135" s="289">
        <v>6477450.0</v>
      </c>
      <c r="J1135" s="290"/>
      <c r="K1135" s="7"/>
    </row>
    <row r="1136" ht="15.75" customHeight="1">
      <c r="A1136" s="291" t="s">
        <v>300</v>
      </c>
      <c r="B1136" s="292">
        <v>47.0</v>
      </c>
      <c r="C1136" s="291" t="s">
        <v>50</v>
      </c>
      <c r="D1136" s="292" t="s">
        <v>405</v>
      </c>
      <c r="E1136" s="291" t="s">
        <v>406</v>
      </c>
      <c r="F1136" s="291" t="s">
        <v>1178</v>
      </c>
      <c r="G1136" s="293">
        <v>0.0</v>
      </c>
      <c r="H1136" s="293">
        <v>729052.58</v>
      </c>
      <c r="I1136" s="294">
        <v>-729052.58</v>
      </c>
      <c r="J1136" s="295"/>
      <c r="K1136" s="7"/>
    </row>
    <row r="1137" ht="15.75" customHeight="1">
      <c r="A1137" s="296" t="s">
        <v>300</v>
      </c>
      <c r="B1137" s="296">
        <v>47.0</v>
      </c>
      <c r="C1137" s="297" t="s">
        <v>50</v>
      </c>
      <c r="D1137" s="296" t="s">
        <v>320</v>
      </c>
      <c r="E1137" s="298"/>
      <c r="F1137" s="297" t="s">
        <v>321</v>
      </c>
      <c r="G1137" s="299">
        <v>6477450.0</v>
      </c>
      <c r="H1137" s="299">
        <v>729052.58</v>
      </c>
      <c r="I1137" s="300">
        <v>5748397.42</v>
      </c>
      <c r="J1137" s="300">
        <v>5748397.42</v>
      </c>
      <c r="K1137" s="301">
        <v>0.0</v>
      </c>
    </row>
    <row r="1138" ht="15.75" customHeight="1">
      <c r="A1138" s="286" t="s">
        <v>300</v>
      </c>
      <c r="B1138" s="287">
        <v>48.0</v>
      </c>
      <c r="C1138" s="286" t="s">
        <v>50</v>
      </c>
      <c r="D1138" s="287" t="s">
        <v>409</v>
      </c>
      <c r="E1138" s="286" t="s">
        <v>406</v>
      </c>
      <c r="F1138" s="286" t="s">
        <v>1179</v>
      </c>
      <c r="G1138" s="288">
        <v>6201600.0</v>
      </c>
      <c r="H1138" s="288">
        <v>0.0</v>
      </c>
      <c r="I1138" s="289">
        <v>6201600.0</v>
      </c>
      <c r="J1138" s="290"/>
      <c r="K1138" s="7"/>
    </row>
    <row r="1139" ht="15.75" customHeight="1">
      <c r="A1139" s="291" t="s">
        <v>300</v>
      </c>
      <c r="B1139" s="292">
        <v>48.0</v>
      </c>
      <c r="C1139" s="291" t="s">
        <v>50</v>
      </c>
      <c r="D1139" s="292" t="s">
        <v>409</v>
      </c>
      <c r="E1139" s="291" t="s">
        <v>406</v>
      </c>
      <c r="F1139" s="291" t="s">
        <v>1180</v>
      </c>
      <c r="G1139" s="293">
        <v>0.0</v>
      </c>
      <c r="H1139" s="293">
        <v>620160.0</v>
      </c>
      <c r="I1139" s="294">
        <v>-620160.0</v>
      </c>
      <c r="J1139" s="295"/>
      <c r="K1139" s="7"/>
    </row>
    <row r="1140" ht="15.75" customHeight="1">
      <c r="A1140" s="296" t="s">
        <v>300</v>
      </c>
      <c r="B1140" s="296">
        <v>48.0</v>
      </c>
      <c r="C1140" s="297" t="s">
        <v>50</v>
      </c>
      <c r="D1140" s="296" t="s">
        <v>320</v>
      </c>
      <c r="E1140" s="298"/>
      <c r="F1140" s="297" t="s">
        <v>321</v>
      </c>
      <c r="G1140" s="299">
        <v>6201600.0</v>
      </c>
      <c r="H1140" s="299">
        <v>620160.0</v>
      </c>
      <c r="I1140" s="300">
        <v>5581440.0</v>
      </c>
      <c r="J1140" s="300">
        <v>5581440.0</v>
      </c>
      <c r="K1140" s="301">
        <v>0.0</v>
      </c>
    </row>
    <row r="1141" ht="15.75" customHeight="1">
      <c r="A1141" s="286" t="s">
        <v>300</v>
      </c>
      <c r="B1141" s="287">
        <v>53.0</v>
      </c>
      <c r="C1141" s="286" t="s">
        <v>60</v>
      </c>
      <c r="D1141" s="287" t="s">
        <v>409</v>
      </c>
      <c r="E1141" s="286"/>
      <c r="F1141" s="286" t="s">
        <v>1181</v>
      </c>
      <c r="G1141" s="288">
        <v>0.0</v>
      </c>
      <c r="H1141" s="288">
        <v>2.4110437E7</v>
      </c>
      <c r="I1141" s="289">
        <v>-2.4110437E7</v>
      </c>
      <c r="J1141" s="290"/>
      <c r="K1141" s="7"/>
    </row>
    <row r="1142" ht="15.75" customHeight="1">
      <c r="A1142" s="291" t="s">
        <v>300</v>
      </c>
      <c r="B1142" s="292">
        <v>53.0</v>
      </c>
      <c r="C1142" s="291" t="s">
        <v>60</v>
      </c>
      <c r="D1142" s="292" t="s">
        <v>409</v>
      </c>
      <c r="E1142" s="291" t="s">
        <v>413</v>
      </c>
      <c r="F1142" s="291" t="s">
        <v>1182</v>
      </c>
      <c r="G1142" s="293">
        <v>2.273299061E7</v>
      </c>
      <c r="H1142" s="293">
        <v>0.0</v>
      </c>
      <c r="I1142" s="294">
        <v>2.273299061E7</v>
      </c>
      <c r="J1142" s="295"/>
      <c r="K1142" s="7"/>
    </row>
    <row r="1143" ht="15.75" customHeight="1">
      <c r="A1143" s="286" t="s">
        <v>300</v>
      </c>
      <c r="B1143" s="287">
        <v>53.0</v>
      </c>
      <c r="C1143" s="286" t="s">
        <v>60</v>
      </c>
      <c r="D1143" s="287" t="s">
        <v>409</v>
      </c>
      <c r="E1143" s="286" t="s">
        <v>413</v>
      </c>
      <c r="F1143" s="286" t="s">
        <v>1183</v>
      </c>
      <c r="G1143" s="288">
        <v>1377445.92</v>
      </c>
      <c r="H1143" s="288">
        <v>0.0</v>
      </c>
      <c r="I1143" s="289">
        <v>1377445.92</v>
      </c>
      <c r="J1143" s="290"/>
      <c r="K1143" s="7"/>
    </row>
    <row r="1144" ht="15.75" customHeight="1">
      <c r="A1144" s="291" t="s">
        <v>300</v>
      </c>
      <c r="B1144" s="292">
        <v>53.0</v>
      </c>
      <c r="C1144" s="291" t="s">
        <v>60</v>
      </c>
      <c r="D1144" s="292" t="s">
        <v>409</v>
      </c>
      <c r="E1144" s="291"/>
      <c r="F1144" s="291" t="s">
        <v>1184</v>
      </c>
      <c r="G1144" s="293">
        <v>2.4733495E7</v>
      </c>
      <c r="H1144" s="293">
        <v>0.0</v>
      </c>
      <c r="I1144" s="294">
        <v>2.4733495E7</v>
      </c>
      <c r="J1144" s="295"/>
      <c r="K1144" s="7"/>
    </row>
    <row r="1145" ht="15.75" customHeight="1">
      <c r="A1145" s="286" t="s">
        <v>300</v>
      </c>
      <c r="B1145" s="287">
        <v>53.0</v>
      </c>
      <c r="C1145" s="286" t="s">
        <v>60</v>
      </c>
      <c r="D1145" s="287" t="s">
        <v>409</v>
      </c>
      <c r="E1145" s="286"/>
      <c r="F1145" s="286" t="s">
        <v>1185</v>
      </c>
      <c r="G1145" s="288">
        <v>1998215.0</v>
      </c>
      <c r="H1145" s="288">
        <v>0.0</v>
      </c>
      <c r="I1145" s="289">
        <v>1998215.0</v>
      </c>
      <c r="J1145" s="290"/>
      <c r="K1145" s="7"/>
    </row>
    <row r="1146" ht="15.75" customHeight="1">
      <c r="A1146" s="296" t="s">
        <v>300</v>
      </c>
      <c r="B1146" s="296">
        <v>53.0</v>
      </c>
      <c r="C1146" s="297" t="s">
        <v>60</v>
      </c>
      <c r="D1146" s="296" t="s">
        <v>320</v>
      </c>
      <c r="E1146" s="298"/>
      <c r="F1146" s="297" t="s">
        <v>321</v>
      </c>
      <c r="G1146" s="299">
        <v>5.084214653E7</v>
      </c>
      <c r="H1146" s="299">
        <v>2.4110437E7</v>
      </c>
      <c r="I1146" s="300">
        <v>2.673170953E7</v>
      </c>
      <c r="J1146" s="300">
        <v>1998215.0</v>
      </c>
      <c r="K1146" s="302">
        <v>2.473349453E7</v>
      </c>
    </row>
    <row r="1147" ht="15.75" customHeight="1">
      <c r="A1147" s="286" t="s">
        <v>300</v>
      </c>
      <c r="B1147" s="287">
        <v>54.0</v>
      </c>
      <c r="C1147" s="286" t="s">
        <v>50</v>
      </c>
      <c r="D1147" s="287" t="s">
        <v>418</v>
      </c>
      <c r="E1147" s="286"/>
      <c r="F1147" s="286" t="s">
        <v>1186</v>
      </c>
      <c r="G1147" s="288">
        <v>343167.67</v>
      </c>
      <c r="H1147" s="288">
        <v>0.0</v>
      </c>
      <c r="I1147" s="289">
        <v>343167.67</v>
      </c>
      <c r="J1147" s="290"/>
      <c r="K1147" s="7"/>
    </row>
    <row r="1148" ht="15.75" customHeight="1">
      <c r="A1148" s="291" t="s">
        <v>300</v>
      </c>
      <c r="B1148" s="292">
        <v>54.0</v>
      </c>
      <c r="C1148" s="291" t="s">
        <v>50</v>
      </c>
      <c r="D1148" s="292" t="s">
        <v>418</v>
      </c>
      <c r="E1148" s="291"/>
      <c r="F1148" s="291" t="s">
        <v>1187</v>
      </c>
      <c r="G1148" s="293">
        <v>365230.46</v>
      </c>
      <c r="H1148" s="293">
        <v>0.0</v>
      </c>
      <c r="I1148" s="294">
        <v>365230.46</v>
      </c>
      <c r="J1148" s="295"/>
      <c r="K1148" s="7"/>
    </row>
    <row r="1149" ht="15.75" customHeight="1">
      <c r="A1149" s="286" t="s">
        <v>300</v>
      </c>
      <c r="B1149" s="287">
        <v>54.0</v>
      </c>
      <c r="C1149" s="286" t="s">
        <v>50</v>
      </c>
      <c r="D1149" s="287" t="s">
        <v>418</v>
      </c>
      <c r="E1149" s="286"/>
      <c r="F1149" s="286" t="s">
        <v>1188</v>
      </c>
      <c r="G1149" s="288">
        <v>354986.14</v>
      </c>
      <c r="H1149" s="288">
        <v>0.0</v>
      </c>
      <c r="I1149" s="289">
        <v>354986.14</v>
      </c>
      <c r="J1149" s="290"/>
      <c r="K1149" s="7"/>
    </row>
    <row r="1150" ht="15.75" customHeight="1">
      <c r="A1150" s="296" t="s">
        <v>300</v>
      </c>
      <c r="B1150" s="296">
        <v>54.0</v>
      </c>
      <c r="C1150" s="297" t="s">
        <v>50</v>
      </c>
      <c r="D1150" s="296" t="s">
        <v>320</v>
      </c>
      <c r="E1150" s="298"/>
      <c r="F1150" s="297" t="s">
        <v>321</v>
      </c>
      <c r="G1150" s="299">
        <v>1063384.27</v>
      </c>
      <c r="H1150" s="299">
        <v>0.0</v>
      </c>
      <c r="I1150" s="300">
        <v>1063384.27</v>
      </c>
      <c r="J1150" s="300">
        <v>1063384.27</v>
      </c>
      <c r="K1150" s="301">
        <v>0.0</v>
      </c>
    </row>
    <row r="1151" ht="15.75" customHeight="1">
      <c r="A1151" s="286" t="s">
        <v>300</v>
      </c>
      <c r="B1151" s="287">
        <v>59.0</v>
      </c>
      <c r="C1151" s="286" t="s">
        <v>66</v>
      </c>
      <c r="D1151" s="287" t="s">
        <v>425</v>
      </c>
      <c r="E1151" s="286" t="s">
        <v>423</v>
      </c>
      <c r="F1151" s="286" t="s">
        <v>1189</v>
      </c>
      <c r="G1151" s="288">
        <v>477797.0</v>
      </c>
      <c r="H1151" s="288">
        <v>0.0</v>
      </c>
      <c r="I1151" s="289">
        <v>477797.0</v>
      </c>
      <c r="J1151" s="290"/>
      <c r="K1151" s="7"/>
    </row>
    <row r="1152" ht="15.75" customHeight="1">
      <c r="A1152" s="296" t="s">
        <v>300</v>
      </c>
      <c r="B1152" s="296">
        <v>59.0</v>
      </c>
      <c r="C1152" s="297" t="s">
        <v>66</v>
      </c>
      <c r="D1152" s="296" t="s">
        <v>320</v>
      </c>
      <c r="E1152" s="298"/>
      <c r="F1152" s="297" t="s">
        <v>321</v>
      </c>
      <c r="G1152" s="299">
        <v>477797.0</v>
      </c>
      <c r="H1152" s="299">
        <v>0.0</v>
      </c>
      <c r="I1152" s="300">
        <v>477797.0</v>
      </c>
      <c r="J1152" s="300">
        <v>477797.0</v>
      </c>
      <c r="K1152" s="301">
        <v>0.0</v>
      </c>
    </row>
    <row r="1153" ht="15.75" customHeight="1">
      <c r="A1153" s="286" t="s">
        <v>300</v>
      </c>
      <c r="B1153" s="287">
        <v>60.0</v>
      </c>
      <c r="C1153" s="286" t="s">
        <v>68</v>
      </c>
      <c r="D1153" s="287" t="s">
        <v>422</v>
      </c>
      <c r="E1153" s="286" t="s">
        <v>428</v>
      </c>
      <c r="F1153" s="286" t="s">
        <v>1190</v>
      </c>
      <c r="G1153" s="288">
        <v>855000.0</v>
      </c>
      <c r="H1153" s="288">
        <v>0.0</v>
      </c>
      <c r="I1153" s="289">
        <v>855000.0</v>
      </c>
      <c r="J1153" s="290"/>
      <c r="K1153" s="7"/>
    </row>
    <row r="1154" ht="15.75" customHeight="1">
      <c r="A1154" s="296" t="s">
        <v>300</v>
      </c>
      <c r="B1154" s="296">
        <v>60.0</v>
      </c>
      <c r="C1154" s="297" t="s">
        <v>68</v>
      </c>
      <c r="D1154" s="296" t="s">
        <v>320</v>
      </c>
      <c r="E1154" s="298"/>
      <c r="F1154" s="297" t="s">
        <v>321</v>
      </c>
      <c r="G1154" s="299">
        <v>855000.0</v>
      </c>
      <c r="H1154" s="299">
        <v>0.0</v>
      </c>
      <c r="I1154" s="300">
        <v>855000.0</v>
      </c>
      <c r="J1154" s="300">
        <v>855000.0</v>
      </c>
      <c r="K1154" s="301">
        <v>0.0</v>
      </c>
    </row>
    <row r="1155" ht="15.75" customHeight="1">
      <c r="A1155" s="286" t="s">
        <v>300</v>
      </c>
      <c r="B1155" s="287">
        <v>61.0</v>
      </c>
      <c r="C1155" s="286" t="s">
        <v>70</v>
      </c>
      <c r="D1155" s="287" t="s">
        <v>405</v>
      </c>
      <c r="E1155" s="286"/>
      <c r="F1155" s="286" t="s">
        <v>1191</v>
      </c>
      <c r="G1155" s="288">
        <v>0.0</v>
      </c>
      <c r="H1155" s="288">
        <v>708120.0</v>
      </c>
      <c r="I1155" s="289">
        <v>-708120.0</v>
      </c>
      <c r="J1155" s="290"/>
      <c r="K1155" s="7"/>
    </row>
    <row r="1156" ht="15.75" customHeight="1">
      <c r="A1156" s="291" t="s">
        <v>300</v>
      </c>
      <c r="B1156" s="292">
        <v>61.0</v>
      </c>
      <c r="C1156" s="291" t="s">
        <v>70</v>
      </c>
      <c r="D1156" s="292" t="s">
        <v>405</v>
      </c>
      <c r="E1156" s="291" t="s">
        <v>614</v>
      </c>
      <c r="F1156" s="291" t="s">
        <v>1192</v>
      </c>
      <c r="G1156" s="293">
        <v>682416.0</v>
      </c>
      <c r="H1156" s="293">
        <v>0.0</v>
      </c>
      <c r="I1156" s="294">
        <v>682416.0</v>
      </c>
      <c r="J1156" s="295"/>
      <c r="K1156" s="7"/>
    </row>
    <row r="1157" ht="15.75" customHeight="1">
      <c r="A1157" s="286" t="s">
        <v>300</v>
      </c>
      <c r="B1157" s="287">
        <v>61.0</v>
      </c>
      <c r="C1157" s="286" t="s">
        <v>70</v>
      </c>
      <c r="D1157" s="287" t="s">
        <v>405</v>
      </c>
      <c r="E1157" s="286"/>
      <c r="F1157" s="286" t="s">
        <v>1193</v>
      </c>
      <c r="G1157" s="288">
        <v>705600.0</v>
      </c>
      <c r="H1157" s="288">
        <v>0.0</v>
      </c>
      <c r="I1157" s="289">
        <v>705600.0</v>
      </c>
      <c r="J1157" s="290"/>
      <c r="K1157" s="7"/>
    </row>
    <row r="1158" ht="15.75" customHeight="1">
      <c r="A1158" s="296" t="s">
        <v>300</v>
      </c>
      <c r="B1158" s="296">
        <v>61.0</v>
      </c>
      <c r="C1158" s="297" t="s">
        <v>70</v>
      </c>
      <c r="D1158" s="296" t="s">
        <v>320</v>
      </c>
      <c r="E1158" s="298"/>
      <c r="F1158" s="297" t="s">
        <v>321</v>
      </c>
      <c r="G1158" s="299">
        <v>1388016.0</v>
      </c>
      <c r="H1158" s="299">
        <v>708120.0</v>
      </c>
      <c r="I1158" s="300">
        <v>679896.0</v>
      </c>
      <c r="J1158" s="300">
        <v>679896.0</v>
      </c>
      <c r="K1158" s="301">
        <v>0.0</v>
      </c>
    </row>
    <row r="1159" ht="15.75" customHeight="1">
      <c r="A1159" s="286" t="s">
        <v>300</v>
      </c>
      <c r="B1159" s="287">
        <v>64.0</v>
      </c>
      <c r="C1159" s="286" t="s">
        <v>76</v>
      </c>
      <c r="D1159" s="287" t="s">
        <v>405</v>
      </c>
      <c r="E1159" s="286" t="s">
        <v>433</v>
      </c>
      <c r="F1159" s="286" t="s">
        <v>1194</v>
      </c>
      <c r="G1159" s="288">
        <v>5.67</v>
      </c>
      <c r="H1159" s="288">
        <v>0.0</v>
      </c>
      <c r="I1159" s="289">
        <v>5.67</v>
      </c>
      <c r="J1159" s="290"/>
      <c r="K1159" s="7"/>
    </row>
    <row r="1160" ht="15.75" customHeight="1">
      <c r="A1160" s="291" t="s">
        <v>300</v>
      </c>
      <c r="B1160" s="292">
        <v>64.0</v>
      </c>
      <c r="C1160" s="291" t="s">
        <v>76</v>
      </c>
      <c r="D1160" s="292" t="s">
        <v>405</v>
      </c>
      <c r="E1160" s="291"/>
      <c r="F1160" s="291" t="s">
        <v>1195</v>
      </c>
      <c r="G1160" s="293">
        <v>0.0</v>
      </c>
      <c r="H1160" s="293">
        <v>611849.0</v>
      </c>
      <c r="I1160" s="294">
        <v>-611849.0</v>
      </c>
      <c r="J1160" s="295"/>
      <c r="K1160" s="7"/>
    </row>
    <row r="1161" ht="15.75" customHeight="1">
      <c r="A1161" s="286" t="s">
        <v>300</v>
      </c>
      <c r="B1161" s="287">
        <v>64.0</v>
      </c>
      <c r="C1161" s="286" t="s">
        <v>76</v>
      </c>
      <c r="D1161" s="287" t="s">
        <v>405</v>
      </c>
      <c r="E1161" s="286" t="s">
        <v>433</v>
      </c>
      <c r="F1161" s="286" t="s">
        <v>1196</v>
      </c>
      <c r="G1161" s="288">
        <v>616204.2</v>
      </c>
      <c r="H1161" s="288">
        <v>0.0</v>
      </c>
      <c r="I1161" s="289">
        <v>616204.2</v>
      </c>
      <c r="J1161" s="290"/>
      <c r="K1161" s="7"/>
    </row>
    <row r="1162" ht="15.75" customHeight="1">
      <c r="A1162" s="291" t="s">
        <v>300</v>
      </c>
      <c r="B1162" s="292">
        <v>64.0</v>
      </c>
      <c r="C1162" s="291" t="s">
        <v>76</v>
      </c>
      <c r="D1162" s="292" t="s">
        <v>405</v>
      </c>
      <c r="E1162" s="291"/>
      <c r="F1162" s="291" t="s">
        <v>1197</v>
      </c>
      <c r="G1162" s="293">
        <v>609672.0</v>
      </c>
      <c r="H1162" s="293">
        <v>0.0</v>
      </c>
      <c r="I1162" s="294">
        <v>609672.0</v>
      </c>
      <c r="J1162" s="295"/>
      <c r="K1162" s="7"/>
    </row>
    <row r="1163" ht="15.75" customHeight="1">
      <c r="A1163" s="296" t="s">
        <v>300</v>
      </c>
      <c r="B1163" s="296">
        <v>64.0</v>
      </c>
      <c r="C1163" s="297" t="s">
        <v>76</v>
      </c>
      <c r="D1163" s="296" t="s">
        <v>320</v>
      </c>
      <c r="E1163" s="298"/>
      <c r="F1163" s="297" t="s">
        <v>321</v>
      </c>
      <c r="G1163" s="299">
        <v>1225881.87</v>
      </c>
      <c r="H1163" s="299">
        <v>611849.0</v>
      </c>
      <c r="I1163" s="300">
        <v>614032.87</v>
      </c>
      <c r="J1163" s="300">
        <v>614032.87</v>
      </c>
      <c r="K1163" s="301">
        <v>0.0</v>
      </c>
    </row>
    <row r="1164" ht="15.75" customHeight="1">
      <c r="A1164" s="286" t="s">
        <v>300</v>
      </c>
      <c r="B1164" s="287">
        <v>66.0</v>
      </c>
      <c r="C1164" s="286" t="s">
        <v>80</v>
      </c>
      <c r="D1164" s="287" t="s">
        <v>405</v>
      </c>
      <c r="E1164" s="286" t="s">
        <v>438</v>
      </c>
      <c r="F1164" s="286" t="s">
        <v>1198</v>
      </c>
      <c r="G1164" s="288">
        <v>4498.2</v>
      </c>
      <c r="H1164" s="288">
        <v>0.0</v>
      </c>
      <c r="I1164" s="289">
        <v>4498.2</v>
      </c>
      <c r="J1164" s="290"/>
      <c r="K1164" s="7"/>
    </row>
    <row r="1165" ht="15.75" customHeight="1">
      <c r="A1165" s="291" t="s">
        <v>300</v>
      </c>
      <c r="B1165" s="292">
        <v>66.0</v>
      </c>
      <c r="C1165" s="291" t="s">
        <v>80</v>
      </c>
      <c r="D1165" s="292" t="s">
        <v>405</v>
      </c>
      <c r="E1165" s="291" t="s">
        <v>438</v>
      </c>
      <c r="F1165" s="291" t="s">
        <v>1199</v>
      </c>
      <c r="G1165" s="293">
        <v>4483.92</v>
      </c>
      <c r="H1165" s="293">
        <v>0.0</v>
      </c>
      <c r="I1165" s="294">
        <v>4483.92</v>
      </c>
      <c r="J1165" s="295"/>
      <c r="K1165" s="7"/>
    </row>
    <row r="1166" ht="15.75" customHeight="1">
      <c r="A1166" s="286" t="s">
        <v>300</v>
      </c>
      <c r="B1166" s="287">
        <v>66.0</v>
      </c>
      <c r="C1166" s="286" t="s">
        <v>80</v>
      </c>
      <c r="D1166" s="287" t="s">
        <v>405</v>
      </c>
      <c r="E1166" s="286" t="s">
        <v>438</v>
      </c>
      <c r="F1166" s="286" t="s">
        <v>1200</v>
      </c>
      <c r="G1166" s="288">
        <v>678300.0</v>
      </c>
      <c r="H1166" s="288">
        <v>0.0</v>
      </c>
      <c r="I1166" s="289">
        <v>678300.0</v>
      </c>
      <c r="J1166" s="290"/>
      <c r="K1166" s="7"/>
    </row>
    <row r="1167" ht="15.75" customHeight="1">
      <c r="A1167" s="291" t="s">
        <v>300</v>
      </c>
      <c r="B1167" s="292">
        <v>66.0</v>
      </c>
      <c r="C1167" s="291" t="s">
        <v>80</v>
      </c>
      <c r="D1167" s="292" t="s">
        <v>405</v>
      </c>
      <c r="E1167" s="291" t="s">
        <v>438</v>
      </c>
      <c r="F1167" s="291" t="s">
        <v>1201</v>
      </c>
      <c r="G1167" s="293">
        <v>598489.08</v>
      </c>
      <c r="H1167" s="293">
        <v>0.0</v>
      </c>
      <c r="I1167" s="294">
        <v>598489.08</v>
      </c>
      <c r="J1167" s="295"/>
      <c r="K1167" s="7"/>
    </row>
    <row r="1168" ht="15.75" customHeight="1">
      <c r="A1168" s="296" t="s">
        <v>300</v>
      </c>
      <c r="B1168" s="296">
        <v>66.0</v>
      </c>
      <c r="C1168" s="297" t="s">
        <v>80</v>
      </c>
      <c r="D1168" s="296" t="s">
        <v>320</v>
      </c>
      <c r="E1168" s="298"/>
      <c r="F1168" s="297" t="s">
        <v>321</v>
      </c>
      <c r="G1168" s="299">
        <v>1285771.2</v>
      </c>
      <c r="H1168" s="299">
        <v>0.0</v>
      </c>
      <c r="I1168" s="300">
        <v>1285771.2</v>
      </c>
      <c r="J1168" s="300">
        <v>1285771.2</v>
      </c>
      <c r="K1168" s="301">
        <v>0.0</v>
      </c>
    </row>
    <row r="1169" ht="15.75" customHeight="1">
      <c r="A1169" s="286" t="s">
        <v>300</v>
      </c>
      <c r="B1169" s="287">
        <v>69.0</v>
      </c>
      <c r="C1169" s="286" t="s">
        <v>86</v>
      </c>
      <c r="D1169" s="287" t="s">
        <v>405</v>
      </c>
      <c r="E1169" s="286" t="s">
        <v>438</v>
      </c>
      <c r="F1169" s="286" t="s">
        <v>971</v>
      </c>
      <c r="G1169" s="288">
        <v>11727.32</v>
      </c>
      <c r="H1169" s="288">
        <v>0.0</v>
      </c>
      <c r="I1169" s="289">
        <v>11727.32</v>
      </c>
      <c r="J1169" s="290"/>
      <c r="K1169" s="7"/>
    </row>
    <row r="1170" ht="15.75" customHeight="1">
      <c r="A1170" s="296" t="s">
        <v>300</v>
      </c>
      <c r="B1170" s="296">
        <v>69.0</v>
      </c>
      <c r="C1170" s="297" t="s">
        <v>86</v>
      </c>
      <c r="D1170" s="296" t="s">
        <v>320</v>
      </c>
      <c r="E1170" s="298"/>
      <c r="F1170" s="297" t="s">
        <v>321</v>
      </c>
      <c r="G1170" s="299">
        <v>11727.32</v>
      </c>
      <c r="H1170" s="299">
        <v>0.0</v>
      </c>
      <c r="I1170" s="300">
        <v>11727.32</v>
      </c>
      <c r="J1170" s="300">
        <v>11727.32</v>
      </c>
      <c r="K1170" s="301">
        <v>0.0</v>
      </c>
    </row>
    <row r="1171" ht="15.75" customHeight="1">
      <c r="A1171" s="286" t="s">
        <v>300</v>
      </c>
      <c r="B1171" s="287">
        <v>71.0</v>
      </c>
      <c r="C1171" s="286" t="s">
        <v>89</v>
      </c>
      <c r="D1171" s="287" t="s">
        <v>444</v>
      </c>
      <c r="E1171" s="286"/>
      <c r="F1171" s="286" t="s">
        <v>1202</v>
      </c>
      <c r="G1171" s="288">
        <v>3464932.49</v>
      </c>
      <c r="H1171" s="288">
        <v>0.0</v>
      </c>
      <c r="I1171" s="289">
        <v>3464932.49</v>
      </c>
      <c r="J1171" s="290"/>
      <c r="K1171" s="7"/>
    </row>
    <row r="1172" ht="15.75" customHeight="1">
      <c r="A1172" s="291" t="s">
        <v>300</v>
      </c>
      <c r="B1172" s="292">
        <v>71.0</v>
      </c>
      <c r="C1172" s="291" t="s">
        <v>89</v>
      </c>
      <c r="D1172" s="292" t="s">
        <v>444</v>
      </c>
      <c r="E1172" s="291"/>
      <c r="F1172" s="291" t="s">
        <v>1203</v>
      </c>
      <c r="G1172" s="293">
        <v>1817356.27</v>
      </c>
      <c r="H1172" s="293">
        <v>0.0</v>
      </c>
      <c r="I1172" s="294">
        <v>1817356.27</v>
      </c>
      <c r="J1172" s="295"/>
      <c r="K1172" s="7"/>
    </row>
    <row r="1173" ht="15.75" customHeight="1">
      <c r="A1173" s="286" t="s">
        <v>300</v>
      </c>
      <c r="B1173" s="287">
        <v>71.0</v>
      </c>
      <c r="C1173" s="286" t="s">
        <v>89</v>
      </c>
      <c r="D1173" s="287" t="s">
        <v>444</v>
      </c>
      <c r="E1173" s="286"/>
      <c r="F1173" s="286" t="s">
        <v>1204</v>
      </c>
      <c r="G1173" s="288">
        <v>40831.88</v>
      </c>
      <c r="H1173" s="288">
        <v>0.0</v>
      </c>
      <c r="I1173" s="289">
        <v>40831.88</v>
      </c>
      <c r="J1173" s="290"/>
      <c r="K1173" s="7"/>
    </row>
    <row r="1174" ht="15.75" customHeight="1">
      <c r="A1174" s="296" t="s">
        <v>300</v>
      </c>
      <c r="B1174" s="296">
        <v>71.0</v>
      </c>
      <c r="C1174" s="297" t="s">
        <v>89</v>
      </c>
      <c r="D1174" s="296" t="s">
        <v>320</v>
      </c>
      <c r="E1174" s="298"/>
      <c r="F1174" s="297" t="s">
        <v>321</v>
      </c>
      <c r="G1174" s="299">
        <v>5323120.640000001</v>
      </c>
      <c r="H1174" s="299">
        <v>0.0</v>
      </c>
      <c r="I1174" s="300">
        <v>5323120.640000001</v>
      </c>
      <c r="J1174" s="300">
        <v>5323120.64</v>
      </c>
      <c r="K1174" s="301">
        <v>9.313225746154785E-10</v>
      </c>
    </row>
    <row r="1175" ht="15.75" customHeight="1">
      <c r="A1175" s="286" t="s">
        <v>300</v>
      </c>
      <c r="B1175" s="287">
        <v>76.0</v>
      </c>
      <c r="C1175" s="286" t="s">
        <v>96</v>
      </c>
      <c r="D1175" s="287" t="s">
        <v>448</v>
      </c>
      <c r="E1175" s="286" t="s">
        <v>449</v>
      </c>
      <c r="F1175" s="286" t="s">
        <v>1205</v>
      </c>
      <c r="G1175" s="288">
        <v>1.058198269E7</v>
      </c>
      <c r="H1175" s="288">
        <v>0.0</v>
      </c>
      <c r="I1175" s="289">
        <v>1.058198269E7</v>
      </c>
      <c r="J1175" s="290"/>
      <c r="K1175" s="7"/>
    </row>
    <row r="1176" ht="15.75" customHeight="1">
      <c r="A1176" s="296" t="s">
        <v>300</v>
      </c>
      <c r="B1176" s="296">
        <v>76.0</v>
      </c>
      <c r="C1176" s="297" t="s">
        <v>96</v>
      </c>
      <c r="D1176" s="296" t="s">
        <v>320</v>
      </c>
      <c r="E1176" s="298"/>
      <c r="F1176" s="297" t="s">
        <v>321</v>
      </c>
      <c r="G1176" s="299">
        <v>1.058198269E7</v>
      </c>
      <c r="H1176" s="299">
        <v>0.0</v>
      </c>
      <c r="I1176" s="300">
        <v>1.058198269E7</v>
      </c>
      <c r="J1176" s="300">
        <v>1.058198269E7</v>
      </c>
      <c r="K1176" s="301">
        <v>0.0</v>
      </c>
    </row>
    <row r="1177" ht="15.75" customHeight="1">
      <c r="A1177" s="286" t="s">
        <v>300</v>
      </c>
      <c r="B1177" s="287">
        <v>78.0</v>
      </c>
      <c r="C1177" s="286" t="s">
        <v>100</v>
      </c>
      <c r="D1177" s="287" t="s">
        <v>451</v>
      </c>
      <c r="E1177" s="286" t="s">
        <v>452</v>
      </c>
      <c r="F1177" s="286" t="s">
        <v>1206</v>
      </c>
      <c r="G1177" s="288">
        <v>2180494.0</v>
      </c>
      <c r="H1177" s="288">
        <v>0.0</v>
      </c>
      <c r="I1177" s="289">
        <v>2180494.0</v>
      </c>
      <c r="J1177" s="290"/>
      <c r="K1177" s="7"/>
    </row>
    <row r="1178" ht="15.75" customHeight="1">
      <c r="A1178" s="296" t="s">
        <v>300</v>
      </c>
      <c r="B1178" s="296">
        <v>78.0</v>
      </c>
      <c r="C1178" s="297" t="s">
        <v>100</v>
      </c>
      <c r="D1178" s="296" t="s">
        <v>320</v>
      </c>
      <c r="E1178" s="298"/>
      <c r="F1178" s="297" t="s">
        <v>321</v>
      </c>
      <c r="G1178" s="299">
        <v>2180494.0</v>
      </c>
      <c r="H1178" s="299">
        <v>0.0</v>
      </c>
      <c r="I1178" s="300">
        <v>2180494.0</v>
      </c>
      <c r="J1178" s="300">
        <v>2180494.0</v>
      </c>
      <c r="K1178" s="301">
        <v>0.0</v>
      </c>
    </row>
    <row r="1179" ht="15.75" customHeight="1">
      <c r="A1179" s="286" t="s">
        <v>300</v>
      </c>
      <c r="B1179" s="287">
        <v>82.0</v>
      </c>
      <c r="C1179" s="286" t="s">
        <v>104</v>
      </c>
      <c r="D1179" s="287" t="s">
        <v>451</v>
      </c>
      <c r="E1179" s="286"/>
      <c r="F1179" s="286" t="s">
        <v>1207</v>
      </c>
      <c r="G1179" s="288">
        <v>0.0</v>
      </c>
      <c r="H1179" s="288">
        <v>1.3E7</v>
      </c>
      <c r="I1179" s="289">
        <v>-1.3E7</v>
      </c>
      <c r="J1179" s="290"/>
      <c r="K1179" s="7"/>
    </row>
    <row r="1180" ht="15.75" customHeight="1">
      <c r="A1180" s="291" t="s">
        <v>300</v>
      </c>
      <c r="B1180" s="292">
        <v>82.0</v>
      </c>
      <c r="C1180" s="291" t="s">
        <v>104</v>
      </c>
      <c r="D1180" s="292" t="s">
        <v>451</v>
      </c>
      <c r="E1180" s="291" t="s">
        <v>455</v>
      </c>
      <c r="F1180" s="291" t="s">
        <v>1208</v>
      </c>
      <c r="G1180" s="293">
        <v>3447758.0</v>
      </c>
      <c r="H1180" s="293">
        <v>0.0</v>
      </c>
      <c r="I1180" s="294">
        <v>3447758.0</v>
      </c>
      <c r="J1180" s="295"/>
      <c r="K1180" s="7"/>
    </row>
    <row r="1181" ht="15.75" customHeight="1">
      <c r="A1181" s="286" t="s">
        <v>300</v>
      </c>
      <c r="B1181" s="287">
        <v>82.0</v>
      </c>
      <c r="C1181" s="286" t="s">
        <v>104</v>
      </c>
      <c r="D1181" s="287" t="s">
        <v>451</v>
      </c>
      <c r="E1181" s="286" t="s">
        <v>455</v>
      </c>
      <c r="F1181" s="286" t="s">
        <v>1209</v>
      </c>
      <c r="G1181" s="288">
        <v>9710582.0</v>
      </c>
      <c r="H1181" s="288">
        <v>0.0</v>
      </c>
      <c r="I1181" s="289">
        <v>9710582.0</v>
      </c>
      <c r="J1181" s="290"/>
      <c r="K1181" s="7"/>
    </row>
    <row r="1182" ht="15.75" customHeight="1">
      <c r="A1182" s="291" t="s">
        <v>300</v>
      </c>
      <c r="B1182" s="292">
        <v>82.0</v>
      </c>
      <c r="C1182" s="291" t="s">
        <v>104</v>
      </c>
      <c r="D1182" s="292" t="s">
        <v>451</v>
      </c>
      <c r="E1182" s="291"/>
      <c r="F1182" s="291" t="s">
        <v>1210</v>
      </c>
      <c r="G1182" s="293">
        <v>4025000.0</v>
      </c>
      <c r="H1182" s="293">
        <v>0.0</v>
      </c>
      <c r="I1182" s="294">
        <v>4025000.0</v>
      </c>
      <c r="J1182" s="295"/>
      <c r="K1182" s="7"/>
    </row>
    <row r="1183" ht="15.75" customHeight="1">
      <c r="A1183" s="286" t="s">
        <v>300</v>
      </c>
      <c r="B1183" s="287">
        <v>82.0</v>
      </c>
      <c r="C1183" s="286" t="s">
        <v>104</v>
      </c>
      <c r="D1183" s="287" t="s">
        <v>451</v>
      </c>
      <c r="E1183" s="286"/>
      <c r="F1183" s="286" t="s">
        <v>1211</v>
      </c>
      <c r="G1183" s="288">
        <v>1.1155E7</v>
      </c>
      <c r="H1183" s="288">
        <v>0.0</v>
      </c>
      <c r="I1183" s="289">
        <v>1.1155E7</v>
      </c>
      <c r="J1183" s="290"/>
      <c r="K1183" s="7"/>
    </row>
    <row r="1184" ht="15.75" customHeight="1">
      <c r="A1184" s="296" t="s">
        <v>300</v>
      </c>
      <c r="B1184" s="296">
        <v>82.0</v>
      </c>
      <c r="C1184" s="297" t="s">
        <v>104</v>
      </c>
      <c r="D1184" s="296" t="s">
        <v>320</v>
      </c>
      <c r="E1184" s="298"/>
      <c r="F1184" s="297" t="s">
        <v>321</v>
      </c>
      <c r="G1184" s="299">
        <v>2.833834E7</v>
      </c>
      <c r="H1184" s="299">
        <v>1.3E7</v>
      </c>
      <c r="I1184" s="300">
        <v>1.533834E7</v>
      </c>
      <c r="J1184" s="300">
        <v>1.533834E7</v>
      </c>
      <c r="K1184" s="301">
        <v>0.0</v>
      </c>
    </row>
    <row r="1185" ht="15.75" customHeight="1">
      <c r="A1185" s="286" t="s">
        <v>300</v>
      </c>
      <c r="B1185" s="287">
        <v>83.0</v>
      </c>
      <c r="C1185" s="286" t="s">
        <v>107</v>
      </c>
      <c r="D1185" s="287" t="s">
        <v>448</v>
      </c>
      <c r="E1185" s="286" t="s">
        <v>459</v>
      </c>
      <c r="F1185" s="286" t="s">
        <v>1212</v>
      </c>
      <c r="G1185" s="288">
        <v>6461852.16</v>
      </c>
      <c r="H1185" s="288">
        <v>0.0</v>
      </c>
      <c r="I1185" s="289">
        <v>6461852.16</v>
      </c>
      <c r="J1185" s="290"/>
      <c r="K1185" s="7"/>
    </row>
    <row r="1186" ht="15.75" customHeight="1">
      <c r="A1186" s="296" t="s">
        <v>300</v>
      </c>
      <c r="B1186" s="296">
        <v>83.0</v>
      </c>
      <c r="C1186" s="297" t="s">
        <v>107</v>
      </c>
      <c r="D1186" s="296" t="s">
        <v>320</v>
      </c>
      <c r="E1186" s="298"/>
      <c r="F1186" s="297" t="s">
        <v>321</v>
      </c>
      <c r="G1186" s="299">
        <v>6461852.16</v>
      </c>
      <c r="H1186" s="299">
        <v>0.0</v>
      </c>
      <c r="I1186" s="300">
        <v>6461852.16</v>
      </c>
      <c r="J1186" s="300">
        <v>6461852.16</v>
      </c>
      <c r="K1186" s="301">
        <v>0.0</v>
      </c>
    </row>
    <row r="1187" ht="15.75" customHeight="1">
      <c r="A1187" s="286" t="s">
        <v>300</v>
      </c>
      <c r="B1187" s="287">
        <v>84.0</v>
      </c>
      <c r="C1187" s="286" t="s">
        <v>110</v>
      </c>
      <c r="D1187" s="287" t="s">
        <v>425</v>
      </c>
      <c r="E1187" s="286"/>
      <c r="F1187" s="286" t="s">
        <v>1213</v>
      </c>
      <c r="G1187" s="288">
        <v>0.0</v>
      </c>
      <c r="H1187" s="288">
        <v>5860542.0</v>
      </c>
      <c r="I1187" s="289">
        <v>-5860542.0</v>
      </c>
      <c r="J1187" s="290"/>
      <c r="K1187" s="7"/>
    </row>
    <row r="1188" ht="15.75" customHeight="1">
      <c r="A1188" s="291" t="s">
        <v>300</v>
      </c>
      <c r="B1188" s="292">
        <v>84.0</v>
      </c>
      <c r="C1188" s="291" t="s">
        <v>110</v>
      </c>
      <c r="D1188" s="292" t="s">
        <v>425</v>
      </c>
      <c r="E1188" s="291" t="s">
        <v>747</v>
      </c>
      <c r="F1188" s="291" t="s">
        <v>986</v>
      </c>
      <c r="G1188" s="293">
        <v>4.480709125E7</v>
      </c>
      <c r="H1188" s="293">
        <v>0.0</v>
      </c>
      <c r="I1188" s="294">
        <v>4.480709125E7</v>
      </c>
      <c r="J1188" s="295"/>
      <c r="K1188" s="7"/>
    </row>
    <row r="1189" ht="15.75" customHeight="1">
      <c r="A1189" s="286" t="s">
        <v>300</v>
      </c>
      <c r="B1189" s="287">
        <v>84.0</v>
      </c>
      <c r="C1189" s="286" t="s">
        <v>110</v>
      </c>
      <c r="D1189" s="287" t="s">
        <v>425</v>
      </c>
      <c r="E1189" s="286" t="s">
        <v>747</v>
      </c>
      <c r="F1189" s="286" t="s">
        <v>1214</v>
      </c>
      <c r="G1189" s="288">
        <v>0.0</v>
      </c>
      <c r="H1189" s="288">
        <v>4.480709125E7</v>
      </c>
      <c r="I1189" s="289">
        <v>-4.480709125E7</v>
      </c>
      <c r="J1189" s="290"/>
      <c r="K1189" s="7"/>
    </row>
    <row r="1190" ht="15.75" customHeight="1">
      <c r="A1190" s="291" t="s">
        <v>300</v>
      </c>
      <c r="B1190" s="292">
        <v>84.0</v>
      </c>
      <c r="C1190" s="291" t="s">
        <v>110</v>
      </c>
      <c r="D1190" s="292" t="s">
        <v>425</v>
      </c>
      <c r="E1190" s="291" t="s">
        <v>747</v>
      </c>
      <c r="F1190" s="291" t="s">
        <v>986</v>
      </c>
      <c r="G1190" s="293">
        <v>955288.75</v>
      </c>
      <c r="H1190" s="293">
        <v>0.0</v>
      </c>
      <c r="I1190" s="294">
        <v>955288.75</v>
      </c>
      <c r="J1190" s="295"/>
      <c r="K1190" s="7"/>
    </row>
    <row r="1191" ht="15.75" customHeight="1">
      <c r="A1191" s="286" t="s">
        <v>300</v>
      </c>
      <c r="B1191" s="287">
        <v>84.0</v>
      </c>
      <c r="C1191" s="286" t="s">
        <v>110</v>
      </c>
      <c r="D1191" s="287" t="s">
        <v>425</v>
      </c>
      <c r="E1191" s="286" t="s">
        <v>468</v>
      </c>
      <c r="F1191" s="286" t="s">
        <v>1215</v>
      </c>
      <c r="G1191" s="288">
        <v>19296.25</v>
      </c>
      <c r="H1191" s="288">
        <v>0.0</v>
      </c>
      <c r="I1191" s="289">
        <v>19296.25</v>
      </c>
      <c r="J1191" s="290"/>
      <c r="K1191" s="7"/>
    </row>
    <row r="1192" ht="15.75" customHeight="1">
      <c r="A1192" s="291" t="s">
        <v>300</v>
      </c>
      <c r="B1192" s="292">
        <v>84.0</v>
      </c>
      <c r="C1192" s="291" t="s">
        <v>110</v>
      </c>
      <c r="D1192" s="292" t="s">
        <v>425</v>
      </c>
      <c r="E1192" s="291" t="s">
        <v>1216</v>
      </c>
      <c r="F1192" s="291" t="s">
        <v>1217</v>
      </c>
      <c r="G1192" s="293">
        <v>48102.49</v>
      </c>
      <c r="H1192" s="293">
        <v>0.0</v>
      </c>
      <c r="I1192" s="294">
        <v>48102.49</v>
      </c>
      <c r="J1192" s="295"/>
      <c r="K1192" s="7"/>
    </row>
    <row r="1193" ht="15.75" customHeight="1">
      <c r="A1193" s="286" t="s">
        <v>300</v>
      </c>
      <c r="B1193" s="287">
        <v>84.0</v>
      </c>
      <c r="C1193" s="286" t="s">
        <v>110</v>
      </c>
      <c r="D1193" s="287" t="s">
        <v>425</v>
      </c>
      <c r="E1193" s="286" t="s">
        <v>1216</v>
      </c>
      <c r="F1193" s="286" t="s">
        <v>1217</v>
      </c>
      <c r="G1193" s="288">
        <v>0.01</v>
      </c>
      <c r="H1193" s="288">
        <v>0.0</v>
      </c>
      <c r="I1193" s="289">
        <v>0.01</v>
      </c>
      <c r="J1193" s="290"/>
      <c r="K1193" s="7"/>
    </row>
    <row r="1194" ht="15.75" customHeight="1">
      <c r="A1194" s="291" t="s">
        <v>300</v>
      </c>
      <c r="B1194" s="292">
        <v>84.0</v>
      </c>
      <c r="C1194" s="291" t="s">
        <v>110</v>
      </c>
      <c r="D1194" s="292" t="s">
        <v>425</v>
      </c>
      <c r="E1194" s="291" t="s">
        <v>739</v>
      </c>
      <c r="F1194" s="291" t="s">
        <v>1217</v>
      </c>
      <c r="G1194" s="293">
        <v>31350.0</v>
      </c>
      <c r="H1194" s="293">
        <v>0.0</v>
      </c>
      <c r="I1194" s="294">
        <v>31350.0</v>
      </c>
      <c r="J1194" s="295"/>
      <c r="K1194" s="7"/>
    </row>
    <row r="1195" ht="15.75" customHeight="1">
      <c r="A1195" s="286" t="s">
        <v>300</v>
      </c>
      <c r="B1195" s="287">
        <v>84.0</v>
      </c>
      <c r="C1195" s="286" t="s">
        <v>110</v>
      </c>
      <c r="D1195" s="287" t="s">
        <v>425</v>
      </c>
      <c r="E1195" s="286" t="s">
        <v>464</v>
      </c>
      <c r="F1195" s="286" t="s">
        <v>1218</v>
      </c>
      <c r="G1195" s="288">
        <v>1973697.5</v>
      </c>
      <c r="H1195" s="288">
        <v>0.0</v>
      </c>
      <c r="I1195" s="289">
        <v>1973697.5</v>
      </c>
      <c r="J1195" s="290"/>
      <c r="K1195" s="7"/>
    </row>
    <row r="1196" ht="15.75" customHeight="1">
      <c r="A1196" s="291" t="s">
        <v>300</v>
      </c>
      <c r="B1196" s="292">
        <v>84.0</v>
      </c>
      <c r="C1196" s="291" t="s">
        <v>110</v>
      </c>
      <c r="D1196" s="292" t="s">
        <v>425</v>
      </c>
      <c r="E1196" s="291" t="s">
        <v>984</v>
      </c>
      <c r="F1196" s="291" t="s">
        <v>1217</v>
      </c>
      <c r="G1196" s="293">
        <v>31906.25</v>
      </c>
      <c r="H1196" s="293">
        <v>0.0</v>
      </c>
      <c r="I1196" s="294">
        <v>31906.25</v>
      </c>
      <c r="J1196" s="295"/>
      <c r="K1196" s="7"/>
    </row>
    <row r="1197" ht="15.75" customHeight="1">
      <c r="A1197" s="286" t="s">
        <v>300</v>
      </c>
      <c r="B1197" s="287">
        <v>84.0</v>
      </c>
      <c r="C1197" s="286" t="s">
        <v>110</v>
      </c>
      <c r="D1197" s="287" t="s">
        <v>425</v>
      </c>
      <c r="E1197" s="286"/>
      <c r="F1197" s="286" t="s">
        <v>1219</v>
      </c>
      <c r="G1197" s="288">
        <v>623250.0</v>
      </c>
      <c r="H1197" s="288">
        <v>0.0</v>
      </c>
      <c r="I1197" s="289">
        <v>623250.0</v>
      </c>
      <c r="J1197" s="290"/>
      <c r="K1197" s="7"/>
    </row>
    <row r="1198" ht="15.75" customHeight="1">
      <c r="A1198" s="291" t="s">
        <v>300</v>
      </c>
      <c r="B1198" s="292">
        <v>84.0</v>
      </c>
      <c r="C1198" s="291" t="s">
        <v>110</v>
      </c>
      <c r="D1198" s="292" t="s">
        <v>425</v>
      </c>
      <c r="E1198" s="291"/>
      <c r="F1198" s="291" t="s">
        <v>1220</v>
      </c>
      <c r="G1198" s="293">
        <v>5964342.0</v>
      </c>
      <c r="H1198" s="293">
        <v>0.0</v>
      </c>
      <c r="I1198" s="294">
        <v>5964342.0</v>
      </c>
      <c r="J1198" s="295"/>
      <c r="K1198" s="7"/>
    </row>
    <row r="1199" ht="15.75" customHeight="1">
      <c r="A1199" s="296" t="s">
        <v>300</v>
      </c>
      <c r="B1199" s="296">
        <v>84.0</v>
      </c>
      <c r="C1199" s="297" t="s">
        <v>110</v>
      </c>
      <c r="D1199" s="296" t="s">
        <v>320</v>
      </c>
      <c r="E1199" s="298"/>
      <c r="F1199" s="297" t="s">
        <v>321</v>
      </c>
      <c r="G1199" s="299">
        <v>5.44543245E7</v>
      </c>
      <c r="H1199" s="299">
        <v>5.066763325E7</v>
      </c>
      <c r="I1199" s="300">
        <v>3786691.25</v>
      </c>
      <c r="J1199" s="300">
        <v>3786691.25</v>
      </c>
      <c r="K1199" s="301">
        <v>0.0</v>
      </c>
    </row>
    <row r="1200" ht="15.75" customHeight="1">
      <c r="A1200" s="286" t="s">
        <v>300</v>
      </c>
      <c r="B1200" s="287">
        <v>85.0</v>
      </c>
      <c r="C1200" s="286" t="s">
        <v>113</v>
      </c>
      <c r="D1200" s="287" t="s">
        <v>472</v>
      </c>
      <c r="E1200" s="286"/>
      <c r="F1200" s="286" t="s">
        <v>1221</v>
      </c>
      <c r="G1200" s="288">
        <v>0.0</v>
      </c>
      <c r="H1200" s="288">
        <v>5037950.0</v>
      </c>
      <c r="I1200" s="289">
        <v>-5037950.0</v>
      </c>
      <c r="J1200" s="290"/>
      <c r="K1200" s="7"/>
    </row>
    <row r="1201" ht="15.75" customHeight="1">
      <c r="A1201" s="291" t="s">
        <v>300</v>
      </c>
      <c r="B1201" s="292">
        <v>85.0</v>
      </c>
      <c r="C1201" s="291" t="s">
        <v>113</v>
      </c>
      <c r="D1201" s="292" t="s">
        <v>472</v>
      </c>
      <c r="E1201" s="291" t="s">
        <v>474</v>
      </c>
      <c r="F1201" s="291" t="s">
        <v>1222</v>
      </c>
      <c r="G1201" s="293">
        <v>4913245.92</v>
      </c>
      <c r="H1201" s="293">
        <v>0.0</v>
      </c>
      <c r="I1201" s="294">
        <v>4913245.92</v>
      </c>
      <c r="J1201" s="295"/>
      <c r="K1201" s="7"/>
    </row>
    <row r="1202" ht="15.75" customHeight="1">
      <c r="A1202" s="286" t="s">
        <v>300</v>
      </c>
      <c r="B1202" s="287">
        <v>85.0</v>
      </c>
      <c r="C1202" s="286" t="s">
        <v>113</v>
      </c>
      <c r="D1202" s="287" t="s">
        <v>472</v>
      </c>
      <c r="E1202" s="286"/>
      <c r="F1202" s="286" t="s">
        <v>1223</v>
      </c>
      <c r="G1202" s="288">
        <v>6137000.0</v>
      </c>
      <c r="H1202" s="288">
        <v>0.0</v>
      </c>
      <c r="I1202" s="289">
        <v>6137000.0</v>
      </c>
      <c r="J1202" s="290"/>
      <c r="K1202" s="7"/>
    </row>
    <row r="1203" ht="15.75" customHeight="1">
      <c r="A1203" s="296" t="s">
        <v>300</v>
      </c>
      <c r="B1203" s="296">
        <v>85.0</v>
      </c>
      <c r="C1203" s="297" t="s">
        <v>113</v>
      </c>
      <c r="D1203" s="296" t="s">
        <v>320</v>
      </c>
      <c r="E1203" s="298"/>
      <c r="F1203" s="297" t="s">
        <v>321</v>
      </c>
      <c r="G1203" s="299">
        <v>1.105024592E7</v>
      </c>
      <c r="H1203" s="299">
        <v>5037950.0</v>
      </c>
      <c r="I1203" s="300">
        <v>6012295.92</v>
      </c>
      <c r="J1203" s="300">
        <v>6012295.92</v>
      </c>
      <c r="K1203" s="301">
        <v>0.0</v>
      </c>
    </row>
    <row r="1204" ht="15.75" customHeight="1">
      <c r="A1204" s="286" t="s">
        <v>300</v>
      </c>
      <c r="B1204" s="287">
        <v>86.0</v>
      </c>
      <c r="C1204" s="286" t="s">
        <v>116</v>
      </c>
      <c r="D1204" s="287" t="s">
        <v>479</v>
      </c>
      <c r="E1204" s="286"/>
      <c r="F1204" s="286" t="s">
        <v>1224</v>
      </c>
      <c r="G1204" s="288">
        <v>0.0</v>
      </c>
      <c r="H1204" s="288">
        <v>400000.0</v>
      </c>
      <c r="I1204" s="289">
        <v>-400000.0</v>
      </c>
      <c r="J1204" s="290"/>
      <c r="K1204" s="7"/>
    </row>
    <row r="1205" ht="15.75" customHeight="1">
      <c r="A1205" s="291" t="s">
        <v>300</v>
      </c>
      <c r="B1205" s="292">
        <v>86.0</v>
      </c>
      <c r="C1205" s="291" t="s">
        <v>116</v>
      </c>
      <c r="D1205" s="292" t="s">
        <v>479</v>
      </c>
      <c r="E1205" s="291" t="s">
        <v>1225</v>
      </c>
      <c r="F1205" s="291" t="s">
        <v>1226</v>
      </c>
      <c r="G1205" s="293">
        <v>81570.0</v>
      </c>
      <c r="H1205" s="293">
        <v>0.0</v>
      </c>
      <c r="I1205" s="294">
        <v>81570.0</v>
      </c>
      <c r="J1205" s="295"/>
      <c r="K1205" s="7"/>
    </row>
    <row r="1206" ht="15.75" customHeight="1">
      <c r="A1206" s="296" t="s">
        <v>300</v>
      </c>
      <c r="B1206" s="296">
        <v>86.0</v>
      </c>
      <c r="C1206" s="297" t="s">
        <v>116</v>
      </c>
      <c r="D1206" s="296" t="s">
        <v>320</v>
      </c>
      <c r="E1206" s="298"/>
      <c r="F1206" s="297" t="s">
        <v>321</v>
      </c>
      <c r="G1206" s="299">
        <v>81570.0</v>
      </c>
      <c r="H1206" s="299">
        <v>400000.0</v>
      </c>
      <c r="I1206" s="300">
        <v>-318430.0</v>
      </c>
      <c r="J1206" s="300">
        <v>-318430.0</v>
      </c>
      <c r="K1206" s="301">
        <v>0.0</v>
      </c>
    </row>
    <row r="1207" ht="15.75" customHeight="1">
      <c r="A1207" s="286" t="s">
        <v>300</v>
      </c>
      <c r="B1207" s="287">
        <v>88.0</v>
      </c>
      <c r="C1207" s="286" t="s">
        <v>119</v>
      </c>
      <c r="D1207" s="287" t="s">
        <v>422</v>
      </c>
      <c r="E1207" s="286"/>
      <c r="F1207" s="286" t="s">
        <v>1227</v>
      </c>
      <c r="G1207" s="288">
        <v>0.0</v>
      </c>
      <c r="H1207" s="288">
        <v>1.05201517E8</v>
      </c>
      <c r="I1207" s="289">
        <v>-1.05201517E8</v>
      </c>
      <c r="J1207" s="290"/>
      <c r="K1207" s="7"/>
    </row>
    <row r="1208" ht="15.75" customHeight="1">
      <c r="A1208" s="291" t="s">
        <v>300</v>
      </c>
      <c r="B1208" s="292">
        <v>88.0</v>
      </c>
      <c r="C1208" s="291" t="s">
        <v>119</v>
      </c>
      <c r="D1208" s="292" t="s">
        <v>422</v>
      </c>
      <c r="E1208" s="291" t="s">
        <v>483</v>
      </c>
      <c r="F1208" s="291" t="s">
        <v>1228</v>
      </c>
      <c r="G1208" s="293">
        <v>7.230895135E7</v>
      </c>
      <c r="H1208" s="293">
        <v>0.0</v>
      </c>
      <c r="I1208" s="294">
        <v>7.230895135E7</v>
      </c>
      <c r="J1208" s="295"/>
      <c r="K1208" s="7"/>
    </row>
    <row r="1209" ht="15.75" customHeight="1">
      <c r="A1209" s="286" t="s">
        <v>300</v>
      </c>
      <c r="B1209" s="287">
        <v>88.0</v>
      </c>
      <c r="C1209" s="286" t="s">
        <v>119</v>
      </c>
      <c r="D1209" s="287" t="s">
        <v>422</v>
      </c>
      <c r="E1209" s="286" t="s">
        <v>483</v>
      </c>
      <c r="F1209" s="286" t="s">
        <v>1229</v>
      </c>
      <c r="G1209" s="288">
        <v>3319867.93</v>
      </c>
      <c r="H1209" s="288">
        <v>0.0</v>
      </c>
      <c r="I1209" s="289">
        <v>3319867.93</v>
      </c>
      <c r="J1209" s="290"/>
      <c r="K1209" s="7"/>
    </row>
    <row r="1210" ht="15.75" customHeight="1">
      <c r="A1210" s="291" t="s">
        <v>300</v>
      </c>
      <c r="B1210" s="292">
        <v>88.0</v>
      </c>
      <c r="C1210" s="291" t="s">
        <v>119</v>
      </c>
      <c r="D1210" s="292" t="s">
        <v>422</v>
      </c>
      <c r="E1210" s="291" t="s">
        <v>483</v>
      </c>
      <c r="F1210" s="291" t="s">
        <v>1230</v>
      </c>
      <c r="G1210" s="293">
        <v>2.957269752E7</v>
      </c>
      <c r="H1210" s="293">
        <v>0.0</v>
      </c>
      <c r="I1210" s="294">
        <v>2.957269752E7</v>
      </c>
      <c r="J1210" s="295"/>
      <c r="K1210" s="7"/>
    </row>
    <row r="1211" ht="15.75" customHeight="1">
      <c r="A1211" s="286" t="s">
        <v>300</v>
      </c>
      <c r="B1211" s="287">
        <v>88.0</v>
      </c>
      <c r="C1211" s="286" t="s">
        <v>119</v>
      </c>
      <c r="D1211" s="287" t="s">
        <v>422</v>
      </c>
      <c r="E1211" s="286"/>
      <c r="F1211" s="286" t="s">
        <v>1231</v>
      </c>
      <c r="G1211" s="288">
        <v>1.05645102E8</v>
      </c>
      <c r="H1211" s="288">
        <v>0.0</v>
      </c>
      <c r="I1211" s="289">
        <v>1.05645102E8</v>
      </c>
      <c r="J1211" s="290"/>
      <c r="K1211" s="7"/>
    </row>
    <row r="1212" ht="15.75" customHeight="1">
      <c r="A1212" s="296" t="s">
        <v>300</v>
      </c>
      <c r="B1212" s="296">
        <v>88.0</v>
      </c>
      <c r="C1212" s="297" t="s">
        <v>119</v>
      </c>
      <c r="D1212" s="296" t="s">
        <v>320</v>
      </c>
      <c r="E1212" s="298"/>
      <c r="F1212" s="297" t="s">
        <v>321</v>
      </c>
      <c r="G1212" s="299">
        <v>2.108466188E8</v>
      </c>
      <c r="H1212" s="299">
        <v>1.05201517E8</v>
      </c>
      <c r="I1212" s="300">
        <v>1.056451018E8</v>
      </c>
      <c r="J1212" s="300">
        <v>1.056451018E8</v>
      </c>
      <c r="K1212" s="301">
        <v>0.0</v>
      </c>
    </row>
    <row r="1213" ht="15.75" customHeight="1">
      <c r="A1213" s="286" t="s">
        <v>300</v>
      </c>
      <c r="B1213" s="287">
        <v>89.0</v>
      </c>
      <c r="C1213" s="286" t="s">
        <v>121</v>
      </c>
      <c r="D1213" s="287" t="s">
        <v>422</v>
      </c>
      <c r="E1213" s="286"/>
      <c r="F1213" s="286" t="s">
        <v>1232</v>
      </c>
      <c r="G1213" s="288">
        <v>171371.89</v>
      </c>
      <c r="H1213" s="288">
        <v>0.0</v>
      </c>
      <c r="I1213" s="289">
        <v>171371.89</v>
      </c>
      <c r="J1213" s="290"/>
      <c r="K1213" s="7"/>
    </row>
    <row r="1214" ht="15.75" customHeight="1">
      <c r="A1214" s="291" t="s">
        <v>300</v>
      </c>
      <c r="B1214" s="292">
        <v>89.0</v>
      </c>
      <c r="C1214" s="291" t="s">
        <v>121</v>
      </c>
      <c r="D1214" s="292" t="s">
        <v>422</v>
      </c>
      <c r="E1214" s="291"/>
      <c r="F1214" s="291" t="s">
        <v>1233</v>
      </c>
      <c r="G1214" s="293">
        <v>1178845.0</v>
      </c>
      <c r="H1214" s="293">
        <v>0.0</v>
      </c>
      <c r="I1214" s="294">
        <v>1178845.0</v>
      </c>
      <c r="J1214" s="295"/>
      <c r="K1214" s="7"/>
    </row>
    <row r="1215" ht="15.75" customHeight="1">
      <c r="A1215" s="286" t="s">
        <v>300</v>
      </c>
      <c r="B1215" s="287">
        <v>89.0</v>
      </c>
      <c r="C1215" s="286" t="s">
        <v>121</v>
      </c>
      <c r="D1215" s="287" t="s">
        <v>422</v>
      </c>
      <c r="E1215" s="286"/>
      <c r="F1215" s="286" t="s">
        <v>1234</v>
      </c>
      <c r="G1215" s="288">
        <v>1812431.0</v>
      </c>
      <c r="H1215" s="288">
        <v>0.0</v>
      </c>
      <c r="I1215" s="289">
        <v>1812431.0</v>
      </c>
      <c r="J1215" s="290"/>
      <c r="K1215" s="7"/>
    </row>
    <row r="1216" ht="15.75" customHeight="1">
      <c r="A1216" s="291" t="s">
        <v>300</v>
      </c>
      <c r="B1216" s="292">
        <v>89.0</v>
      </c>
      <c r="C1216" s="291" t="s">
        <v>121</v>
      </c>
      <c r="D1216" s="292" t="s">
        <v>422</v>
      </c>
      <c r="E1216" s="291"/>
      <c r="F1216" s="291" t="s">
        <v>1235</v>
      </c>
      <c r="G1216" s="293">
        <v>994850.0</v>
      </c>
      <c r="H1216" s="293">
        <v>0.0</v>
      </c>
      <c r="I1216" s="294">
        <v>994850.0</v>
      </c>
      <c r="J1216" s="295"/>
      <c r="K1216" s="7"/>
    </row>
    <row r="1217" ht="15.75" customHeight="1">
      <c r="A1217" s="286" t="s">
        <v>300</v>
      </c>
      <c r="B1217" s="287">
        <v>89.0</v>
      </c>
      <c r="C1217" s="286" t="s">
        <v>121</v>
      </c>
      <c r="D1217" s="287" t="s">
        <v>422</v>
      </c>
      <c r="E1217" s="286"/>
      <c r="F1217" s="286" t="s">
        <v>1236</v>
      </c>
      <c r="G1217" s="288">
        <v>352871.0</v>
      </c>
      <c r="H1217" s="288">
        <v>0.0</v>
      </c>
      <c r="I1217" s="289">
        <v>352871.0</v>
      </c>
      <c r="J1217" s="290"/>
      <c r="K1217" s="7"/>
    </row>
    <row r="1218" ht="15.75" customHeight="1">
      <c r="A1218" s="291" t="s">
        <v>300</v>
      </c>
      <c r="B1218" s="292">
        <v>89.0</v>
      </c>
      <c r="C1218" s="291" t="s">
        <v>121</v>
      </c>
      <c r="D1218" s="292" t="s">
        <v>422</v>
      </c>
      <c r="E1218" s="291"/>
      <c r="F1218" s="291" t="s">
        <v>1237</v>
      </c>
      <c r="G1218" s="293">
        <v>170243.0</v>
      </c>
      <c r="H1218" s="293">
        <v>0.0</v>
      </c>
      <c r="I1218" s="294">
        <v>170243.0</v>
      </c>
      <c r="J1218" s="295"/>
      <c r="K1218" s="7"/>
    </row>
    <row r="1219" ht="15.75" customHeight="1">
      <c r="A1219" s="286" t="s">
        <v>300</v>
      </c>
      <c r="B1219" s="287">
        <v>89.0</v>
      </c>
      <c r="C1219" s="286" t="s">
        <v>121</v>
      </c>
      <c r="D1219" s="287" t="s">
        <v>422</v>
      </c>
      <c r="E1219" s="286"/>
      <c r="F1219" s="286" t="s">
        <v>1238</v>
      </c>
      <c r="G1219" s="288">
        <v>844391.0</v>
      </c>
      <c r="H1219" s="288">
        <v>0.0</v>
      </c>
      <c r="I1219" s="289">
        <v>844391.0</v>
      </c>
      <c r="J1219" s="290"/>
      <c r="K1219" s="7"/>
    </row>
    <row r="1220" ht="15.75" customHeight="1">
      <c r="A1220" s="291" t="s">
        <v>300</v>
      </c>
      <c r="B1220" s="292">
        <v>89.0</v>
      </c>
      <c r="C1220" s="291" t="s">
        <v>121</v>
      </c>
      <c r="D1220" s="292" t="s">
        <v>422</v>
      </c>
      <c r="E1220" s="291"/>
      <c r="F1220" s="291" t="s">
        <v>1239</v>
      </c>
      <c r="G1220" s="293">
        <v>247538.0</v>
      </c>
      <c r="H1220" s="293">
        <v>0.0</v>
      </c>
      <c r="I1220" s="294">
        <v>247538.0</v>
      </c>
      <c r="J1220" s="295"/>
      <c r="K1220" s="7"/>
    </row>
    <row r="1221" ht="15.75" customHeight="1">
      <c r="A1221" s="286" t="s">
        <v>300</v>
      </c>
      <c r="B1221" s="287">
        <v>89.0</v>
      </c>
      <c r="C1221" s="286" t="s">
        <v>121</v>
      </c>
      <c r="D1221" s="287" t="s">
        <v>422</v>
      </c>
      <c r="E1221" s="286"/>
      <c r="F1221" s="286" t="s">
        <v>1240</v>
      </c>
      <c r="G1221" s="288">
        <v>538986.0</v>
      </c>
      <c r="H1221" s="288">
        <v>0.0</v>
      </c>
      <c r="I1221" s="289">
        <v>538986.0</v>
      </c>
      <c r="J1221" s="290"/>
      <c r="K1221" s="7"/>
    </row>
    <row r="1222" ht="15.75" customHeight="1">
      <c r="A1222" s="291" t="s">
        <v>300</v>
      </c>
      <c r="B1222" s="292">
        <v>89.0</v>
      </c>
      <c r="C1222" s="291" t="s">
        <v>121</v>
      </c>
      <c r="D1222" s="292" t="s">
        <v>422</v>
      </c>
      <c r="E1222" s="291"/>
      <c r="F1222" s="291" t="s">
        <v>1241</v>
      </c>
      <c r="G1222" s="293">
        <v>1339004.0</v>
      </c>
      <c r="H1222" s="293">
        <v>0.0</v>
      </c>
      <c r="I1222" s="294">
        <v>1339004.0</v>
      </c>
      <c r="J1222" s="295"/>
      <c r="K1222" s="7"/>
    </row>
    <row r="1223" ht="15.75" customHeight="1">
      <c r="A1223" s="286" t="s">
        <v>300</v>
      </c>
      <c r="B1223" s="287">
        <v>89.0</v>
      </c>
      <c r="C1223" s="286" t="s">
        <v>121</v>
      </c>
      <c r="D1223" s="287" t="s">
        <v>422</v>
      </c>
      <c r="E1223" s="286"/>
      <c r="F1223" s="286" t="s">
        <v>1242</v>
      </c>
      <c r="G1223" s="288">
        <v>1339333.0</v>
      </c>
      <c r="H1223" s="288">
        <v>0.0</v>
      </c>
      <c r="I1223" s="289">
        <v>1339333.0</v>
      </c>
      <c r="J1223" s="290"/>
      <c r="K1223" s="7"/>
    </row>
    <row r="1224" ht="15.75" customHeight="1">
      <c r="A1224" s="291" t="s">
        <v>300</v>
      </c>
      <c r="B1224" s="292">
        <v>89.0</v>
      </c>
      <c r="C1224" s="291" t="s">
        <v>121</v>
      </c>
      <c r="D1224" s="292" t="s">
        <v>422</v>
      </c>
      <c r="E1224" s="291"/>
      <c r="F1224" s="291" t="s">
        <v>1243</v>
      </c>
      <c r="G1224" s="293">
        <v>4229602.0</v>
      </c>
      <c r="H1224" s="293">
        <v>0.0</v>
      </c>
      <c r="I1224" s="294">
        <v>4229602.0</v>
      </c>
      <c r="J1224" s="295"/>
      <c r="K1224" s="7"/>
    </row>
    <row r="1225" ht="15.75" customHeight="1">
      <c r="A1225" s="286" t="s">
        <v>300</v>
      </c>
      <c r="B1225" s="287">
        <v>89.0</v>
      </c>
      <c r="C1225" s="286" t="s">
        <v>121</v>
      </c>
      <c r="D1225" s="287" t="s">
        <v>422</v>
      </c>
      <c r="E1225" s="286"/>
      <c r="F1225" s="286" t="s">
        <v>1244</v>
      </c>
      <c r="G1225" s="288">
        <v>610756.0</v>
      </c>
      <c r="H1225" s="288">
        <v>0.0</v>
      </c>
      <c r="I1225" s="289">
        <v>610756.0</v>
      </c>
      <c r="J1225" s="290"/>
      <c r="K1225" s="7"/>
    </row>
    <row r="1226" ht="15.75" customHeight="1">
      <c r="A1226" s="291" t="s">
        <v>300</v>
      </c>
      <c r="B1226" s="292">
        <v>89.0</v>
      </c>
      <c r="C1226" s="291" t="s">
        <v>121</v>
      </c>
      <c r="D1226" s="292" t="s">
        <v>422</v>
      </c>
      <c r="E1226" s="291"/>
      <c r="F1226" s="291" t="s">
        <v>1245</v>
      </c>
      <c r="G1226" s="293">
        <v>200082.0</v>
      </c>
      <c r="H1226" s="293">
        <v>0.0</v>
      </c>
      <c r="I1226" s="294">
        <v>200082.0</v>
      </c>
      <c r="J1226" s="295"/>
      <c r="K1226" s="7"/>
    </row>
    <row r="1227" ht="15.75" customHeight="1">
      <c r="A1227" s="296" t="s">
        <v>300</v>
      </c>
      <c r="B1227" s="296">
        <v>89.0</v>
      </c>
      <c r="C1227" s="297" t="s">
        <v>121</v>
      </c>
      <c r="D1227" s="296" t="s">
        <v>320</v>
      </c>
      <c r="E1227" s="298"/>
      <c r="F1227" s="297" t="s">
        <v>321</v>
      </c>
      <c r="G1227" s="299">
        <v>1.403030389E7</v>
      </c>
      <c r="H1227" s="299">
        <v>0.0</v>
      </c>
      <c r="I1227" s="300">
        <v>1.403030389E7</v>
      </c>
      <c r="J1227" s="300">
        <v>1.403030389E7</v>
      </c>
      <c r="K1227" s="301">
        <v>0.0</v>
      </c>
    </row>
    <row r="1228" ht="15.75" customHeight="1">
      <c r="A1228" s="286" t="s">
        <v>300</v>
      </c>
      <c r="B1228" s="287">
        <v>95.0</v>
      </c>
      <c r="C1228" s="286" t="s">
        <v>129</v>
      </c>
      <c r="D1228" s="287" t="s">
        <v>503</v>
      </c>
      <c r="E1228" s="286" t="s">
        <v>504</v>
      </c>
      <c r="F1228" s="286" t="s">
        <v>1246</v>
      </c>
      <c r="G1228" s="288">
        <v>6620000.0</v>
      </c>
      <c r="H1228" s="288">
        <v>0.0</v>
      </c>
      <c r="I1228" s="289">
        <v>6620000.0</v>
      </c>
      <c r="J1228" s="290"/>
      <c r="K1228" s="7"/>
    </row>
    <row r="1229" ht="15.75" customHeight="1">
      <c r="A1229" s="296" t="s">
        <v>300</v>
      </c>
      <c r="B1229" s="296">
        <v>95.0</v>
      </c>
      <c r="C1229" s="297" t="s">
        <v>129</v>
      </c>
      <c r="D1229" s="296" t="s">
        <v>320</v>
      </c>
      <c r="E1229" s="298"/>
      <c r="F1229" s="297" t="s">
        <v>321</v>
      </c>
      <c r="G1229" s="299">
        <v>6620000.0</v>
      </c>
      <c r="H1229" s="299">
        <v>0.0</v>
      </c>
      <c r="I1229" s="300">
        <v>6620000.0</v>
      </c>
      <c r="J1229" s="300">
        <v>6620000.0</v>
      </c>
      <c r="K1229" s="301">
        <v>0.0</v>
      </c>
    </row>
    <row r="1230" ht="15.75" customHeight="1">
      <c r="A1230" s="286" t="s">
        <v>300</v>
      </c>
      <c r="B1230" s="287">
        <v>96.0</v>
      </c>
      <c r="C1230" s="286" t="s">
        <v>132</v>
      </c>
      <c r="D1230" s="287" t="s">
        <v>509</v>
      </c>
      <c r="E1230" s="286" t="s">
        <v>510</v>
      </c>
      <c r="F1230" s="286" t="s">
        <v>1247</v>
      </c>
      <c r="G1230" s="288">
        <v>90000.0</v>
      </c>
      <c r="H1230" s="288">
        <v>0.0</v>
      </c>
      <c r="I1230" s="289">
        <v>90000.0</v>
      </c>
      <c r="J1230" s="290"/>
      <c r="K1230" s="7"/>
    </row>
    <row r="1231" ht="15.75" customHeight="1">
      <c r="A1231" s="296" t="s">
        <v>300</v>
      </c>
      <c r="B1231" s="296">
        <v>96.0</v>
      </c>
      <c r="C1231" s="297" t="s">
        <v>132</v>
      </c>
      <c r="D1231" s="296" t="s">
        <v>320</v>
      </c>
      <c r="E1231" s="298"/>
      <c r="F1231" s="297" t="s">
        <v>321</v>
      </c>
      <c r="G1231" s="299">
        <v>90000.0</v>
      </c>
      <c r="H1231" s="299">
        <v>0.0</v>
      </c>
      <c r="I1231" s="300">
        <v>90000.0</v>
      </c>
      <c r="J1231" s="300">
        <v>90000.0</v>
      </c>
      <c r="K1231" s="301">
        <v>0.0</v>
      </c>
    </row>
    <row r="1232" ht="15.75" customHeight="1">
      <c r="A1232" s="286" t="s">
        <v>300</v>
      </c>
      <c r="B1232" s="287">
        <v>97.0</v>
      </c>
      <c r="C1232" s="286" t="s">
        <v>133</v>
      </c>
      <c r="D1232" s="287" t="s">
        <v>222</v>
      </c>
      <c r="E1232" s="286" t="s">
        <v>514</v>
      </c>
      <c r="F1232" s="286" t="s">
        <v>1248</v>
      </c>
      <c r="G1232" s="288">
        <v>257900.0</v>
      </c>
      <c r="H1232" s="288">
        <v>0.0</v>
      </c>
      <c r="I1232" s="289">
        <v>257900.0</v>
      </c>
      <c r="J1232" s="290"/>
      <c r="K1232" s="7"/>
    </row>
    <row r="1233" ht="15.75" customHeight="1">
      <c r="A1233" s="296" t="s">
        <v>300</v>
      </c>
      <c r="B1233" s="296">
        <v>97.0</v>
      </c>
      <c r="C1233" s="297" t="s">
        <v>133</v>
      </c>
      <c r="D1233" s="296" t="s">
        <v>320</v>
      </c>
      <c r="E1233" s="298"/>
      <c r="F1233" s="297" t="s">
        <v>321</v>
      </c>
      <c r="G1233" s="299">
        <v>257900.0</v>
      </c>
      <c r="H1233" s="299">
        <v>0.0</v>
      </c>
      <c r="I1233" s="300">
        <v>257900.0</v>
      </c>
      <c r="J1233" s="300">
        <v>257900.0</v>
      </c>
      <c r="K1233" s="301">
        <v>0.0</v>
      </c>
    </row>
    <row r="1234" ht="15.75" customHeight="1">
      <c r="A1234" s="286" t="s">
        <v>300</v>
      </c>
      <c r="B1234" s="287">
        <v>101.0</v>
      </c>
      <c r="C1234" s="286" t="s">
        <v>139</v>
      </c>
      <c r="D1234" s="287" t="s">
        <v>222</v>
      </c>
      <c r="E1234" s="286" t="s">
        <v>438</v>
      </c>
      <c r="F1234" s="286" t="s">
        <v>1249</v>
      </c>
      <c r="G1234" s="288">
        <v>10800.0</v>
      </c>
      <c r="H1234" s="288">
        <v>0.0</v>
      </c>
      <c r="I1234" s="289">
        <v>10800.0</v>
      </c>
      <c r="J1234" s="290"/>
      <c r="K1234" s="7"/>
    </row>
    <row r="1235" ht="15.75" customHeight="1">
      <c r="A1235" s="296" t="s">
        <v>300</v>
      </c>
      <c r="B1235" s="296">
        <v>101.0</v>
      </c>
      <c r="C1235" s="297" t="s">
        <v>139</v>
      </c>
      <c r="D1235" s="296" t="s">
        <v>320</v>
      </c>
      <c r="E1235" s="298"/>
      <c r="F1235" s="297" t="s">
        <v>321</v>
      </c>
      <c r="G1235" s="299">
        <v>10800.0</v>
      </c>
      <c r="H1235" s="299">
        <v>0.0</v>
      </c>
      <c r="I1235" s="300">
        <v>10800.0</v>
      </c>
      <c r="J1235" s="300">
        <v>10800.0</v>
      </c>
      <c r="K1235" s="301">
        <v>0.0</v>
      </c>
    </row>
    <row r="1236" ht="15.75" customHeight="1">
      <c r="A1236" s="286" t="s">
        <v>300</v>
      </c>
      <c r="B1236" s="287">
        <v>107.0</v>
      </c>
      <c r="C1236" s="286" t="s">
        <v>149</v>
      </c>
      <c r="D1236" s="287" t="s">
        <v>516</v>
      </c>
      <c r="E1236" s="286"/>
      <c r="F1236" s="286" t="s">
        <v>1250</v>
      </c>
      <c r="G1236" s="288">
        <v>9.516522216E7</v>
      </c>
      <c r="H1236" s="288">
        <v>0.0</v>
      </c>
      <c r="I1236" s="289">
        <v>9.516522216E7</v>
      </c>
      <c r="J1236" s="290"/>
      <c r="K1236" s="7"/>
    </row>
    <row r="1237" ht="15.75" customHeight="1">
      <c r="A1237" s="291" t="s">
        <v>300</v>
      </c>
      <c r="B1237" s="292">
        <v>107.0</v>
      </c>
      <c r="C1237" s="291" t="s">
        <v>149</v>
      </c>
      <c r="D1237" s="292" t="s">
        <v>518</v>
      </c>
      <c r="E1237" s="291"/>
      <c r="F1237" s="291" t="s">
        <v>1250</v>
      </c>
      <c r="G1237" s="293">
        <v>2.364213047E7</v>
      </c>
      <c r="H1237" s="293">
        <v>0.0</v>
      </c>
      <c r="I1237" s="294">
        <v>2.364213047E7</v>
      </c>
      <c r="J1237" s="295"/>
      <c r="K1237" s="7"/>
    </row>
    <row r="1238" ht="15.75" customHeight="1">
      <c r="A1238" s="296" t="s">
        <v>300</v>
      </c>
      <c r="B1238" s="296">
        <v>107.0</v>
      </c>
      <c r="C1238" s="297" t="s">
        <v>149</v>
      </c>
      <c r="D1238" s="296" t="s">
        <v>320</v>
      </c>
      <c r="E1238" s="298"/>
      <c r="F1238" s="297" t="s">
        <v>321</v>
      </c>
      <c r="G1238" s="299">
        <v>1.1880735263E8</v>
      </c>
      <c r="H1238" s="299">
        <v>0.0</v>
      </c>
      <c r="I1238" s="300">
        <v>1.1880735263E8</v>
      </c>
      <c r="J1238" s="300">
        <v>1.1880735263E8</v>
      </c>
      <c r="K1238" s="301">
        <v>0.0</v>
      </c>
    </row>
    <row r="1239" ht="15.75" customHeight="1">
      <c r="A1239" s="286" t="s">
        <v>300</v>
      </c>
      <c r="B1239" s="287">
        <v>108.0</v>
      </c>
      <c r="C1239" s="286" t="s">
        <v>153</v>
      </c>
      <c r="D1239" s="287" t="s">
        <v>516</v>
      </c>
      <c r="E1239" s="286"/>
      <c r="F1239" s="286" t="s">
        <v>1251</v>
      </c>
      <c r="G1239" s="288">
        <v>8822731.46</v>
      </c>
      <c r="H1239" s="288">
        <v>0.0</v>
      </c>
      <c r="I1239" s="289">
        <v>8822731.46</v>
      </c>
      <c r="J1239" s="290"/>
      <c r="K1239" s="7"/>
    </row>
    <row r="1240" ht="15.75" customHeight="1">
      <c r="A1240" s="291" t="s">
        <v>300</v>
      </c>
      <c r="B1240" s="292">
        <v>108.0</v>
      </c>
      <c r="C1240" s="291" t="s">
        <v>153</v>
      </c>
      <c r="D1240" s="292" t="s">
        <v>518</v>
      </c>
      <c r="E1240" s="291"/>
      <c r="F1240" s="291" t="s">
        <v>1251</v>
      </c>
      <c r="G1240" s="293">
        <v>2117455.55</v>
      </c>
      <c r="H1240" s="293">
        <v>0.0</v>
      </c>
      <c r="I1240" s="294">
        <v>2117455.55</v>
      </c>
      <c r="J1240" s="295"/>
      <c r="K1240" s="7"/>
    </row>
    <row r="1241" ht="15.75" customHeight="1">
      <c r="A1241" s="296" t="s">
        <v>300</v>
      </c>
      <c r="B1241" s="296">
        <v>108.0</v>
      </c>
      <c r="C1241" s="297" t="s">
        <v>153</v>
      </c>
      <c r="D1241" s="296" t="s">
        <v>320</v>
      </c>
      <c r="E1241" s="298"/>
      <c r="F1241" s="297" t="s">
        <v>321</v>
      </c>
      <c r="G1241" s="299">
        <v>1.094018701E7</v>
      </c>
      <c r="H1241" s="299">
        <v>0.0</v>
      </c>
      <c r="I1241" s="300">
        <v>1.094018701E7</v>
      </c>
      <c r="J1241" s="300">
        <v>1.094018701E7</v>
      </c>
      <c r="K1241" s="301">
        <v>1.862645149230957E-9</v>
      </c>
    </row>
    <row r="1242" ht="15.75" customHeight="1">
      <c r="A1242" s="286" t="s">
        <v>300</v>
      </c>
      <c r="B1242" s="287">
        <v>109.0</v>
      </c>
      <c r="C1242" s="286" t="s">
        <v>154</v>
      </c>
      <c r="D1242" s="287" t="s">
        <v>516</v>
      </c>
      <c r="E1242" s="286"/>
      <c r="F1242" s="286" t="s">
        <v>1252</v>
      </c>
      <c r="G1242" s="288">
        <v>6425143.98</v>
      </c>
      <c r="H1242" s="288">
        <v>0.0</v>
      </c>
      <c r="I1242" s="289">
        <v>6425143.98</v>
      </c>
      <c r="J1242" s="290"/>
      <c r="K1242" s="7"/>
    </row>
    <row r="1243" ht="15.75" customHeight="1">
      <c r="A1243" s="291" t="s">
        <v>300</v>
      </c>
      <c r="B1243" s="292">
        <v>109.0</v>
      </c>
      <c r="C1243" s="291" t="s">
        <v>154</v>
      </c>
      <c r="D1243" s="292" t="s">
        <v>518</v>
      </c>
      <c r="E1243" s="291"/>
      <c r="F1243" s="291" t="s">
        <v>1252</v>
      </c>
      <c r="G1243" s="293">
        <v>1542034.55</v>
      </c>
      <c r="H1243" s="293">
        <v>0.0</v>
      </c>
      <c r="I1243" s="294">
        <v>1542034.55</v>
      </c>
      <c r="J1243" s="295"/>
      <c r="K1243" s="7"/>
    </row>
    <row r="1244" ht="15.75" customHeight="1">
      <c r="A1244" s="296" t="s">
        <v>300</v>
      </c>
      <c r="B1244" s="296">
        <v>109.0</v>
      </c>
      <c r="C1244" s="297" t="s">
        <v>154</v>
      </c>
      <c r="D1244" s="296" t="s">
        <v>320</v>
      </c>
      <c r="E1244" s="298"/>
      <c r="F1244" s="297" t="s">
        <v>321</v>
      </c>
      <c r="G1244" s="299">
        <v>7967178.53</v>
      </c>
      <c r="H1244" s="299">
        <v>0.0</v>
      </c>
      <c r="I1244" s="300">
        <v>7967178.53</v>
      </c>
      <c r="J1244" s="300">
        <v>7967178.53</v>
      </c>
      <c r="K1244" s="301">
        <v>0.0</v>
      </c>
    </row>
    <row r="1245" ht="15.75" customHeight="1">
      <c r="A1245" s="286" t="s">
        <v>300</v>
      </c>
      <c r="B1245" s="287">
        <v>110.0</v>
      </c>
      <c r="C1245" s="286" t="s">
        <v>155</v>
      </c>
      <c r="D1245" s="287" t="s">
        <v>516</v>
      </c>
      <c r="E1245" s="286"/>
      <c r="F1245" s="286" t="s">
        <v>1253</v>
      </c>
      <c r="G1245" s="288">
        <v>3558882.83</v>
      </c>
      <c r="H1245" s="288">
        <v>0.0</v>
      </c>
      <c r="I1245" s="289">
        <v>3558882.83</v>
      </c>
      <c r="J1245" s="290"/>
      <c r="K1245" s="7"/>
    </row>
    <row r="1246" ht="15.75" customHeight="1">
      <c r="A1246" s="291" t="s">
        <v>300</v>
      </c>
      <c r="B1246" s="292">
        <v>110.0</v>
      </c>
      <c r="C1246" s="291" t="s">
        <v>155</v>
      </c>
      <c r="D1246" s="292" t="s">
        <v>518</v>
      </c>
      <c r="E1246" s="291"/>
      <c r="F1246" s="291" t="s">
        <v>1253</v>
      </c>
      <c r="G1246" s="293">
        <v>854131.88</v>
      </c>
      <c r="H1246" s="293">
        <v>0.0</v>
      </c>
      <c r="I1246" s="294">
        <v>854131.88</v>
      </c>
      <c r="J1246" s="295"/>
      <c r="K1246" s="7"/>
    </row>
    <row r="1247" ht="15.75" customHeight="1">
      <c r="A1247" s="296" t="s">
        <v>300</v>
      </c>
      <c r="B1247" s="296">
        <v>110.0</v>
      </c>
      <c r="C1247" s="297" t="s">
        <v>155</v>
      </c>
      <c r="D1247" s="296" t="s">
        <v>320</v>
      </c>
      <c r="E1247" s="298"/>
      <c r="F1247" s="297" t="s">
        <v>321</v>
      </c>
      <c r="G1247" s="299">
        <v>4413014.71</v>
      </c>
      <c r="H1247" s="299">
        <v>0.0</v>
      </c>
      <c r="I1247" s="300">
        <v>4413014.71</v>
      </c>
      <c r="J1247" s="300">
        <v>4413014.71</v>
      </c>
      <c r="K1247" s="301">
        <v>0.0</v>
      </c>
    </row>
    <row r="1248" ht="15.75" customHeight="1">
      <c r="A1248" s="286" t="s">
        <v>300</v>
      </c>
      <c r="B1248" s="287">
        <v>111.0</v>
      </c>
      <c r="C1248" s="286" t="s">
        <v>156</v>
      </c>
      <c r="D1248" s="287" t="s">
        <v>522</v>
      </c>
      <c r="E1248" s="286" t="s">
        <v>523</v>
      </c>
      <c r="F1248" s="286" t="s">
        <v>1254</v>
      </c>
      <c r="G1248" s="288">
        <v>0.0</v>
      </c>
      <c r="H1248" s="288">
        <v>7486991.79</v>
      </c>
      <c r="I1248" s="289">
        <v>-7486991.79</v>
      </c>
      <c r="J1248" s="290"/>
      <c r="K1248" s="7"/>
    </row>
    <row r="1249" ht="15.75" customHeight="1">
      <c r="A1249" s="291" t="s">
        <v>300</v>
      </c>
      <c r="B1249" s="292">
        <v>111.0</v>
      </c>
      <c r="C1249" s="291" t="s">
        <v>156</v>
      </c>
      <c r="D1249" s="292" t="s">
        <v>522</v>
      </c>
      <c r="E1249" s="291" t="s">
        <v>523</v>
      </c>
      <c r="F1249" s="291" t="s">
        <v>1255</v>
      </c>
      <c r="G1249" s="293">
        <v>8449183.22</v>
      </c>
      <c r="H1249" s="293">
        <v>0.0</v>
      </c>
      <c r="I1249" s="294">
        <v>8449183.22</v>
      </c>
      <c r="J1249" s="295"/>
      <c r="K1249" s="7"/>
    </row>
    <row r="1250" ht="15.75" customHeight="1">
      <c r="A1250" s="286" t="s">
        <v>300</v>
      </c>
      <c r="B1250" s="287">
        <v>111.0</v>
      </c>
      <c r="C1250" s="286" t="s">
        <v>156</v>
      </c>
      <c r="D1250" s="287" t="s">
        <v>522</v>
      </c>
      <c r="E1250" s="286" t="s">
        <v>523</v>
      </c>
      <c r="F1250" s="286" t="s">
        <v>1255</v>
      </c>
      <c r="G1250" s="288">
        <v>180279.12</v>
      </c>
      <c r="H1250" s="288">
        <v>0.0</v>
      </c>
      <c r="I1250" s="289">
        <v>180279.12</v>
      </c>
      <c r="J1250" s="290"/>
      <c r="K1250" s="7"/>
    </row>
    <row r="1251" ht="15.75" customHeight="1">
      <c r="A1251" s="291" t="s">
        <v>300</v>
      </c>
      <c r="B1251" s="292">
        <v>111.0</v>
      </c>
      <c r="C1251" s="291" t="s">
        <v>156</v>
      </c>
      <c r="D1251" s="292" t="s">
        <v>522</v>
      </c>
      <c r="E1251" s="291" t="s">
        <v>523</v>
      </c>
      <c r="F1251" s="291" t="s">
        <v>1256</v>
      </c>
      <c r="G1251" s="293">
        <v>269009.28</v>
      </c>
      <c r="H1251" s="293">
        <v>0.0</v>
      </c>
      <c r="I1251" s="294">
        <v>269009.28</v>
      </c>
      <c r="J1251" s="295"/>
      <c r="K1251" s="7"/>
    </row>
    <row r="1252" ht="15.75" customHeight="1">
      <c r="A1252" s="286" t="s">
        <v>300</v>
      </c>
      <c r="B1252" s="287">
        <v>111.0</v>
      </c>
      <c r="C1252" s="286" t="s">
        <v>156</v>
      </c>
      <c r="D1252" s="287" t="s">
        <v>522</v>
      </c>
      <c r="E1252" s="286" t="s">
        <v>523</v>
      </c>
      <c r="F1252" s="286" t="s">
        <v>1256</v>
      </c>
      <c r="G1252" s="288">
        <v>5768.93</v>
      </c>
      <c r="H1252" s="288">
        <v>0.0</v>
      </c>
      <c r="I1252" s="289">
        <v>5768.93</v>
      </c>
      <c r="J1252" s="290"/>
      <c r="K1252" s="7"/>
    </row>
    <row r="1253" ht="15.75" customHeight="1">
      <c r="A1253" s="291" t="s">
        <v>300</v>
      </c>
      <c r="B1253" s="292">
        <v>111.0</v>
      </c>
      <c r="C1253" s="291" t="s">
        <v>156</v>
      </c>
      <c r="D1253" s="292" t="s">
        <v>522</v>
      </c>
      <c r="E1253" s="291" t="s">
        <v>523</v>
      </c>
      <c r="F1253" s="291" t="s">
        <v>1257</v>
      </c>
      <c r="G1253" s="293">
        <v>0.0</v>
      </c>
      <c r="H1253" s="293">
        <v>258581.77</v>
      </c>
      <c r="I1253" s="294">
        <v>-258581.77</v>
      </c>
      <c r="J1253" s="295"/>
      <c r="K1253" s="7"/>
    </row>
    <row r="1254" ht="15.75" customHeight="1">
      <c r="A1254" s="296" t="s">
        <v>300</v>
      </c>
      <c r="B1254" s="296">
        <v>111.0</v>
      </c>
      <c r="C1254" s="297" t="s">
        <v>156</v>
      </c>
      <c r="D1254" s="296" t="s">
        <v>320</v>
      </c>
      <c r="E1254" s="298"/>
      <c r="F1254" s="297" t="s">
        <v>321</v>
      </c>
      <c r="G1254" s="299">
        <v>8904240.55</v>
      </c>
      <c r="H1254" s="299">
        <v>7745573.56</v>
      </c>
      <c r="I1254" s="300">
        <v>1158666.990000001</v>
      </c>
      <c r="J1254" s="300">
        <v>1158666.99</v>
      </c>
      <c r="K1254" s="301">
        <v>6.984919309616089E-10</v>
      </c>
    </row>
    <row r="1255" ht="15.75" customHeight="1">
      <c r="A1255" s="286" t="s">
        <v>300</v>
      </c>
      <c r="B1255" s="287">
        <v>112.0</v>
      </c>
      <c r="C1255" s="286" t="s">
        <v>157</v>
      </c>
      <c r="D1255" s="287" t="s">
        <v>522</v>
      </c>
      <c r="E1255" s="286"/>
      <c r="F1255" s="286" t="s">
        <v>1258</v>
      </c>
      <c r="G1255" s="288">
        <v>0.0</v>
      </c>
      <c r="H1255" s="288">
        <v>1300000.0</v>
      </c>
      <c r="I1255" s="289">
        <v>-1300000.0</v>
      </c>
      <c r="J1255" s="290"/>
      <c r="K1255" s="7"/>
    </row>
    <row r="1256" ht="15.75" customHeight="1">
      <c r="A1256" s="291" t="s">
        <v>300</v>
      </c>
      <c r="B1256" s="292">
        <v>112.0</v>
      </c>
      <c r="C1256" s="291" t="s">
        <v>157</v>
      </c>
      <c r="D1256" s="292" t="s">
        <v>522</v>
      </c>
      <c r="E1256" s="291" t="s">
        <v>791</v>
      </c>
      <c r="F1256" s="291" t="s">
        <v>1259</v>
      </c>
      <c r="G1256" s="293">
        <v>1126767.9</v>
      </c>
      <c r="H1256" s="293">
        <v>0.0</v>
      </c>
      <c r="I1256" s="294">
        <v>1126767.9</v>
      </c>
      <c r="J1256" s="295"/>
      <c r="K1256" s="7"/>
    </row>
    <row r="1257" ht="15.75" customHeight="1">
      <c r="A1257" s="286" t="s">
        <v>300</v>
      </c>
      <c r="B1257" s="287">
        <v>112.0</v>
      </c>
      <c r="C1257" s="286" t="s">
        <v>157</v>
      </c>
      <c r="D1257" s="287" t="s">
        <v>522</v>
      </c>
      <c r="E1257" s="286"/>
      <c r="F1257" s="286" t="s">
        <v>1260</v>
      </c>
      <c r="G1257" s="288">
        <v>1300000.0</v>
      </c>
      <c r="H1257" s="288">
        <v>0.0</v>
      </c>
      <c r="I1257" s="289">
        <v>1300000.0</v>
      </c>
      <c r="J1257" s="290"/>
      <c r="K1257" s="7"/>
    </row>
    <row r="1258" ht="15.75" customHeight="1">
      <c r="A1258" s="296" t="s">
        <v>300</v>
      </c>
      <c r="B1258" s="296">
        <v>112.0</v>
      </c>
      <c r="C1258" s="297" t="s">
        <v>157</v>
      </c>
      <c r="D1258" s="296" t="s">
        <v>320</v>
      </c>
      <c r="E1258" s="298"/>
      <c r="F1258" s="297" t="s">
        <v>321</v>
      </c>
      <c r="G1258" s="299">
        <v>2426767.9</v>
      </c>
      <c r="H1258" s="299">
        <v>1300000.0</v>
      </c>
      <c r="I1258" s="300">
        <v>1126767.9</v>
      </c>
      <c r="J1258" s="300">
        <v>1126767.9</v>
      </c>
      <c r="K1258" s="301">
        <v>0.0</v>
      </c>
    </row>
    <row r="1259" ht="15.75" customHeight="1">
      <c r="A1259" s="286" t="s">
        <v>300</v>
      </c>
      <c r="B1259" s="287">
        <v>114.0</v>
      </c>
      <c r="C1259" s="286" t="s">
        <v>160</v>
      </c>
      <c r="D1259" s="287" t="s">
        <v>527</v>
      </c>
      <c r="E1259" s="286" t="s">
        <v>1261</v>
      </c>
      <c r="F1259" s="286" t="s">
        <v>1262</v>
      </c>
      <c r="G1259" s="288">
        <v>660524.16</v>
      </c>
      <c r="H1259" s="288">
        <v>0.0</v>
      </c>
      <c r="I1259" s="289">
        <v>660524.16</v>
      </c>
      <c r="J1259" s="290"/>
      <c r="K1259" s="7"/>
    </row>
    <row r="1260" ht="15.75" customHeight="1">
      <c r="A1260" s="291" t="s">
        <v>300</v>
      </c>
      <c r="B1260" s="292">
        <v>114.0</v>
      </c>
      <c r="C1260" s="291" t="s">
        <v>160</v>
      </c>
      <c r="D1260" s="292" t="s">
        <v>527</v>
      </c>
      <c r="E1260" s="291" t="s">
        <v>1033</v>
      </c>
      <c r="F1260" s="291" t="s">
        <v>1263</v>
      </c>
      <c r="G1260" s="293">
        <v>1521520.0</v>
      </c>
      <c r="H1260" s="293">
        <v>0.0</v>
      </c>
      <c r="I1260" s="294">
        <v>1521520.0</v>
      </c>
      <c r="J1260" s="295"/>
      <c r="K1260" s="7"/>
    </row>
    <row r="1261" ht="15.75" customHeight="1">
      <c r="A1261" s="296" t="s">
        <v>300</v>
      </c>
      <c r="B1261" s="296">
        <v>114.0</v>
      </c>
      <c r="C1261" s="297" t="s">
        <v>160</v>
      </c>
      <c r="D1261" s="296" t="s">
        <v>320</v>
      </c>
      <c r="E1261" s="298"/>
      <c r="F1261" s="297" t="s">
        <v>321</v>
      </c>
      <c r="G1261" s="299">
        <v>2182044.16</v>
      </c>
      <c r="H1261" s="299">
        <v>0.0</v>
      </c>
      <c r="I1261" s="300">
        <v>2182044.16</v>
      </c>
      <c r="J1261" s="300">
        <v>2182044.16</v>
      </c>
      <c r="K1261" s="301">
        <v>0.0</v>
      </c>
    </row>
    <row r="1262" ht="15.75" customHeight="1">
      <c r="A1262" s="286" t="s">
        <v>300</v>
      </c>
      <c r="B1262" s="287">
        <v>115.0</v>
      </c>
      <c r="C1262" s="286" t="s">
        <v>162</v>
      </c>
      <c r="D1262" s="287" t="s">
        <v>529</v>
      </c>
      <c r="E1262" s="286" t="s">
        <v>530</v>
      </c>
      <c r="F1262" s="286" t="s">
        <v>1264</v>
      </c>
      <c r="G1262" s="288">
        <v>27615.0</v>
      </c>
      <c r="H1262" s="288">
        <v>0.0</v>
      </c>
      <c r="I1262" s="289">
        <v>27615.0</v>
      </c>
      <c r="J1262" s="290"/>
      <c r="K1262" s="7"/>
    </row>
    <row r="1263" ht="15.75" customHeight="1">
      <c r="A1263" s="291" t="s">
        <v>300</v>
      </c>
      <c r="B1263" s="292">
        <v>115.0</v>
      </c>
      <c r="C1263" s="291" t="s">
        <v>162</v>
      </c>
      <c r="D1263" s="292" t="s">
        <v>529</v>
      </c>
      <c r="E1263" s="291" t="s">
        <v>530</v>
      </c>
      <c r="F1263" s="291" t="s">
        <v>1265</v>
      </c>
      <c r="G1263" s="293">
        <v>984533.9</v>
      </c>
      <c r="H1263" s="293">
        <v>0.0</v>
      </c>
      <c r="I1263" s="294">
        <v>984533.9</v>
      </c>
      <c r="J1263" s="295"/>
      <c r="K1263" s="7"/>
    </row>
    <row r="1264" ht="15.75" customHeight="1">
      <c r="A1264" s="286" t="s">
        <v>300</v>
      </c>
      <c r="B1264" s="287">
        <v>115.0</v>
      </c>
      <c r="C1264" s="286" t="s">
        <v>162</v>
      </c>
      <c r="D1264" s="287" t="s">
        <v>529</v>
      </c>
      <c r="E1264" s="286" t="s">
        <v>530</v>
      </c>
      <c r="F1264" s="286" t="s">
        <v>1265</v>
      </c>
      <c r="G1264" s="288">
        <v>193303.37</v>
      </c>
      <c r="H1264" s="288">
        <v>0.0</v>
      </c>
      <c r="I1264" s="289">
        <v>193303.37</v>
      </c>
      <c r="J1264" s="290"/>
      <c r="K1264" s="7"/>
    </row>
    <row r="1265" ht="15.75" customHeight="1">
      <c r="A1265" s="296" t="s">
        <v>300</v>
      </c>
      <c r="B1265" s="296">
        <v>115.0</v>
      </c>
      <c r="C1265" s="297" t="s">
        <v>162</v>
      </c>
      <c r="D1265" s="296" t="s">
        <v>320</v>
      </c>
      <c r="E1265" s="298"/>
      <c r="F1265" s="297" t="s">
        <v>321</v>
      </c>
      <c r="G1265" s="299">
        <v>1205452.27</v>
      </c>
      <c r="H1265" s="299">
        <v>0.0</v>
      </c>
      <c r="I1265" s="300">
        <v>1205452.27</v>
      </c>
      <c r="J1265" s="300">
        <v>1205452.27</v>
      </c>
      <c r="K1265" s="301">
        <v>0.0</v>
      </c>
    </row>
    <row r="1266" ht="15.75" customHeight="1">
      <c r="A1266" s="286" t="s">
        <v>300</v>
      </c>
      <c r="B1266" s="287">
        <v>117.0</v>
      </c>
      <c r="C1266" s="286" t="s">
        <v>165</v>
      </c>
      <c r="D1266" s="287" t="s">
        <v>534</v>
      </c>
      <c r="E1266" s="286" t="s">
        <v>535</v>
      </c>
      <c r="F1266" s="286" t="s">
        <v>1266</v>
      </c>
      <c r="G1266" s="288">
        <v>281000.0</v>
      </c>
      <c r="H1266" s="288">
        <v>0.0</v>
      </c>
      <c r="I1266" s="289">
        <v>281000.0</v>
      </c>
      <c r="J1266" s="290"/>
      <c r="K1266" s="7"/>
    </row>
    <row r="1267" ht="15.75" customHeight="1">
      <c r="A1267" s="296" t="s">
        <v>300</v>
      </c>
      <c r="B1267" s="296">
        <v>117.0</v>
      </c>
      <c r="C1267" s="297" t="s">
        <v>165</v>
      </c>
      <c r="D1267" s="296" t="s">
        <v>320</v>
      </c>
      <c r="E1267" s="298"/>
      <c r="F1267" s="297" t="s">
        <v>321</v>
      </c>
      <c r="G1267" s="299">
        <v>281000.0</v>
      </c>
      <c r="H1267" s="299">
        <v>0.0</v>
      </c>
      <c r="I1267" s="300">
        <v>281000.0</v>
      </c>
      <c r="J1267" s="300">
        <v>281000.0</v>
      </c>
      <c r="K1267" s="301">
        <v>0.0</v>
      </c>
    </row>
    <row r="1268" ht="15.75" customHeight="1">
      <c r="A1268" s="286" t="s">
        <v>300</v>
      </c>
      <c r="B1268" s="287">
        <v>118.0</v>
      </c>
      <c r="C1268" s="286" t="s">
        <v>167</v>
      </c>
      <c r="D1268" s="287" t="s">
        <v>540</v>
      </c>
      <c r="E1268" s="286" t="s">
        <v>438</v>
      </c>
      <c r="F1268" s="286" t="s">
        <v>1267</v>
      </c>
      <c r="G1268" s="288">
        <v>94616.66</v>
      </c>
      <c r="H1268" s="288">
        <v>0.0</v>
      </c>
      <c r="I1268" s="289">
        <v>94616.66</v>
      </c>
      <c r="J1268" s="290"/>
      <c r="K1268" s="7"/>
    </row>
    <row r="1269" ht="15.75" customHeight="1">
      <c r="A1269" s="291" t="s">
        <v>300</v>
      </c>
      <c r="B1269" s="292">
        <v>118.0</v>
      </c>
      <c r="C1269" s="291" t="s">
        <v>167</v>
      </c>
      <c r="D1269" s="292" t="s">
        <v>540</v>
      </c>
      <c r="E1269" s="291" t="s">
        <v>438</v>
      </c>
      <c r="F1269" s="291" t="s">
        <v>1268</v>
      </c>
      <c r="G1269" s="293">
        <v>540000.0</v>
      </c>
      <c r="H1269" s="293">
        <v>0.0</v>
      </c>
      <c r="I1269" s="294">
        <v>540000.0</v>
      </c>
      <c r="J1269" s="295"/>
      <c r="K1269" s="7"/>
    </row>
    <row r="1270" ht="15.75" customHeight="1">
      <c r="A1270" s="296" t="s">
        <v>300</v>
      </c>
      <c r="B1270" s="296">
        <v>118.0</v>
      </c>
      <c r="C1270" s="297" t="s">
        <v>167</v>
      </c>
      <c r="D1270" s="296" t="s">
        <v>320</v>
      </c>
      <c r="E1270" s="298"/>
      <c r="F1270" s="297" t="s">
        <v>321</v>
      </c>
      <c r="G1270" s="299">
        <v>634616.66</v>
      </c>
      <c r="H1270" s="299">
        <v>0.0</v>
      </c>
      <c r="I1270" s="300">
        <v>634616.66</v>
      </c>
      <c r="J1270" s="300">
        <v>634616.66</v>
      </c>
      <c r="K1270" s="301">
        <v>0.0</v>
      </c>
    </row>
    <row r="1271" ht="15.75" customHeight="1">
      <c r="A1271" s="286" t="s">
        <v>300</v>
      </c>
      <c r="B1271" s="287">
        <v>119.0</v>
      </c>
      <c r="C1271" s="286" t="s">
        <v>169</v>
      </c>
      <c r="D1271" s="287" t="s">
        <v>542</v>
      </c>
      <c r="E1271" s="286" t="s">
        <v>438</v>
      </c>
      <c r="F1271" s="286" t="s">
        <v>1269</v>
      </c>
      <c r="G1271" s="288">
        <v>126700.0</v>
      </c>
      <c r="H1271" s="288">
        <v>0.0</v>
      </c>
      <c r="I1271" s="289">
        <v>126700.0</v>
      </c>
      <c r="J1271" s="290"/>
      <c r="K1271" s="7"/>
    </row>
    <row r="1272" ht="15.75" customHeight="1">
      <c r="A1272" s="291" t="s">
        <v>300</v>
      </c>
      <c r="B1272" s="292">
        <v>119.0</v>
      </c>
      <c r="C1272" s="291" t="s">
        <v>169</v>
      </c>
      <c r="D1272" s="292" t="s">
        <v>542</v>
      </c>
      <c r="E1272" s="291" t="s">
        <v>438</v>
      </c>
      <c r="F1272" s="291" t="s">
        <v>1270</v>
      </c>
      <c r="G1272" s="293">
        <v>57705.93</v>
      </c>
      <c r="H1272" s="293">
        <v>0.0</v>
      </c>
      <c r="I1272" s="294">
        <v>57705.93</v>
      </c>
      <c r="J1272" s="295"/>
      <c r="K1272" s="7"/>
    </row>
    <row r="1273" ht="15.75" customHeight="1">
      <c r="A1273" s="286" t="s">
        <v>300</v>
      </c>
      <c r="B1273" s="287">
        <v>119.0</v>
      </c>
      <c r="C1273" s="286" t="s">
        <v>169</v>
      </c>
      <c r="D1273" s="287" t="s">
        <v>542</v>
      </c>
      <c r="E1273" s="286" t="s">
        <v>438</v>
      </c>
      <c r="F1273" s="286" t="s">
        <v>1271</v>
      </c>
      <c r="G1273" s="288">
        <v>68000.0</v>
      </c>
      <c r="H1273" s="288">
        <v>0.0</v>
      </c>
      <c r="I1273" s="289">
        <v>68000.0</v>
      </c>
      <c r="J1273" s="290"/>
      <c r="K1273" s="7"/>
    </row>
    <row r="1274" ht="15.75" customHeight="1">
      <c r="A1274" s="291" t="s">
        <v>300</v>
      </c>
      <c r="B1274" s="292">
        <v>119.0</v>
      </c>
      <c r="C1274" s="291" t="s">
        <v>169</v>
      </c>
      <c r="D1274" s="292" t="s">
        <v>542</v>
      </c>
      <c r="E1274" s="291" t="s">
        <v>438</v>
      </c>
      <c r="F1274" s="291" t="s">
        <v>1269</v>
      </c>
      <c r="G1274" s="293">
        <v>32400.0</v>
      </c>
      <c r="H1274" s="293">
        <v>0.0</v>
      </c>
      <c r="I1274" s="294">
        <v>32400.0</v>
      </c>
      <c r="J1274" s="295"/>
      <c r="K1274" s="7"/>
    </row>
    <row r="1275" ht="15.75" customHeight="1">
      <c r="A1275" s="286" t="s">
        <v>300</v>
      </c>
      <c r="B1275" s="287">
        <v>119.0</v>
      </c>
      <c r="C1275" s="286" t="s">
        <v>169</v>
      </c>
      <c r="D1275" s="287" t="s">
        <v>542</v>
      </c>
      <c r="E1275" s="286" t="s">
        <v>438</v>
      </c>
      <c r="F1275" s="286" t="s">
        <v>1272</v>
      </c>
      <c r="G1275" s="288">
        <v>118134.0</v>
      </c>
      <c r="H1275" s="288">
        <v>0.0</v>
      </c>
      <c r="I1275" s="289">
        <v>118134.0</v>
      </c>
      <c r="J1275" s="290"/>
      <c r="K1275" s="7"/>
    </row>
    <row r="1276" ht="15.75" customHeight="1">
      <c r="A1276" s="296" t="s">
        <v>300</v>
      </c>
      <c r="B1276" s="296">
        <v>119.0</v>
      </c>
      <c r="C1276" s="297" t="s">
        <v>169</v>
      </c>
      <c r="D1276" s="296" t="s">
        <v>320</v>
      </c>
      <c r="E1276" s="298"/>
      <c r="F1276" s="297" t="s">
        <v>321</v>
      </c>
      <c r="G1276" s="299">
        <v>402939.93</v>
      </c>
      <c r="H1276" s="299">
        <v>0.0</v>
      </c>
      <c r="I1276" s="300">
        <v>402939.93</v>
      </c>
      <c r="J1276" s="300">
        <v>402939.93</v>
      </c>
      <c r="K1276" s="301">
        <v>0.0</v>
      </c>
    </row>
    <row r="1277" ht="15.75" customHeight="1">
      <c r="A1277" s="286" t="s">
        <v>300</v>
      </c>
      <c r="B1277" s="287">
        <v>121.0</v>
      </c>
      <c r="C1277" s="286" t="s">
        <v>173</v>
      </c>
      <c r="D1277" s="287" t="s">
        <v>1049</v>
      </c>
      <c r="E1277" s="286" t="s">
        <v>173</v>
      </c>
      <c r="F1277" s="286" t="s">
        <v>1273</v>
      </c>
      <c r="G1277" s="288">
        <v>4500000.0</v>
      </c>
      <c r="H1277" s="288">
        <v>0.0</v>
      </c>
      <c r="I1277" s="289">
        <v>4500000.0</v>
      </c>
      <c r="J1277" s="290"/>
      <c r="K1277" s="7"/>
    </row>
    <row r="1278" ht="15.75" customHeight="1">
      <c r="A1278" s="296" t="s">
        <v>300</v>
      </c>
      <c r="B1278" s="296">
        <v>121.0</v>
      </c>
      <c r="C1278" s="297" t="s">
        <v>173</v>
      </c>
      <c r="D1278" s="296" t="s">
        <v>320</v>
      </c>
      <c r="E1278" s="298"/>
      <c r="F1278" s="297" t="s">
        <v>321</v>
      </c>
      <c r="G1278" s="299">
        <v>4500000.0</v>
      </c>
      <c r="H1278" s="299">
        <v>0.0</v>
      </c>
      <c r="I1278" s="300">
        <v>4500000.0</v>
      </c>
      <c r="J1278" s="300">
        <v>4500000.0</v>
      </c>
      <c r="K1278" s="301">
        <v>0.0</v>
      </c>
    </row>
    <row r="1279" ht="15.75" customHeight="1">
      <c r="A1279" s="286" t="s">
        <v>300</v>
      </c>
      <c r="B1279" s="287">
        <v>122.0</v>
      </c>
      <c r="C1279" s="286" t="s">
        <v>175</v>
      </c>
      <c r="D1279" s="287" t="s">
        <v>549</v>
      </c>
      <c r="E1279" s="286"/>
      <c r="F1279" s="286" t="s">
        <v>1274</v>
      </c>
      <c r="G1279" s="288">
        <v>432412.0</v>
      </c>
      <c r="H1279" s="288">
        <v>0.0</v>
      </c>
      <c r="I1279" s="289">
        <v>432412.0</v>
      </c>
      <c r="J1279" s="290"/>
      <c r="K1279" s="7"/>
    </row>
    <row r="1280" ht="15.75" customHeight="1">
      <c r="A1280" s="296" t="s">
        <v>300</v>
      </c>
      <c r="B1280" s="296">
        <v>122.0</v>
      </c>
      <c r="C1280" s="297" t="s">
        <v>175</v>
      </c>
      <c r="D1280" s="296" t="s">
        <v>320</v>
      </c>
      <c r="E1280" s="298"/>
      <c r="F1280" s="297" t="s">
        <v>321</v>
      </c>
      <c r="G1280" s="299">
        <v>432412.0</v>
      </c>
      <c r="H1280" s="299">
        <v>0.0</v>
      </c>
      <c r="I1280" s="300">
        <v>432412.0</v>
      </c>
      <c r="J1280" s="300">
        <v>432412.0</v>
      </c>
      <c r="K1280" s="301">
        <v>0.0</v>
      </c>
    </row>
    <row r="1281" ht="15.75" customHeight="1">
      <c r="A1281" s="286" t="s">
        <v>300</v>
      </c>
      <c r="B1281" s="287">
        <v>123.0</v>
      </c>
      <c r="C1281" s="286" t="s">
        <v>177</v>
      </c>
      <c r="D1281" s="287" t="s">
        <v>551</v>
      </c>
      <c r="E1281" s="286" t="s">
        <v>552</v>
      </c>
      <c r="F1281" s="286" t="s">
        <v>1275</v>
      </c>
      <c r="G1281" s="288">
        <v>2118364.65</v>
      </c>
      <c r="H1281" s="288">
        <v>0.0</v>
      </c>
      <c r="I1281" s="289">
        <v>2118364.65</v>
      </c>
      <c r="J1281" s="290"/>
      <c r="K1281" s="7"/>
    </row>
    <row r="1282" ht="15.75" customHeight="1">
      <c r="A1282" s="296" t="s">
        <v>300</v>
      </c>
      <c r="B1282" s="296">
        <v>123.0</v>
      </c>
      <c r="C1282" s="297" t="s">
        <v>177</v>
      </c>
      <c r="D1282" s="296" t="s">
        <v>320</v>
      </c>
      <c r="E1282" s="298"/>
      <c r="F1282" s="297" t="s">
        <v>321</v>
      </c>
      <c r="G1282" s="299">
        <v>2118364.65</v>
      </c>
      <c r="H1282" s="299">
        <v>0.0</v>
      </c>
      <c r="I1282" s="300">
        <v>2118364.65</v>
      </c>
      <c r="J1282" s="300">
        <v>2118364.65</v>
      </c>
      <c r="K1282" s="301">
        <v>0.0</v>
      </c>
    </row>
    <row r="1283" ht="15.75" customHeight="1">
      <c r="A1283" s="286" t="s">
        <v>300</v>
      </c>
      <c r="B1283" s="287">
        <v>124.0</v>
      </c>
      <c r="C1283" s="286" t="s">
        <v>179</v>
      </c>
      <c r="D1283" s="287" t="s">
        <v>551</v>
      </c>
      <c r="E1283" s="286" t="s">
        <v>1276</v>
      </c>
      <c r="F1283" s="286" t="s">
        <v>1277</v>
      </c>
      <c r="G1283" s="288">
        <v>2800000.0</v>
      </c>
      <c r="H1283" s="288">
        <v>0.0</v>
      </c>
      <c r="I1283" s="289">
        <v>2800000.0</v>
      </c>
      <c r="J1283" s="290"/>
      <c r="K1283" s="7"/>
    </row>
    <row r="1284" ht="15.75" customHeight="1">
      <c r="A1284" s="291" t="s">
        <v>300</v>
      </c>
      <c r="B1284" s="292">
        <v>124.0</v>
      </c>
      <c r="C1284" s="291" t="s">
        <v>179</v>
      </c>
      <c r="D1284" s="292" t="s">
        <v>551</v>
      </c>
      <c r="E1284" s="291" t="s">
        <v>1276</v>
      </c>
      <c r="F1284" s="291" t="s">
        <v>986</v>
      </c>
      <c r="G1284" s="293">
        <v>955288.75</v>
      </c>
      <c r="H1284" s="293">
        <v>0.0</v>
      </c>
      <c r="I1284" s="294">
        <v>955288.75</v>
      </c>
      <c r="J1284" s="295"/>
      <c r="K1284" s="7"/>
    </row>
    <row r="1285" ht="15.75" customHeight="1">
      <c r="A1285" s="286" t="s">
        <v>300</v>
      </c>
      <c r="B1285" s="287">
        <v>124.0</v>
      </c>
      <c r="C1285" s="286" t="s">
        <v>179</v>
      </c>
      <c r="D1285" s="287" t="s">
        <v>551</v>
      </c>
      <c r="E1285" s="286" t="s">
        <v>1276</v>
      </c>
      <c r="F1285" s="286" t="s">
        <v>1278</v>
      </c>
      <c r="G1285" s="288">
        <v>0.0</v>
      </c>
      <c r="H1285" s="288">
        <v>955288.75</v>
      </c>
      <c r="I1285" s="289">
        <v>-955288.75</v>
      </c>
      <c r="J1285" s="290"/>
      <c r="K1285" s="7"/>
    </row>
    <row r="1286" ht="15.75" customHeight="1">
      <c r="A1286" s="291" t="s">
        <v>300</v>
      </c>
      <c r="B1286" s="292">
        <v>124.0</v>
      </c>
      <c r="C1286" s="291" t="s">
        <v>179</v>
      </c>
      <c r="D1286" s="292" t="s">
        <v>551</v>
      </c>
      <c r="E1286" s="291"/>
      <c r="F1286" s="291" t="s">
        <v>1279</v>
      </c>
      <c r="G1286" s="293">
        <v>2895200.0</v>
      </c>
      <c r="H1286" s="293">
        <v>0.0</v>
      </c>
      <c r="I1286" s="294">
        <v>2895200.0</v>
      </c>
      <c r="J1286" s="295"/>
      <c r="K1286" s="7"/>
    </row>
    <row r="1287" ht="15.75" customHeight="1">
      <c r="A1287" s="296" t="s">
        <v>300</v>
      </c>
      <c r="B1287" s="296">
        <v>124.0</v>
      </c>
      <c r="C1287" s="297" t="s">
        <v>179</v>
      </c>
      <c r="D1287" s="296" t="s">
        <v>320</v>
      </c>
      <c r="E1287" s="298"/>
      <c r="F1287" s="297" t="s">
        <v>321</v>
      </c>
      <c r="G1287" s="299">
        <v>6650488.75</v>
      </c>
      <c r="H1287" s="299">
        <v>955288.75</v>
      </c>
      <c r="I1287" s="300">
        <v>5695200.0</v>
      </c>
      <c r="J1287" s="300">
        <v>5695200.0</v>
      </c>
      <c r="K1287" s="301">
        <v>0.0</v>
      </c>
    </row>
    <row r="1288" ht="15.75" customHeight="1">
      <c r="A1288" s="286" t="s">
        <v>300</v>
      </c>
      <c r="B1288" s="287">
        <v>129.0</v>
      </c>
      <c r="C1288" s="286" t="s">
        <v>183</v>
      </c>
      <c r="D1288" s="287" t="s">
        <v>553</v>
      </c>
      <c r="E1288" s="286" t="s">
        <v>554</v>
      </c>
      <c r="F1288" s="286" t="s">
        <v>1280</v>
      </c>
      <c r="G1288" s="288">
        <v>4285250.0</v>
      </c>
      <c r="H1288" s="288">
        <v>0.0</v>
      </c>
      <c r="I1288" s="289">
        <v>4285250.0</v>
      </c>
      <c r="J1288" s="290"/>
      <c r="K1288" s="7"/>
    </row>
    <row r="1289" ht="15.75" customHeight="1">
      <c r="A1289" s="296" t="s">
        <v>300</v>
      </c>
      <c r="B1289" s="296">
        <v>129.0</v>
      </c>
      <c r="C1289" s="297" t="s">
        <v>183</v>
      </c>
      <c r="D1289" s="296" t="s">
        <v>320</v>
      </c>
      <c r="E1289" s="298"/>
      <c r="F1289" s="297" t="s">
        <v>321</v>
      </c>
      <c r="G1289" s="299">
        <v>4285250.0</v>
      </c>
      <c r="H1289" s="299">
        <v>0.0</v>
      </c>
      <c r="I1289" s="300">
        <v>4285250.0</v>
      </c>
      <c r="J1289" s="300">
        <v>4285250.0</v>
      </c>
      <c r="K1289" s="301">
        <v>0.0</v>
      </c>
    </row>
    <row r="1290" ht="15.75" customHeight="1">
      <c r="A1290" s="286" t="s">
        <v>300</v>
      </c>
      <c r="B1290" s="287">
        <v>130.0</v>
      </c>
      <c r="C1290" s="286" t="s">
        <v>186</v>
      </c>
      <c r="D1290" s="287" t="s">
        <v>553</v>
      </c>
      <c r="E1290" s="286" t="s">
        <v>557</v>
      </c>
      <c r="F1290" s="286" t="s">
        <v>1281</v>
      </c>
      <c r="G1290" s="288">
        <v>1277704.09</v>
      </c>
      <c r="H1290" s="288">
        <v>0.0</v>
      </c>
      <c r="I1290" s="289">
        <v>1277704.09</v>
      </c>
      <c r="J1290" s="290"/>
      <c r="K1290" s="7"/>
    </row>
    <row r="1291" ht="15.75" customHeight="1">
      <c r="A1291" s="291" t="s">
        <v>300</v>
      </c>
      <c r="B1291" s="292">
        <v>130.0</v>
      </c>
      <c r="C1291" s="291" t="s">
        <v>186</v>
      </c>
      <c r="D1291" s="292" t="s">
        <v>553</v>
      </c>
      <c r="E1291" s="291"/>
      <c r="F1291" s="291" t="s">
        <v>1282</v>
      </c>
      <c r="G1291" s="293">
        <v>0.0</v>
      </c>
      <c r="H1291" s="293">
        <v>1300000.0</v>
      </c>
      <c r="I1291" s="294">
        <v>-1300000.0</v>
      </c>
      <c r="J1291" s="295"/>
      <c r="K1291" s="7"/>
    </row>
    <row r="1292" ht="15.75" customHeight="1">
      <c r="A1292" s="286" t="s">
        <v>300</v>
      </c>
      <c r="B1292" s="287">
        <v>130.0</v>
      </c>
      <c r="C1292" s="286" t="s">
        <v>186</v>
      </c>
      <c r="D1292" s="287" t="s">
        <v>553</v>
      </c>
      <c r="E1292" s="286"/>
      <c r="F1292" s="286" t="s">
        <v>1283</v>
      </c>
      <c r="G1292" s="288">
        <v>1300000.0</v>
      </c>
      <c r="H1292" s="288">
        <v>0.0</v>
      </c>
      <c r="I1292" s="289">
        <v>1300000.0</v>
      </c>
      <c r="J1292" s="290"/>
      <c r="K1292" s="7"/>
    </row>
    <row r="1293" ht="15.75" customHeight="1">
      <c r="A1293" s="296" t="s">
        <v>300</v>
      </c>
      <c r="B1293" s="296">
        <v>130.0</v>
      </c>
      <c r="C1293" s="297" t="s">
        <v>186</v>
      </c>
      <c r="D1293" s="296" t="s">
        <v>320</v>
      </c>
      <c r="E1293" s="298"/>
      <c r="F1293" s="297" t="s">
        <v>321</v>
      </c>
      <c r="G1293" s="299">
        <v>2577704.09</v>
      </c>
      <c r="H1293" s="299">
        <v>1300000.0</v>
      </c>
      <c r="I1293" s="300">
        <v>1277704.09</v>
      </c>
      <c r="J1293" s="300">
        <v>1277704.09</v>
      </c>
      <c r="K1293" s="301">
        <v>0.0</v>
      </c>
    </row>
    <row r="1294" ht="15.75" customHeight="1">
      <c r="A1294" s="286" t="s">
        <v>300</v>
      </c>
      <c r="B1294" s="287">
        <v>131.0</v>
      </c>
      <c r="C1294" s="286" t="s">
        <v>188</v>
      </c>
      <c r="D1294" s="287" t="s">
        <v>560</v>
      </c>
      <c r="E1294" s="286" t="s">
        <v>438</v>
      </c>
      <c r="F1294" s="286" t="s">
        <v>1284</v>
      </c>
      <c r="G1294" s="288">
        <v>323560.0</v>
      </c>
      <c r="H1294" s="288">
        <v>0.0</v>
      </c>
      <c r="I1294" s="289">
        <v>323560.0</v>
      </c>
      <c r="J1294" s="290"/>
      <c r="K1294" s="7"/>
    </row>
    <row r="1295" ht="15.75" customHeight="1">
      <c r="A1295" s="291" t="s">
        <v>300</v>
      </c>
      <c r="B1295" s="292">
        <v>131.0</v>
      </c>
      <c r="C1295" s="291" t="s">
        <v>188</v>
      </c>
      <c r="D1295" s="292" t="s">
        <v>560</v>
      </c>
      <c r="E1295" s="291" t="s">
        <v>438</v>
      </c>
      <c r="F1295" s="291" t="s">
        <v>1285</v>
      </c>
      <c r="G1295" s="293">
        <v>6221.0</v>
      </c>
      <c r="H1295" s="293">
        <v>0.0</v>
      </c>
      <c r="I1295" s="294">
        <v>6221.0</v>
      </c>
      <c r="J1295" s="295"/>
      <c r="K1295" s="7"/>
    </row>
    <row r="1296" ht="15.75" customHeight="1">
      <c r="A1296" s="286" t="s">
        <v>300</v>
      </c>
      <c r="B1296" s="287">
        <v>131.0</v>
      </c>
      <c r="C1296" s="286" t="s">
        <v>188</v>
      </c>
      <c r="D1296" s="287" t="s">
        <v>560</v>
      </c>
      <c r="E1296" s="286" t="s">
        <v>438</v>
      </c>
      <c r="F1296" s="286" t="s">
        <v>1286</v>
      </c>
      <c r="G1296" s="288">
        <v>6221.0</v>
      </c>
      <c r="H1296" s="288">
        <v>0.0</v>
      </c>
      <c r="I1296" s="289">
        <v>6221.0</v>
      </c>
      <c r="J1296" s="290"/>
      <c r="K1296" s="7"/>
    </row>
    <row r="1297" ht="15.75" customHeight="1">
      <c r="A1297" s="291" t="s">
        <v>300</v>
      </c>
      <c r="B1297" s="292">
        <v>131.0</v>
      </c>
      <c r="C1297" s="291" t="s">
        <v>188</v>
      </c>
      <c r="D1297" s="292" t="s">
        <v>560</v>
      </c>
      <c r="E1297" s="291" t="s">
        <v>438</v>
      </c>
      <c r="F1297" s="291" t="s">
        <v>1287</v>
      </c>
      <c r="G1297" s="293">
        <v>6221.0</v>
      </c>
      <c r="H1297" s="293">
        <v>0.0</v>
      </c>
      <c r="I1297" s="294">
        <v>6221.0</v>
      </c>
      <c r="J1297" s="295"/>
      <c r="K1297" s="7"/>
    </row>
    <row r="1298" ht="15.75" customHeight="1">
      <c r="A1298" s="286" t="s">
        <v>300</v>
      </c>
      <c r="B1298" s="287">
        <v>131.0</v>
      </c>
      <c r="C1298" s="286" t="s">
        <v>188</v>
      </c>
      <c r="D1298" s="287" t="s">
        <v>1288</v>
      </c>
      <c r="E1298" s="286" t="s">
        <v>438</v>
      </c>
      <c r="F1298" s="286" t="s">
        <v>1289</v>
      </c>
      <c r="G1298" s="288">
        <v>199961.9</v>
      </c>
      <c r="H1298" s="288">
        <v>0.0</v>
      </c>
      <c r="I1298" s="289">
        <v>199961.9</v>
      </c>
      <c r="J1298" s="290"/>
      <c r="K1298" s="7"/>
    </row>
    <row r="1299" ht="15.75" customHeight="1">
      <c r="A1299" s="291" t="s">
        <v>300</v>
      </c>
      <c r="B1299" s="292">
        <v>131.0</v>
      </c>
      <c r="C1299" s="291" t="s">
        <v>188</v>
      </c>
      <c r="D1299" s="292" t="s">
        <v>1288</v>
      </c>
      <c r="E1299" s="291" t="s">
        <v>438</v>
      </c>
      <c r="F1299" s="291" t="s">
        <v>1290</v>
      </c>
      <c r="G1299" s="293">
        <v>2476.9</v>
      </c>
      <c r="H1299" s="293">
        <v>0.0</v>
      </c>
      <c r="I1299" s="294">
        <v>2476.9</v>
      </c>
      <c r="J1299" s="295"/>
      <c r="K1299" s="7"/>
    </row>
    <row r="1300" ht="15.75" customHeight="1">
      <c r="A1300" s="286" t="s">
        <v>300</v>
      </c>
      <c r="B1300" s="287">
        <v>131.0</v>
      </c>
      <c r="C1300" s="286" t="s">
        <v>188</v>
      </c>
      <c r="D1300" s="287" t="s">
        <v>1288</v>
      </c>
      <c r="E1300" s="286" t="s">
        <v>438</v>
      </c>
      <c r="F1300" s="286" t="s">
        <v>1291</v>
      </c>
      <c r="G1300" s="288">
        <v>2662.8</v>
      </c>
      <c r="H1300" s="288">
        <v>0.0</v>
      </c>
      <c r="I1300" s="289">
        <v>2662.8</v>
      </c>
      <c r="J1300" s="290"/>
      <c r="K1300" s="7"/>
    </row>
    <row r="1301" ht="15.75" customHeight="1">
      <c r="A1301" s="291" t="s">
        <v>300</v>
      </c>
      <c r="B1301" s="292">
        <v>131.0</v>
      </c>
      <c r="C1301" s="291" t="s">
        <v>188</v>
      </c>
      <c r="D1301" s="292" t="s">
        <v>1288</v>
      </c>
      <c r="E1301" s="291" t="s">
        <v>438</v>
      </c>
      <c r="F1301" s="291" t="s">
        <v>1292</v>
      </c>
      <c r="G1301" s="293">
        <v>2173.4</v>
      </c>
      <c r="H1301" s="293">
        <v>0.0</v>
      </c>
      <c r="I1301" s="294">
        <v>2173.4</v>
      </c>
      <c r="J1301" s="295"/>
      <c r="K1301" s="7"/>
    </row>
    <row r="1302" ht="15.75" customHeight="1">
      <c r="A1302" s="296" t="s">
        <v>300</v>
      </c>
      <c r="B1302" s="296">
        <v>131.0</v>
      </c>
      <c r="C1302" s="297" t="s">
        <v>188</v>
      </c>
      <c r="D1302" s="296" t="s">
        <v>320</v>
      </c>
      <c r="E1302" s="298"/>
      <c r="F1302" s="297" t="s">
        <v>321</v>
      </c>
      <c r="G1302" s="299">
        <v>549498.0</v>
      </c>
      <c r="H1302" s="299">
        <v>0.0</v>
      </c>
      <c r="I1302" s="300">
        <v>549498.0</v>
      </c>
      <c r="J1302" s="300">
        <v>549498.0</v>
      </c>
      <c r="K1302" s="301">
        <v>0.0</v>
      </c>
    </row>
    <row r="1303" ht="15.75" customHeight="1">
      <c r="A1303" s="286" t="s">
        <v>300</v>
      </c>
      <c r="B1303" s="287">
        <v>132.0</v>
      </c>
      <c r="C1303" s="286" t="s">
        <v>190</v>
      </c>
      <c r="D1303" s="287" t="s">
        <v>565</v>
      </c>
      <c r="E1303" s="286"/>
      <c r="F1303" s="286" t="s">
        <v>1293</v>
      </c>
      <c r="G1303" s="288">
        <v>808076.0</v>
      </c>
      <c r="H1303" s="288">
        <v>0.0</v>
      </c>
      <c r="I1303" s="289">
        <v>808076.0</v>
      </c>
      <c r="J1303" s="290"/>
      <c r="K1303" s="7"/>
    </row>
    <row r="1304" ht="15.75" customHeight="1">
      <c r="A1304" s="296" t="s">
        <v>300</v>
      </c>
      <c r="B1304" s="296">
        <v>132.0</v>
      </c>
      <c r="C1304" s="297" t="s">
        <v>190</v>
      </c>
      <c r="D1304" s="296" t="s">
        <v>320</v>
      </c>
      <c r="E1304" s="298"/>
      <c r="F1304" s="297" t="s">
        <v>321</v>
      </c>
      <c r="G1304" s="299">
        <v>808076.0</v>
      </c>
      <c r="H1304" s="299">
        <v>0.0</v>
      </c>
      <c r="I1304" s="300">
        <v>808076.0</v>
      </c>
      <c r="J1304" s="300">
        <v>808076.0</v>
      </c>
      <c r="K1304" s="301">
        <v>0.0</v>
      </c>
    </row>
    <row r="1305" ht="15.75" customHeight="1">
      <c r="A1305" s="286" t="s">
        <v>300</v>
      </c>
      <c r="B1305" s="287">
        <v>135.0</v>
      </c>
      <c r="C1305" s="286" t="s">
        <v>196</v>
      </c>
      <c r="D1305" s="287" t="s">
        <v>571</v>
      </c>
      <c r="E1305" s="286" t="s">
        <v>575</v>
      </c>
      <c r="F1305" s="286" t="s">
        <v>1294</v>
      </c>
      <c r="G1305" s="288">
        <v>30920.64</v>
      </c>
      <c r="H1305" s="288">
        <v>0.0</v>
      </c>
      <c r="I1305" s="289">
        <v>30920.64</v>
      </c>
      <c r="J1305" s="290"/>
      <c r="K1305" s="7"/>
    </row>
    <row r="1306" ht="15.75" customHeight="1">
      <c r="A1306" s="291" t="s">
        <v>300</v>
      </c>
      <c r="B1306" s="292">
        <v>135.0</v>
      </c>
      <c r="C1306" s="291" t="s">
        <v>196</v>
      </c>
      <c r="D1306" s="292" t="s">
        <v>571</v>
      </c>
      <c r="E1306" s="291" t="s">
        <v>575</v>
      </c>
      <c r="F1306" s="291" t="s">
        <v>1294</v>
      </c>
      <c r="G1306" s="293">
        <v>194.5</v>
      </c>
      <c r="H1306" s="293">
        <v>0.0</v>
      </c>
      <c r="I1306" s="294">
        <v>194.5</v>
      </c>
      <c r="J1306" s="295"/>
      <c r="K1306" s="7"/>
    </row>
    <row r="1307" ht="15.75" customHeight="1">
      <c r="A1307" s="286" t="s">
        <v>300</v>
      </c>
      <c r="B1307" s="287">
        <v>135.0</v>
      </c>
      <c r="C1307" s="286" t="s">
        <v>196</v>
      </c>
      <c r="D1307" s="287" t="s">
        <v>571</v>
      </c>
      <c r="E1307" s="286" t="s">
        <v>572</v>
      </c>
      <c r="F1307" s="286" t="s">
        <v>1295</v>
      </c>
      <c r="G1307" s="288">
        <v>91890.0</v>
      </c>
      <c r="H1307" s="288">
        <v>0.0</v>
      </c>
      <c r="I1307" s="289">
        <v>91890.0</v>
      </c>
      <c r="J1307" s="290"/>
      <c r="K1307" s="7"/>
    </row>
    <row r="1308" ht="15.75" customHeight="1">
      <c r="A1308" s="291" t="s">
        <v>300</v>
      </c>
      <c r="B1308" s="292">
        <v>135.0</v>
      </c>
      <c r="C1308" s="291" t="s">
        <v>196</v>
      </c>
      <c r="D1308" s="292" t="s">
        <v>571</v>
      </c>
      <c r="E1308" s="291"/>
      <c r="F1308" s="291" t="s">
        <v>1296</v>
      </c>
      <c r="G1308" s="293">
        <v>32000.0</v>
      </c>
      <c r="H1308" s="293">
        <v>0.0</v>
      </c>
      <c r="I1308" s="294">
        <v>32000.0</v>
      </c>
      <c r="J1308" s="295"/>
      <c r="K1308" s="7"/>
    </row>
    <row r="1309" ht="15.75" customHeight="1">
      <c r="A1309" s="296" t="s">
        <v>300</v>
      </c>
      <c r="B1309" s="296">
        <v>135.0</v>
      </c>
      <c r="C1309" s="297" t="s">
        <v>196</v>
      </c>
      <c r="D1309" s="296" t="s">
        <v>320</v>
      </c>
      <c r="E1309" s="298"/>
      <c r="F1309" s="297" t="s">
        <v>321</v>
      </c>
      <c r="G1309" s="299">
        <v>155005.14</v>
      </c>
      <c r="H1309" s="299">
        <v>0.0</v>
      </c>
      <c r="I1309" s="300">
        <v>155005.14</v>
      </c>
      <c r="J1309" s="300">
        <v>63114.64</v>
      </c>
      <c r="K1309" s="302">
        <v>91890.50000000001</v>
      </c>
    </row>
    <row r="1310" ht="15.75" customHeight="1">
      <c r="A1310" s="286" t="s">
        <v>300</v>
      </c>
      <c r="B1310" s="287">
        <v>136.0</v>
      </c>
      <c r="C1310" s="286" t="s">
        <v>198</v>
      </c>
      <c r="D1310" s="287" t="s">
        <v>222</v>
      </c>
      <c r="E1310" s="286" t="s">
        <v>577</v>
      </c>
      <c r="F1310" s="286" t="s">
        <v>1297</v>
      </c>
      <c r="G1310" s="288">
        <v>130406.4</v>
      </c>
      <c r="H1310" s="288">
        <v>0.0</v>
      </c>
      <c r="I1310" s="289">
        <v>130406.4</v>
      </c>
      <c r="J1310" s="290"/>
      <c r="K1310" s="7"/>
    </row>
    <row r="1311" ht="15.75" customHeight="1">
      <c r="A1311" s="296" t="s">
        <v>300</v>
      </c>
      <c r="B1311" s="296">
        <v>136.0</v>
      </c>
      <c r="C1311" s="297" t="s">
        <v>198</v>
      </c>
      <c r="D1311" s="296" t="s">
        <v>320</v>
      </c>
      <c r="E1311" s="298"/>
      <c r="F1311" s="297" t="s">
        <v>321</v>
      </c>
      <c r="G1311" s="299">
        <v>130406.4</v>
      </c>
      <c r="H1311" s="299">
        <v>0.0</v>
      </c>
      <c r="I1311" s="300">
        <v>130406.4</v>
      </c>
      <c r="J1311" s="300">
        <v>130406.4</v>
      </c>
      <c r="K1311" s="301">
        <v>0.0</v>
      </c>
    </row>
    <row r="1312" ht="15.75" customHeight="1">
      <c r="A1312" s="286" t="s">
        <v>300</v>
      </c>
      <c r="B1312" s="287">
        <v>137.0</v>
      </c>
      <c r="C1312" s="286" t="s">
        <v>200</v>
      </c>
      <c r="D1312" s="287" t="s">
        <v>824</v>
      </c>
      <c r="E1312" s="286" t="s">
        <v>438</v>
      </c>
      <c r="F1312" s="286" t="s">
        <v>1298</v>
      </c>
      <c r="G1312" s="288">
        <v>230993.0</v>
      </c>
      <c r="H1312" s="288">
        <v>0.0</v>
      </c>
      <c r="I1312" s="289">
        <v>230993.0</v>
      </c>
      <c r="J1312" s="290"/>
      <c r="K1312" s="7"/>
    </row>
    <row r="1313" ht="15.75" customHeight="1">
      <c r="A1313" s="291" t="s">
        <v>300</v>
      </c>
      <c r="B1313" s="292">
        <v>137.0</v>
      </c>
      <c r="C1313" s="291" t="s">
        <v>200</v>
      </c>
      <c r="D1313" s="292" t="s">
        <v>824</v>
      </c>
      <c r="E1313" s="291" t="s">
        <v>438</v>
      </c>
      <c r="F1313" s="291" t="s">
        <v>1299</v>
      </c>
      <c r="G1313" s="293">
        <v>261630.0</v>
      </c>
      <c r="H1313" s="293">
        <v>0.0</v>
      </c>
      <c r="I1313" s="294">
        <v>261630.0</v>
      </c>
      <c r="J1313" s="295"/>
      <c r="K1313" s="7"/>
    </row>
    <row r="1314" ht="15.75" customHeight="1">
      <c r="A1314" s="286" t="s">
        <v>300</v>
      </c>
      <c r="B1314" s="287">
        <v>137.0</v>
      </c>
      <c r="C1314" s="286" t="s">
        <v>200</v>
      </c>
      <c r="D1314" s="287" t="s">
        <v>222</v>
      </c>
      <c r="E1314" s="286" t="s">
        <v>1300</v>
      </c>
      <c r="F1314" s="286" t="s">
        <v>1301</v>
      </c>
      <c r="G1314" s="288">
        <v>107436.36</v>
      </c>
      <c r="H1314" s="288">
        <v>0.0</v>
      </c>
      <c r="I1314" s="289">
        <v>107436.36</v>
      </c>
      <c r="J1314" s="290"/>
      <c r="K1314" s="7"/>
    </row>
    <row r="1315" ht="15.75" customHeight="1">
      <c r="A1315" s="291" t="s">
        <v>300</v>
      </c>
      <c r="B1315" s="292">
        <v>137.0</v>
      </c>
      <c r="C1315" s="291" t="s">
        <v>200</v>
      </c>
      <c r="D1315" s="292" t="s">
        <v>222</v>
      </c>
      <c r="E1315" s="291" t="s">
        <v>1300</v>
      </c>
      <c r="F1315" s="291" t="s">
        <v>1301</v>
      </c>
      <c r="G1315" s="293">
        <v>107436.36</v>
      </c>
      <c r="H1315" s="293">
        <v>0.0</v>
      </c>
      <c r="I1315" s="294">
        <v>107436.36</v>
      </c>
      <c r="J1315" s="295"/>
      <c r="K1315" s="7"/>
    </row>
    <row r="1316" ht="15.75" customHeight="1">
      <c r="A1316" s="286" t="s">
        <v>300</v>
      </c>
      <c r="B1316" s="287">
        <v>137.0</v>
      </c>
      <c r="C1316" s="286" t="s">
        <v>200</v>
      </c>
      <c r="D1316" s="287" t="s">
        <v>222</v>
      </c>
      <c r="E1316" s="286" t="s">
        <v>1302</v>
      </c>
      <c r="F1316" s="286" t="s">
        <v>1303</v>
      </c>
      <c r="G1316" s="288">
        <v>460381.42</v>
      </c>
      <c r="H1316" s="288">
        <v>0.0</v>
      </c>
      <c r="I1316" s="289">
        <v>460381.42</v>
      </c>
      <c r="J1316" s="290"/>
      <c r="K1316" s="7"/>
    </row>
    <row r="1317" ht="15.75" customHeight="1">
      <c r="A1317" s="291" t="s">
        <v>300</v>
      </c>
      <c r="B1317" s="292">
        <v>137.0</v>
      </c>
      <c r="C1317" s="291" t="s">
        <v>200</v>
      </c>
      <c r="D1317" s="292" t="s">
        <v>222</v>
      </c>
      <c r="E1317" s="291" t="s">
        <v>1302</v>
      </c>
      <c r="F1317" s="291" t="s">
        <v>1304</v>
      </c>
      <c r="G1317" s="293">
        <v>0.0</v>
      </c>
      <c r="H1317" s="293">
        <v>19781.52</v>
      </c>
      <c r="I1317" s="294">
        <v>-19781.52</v>
      </c>
      <c r="J1317" s="295"/>
      <c r="K1317" s="7"/>
    </row>
    <row r="1318" ht="15.75" customHeight="1">
      <c r="A1318" s="286" t="s">
        <v>300</v>
      </c>
      <c r="B1318" s="287">
        <v>137.0</v>
      </c>
      <c r="C1318" s="286" t="s">
        <v>200</v>
      </c>
      <c r="D1318" s="287" t="s">
        <v>222</v>
      </c>
      <c r="E1318" s="286" t="s">
        <v>438</v>
      </c>
      <c r="F1318" s="286" t="s">
        <v>1305</v>
      </c>
      <c r="G1318" s="288">
        <v>30147.67</v>
      </c>
      <c r="H1318" s="288">
        <v>0.0</v>
      </c>
      <c r="I1318" s="289">
        <v>30147.67</v>
      </c>
      <c r="J1318" s="290"/>
      <c r="K1318" s="7"/>
    </row>
    <row r="1319" ht="15.75" customHeight="1">
      <c r="A1319" s="291" t="s">
        <v>300</v>
      </c>
      <c r="B1319" s="292">
        <v>137.0</v>
      </c>
      <c r="C1319" s="291" t="s">
        <v>200</v>
      </c>
      <c r="D1319" s="292" t="s">
        <v>222</v>
      </c>
      <c r="E1319" s="291" t="s">
        <v>438</v>
      </c>
      <c r="F1319" s="291" t="s">
        <v>1306</v>
      </c>
      <c r="G1319" s="293">
        <v>28661.07</v>
      </c>
      <c r="H1319" s="293">
        <v>0.0</v>
      </c>
      <c r="I1319" s="294">
        <v>28661.07</v>
      </c>
      <c r="J1319" s="295"/>
      <c r="K1319" s="7"/>
    </row>
    <row r="1320" ht="15.75" customHeight="1">
      <c r="A1320" s="286" t="s">
        <v>300</v>
      </c>
      <c r="B1320" s="287">
        <v>137.0</v>
      </c>
      <c r="C1320" s="286" t="s">
        <v>200</v>
      </c>
      <c r="D1320" s="287" t="s">
        <v>222</v>
      </c>
      <c r="E1320" s="286" t="s">
        <v>438</v>
      </c>
      <c r="F1320" s="286" t="s">
        <v>1307</v>
      </c>
      <c r="G1320" s="288">
        <v>58264.23</v>
      </c>
      <c r="H1320" s="288">
        <v>0.0</v>
      </c>
      <c r="I1320" s="289">
        <v>58264.23</v>
      </c>
      <c r="J1320" s="290"/>
      <c r="K1320" s="7"/>
    </row>
    <row r="1321" ht="15.75" customHeight="1">
      <c r="A1321" s="291" t="s">
        <v>300</v>
      </c>
      <c r="B1321" s="292">
        <v>137.0</v>
      </c>
      <c r="C1321" s="291" t="s">
        <v>200</v>
      </c>
      <c r="D1321" s="292" t="s">
        <v>582</v>
      </c>
      <c r="E1321" s="291" t="s">
        <v>1308</v>
      </c>
      <c r="F1321" s="291" t="s">
        <v>1309</v>
      </c>
      <c r="G1321" s="293">
        <v>174000.0</v>
      </c>
      <c r="H1321" s="293">
        <v>0.0</v>
      </c>
      <c r="I1321" s="294">
        <v>174000.0</v>
      </c>
      <c r="J1321" s="295"/>
      <c r="K1321" s="7"/>
    </row>
    <row r="1322" ht="15.75" customHeight="1">
      <c r="A1322" s="286" t="s">
        <v>300</v>
      </c>
      <c r="B1322" s="287">
        <v>137.0</v>
      </c>
      <c r="C1322" s="286" t="s">
        <v>200</v>
      </c>
      <c r="D1322" s="287" t="s">
        <v>582</v>
      </c>
      <c r="E1322" s="286" t="s">
        <v>438</v>
      </c>
      <c r="F1322" s="286" t="s">
        <v>585</v>
      </c>
      <c r="G1322" s="288">
        <v>55632.7</v>
      </c>
      <c r="H1322" s="288">
        <v>0.0</v>
      </c>
      <c r="I1322" s="289">
        <v>55632.7</v>
      </c>
      <c r="J1322" s="290"/>
      <c r="K1322" s="7"/>
    </row>
    <row r="1323" ht="15.75" customHeight="1">
      <c r="A1323" s="291" t="s">
        <v>300</v>
      </c>
      <c r="B1323" s="292">
        <v>137.0</v>
      </c>
      <c r="C1323" s="291" t="s">
        <v>200</v>
      </c>
      <c r="D1323" s="292" t="s">
        <v>582</v>
      </c>
      <c r="E1323" s="291" t="s">
        <v>438</v>
      </c>
      <c r="F1323" s="291" t="s">
        <v>1310</v>
      </c>
      <c r="G1323" s="293">
        <v>306011.2</v>
      </c>
      <c r="H1323" s="293">
        <v>0.0</v>
      </c>
      <c r="I1323" s="294">
        <v>306011.2</v>
      </c>
      <c r="J1323" s="295"/>
      <c r="K1323" s="7"/>
    </row>
    <row r="1324" ht="15.75" customHeight="1">
      <c r="A1324" s="286" t="s">
        <v>300</v>
      </c>
      <c r="B1324" s="287">
        <v>137.0</v>
      </c>
      <c r="C1324" s="286" t="s">
        <v>200</v>
      </c>
      <c r="D1324" s="287" t="s">
        <v>582</v>
      </c>
      <c r="E1324" s="286" t="s">
        <v>438</v>
      </c>
      <c r="F1324" s="286" t="s">
        <v>1311</v>
      </c>
      <c r="G1324" s="288">
        <v>61249.0</v>
      </c>
      <c r="H1324" s="288">
        <v>0.0</v>
      </c>
      <c r="I1324" s="289">
        <v>61249.0</v>
      </c>
      <c r="J1324" s="290"/>
      <c r="K1324" s="7"/>
    </row>
    <row r="1325" ht="15.75" customHeight="1">
      <c r="A1325" s="291" t="s">
        <v>300</v>
      </c>
      <c r="B1325" s="292">
        <v>137.0</v>
      </c>
      <c r="C1325" s="291" t="s">
        <v>200</v>
      </c>
      <c r="D1325" s="292" t="s">
        <v>582</v>
      </c>
      <c r="E1325" s="291" t="s">
        <v>438</v>
      </c>
      <c r="F1325" s="291" t="s">
        <v>1312</v>
      </c>
      <c r="G1325" s="293">
        <v>79229.0</v>
      </c>
      <c r="H1325" s="293">
        <v>0.0</v>
      </c>
      <c r="I1325" s="294">
        <v>79229.0</v>
      </c>
      <c r="J1325" s="295"/>
      <c r="K1325" s="7"/>
    </row>
    <row r="1326" ht="15.75" customHeight="1">
      <c r="A1326" s="286" t="s">
        <v>300</v>
      </c>
      <c r="B1326" s="287">
        <v>137.0</v>
      </c>
      <c r="C1326" s="286" t="s">
        <v>200</v>
      </c>
      <c r="D1326" s="287" t="s">
        <v>582</v>
      </c>
      <c r="E1326" s="286" t="s">
        <v>438</v>
      </c>
      <c r="F1326" s="286" t="s">
        <v>1313</v>
      </c>
      <c r="G1326" s="288">
        <v>275721.44</v>
      </c>
      <c r="H1326" s="288">
        <v>0.0</v>
      </c>
      <c r="I1326" s="289">
        <v>275721.44</v>
      </c>
      <c r="J1326" s="290"/>
      <c r="K1326" s="7"/>
    </row>
    <row r="1327" ht="15.75" customHeight="1">
      <c r="A1327" s="291" t="s">
        <v>300</v>
      </c>
      <c r="B1327" s="292">
        <v>137.0</v>
      </c>
      <c r="C1327" s="291" t="s">
        <v>200</v>
      </c>
      <c r="D1327" s="292" t="s">
        <v>582</v>
      </c>
      <c r="E1327" s="291" t="s">
        <v>438</v>
      </c>
      <c r="F1327" s="291" t="s">
        <v>585</v>
      </c>
      <c r="G1327" s="293">
        <v>469965.2</v>
      </c>
      <c r="H1327" s="293">
        <v>0.0</v>
      </c>
      <c r="I1327" s="294">
        <v>469965.2</v>
      </c>
      <c r="J1327" s="295"/>
      <c r="K1327" s="7"/>
    </row>
    <row r="1328" ht="15.75" customHeight="1">
      <c r="A1328" s="296" t="s">
        <v>300</v>
      </c>
      <c r="B1328" s="296">
        <v>137.0</v>
      </c>
      <c r="C1328" s="297" t="s">
        <v>200</v>
      </c>
      <c r="D1328" s="296" t="s">
        <v>320</v>
      </c>
      <c r="E1328" s="298"/>
      <c r="F1328" s="297" t="s">
        <v>321</v>
      </c>
      <c r="G1328" s="299">
        <v>2706758.65</v>
      </c>
      <c r="H1328" s="299">
        <v>19781.52</v>
      </c>
      <c r="I1328" s="300">
        <v>2686977.13</v>
      </c>
      <c r="J1328" s="300">
        <v>2686977.13</v>
      </c>
      <c r="K1328" s="301">
        <v>0.0</v>
      </c>
    </row>
    <row r="1329" ht="15.75" customHeight="1">
      <c r="A1329" s="286" t="s">
        <v>300</v>
      </c>
      <c r="B1329" s="287">
        <v>138.0</v>
      </c>
      <c r="C1329" s="286" t="s">
        <v>202</v>
      </c>
      <c r="D1329" s="287" t="s">
        <v>222</v>
      </c>
      <c r="E1329" s="286" t="s">
        <v>586</v>
      </c>
      <c r="F1329" s="286" t="s">
        <v>1314</v>
      </c>
      <c r="G1329" s="288">
        <v>30263.0</v>
      </c>
      <c r="H1329" s="288">
        <v>0.0</v>
      </c>
      <c r="I1329" s="289">
        <v>30263.0</v>
      </c>
      <c r="J1329" s="290"/>
      <c r="K1329" s="7"/>
    </row>
    <row r="1330" ht="15.75" customHeight="1">
      <c r="A1330" s="296" t="s">
        <v>300</v>
      </c>
      <c r="B1330" s="296">
        <v>138.0</v>
      </c>
      <c r="C1330" s="297" t="s">
        <v>202</v>
      </c>
      <c r="D1330" s="296" t="s">
        <v>320</v>
      </c>
      <c r="E1330" s="298"/>
      <c r="F1330" s="297" t="s">
        <v>321</v>
      </c>
      <c r="G1330" s="299">
        <v>30263.0</v>
      </c>
      <c r="H1330" s="299">
        <v>0.0</v>
      </c>
      <c r="I1330" s="300">
        <v>30263.0</v>
      </c>
      <c r="J1330" s="300">
        <v>30263.0</v>
      </c>
      <c r="K1330" s="301">
        <v>0.0</v>
      </c>
    </row>
    <row r="1331" ht="15.75" customHeight="1">
      <c r="A1331" s="286" t="s">
        <v>300</v>
      </c>
      <c r="B1331" s="287">
        <v>139.0</v>
      </c>
      <c r="C1331" s="286" t="s">
        <v>204</v>
      </c>
      <c r="D1331" s="287" t="s">
        <v>588</v>
      </c>
      <c r="E1331" s="286"/>
      <c r="F1331" s="286" t="s">
        <v>1315</v>
      </c>
      <c r="G1331" s="288">
        <v>108223.17</v>
      </c>
      <c r="H1331" s="288">
        <v>0.0</v>
      </c>
      <c r="I1331" s="289">
        <v>108223.17</v>
      </c>
      <c r="J1331" s="290"/>
      <c r="K1331" s="7"/>
    </row>
    <row r="1332" ht="15.75" customHeight="1">
      <c r="A1332" s="291" t="s">
        <v>300</v>
      </c>
      <c r="B1332" s="292">
        <v>139.0</v>
      </c>
      <c r="C1332" s="291" t="s">
        <v>204</v>
      </c>
      <c r="D1332" s="292" t="s">
        <v>588</v>
      </c>
      <c r="E1332" s="291"/>
      <c r="F1332" s="291" t="s">
        <v>1316</v>
      </c>
      <c r="G1332" s="293">
        <v>58856.0</v>
      </c>
      <c r="H1332" s="293">
        <v>0.0</v>
      </c>
      <c r="I1332" s="294">
        <v>58856.0</v>
      </c>
      <c r="J1332" s="295"/>
      <c r="K1332" s="7"/>
    </row>
    <row r="1333" ht="15.75" customHeight="1">
      <c r="A1333" s="286" t="s">
        <v>300</v>
      </c>
      <c r="B1333" s="287">
        <v>139.0</v>
      </c>
      <c r="C1333" s="286" t="s">
        <v>204</v>
      </c>
      <c r="D1333" s="287" t="s">
        <v>588</v>
      </c>
      <c r="E1333" s="286"/>
      <c r="F1333" s="286" t="s">
        <v>1317</v>
      </c>
      <c r="G1333" s="288">
        <v>44676.47</v>
      </c>
      <c r="H1333" s="288">
        <v>0.0</v>
      </c>
      <c r="I1333" s="289">
        <v>44676.47</v>
      </c>
      <c r="J1333" s="290"/>
      <c r="K1333" s="7"/>
    </row>
    <row r="1334" ht="15.75" customHeight="1">
      <c r="A1334" s="291" t="s">
        <v>300</v>
      </c>
      <c r="B1334" s="292">
        <v>139.0</v>
      </c>
      <c r="C1334" s="291" t="s">
        <v>204</v>
      </c>
      <c r="D1334" s="292" t="s">
        <v>588</v>
      </c>
      <c r="E1334" s="291"/>
      <c r="F1334" s="291" t="s">
        <v>1318</v>
      </c>
      <c r="G1334" s="293">
        <v>96029.57</v>
      </c>
      <c r="H1334" s="293">
        <v>0.0</v>
      </c>
      <c r="I1334" s="294">
        <v>96029.57</v>
      </c>
      <c r="J1334" s="295"/>
      <c r="K1334" s="7"/>
    </row>
    <row r="1335" ht="15.75" customHeight="1">
      <c r="A1335" s="286" t="s">
        <v>300</v>
      </c>
      <c r="B1335" s="287">
        <v>139.0</v>
      </c>
      <c r="C1335" s="286" t="s">
        <v>204</v>
      </c>
      <c r="D1335" s="287" t="s">
        <v>588</v>
      </c>
      <c r="E1335" s="286"/>
      <c r="F1335" s="286" t="s">
        <v>1319</v>
      </c>
      <c r="G1335" s="288">
        <v>118150.72</v>
      </c>
      <c r="H1335" s="288">
        <v>0.0</v>
      </c>
      <c r="I1335" s="289">
        <v>118150.72</v>
      </c>
      <c r="J1335" s="290"/>
      <c r="K1335" s="7"/>
    </row>
    <row r="1336" ht="15.75" customHeight="1">
      <c r="A1336" s="291" t="s">
        <v>300</v>
      </c>
      <c r="B1336" s="292">
        <v>139.0</v>
      </c>
      <c r="C1336" s="291" t="s">
        <v>204</v>
      </c>
      <c r="D1336" s="292" t="s">
        <v>588</v>
      </c>
      <c r="E1336" s="291"/>
      <c r="F1336" s="291" t="s">
        <v>1320</v>
      </c>
      <c r="G1336" s="293">
        <v>84273.2</v>
      </c>
      <c r="H1336" s="293">
        <v>0.0</v>
      </c>
      <c r="I1336" s="294">
        <v>84273.2</v>
      </c>
      <c r="J1336" s="295"/>
      <c r="K1336" s="7"/>
    </row>
    <row r="1337" ht="15.75" customHeight="1">
      <c r="A1337" s="286" t="s">
        <v>300</v>
      </c>
      <c r="B1337" s="287">
        <v>139.0</v>
      </c>
      <c r="C1337" s="286" t="s">
        <v>204</v>
      </c>
      <c r="D1337" s="287" t="s">
        <v>588</v>
      </c>
      <c r="E1337" s="286"/>
      <c r="F1337" s="286" t="s">
        <v>1321</v>
      </c>
      <c r="G1337" s="288">
        <v>44260.69</v>
      </c>
      <c r="H1337" s="288">
        <v>0.0</v>
      </c>
      <c r="I1337" s="289">
        <v>44260.69</v>
      </c>
      <c r="J1337" s="290"/>
      <c r="K1337" s="7"/>
    </row>
    <row r="1338" ht="15.75" customHeight="1">
      <c r="A1338" s="291" t="s">
        <v>300</v>
      </c>
      <c r="B1338" s="292">
        <v>139.0</v>
      </c>
      <c r="C1338" s="291" t="s">
        <v>204</v>
      </c>
      <c r="D1338" s="292" t="s">
        <v>588</v>
      </c>
      <c r="E1338" s="291"/>
      <c r="F1338" s="291" t="s">
        <v>1322</v>
      </c>
      <c r="G1338" s="293">
        <v>144680.0</v>
      </c>
      <c r="H1338" s="293">
        <v>0.0</v>
      </c>
      <c r="I1338" s="294">
        <v>144680.0</v>
      </c>
      <c r="J1338" s="295"/>
      <c r="K1338" s="7"/>
    </row>
    <row r="1339" ht="15.75" customHeight="1">
      <c r="A1339" s="286" t="s">
        <v>300</v>
      </c>
      <c r="B1339" s="287">
        <v>139.0</v>
      </c>
      <c r="C1339" s="286" t="s">
        <v>204</v>
      </c>
      <c r="D1339" s="287" t="s">
        <v>588</v>
      </c>
      <c r="E1339" s="286"/>
      <c r="F1339" s="286" t="s">
        <v>1323</v>
      </c>
      <c r="G1339" s="288">
        <v>149628.0</v>
      </c>
      <c r="H1339" s="288">
        <v>0.0</v>
      </c>
      <c r="I1339" s="289">
        <v>149628.0</v>
      </c>
      <c r="J1339" s="290"/>
      <c r="K1339" s="7"/>
    </row>
    <row r="1340" ht="15.75" customHeight="1">
      <c r="A1340" s="296" t="s">
        <v>300</v>
      </c>
      <c r="B1340" s="296">
        <v>139.0</v>
      </c>
      <c r="C1340" s="297" t="s">
        <v>204</v>
      </c>
      <c r="D1340" s="296" t="s">
        <v>320</v>
      </c>
      <c r="E1340" s="298"/>
      <c r="F1340" s="297" t="s">
        <v>321</v>
      </c>
      <c r="G1340" s="299">
        <v>848777.8200000001</v>
      </c>
      <c r="H1340" s="299">
        <v>0.0</v>
      </c>
      <c r="I1340" s="300">
        <v>848777.8200000001</v>
      </c>
      <c r="J1340" s="300">
        <v>848777.82</v>
      </c>
      <c r="K1340" s="301">
        <v>1.164153218269348E-10</v>
      </c>
    </row>
    <row r="1341" ht="15.75" customHeight="1">
      <c r="A1341" s="286" t="s">
        <v>300</v>
      </c>
      <c r="B1341" s="287">
        <v>147.0</v>
      </c>
      <c r="C1341" s="286" t="s">
        <v>217</v>
      </c>
      <c r="D1341" s="287" t="s">
        <v>549</v>
      </c>
      <c r="E1341" s="286"/>
      <c r="F1341" s="286" t="s">
        <v>1324</v>
      </c>
      <c r="G1341" s="288">
        <v>128926.0</v>
      </c>
      <c r="H1341" s="288">
        <v>0.0</v>
      </c>
      <c r="I1341" s="289">
        <v>128926.0</v>
      </c>
      <c r="J1341" s="290"/>
      <c r="K1341" s="7"/>
    </row>
    <row r="1342" ht="15.75" customHeight="1">
      <c r="A1342" s="296" t="s">
        <v>300</v>
      </c>
      <c r="B1342" s="296">
        <v>147.0</v>
      </c>
      <c r="C1342" s="297" t="s">
        <v>217</v>
      </c>
      <c r="D1342" s="296" t="s">
        <v>320</v>
      </c>
      <c r="E1342" s="298"/>
      <c r="F1342" s="297" t="s">
        <v>321</v>
      </c>
      <c r="G1342" s="299">
        <v>128926.0</v>
      </c>
      <c r="H1342" s="299">
        <v>0.0</v>
      </c>
      <c r="I1342" s="300">
        <v>128926.0</v>
      </c>
      <c r="J1342" s="300">
        <v>128926.0</v>
      </c>
      <c r="K1342" s="301">
        <v>0.0</v>
      </c>
    </row>
    <row r="1343" ht="15.75" customHeight="1">
      <c r="A1343" s="286" t="s">
        <v>300</v>
      </c>
      <c r="B1343" s="287">
        <v>149.0</v>
      </c>
      <c r="C1343" s="286" t="s">
        <v>221</v>
      </c>
      <c r="D1343" s="287" t="s">
        <v>551</v>
      </c>
      <c r="E1343" s="286" t="s">
        <v>1325</v>
      </c>
      <c r="F1343" s="286" t="s">
        <v>1326</v>
      </c>
      <c r="G1343" s="288">
        <v>300000.0</v>
      </c>
      <c r="H1343" s="288">
        <v>0.0</v>
      </c>
      <c r="I1343" s="289">
        <v>300000.0</v>
      </c>
      <c r="J1343" s="290"/>
      <c r="K1343" s="7"/>
    </row>
    <row r="1344" ht="15.75" customHeight="1">
      <c r="A1344" s="291" t="s">
        <v>300</v>
      </c>
      <c r="B1344" s="292">
        <v>149.0</v>
      </c>
      <c r="C1344" s="291" t="s">
        <v>221</v>
      </c>
      <c r="D1344" s="292" t="s">
        <v>551</v>
      </c>
      <c r="E1344" s="291"/>
      <c r="F1344" s="291" t="s">
        <v>1327</v>
      </c>
      <c r="G1344" s="293">
        <v>0.0</v>
      </c>
      <c r="H1344" s="293">
        <v>300000.0</v>
      </c>
      <c r="I1344" s="294">
        <v>-300000.0</v>
      </c>
      <c r="J1344" s="295"/>
      <c r="K1344" s="7"/>
    </row>
    <row r="1345" ht="15.75" customHeight="1">
      <c r="A1345" s="286" t="s">
        <v>300</v>
      </c>
      <c r="B1345" s="287">
        <v>149.0</v>
      </c>
      <c r="C1345" s="286" t="s">
        <v>221</v>
      </c>
      <c r="D1345" s="287" t="s">
        <v>222</v>
      </c>
      <c r="E1345" s="286"/>
      <c r="F1345" s="286" t="s">
        <v>1327</v>
      </c>
      <c r="G1345" s="288">
        <v>300000.0</v>
      </c>
      <c r="H1345" s="288">
        <v>0.0</v>
      </c>
      <c r="I1345" s="289">
        <v>300000.0</v>
      </c>
      <c r="J1345" s="290"/>
      <c r="K1345" s="7"/>
    </row>
    <row r="1346" ht="15.75" customHeight="1">
      <c r="A1346" s="296" t="s">
        <v>300</v>
      </c>
      <c r="B1346" s="296">
        <v>149.0</v>
      </c>
      <c r="C1346" s="297" t="s">
        <v>221</v>
      </c>
      <c r="D1346" s="296" t="s">
        <v>320</v>
      </c>
      <c r="E1346" s="298"/>
      <c r="F1346" s="297" t="s">
        <v>321</v>
      </c>
      <c r="G1346" s="299">
        <v>600000.0</v>
      </c>
      <c r="H1346" s="299">
        <v>300000.0</v>
      </c>
      <c r="I1346" s="300">
        <v>300000.0</v>
      </c>
      <c r="J1346" s="300">
        <v>300000.0</v>
      </c>
      <c r="K1346" s="301">
        <v>0.0</v>
      </c>
    </row>
    <row r="1347" ht="15.75" customHeight="1">
      <c r="A1347" s="286" t="s">
        <v>300</v>
      </c>
      <c r="B1347" s="287">
        <v>150.0</v>
      </c>
      <c r="C1347" s="286" t="s">
        <v>224</v>
      </c>
      <c r="D1347" s="287" t="s">
        <v>596</v>
      </c>
      <c r="E1347" s="286" t="s">
        <v>852</v>
      </c>
      <c r="F1347" s="286" t="s">
        <v>1328</v>
      </c>
      <c r="G1347" s="288">
        <v>318504.92</v>
      </c>
      <c r="H1347" s="288">
        <v>0.0</v>
      </c>
      <c r="I1347" s="289">
        <v>318504.92</v>
      </c>
      <c r="J1347" s="290"/>
      <c r="K1347" s="7"/>
    </row>
    <row r="1348" ht="15.75" customHeight="1">
      <c r="A1348" s="296" t="s">
        <v>300</v>
      </c>
      <c r="B1348" s="296">
        <v>150.0</v>
      </c>
      <c r="C1348" s="297" t="s">
        <v>224</v>
      </c>
      <c r="D1348" s="296" t="s">
        <v>320</v>
      </c>
      <c r="E1348" s="298"/>
      <c r="F1348" s="297" t="s">
        <v>321</v>
      </c>
      <c r="G1348" s="299">
        <v>318504.92</v>
      </c>
      <c r="H1348" s="299">
        <v>0.0</v>
      </c>
      <c r="I1348" s="300">
        <v>318504.92</v>
      </c>
      <c r="J1348" s="300">
        <v>318504.92</v>
      </c>
      <c r="K1348" s="301">
        <v>0.0</v>
      </c>
    </row>
    <row r="1349" ht="15.75" customHeight="1">
      <c r="A1349" s="286" t="s">
        <v>300</v>
      </c>
      <c r="B1349" s="287">
        <v>152.0</v>
      </c>
      <c r="C1349" s="286" t="s">
        <v>226</v>
      </c>
      <c r="D1349" s="287" t="s">
        <v>600</v>
      </c>
      <c r="E1349" s="286"/>
      <c r="F1349" s="286" t="s">
        <v>1329</v>
      </c>
      <c r="G1349" s="288">
        <v>1.384723965E7</v>
      </c>
      <c r="H1349" s="288">
        <v>0.0</v>
      </c>
      <c r="I1349" s="289">
        <v>1.384723965E7</v>
      </c>
      <c r="J1349" s="290"/>
      <c r="K1349" s="7"/>
    </row>
    <row r="1350" ht="15.75" customHeight="1">
      <c r="A1350" s="296" t="s">
        <v>300</v>
      </c>
      <c r="B1350" s="296">
        <v>152.0</v>
      </c>
      <c r="C1350" s="297" t="s">
        <v>226</v>
      </c>
      <c r="D1350" s="296" t="s">
        <v>320</v>
      </c>
      <c r="E1350" s="298"/>
      <c r="F1350" s="297" t="s">
        <v>321</v>
      </c>
      <c r="G1350" s="299">
        <v>1.384723965E7</v>
      </c>
      <c r="H1350" s="299">
        <v>0.0</v>
      </c>
      <c r="I1350" s="300">
        <v>1.384723965E7</v>
      </c>
      <c r="J1350" s="300">
        <v>1.384723965E7</v>
      </c>
      <c r="K1350" s="301">
        <v>0.0</v>
      </c>
    </row>
    <row r="1351" ht="15.75" customHeight="1">
      <c r="A1351" s="286" t="s">
        <v>300</v>
      </c>
      <c r="B1351" s="287">
        <v>158.0</v>
      </c>
      <c r="C1351" s="286" t="s">
        <v>229</v>
      </c>
      <c r="D1351" s="287" t="s">
        <v>602</v>
      </c>
      <c r="E1351" s="286"/>
      <c r="F1351" s="286" t="s">
        <v>1330</v>
      </c>
      <c r="G1351" s="288">
        <v>0.0</v>
      </c>
      <c r="H1351" s="288">
        <v>2.35E8</v>
      </c>
      <c r="I1351" s="289">
        <v>-2.35E8</v>
      </c>
      <c r="J1351" s="290"/>
      <c r="K1351" s="7"/>
    </row>
    <row r="1352" ht="15.75" customHeight="1">
      <c r="A1352" s="291" t="s">
        <v>300</v>
      </c>
      <c r="B1352" s="292">
        <v>158.0</v>
      </c>
      <c r="C1352" s="291" t="s">
        <v>229</v>
      </c>
      <c r="D1352" s="292" t="s">
        <v>602</v>
      </c>
      <c r="E1352" s="291" t="s">
        <v>604</v>
      </c>
      <c r="F1352" s="291" t="s">
        <v>1331</v>
      </c>
      <c r="G1352" s="293">
        <v>2.2852252668E8</v>
      </c>
      <c r="H1352" s="293">
        <v>0.0</v>
      </c>
      <c r="I1352" s="294">
        <v>2.2852252668E8</v>
      </c>
      <c r="J1352" s="295"/>
      <c r="K1352" s="7"/>
    </row>
    <row r="1353" ht="15.75" customHeight="1">
      <c r="A1353" s="286" t="s">
        <v>300</v>
      </c>
      <c r="B1353" s="287">
        <v>158.0</v>
      </c>
      <c r="C1353" s="286" t="s">
        <v>229</v>
      </c>
      <c r="D1353" s="287" t="s">
        <v>602</v>
      </c>
      <c r="E1353" s="286"/>
      <c r="F1353" s="286" t="s">
        <v>1332</v>
      </c>
      <c r="G1353" s="288">
        <v>2.132E8</v>
      </c>
      <c r="H1353" s="288">
        <v>0.0</v>
      </c>
      <c r="I1353" s="289">
        <v>2.132E8</v>
      </c>
      <c r="J1353" s="290"/>
      <c r="K1353" s="7"/>
    </row>
    <row r="1354" ht="15.75" customHeight="1">
      <c r="A1354" s="296" t="s">
        <v>300</v>
      </c>
      <c r="B1354" s="296">
        <v>158.0</v>
      </c>
      <c r="C1354" s="297" t="s">
        <v>229</v>
      </c>
      <c r="D1354" s="296" t="s">
        <v>320</v>
      </c>
      <c r="E1354" s="298"/>
      <c r="F1354" s="297" t="s">
        <v>321</v>
      </c>
      <c r="G1354" s="299">
        <v>4.4172252668E8</v>
      </c>
      <c r="H1354" s="299">
        <v>2.35E8</v>
      </c>
      <c r="I1354" s="300">
        <v>2.0672252668E8</v>
      </c>
      <c r="J1354" s="300">
        <v>3.25284546151233E8</v>
      </c>
      <c r="K1354" s="302">
        <v>-1.18562019471233E8</v>
      </c>
    </row>
    <row r="1355" ht="15.75" customHeight="1">
      <c r="A1355" s="286" t="s">
        <v>300</v>
      </c>
      <c r="B1355" s="287">
        <v>164.0</v>
      </c>
      <c r="C1355" s="286" t="s">
        <v>238</v>
      </c>
      <c r="D1355" s="287" t="s">
        <v>607</v>
      </c>
      <c r="E1355" s="286"/>
      <c r="F1355" s="286" t="s">
        <v>1333</v>
      </c>
      <c r="G1355" s="288">
        <v>0.0</v>
      </c>
      <c r="H1355" s="288">
        <v>1.5E8</v>
      </c>
      <c r="I1355" s="289">
        <v>-1.5E8</v>
      </c>
      <c r="J1355" s="290"/>
      <c r="K1355" s="7"/>
    </row>
    <row r="1356" ht="15.75" customHeight="1">
      <c r="A1356" s="291" t="s">
        <v>300</v>
      </c>
      <c r="B1356" s="292">
        <v>164.0</v>
      </c>
      <c r="C1356" s="291" t="s">
        <v>238</v>
      </c>
      <c r="D1356" s="292" t="s">
        <v>607</v>
      </c>
      <c r="E1356" s="291" t="s">
        <v>604</v>
      </c>
      <c r="F1356" s="291" t="s">
        <v>1334</v>
      </c>
      <c r="G1356" s="293">
        <v>1.5E8</v>
      </c>
      <c r="H1356" s="293">
        <v>0.0</v>
      </c>
      <c r="I1356" s="294">
        <v>1.5E8</v>
      </c>
      <c r="J1356" s="295"/>
      <c r="K1356" s="7"/>
    </row>
    <row r="1357" ht="15.75" customHeight="1">
      <c r="A1357" s="286" t="s">
        <v>300</v>
      </c>
      <c r="B1357" s="287">
        <v>164.0</v>
      </c>
      <c r="C1357" s="286" t="s">
        <v>238</v>
      </c>
      <c r="D1357" s="287" t="s">
        <v>607</v>
      </c>
      <c r="E1357" s="286"/>
      <c r="F1357" s="286" t="s">
        <v>1335</v>
      </c>
      <c r="G1357" s="288">
        <v>1.5E8</v>
      </c>
      <c r="H1357" s="288">
        <v>0.0</v>
      </c>
      <c r="I1357" s="289">
        <v>1.5E8</v>
      </c>
      <c r="J1357" s="290"/>
      <c r="K1357" s="7"/>
    </row>
    <row r="1358" ht="15.75" customHeight="1">
      <c r="A1358" s="296" t="s">
        <v>300</v>
      </c>
      <c r="B1358" s="296">
        <v>164.0</v>
      </c>
      <c r="C1358" s="297" t="s">
        <v>238</v>
      </c>
      <c r="D1358" s="296" t="s">
        <v>320</v>
      </c>
      <c r="E1358" s="298"/>
      <c r="F1358" s="297" t="s">
        <v>321</v>
      </c>
      <c r="G1358" s="299">
        <v>3.0E8</v>
      </c>
      <c r="H1358" s="299">
        <v>1.5E8</v>
      </c>
      <c r="I1358" s="300">
        <v>1.5E8</v>
      </c>
      <c r="J1358" s="300">
        <v>1.97864612792741E7</v>
      </c>
      <c r="K1358" s="302">
        <v>1.302135387207259E8</v>
      </c>
    </row>
    <row r="1359" ht="15.75" customHeight="1">
      <c r="A1359" s="286" t="s">
        <v>300</v>
      </c>
      <c r="B1359" s="287">
        <v>174.0</v>
      </c>
      <c r="C1359" s="286" t="s">
        <v>248</v>
      </c>
      <c r="D1359" s="287" t="s">
        <v>534</v>
      </c>
      <c r="E1359" s="286" t="s">
        <v>611</v>
      </c>
      <c r="F1359" s="286" t="s">
        <v>1336</v>
      </c>
      <c r="G1359" s="288">
        <v>49000.0</v>
      </c>
      <c r="H1359" s="288">
        <v>0.0</v>
      </c>
      <c r="I1359" s="289">
        <v>49000.0</v>
      </c>
      <c r="J1359" s="290"/>
      <c r="K1359" s="7"/>
    </row>
    <row r="1360" ht="15.75" customHeight="1">
      <c r="A1360" s="296" t="s">
        <v>300</v>
      </c>
      <c r="B1360" s="296">
        <v>174.0</v>
      </c>
      <c r="C1360" s="297" t="s">
        <v>248</v>
      </c>
      <c r="D1360" s="296" t="s">
        <v>320</v>
      </c>
      <c r="E1360" s="298"/>
      <c r="F1360" s="297" t="s">
        <v>321</v>
      </c>
      <c r="G1360" s="299">
        <v>49000.0</v>
      </c>
      <c r="H1360" s="299">
        <v>0.0</v>
      </c>
      <c r="I1360" s="300">
        <v>49000.0</v>
      </c>
      <c r="J1360" s="300">
        <v>49000.0</v>
      </c>
      <c r="K1360" s="301">
        <v>0.0</v>
      </c>
    </row>
    <row r="1361" ht="15.75" customHeight="1">
      <c r="A1361" s="286" t="s">
        <v>300</v>
      </c>
      <c r="B1361" s="287">
        <v>176.0</v>
      </c>
      <c r="C1361" s="286" t="s">
        <v>250</v>
      </c>
      <c r="D1361" s="287" t="s">
        <v>613</v>
      </c>
      <c r="E1361" s="286" t="s">
        <v>433</v>
      </c>
      <c r="F1361" s="286" t="s">
        <v>1337</v>
      </c>
      <c r="G1361" s="288">
        <v>15544.44</v>
      </c>
      <c r="H1361" s="288">
        <v>0.0</v>
      </c>
      <c r="I1361" s="289">
        <v>15544.44</v>
      </c>
      <c r="J1361" s="290"/>
      <c r="K1361" s="7"/>
    </row>
    <row r="1362" ht="15.75" customHeight="1">
      <c r="A1362" s="291" t="s">
        <v>300</v>
      </c>
      <c r="B1362" s="292">
        <v>176.0</v>
      </c>
      <c r="C1362" s="291" t="s">
        <v>250</v>
      </c>
      <c r="D1362" s="292" t="s">
        <v>613</v>
      </c>
      <c r="E1362" s="291" t="s">
        <v>614</v>
      </c>
      <c r="F1362" s="291" t="s">
        <v>1338</v>
      </c>
      <c r="G1362" s="293">
        <v>0.0</v>
      </c>
      <c r="H1362" s="293">
        <v>7964.16</v>
      </c>
      <c r="I1362" s="294">
        <v>-7964.16</v>
      </c>
      <c r="J1362" s="295"/>
      <c r="K1362" s="7"/>
    </row>
    <row r="1363" ht="15.75" customHeight="1">
      <c r="A1363" s="286" t="s">
        <v>300</v>
      </c>
      <c r="B1363" s="287">
        <v>176.0</v>
      </c>
      <c r="C1363" s="286" t="s">
        <v>250</v>
      </c>
      <c r="D1363" s="287" t="s">
        <v>613</v>
      </c>
      <c r="E1363" s="286" t="s">
        <v>428</v>
      </c>
      <c r="F1363" s="286" t="s">
        <v>1339</v>
      </c>
      <c r="G1363" s="288">
        <v>18150.0</v>
      </c>
      <c r="H1363" s="288">
        <v>0.0</v>
      </c>
      <c r="I1363" s="289">
        <v>18150.0</v>
      </c>
      <c r="J1363" s="290"/>
      <c r="K1363" s="7"/>
    </row>
    <row r="1364" ht="15.75" customHeight="1">
      <c r="A1364" s="291" t="s">
        <v>300</v>
      </c>
      <c r="B1364" s="292">
        <v>176.0</v>
      </c>
      <c r="C1364" s="291" t="s">
        <v>250</v>
      </c>
      <c r="D1364" s="292" t="s">
        <v>613</v>
      </c>
      <c r="E1364" s="291" t="s">
        <v>433</v>
      </c>
      <c r="F1364" s="291" t="s">
        <v>1340</v>
      </c>
      <c r="G1364" s="293">
        <v>13173.25</v>
      </c>
      <c r="H1364" s="293">
        <v>0.0</v>
      </c>
      <c r="I1364" s="294">
        <v>13173.25</v>
      </c>
      <c r="J1364" s="295"/>
      <c r="K1364" s="7"/>
    </row>
    <row r="1365" ht="15.75" customHeight="1">
      <c r="A1365" s="286" t="s">
        <v>300</v>
      </c>
      <c r="B1365" s="287">
        <v>176.0</v>
      </c>
      <c r="C1365" s="286" t="s">
        <v>250</v>
      </c>
      <c r="D1365" s="287" t="s">
        <v>613</v>
      </c>
      <c r="E1365" s="286" t="s">
        <v>535</v>
      </c>
      <c r="F1365" s="286" t="s">
        <v>1341</v>
      </c>
      <c r="G1365" s="288">
        <v>8470.0</v>
      </c>
      <c r="H1365" s="288">
        <v>0.0</v>
      </c>
      <c r="I1365" s="289">
        <v>8470.0</v>
      </c>
      <c r="J1365" s="290"/>
      <c r="K1365" s="7"/>
    </row>
    <row r="1366" ht="15.75" customHeight="1">
      <c r="A1366" s="296" t="s">
        <v>300</v>
      </c>
      <c r="B1366" s="296">
        <v>176.0</v>
      </c>
      <c r="C1366" s="297" t="s">
        <v>250</v>
      </c>
      <c r="D1366" s="296" t="s">
        <v>320</v>
      </c>
      <c r="E1366" s="298"/>
      <c r="F1366" s="297" t="s">
        <v>321</v>
      </c>
      <c r="G1366" s="299">
        <v>55337.69</v>
      </c>
      <c r="H1366" s="299">
        <v>7964.16</v>
      </c>
      <c r="I1366" s="300">
        <v>47373.53</v>
      </c>
      <c r="J1366" s="300">
        <v>47373.53</v>
      </c>
      <c r="K1366" s="301">
        <v>0.0</v>
      </c>
    </row>
    <row r="1367" ht="15.75" customHeight="1">
      <c r="A1367" s="286" t="s">
        <v>300</v>
      </c>
      <c r="B1367" s="287">
        <v>178.0</v>
      </c>
      <c r="C1367" s="286" t="s">
        <v>251</v>
      </c>
      <c r="D1367" s="287" t="s">
        <v>618</v>
      </c>
      <c r="E1367" s="286"/>
      <c r="F1367" s="286" t="s">
        <v>1342</v>
      </c>
      <c r="G1367" s="288">
        <v>0.0</v>
      </c>
      <c r="H1367" s="288">
        <v>8.223741583E7</v>
      </c>
      <c r="I1367" s="289">
        <v>-8.223741583E7</v>
      </c>
      <c r="J1367" s="290"/>
      <c r="K1367" s="7"/>
    </row>
    <row r="1368" ht="15.75" customHeight="1">
      <c r="A1368" s="291" t="s">
        <v>300</v>
      </c>
      <c r="B1368" s="292">
        <v>178.0</v>
      </c>
      <c r="C1368" s="291" t="s">
        <v>251</v>
      </c>
      <c r="D1368" s="292" t="s">
        <v>620</v>
      </c>
      <c r="E1368" s="291"/>
      <c r="F1368" s="291" t="s">
        <v>1343</v>
      </c>
      <c r="G1368" s="293">
        <v>0.0</v>
      </c>
      <c r="H1368" s="293">
        <v>2971259.9</v>
      </c>
      <c r="I1368" s="294">
        <v>-2971259.9</v>
      </c>
      <c r="J1368" s="295"/>
      <c r="K1368" s="7"/>
    </row>
    <row r="1369" ht="15.75" customHeight="1">
      <c r="A1369" s="296" t="s">
        <v>300</v>
      </c>
      <c r="B1369" s="296">
        <v>178.0</v>
      </c>
      <c r="C1369" s="297" t="s">
        <v>251</v>
      </c>
      <c r="D1369" s="296" t="s">
        <v>320</v>
      </c>
      <c r="E1369" s="298"/>
      <c r="F1369" s="297" t="s">
        <v>321</v>
      </c>
      <c r="G1369" s="299">
        <v>0.0</v>
      </c>
      <c r="H1369" s="299">
        <v>8.520867573E7</v>
      </c>
      <c r="I1369" s="300">
        <v>-8.520867573E7</v>
      </c>
      <c r="J1369" s="300">
        <v>-8.520867573E7</v>
      </c>
      <c r="K1369" s="301">
        <v>0.0</v>
      </c>
    </row>
    <row r="1370" ht="15.75" customHeight="1">
      <c r="A1370" s="286" t="s">
        <v>300</v>
      </c>
      <c r="B1370" s="287">
        <v>180.0</v>
      </c>
      <c r="C1370" s="286" t="s">
        <v>253</v>
      </c>
      <c r="D1370" s="287" t="s">
        <v>866</v>
      </c>
      <c r="E1370" s="286" t="s">
        <v>438</v>
      </c>
      <c r="F1370" s="286" t="s">
        <v>1344</v>
      </c>
      <c r="G1370" s="288">
        <v>27050.63</v>
      </c>
      <c r="H1370" s="288">
        <v>0.0</v>
      </c>
      <c r="I1370" s="289">
        <v>27050.63</v>
      </c>
      <c r="J1370" s="290"/>
      <c r="K1370" s="7"/>
    </row>
    <row r="1371" ht="15.75" customHeight="1">
      <c r="A1371" s="296" t="s">
        <v>300</v>
      </c>
      <c r="B1371" s="296">
        <v>180.0</v>
      </c>
      <c r="C1371" s="297" t="s">
        <v>253</v>
      </c>
      <c r="D1371" s="296" t="s">
        <v>320</v>
      </c>
      <c r="E1371" s="298"/>
      <c r="F1371" s="297" t="s">
        <v>321</v>
      </c>
      <c r="G1371" s="299">
        <v>27050.63</v>
      </c>
      <c r="H1371" s="299">
        <v>0.0</v>
      </c>
      <c r="I1371" s="300">
        <v>27050.63</v>
      </c>
      <c r="J1371" s="300">
        <v>27050.63</v>
      </c>
      <c r="K1371" s="301">
        <v>0.0</v>
      </c>
    </row>
    <row r="1372" ht="15.75" customHeight="1">
      <c r="A1372" s="286" t="s">
        <v>300</v>
      </c>
      <c r="B1372" s="287">
        <v>182.0</v>
      </c>
      <c r="C1372" s="286" t="s">
        <v>255</v>
      </c>
      <c r="D1372" s="287" t="s">
        <v>624</v>
      </c>
      <c r="E1372" s="286"/>
      <c r="F1372" s="286" t="s">
        <v>1345</v>
      </c>
      <c r="G1372" s="288">
        <v>0.0</v>
      </c>
      <c r="H1372" s="288">
        <v>1.44</v>
      </c>
      <c r="I1372" s="289">
        <v>-1.44</v>
      </c>
      <c r="J1372" s="290"/>
      <c r="K1372" s="7"/>
    </row>
    <row r="1373" ht="15.75" customHeight="1">
      <c r="A1373" s="291" t="s">
        <v>300</v>
      </c>
      <c r="B1373" s="292">
        <v>182.0</v>
      </c>
      <c r="C1373" s="291" t="s">
        <v>255</v>
      </c>
      <c r="D1373" s="292" t="s">
        <v>624</v>
      </c>
      <c r="E1373" s="291" t="s">
        <v>438</v>
      </c>
      <c r="F1373" s="291" t="s">
        <v>1346</v>
      </c>
      <c r="G1373" s="293">
        <v>6619928.0</v>
      </c>
      <c r="H1373" s="293">
        <v>0.0</v>
      </c>
      <c r="I1373" s="294">
        <v>6619928.0</v>
      </c>
      <c r="J1373" s="295"/>
      <c r="K1373" s="7"/>
    </row>
    <row r="1374" ht="15.75" customHeight="1">
      <c r="A1374" s="286" t="s">
        <v>300</v>
      </c>
      <c r="B1374" s="287">
        <v>182.0</v>
      </c>
      <c r="C1374" s="286" t="s">
        <v>255</v>
      </c>
      <c r="D1374" s="287" t="s">
        <v>624</v>
      </c>
      <c r="E1374" s="286"/>
      <c r="F1374" s="286" t="s">
        <v>1347</v>
      </c>
      <c r="G1374" s="288">
        <v>2350694.71</v>
      </c>
      <c r="H1374" s="288">
        <v>0.0</v>
      </c>
      <c r="I1374" s="289">
        <v>2350694.71</v>
      </c>
      <c r="J1374" s="290"/>
      <c r="K1374" s="7"/>
    </row>
    <row r="1375" ht="15.75" customHeight="1">
      <c r="A1375" s="291" t="s">
        <v>300</v>
      </c>
      <c r="B1375" s="292">
        <v>182.0</v>
      </c>
      <c r="C1375" s="291" t="s">
        <v>255</v>
      </c>
      <c r="D1375" s="292" t="s">
        <v>624</v>
      </c>
      <c r="E1375" s="291"/>
      <c r="F1375" s="291" t="s">
        <v>1348</v>
      </c>
      <c r="G1375" s="293">
        <v>0.0</v>
      </c>
      <c r="H1375" s="293">
        <v>6619703.0</v>
      </c>
      <c r="I1375" s="294">
        <v>-6619703.0</v>
      </c>
      <c r="J1375" s="295"/>
      <c r="K1375" s="7"/>
    </row>
    <row r="1376" ht="15.75" customHeight="1">
      <c r="A1376" s="296" t="s">
        <v>300</v>
      </c>
      <c r="B1376" s="296">
        <v>182.0</v>
      </c>
      <c r="C1376" s="297" t="s">
        <v>255</v>
      </c>
      <c r="D1376" s="296" t="s">
        <v>320</v>
      </c>
      <c r="E1376" s="298"/>
      <c r="F1376" s="297" t="s">
        <v>321</v>
      </c>
      <c r="G1376" s="299">
        <v>8970622.71</v>
      </c>
      <c r="H1376" s="299">
        <v>6619704.44</v>
      </c>
      <c r="I1376" s="300">
        <v>2350918.27</v>
      </c>
      <c r="J1376" s="300">
        <v>2350918.27</v>
      </c>
      <c r="K1376" s="301">
        <v>0.0</v>
      </c>
    </row>
    <row r="1377" ht="15.75" customHeight="1">
      <c r="A1377" s="286" t="s">
        <v>300</v>
      </c>
      <c r="B1377" s="287">
        <v>184.0</v>
      </c>
      <c r="C1377" s="286" t="s">
        <v>256</v>
      </c>
      <c r="D1377" s="287" t="s">
        <v>626</v>
      </c>
      <c r="E1377" s="286"/>
      <c r="F1377" s="286" t="s">
        <v>1349</v>
      </c>
      <c r="G1377" s="288">
        <v>5.1250147288E8</v>
      </c>
      <c r="H1377" s="288">
        <v>0.0</v>
      </c>
      <c r="I1377" s="289">
        <v>5.1250147288E8</v>
      </c>
      <c r="J1377" s="290"/>
      <c r="K1377" s="7"/>
    </row>
    <row r="1378" ht="15.75" customHeight="1">
      <c r="A1378" s="296" t="s">
        <v>300</v>
      </c>
      <c r="B1378" s="296">
        <v>184.0</v>
      </c>
      <c r="C1378" s="297" t="s">
        <v>256</v>
      </c>
      <c r="D1378" s="296" t="s">
        <v>320</v>
      </c>
      <c r="E1378" s="298"/>
      <c r="F1378" s="297" t="s">
        <v>321</v>
      </c>
      <c r="G1378" s="299">
        <v>5.1250147288E8</v>
      </c>
      <c r="H1378" s="299">
        <v>0.0</v>
      </c>
      <c r="I1378" s="300">
        <v>5.1250147288E8</v>
      </c>
      <c r="J1378" s="300">
        <v>5.1250147288E8</v>
      </c>
      <c r="K1378" s="301">
        <v>0.0</v>
      </c>
    </row>
  </sheetData>
  <autoFilter ref="$A$6:$K$1378"/>
  <mergeCells count="3">
    <mergeCell ref="A1:K1"/>
    <mergeCell ref="A2:K2"/>
    <mergeCell ref="B4:C4"/>
  </mergeCells>
  <dataValidations>
    <dataValidation type="list" allowBlank="1" sqref="E3">
      <formula1>"Ene,Feb,Mar,Abr"</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2.63" defaultRowHeight="15.0"/>
  <cols>
    <col customWidth="1" min="1" max="1" width="26.5"/>
    <col customWidth="1" min="2" max="3" width="15.0"/>
    <col customWidth="1" min="4" max="4" width="11.13"/>
    <col customWidth="1" min="5" max="5" width="12.88"/>
    <col customWidth="1" min="6" max="6" width="11.13"/>
    <col customWidth="1" min="7" max="7" width="6.75"/>
    <col customWidth="1" min="8" max="8" width="27.5"/>
    <col customWidth="1" min="9" max="10" width="15.25"/>
    <col customWidth="1" min="11" max="11" width="11.63"/>
    <col customWidth="1" min="12" max="12" width="12.88"/>
    <col customWidth="1" min="13" max="13" width="12.0"/>
    <col customWidth="1" min="14" max="26" width="10.63"/>
  </cols>
  <sheetData>
    <row r="1" ht="7.5" customHeight="1">
      <c r="A1" s="7"/>
      <c r="B1" s="7"/>
      <c r="C1" s="7"/>
      <c r="D1" s="303"/>
      <c r="E1" s="303"/>
      <c r="F1" s="303"/>
      <c r="G1" s="7"/>
      <c r="H1" s="7"/>
      <c r="I1" s="7"/>
      <c r="J1" s="7"/>
      <c r="K1" s="303"/>
      <c r="L1" s="303"/>
      <c r="M1" s="303"/>
      <c r="N1" s="7"/>
      <c r="O1" s="7"/>
      <c r="P1" s="7"/>
      <c r="Q1" s="7"/>
      <c r="R1" s="7"/>
      <c r="S1" s="7"/>
      <c r="T1" s="7"/>
      <c r="U1" s="7"/>
      <c r="V1" s="7"/>
      <c r="W1" s="7"/>
      <c r="X1" s="7"/>
      <c r="Y1" s="7"/>
      <c r="Z1" s="7"/>
      <c r="AA1" s="7"/>
      <c r="AB1" s="7"/>
    </row>
    <row r="2" ht="14.25" hidden="1" customHeight="1">
      <c r="A2" s="7"/>
      <c r="B2" s="7"/>
      <c r="C2" s="304" t="s">
        <v>1350</v>
      </c>
      <c r="D2" s="303"/>
      <c r="E2" s="303"/>
      <c r="F2" s="303"/>
      <c r="G2" s="7"/>
      <c r="H2" s="7"/>
      <c r="I2" s="304" t="s">
        <v>1350</v>
      </c>
      <c r="J2" s="7"/>
      <c r="K2" s="303"/>
      <c r="L2" s="303"/>
      <c r="M2" s="305"/>
      <c r="N2" s="53"/>
      <c r="O2" s="7"/>
      <c r="P2" s="7"/>
      <c r="Q2" s="7"/>
      <c r="R2" s="7"/>
      <c r="S2" s="7"/>
      <c r="T2" s="7"/>
      <c r="U2" s="7"/>
      <c r="V2" s="7"/>
      <c r="W2" s="7"/>
      <c r="X2" s="7"/>
      <c r="Y2" s="7"/>
      <c r="Z2" s="7"/>
      <c r="AA2" s="7"/>
      <c r="AB2" s="7"/>
    </row>
    <row r="3" ht="6.0" hidden="1" customHeight="1">
      <c r="A3" s="7"/>
      <c r="B3" s="7"/>
      <c r="C3" s="7"/>
      <c r="D3" s="303"/>
      <c r="E3" s="303"/>
      <c r="F3" s="303"/>
      <c r="G3" s="7"/>
      <c r="H3" s="7"/>
      <c r="I3" s="7"/>
      <c r="J3" s="7"/>
      <c r="K3" s="303"/>
      <c r="L3" s="303"/>
      <c r="M3" s="305"/>
      <c r="N3" s="53"/>
      <c r="O3" s="7"/>
      <c r="P3" s="7"/>
      <c r="Q3" s="7"/>
      <c r="R3" s="7"/>
      <c r="S3" s="7"/>
      <c r="T3" s="7"/>
      <c r="U3" s="7"/>
      <c r="V3" s="7"/>
      <c r="W3" s="7"/>
      <c r="X3" s="7"/>
      <c r="Y3" s="7"/>
      <c r="Z3" s="7"/>
      <c r="AA3" s="7"/>
      <c r="AB3" s="7"/>
    </row>
    <row r="4" ht="14.25" hidden="1" customHeight="1">
      <c r="A4" s="200" t="s">
        <v>1351</v>
      </c>
      <c r="B4" s="306" t="s">
        <v>1352</v>
      </c>
      <c r="C4" s="306" t="s">
        <v>1353</v>
      </c>
      <c r="D4" s="307" t="s">
        <v>1354</v>
      </c>
      <c r="E4" s="307" t="s">
        <v>1355</v>
      </c>
      <c r="F4" s="308" t="s">
        <v>1356</v>
      </c>
      <c r="G4" s="7"/>
      <c r="H4" s="200" t="s">
        <v>1351</v>
      </c>
      <c r="I4" s="306" t="s">
        <v>1353</v>
      </c>
      <c r="J4" s="306" t="s">
        <v>1352</v>
      </c>
      <c r="K4" s="307" t="s">
        <v>1354</v>
      </c>
      <c r="L4" s="307" t="s">
        <v>1355</v>
      </c>
      <c r="M4" s="305"/>
      <c r="N4" s="7"/>
      <c r="O4" s="7"/>
      <c r="P4" s="7"/>
      <c r="Q4" s="7"/>
      <c r="R4" s="7"/>
      <c r="S4" s="7"/>
      <c r="T4" s="7"/>
      <c r="U4" s="7"/>
      <c r="V4" s="7"/>
      <c r="W4" s="7"/>
      <c r="X4" s="7"/>
      <c r="Y4" s="7"/>
      <c r="Z4" s="7"/>
      <c r="AA4" s="7"/>
      <c r="AB4" s="7"/>
    </row>
    <row r="5" ht="14.25" hidden="1" customHeight="1">
      <c r="A5" s="304" t="s">
        <v>1357</v>
      </c>
      <c r="B5" s="309" t="s">
        <v>6</v>
      </c>
      <c r="C5" s="309" t="s">
        <v>1358</v>
      </c>
      <c r="D5" s="310" t="s">
        <v>1356</v>
      </c>
      <c r="E5" s="307" t="s">
        <v>1359</v>
      </c>
      <c r="F5" s="311" t="s">
        <v>1360</v>
      </c>
      <c r="G5" s="7"/>
      <c r="H5" s="304" t="s">
        <v>1357</v>
      </c>
      <c r="I5" s="309" t="s">
        <v>1358</v>
      </c>
      <c r="J5" s="309" t="s">
        <v>1358</v>
      </c>
      <c r="K5" s="310" t="s">
        <v>1356</v>
      </c>
      <c r="L5" s="307" t="s">
        <v>1361</v>
      </c>
      <c r="M5" s="305"/>
      <c r="N5" s="7"/>
      <c r="O5" s="7"/>
      <c r="P5" s="7"/>
      <c r="Q5" s="7"/>
      <c r="R5" s="7"/>
      <c r="S5" s="7"/>
      <c r="T5" s="7"/>
      <c r="U5" s="7"/>
      <c r="V5" s="7"/>
      <c r="W5" s="7"/>
      <c r="X5" s="7"/>
      <c r="Y5" s="7"/>
      <c r="Z5" s="7"/>
      <c r="AA5" s="7"/>
      <c r="AB5" s="7"/>
    </row>
    <row r="6" ht="14.25" hidden="1" customHeight="1">
      <c r="A6" s="312" t="s">
        <v>9</v>
      </c>
      <c r="B6" s="313">
        <f>+'REAL-BDGT2026'!V7</f>
        <v>7805852787</v>
      </c>
      <c r="C6" s="313" t="str">
        <f>+'REAL-BDGT2026'!#REF!</f>
        <v>#ERROR!</v>
      </c>
      <c r="D6" s="314" t="str">
        <f t="shared" ref="D6:D9" si="1">+B6/C6-1</f>
        <v>#ERROR!</v>
      </c>
      <c r="E6" s="314">
        <v>0.1956</v>
      </c>
      <c r="F6" s="315" t="str">
        <f t="shared" ref="F6:F9" si="2">(+D6-$E$6)</f>
        <v>#ERROR!</v>
      </c>
      <c r="G6" s="7"/>
      <c r="H6" s="312" t="s">
        <v>9</v>
      </c>
      <c r="I6" s="313" t="str">
        <f t="shared" ref="I6:I8" si="3">+C6</f>
        <v>#ERROR!</v>
      </c>
      <c r="J6" s="313" t="str">
        <f>+'REAL-BDGT2026'!#REF!</f>
        <v>#ERROR!</v>
      </c>
      <c r="K6" s="315" t="str">
        <f t="shared" ref="K6:K9" si="4">+I6/J6-1</f>
        <v>#ERROR!</v>
      </c>
      <c r="L6" s="314">
        <v>0.2982</v>
      </c>
      <c r="M6" s="314"/>
      <c r="N6" s="7"/>
      <c r="O6" s="7"/>
      <c r="P6" s="7"/>
      <c r="Q6" s="7"/>
      <c r="R6" s="7"/>
      <c r="S6" s="7"/>
      <c r="T6" s="7"/>
      <c r="U6" s="7"/>
      <c r="V6" s="7"/>
      <c r="W6" s="7"/>
      <c r="X6" s="7"/>
      <c r="Y6" s="7"/>
      <c r="Z6" s="7"/>
      <c r="AA6" s="7"/>
      <c r="AB6" s="7"/>
    </row>
    <row r="7" ht="14.25" hidden="1" customHeight="1">
      <c r="A7" s="312" t="s">
        <v>20</v>
      </c>
      <c r="B7" s="316">
        <f>+'REAL-BDGT2026'!V20</f>
        <v>546102933.9</v>
      </c>
      <c r="C7" s="316" t="str">
        <f>+'REAL-BDGT2026'!#REF!</f>
        <v>#ERROR!</v>
      </c>
      <c r="D7" s="314" t="str">
        <f t="shared" si="1"/>
        <v>#ERROR!</v>
      </c>
      <c r="E7" s="303"/>
      <c r="F7" s="315" t="str">
        <f t="shared" si="2"/>
        <v>#ERROR!</v>
      </c>
      <c r="G7" s="7"/>
      <c r="H7" s="312" t="s">
        <v>20</v>
      </c>
      <c r="I7" s="313" t="str">
        <f t="shared" si="3"/>
        <v>#ERROR!</v>
      </c>
      <c r="J7" s="313" t="str">
        <f>+'REAL-BDGT2026'!#REF!</f>
        <v>#ERROR!</v>
      </c>
      <c r="K7" s="315" t="str">
        <f t="shared" si="4"/>
        <v>#ERROR!</v>
      </c>
      <c r="L7" s="303"/>
      <c r="M7" s="314"/>
      <c r="N7" s="7"/>
      <c r="O7" s="7"/>
      <c r="P7" s="7"/>
      <c r="Q7" s="7"/>
      <c r="R7" s="7"/>
      <c r="S7" s="7"/>
      <c r="T7" s="7"/>
      <c r="U7" s="7"/>
      <c r="V7" s="7"/>
      <c r="W7" s="7"/>
      <c r="X7" s="7"/>
      <c r="Y7" s="7"/>
      <c r="Z7" s="7"/>
      <c r="AA7" s="7"/>
      <c r="AB7" s="7"/>
    </row>
    <row r="8" ht="14.25" hidden="1" customHeight="1">
      <c r="A8" s="312" t="s">
        <v>38</v>
      </c>
      <c r="B8" s="316">
        <f>+'REAL-BDGT2026'!V37</f>
        <v>48138561.58</v>
      </c>
      <c r="C8" s="316" t="str">
        <f>+'REAL-BDGT2026'!#REF!</f>
        <v>#ERROR!</v>
      </c>
      <c r="D8" s="314" t="str">
        <f t="shared" si="1"/>
        <v>#ERROR!</v>
      </c>
      <c r="E8" s="303"/>
      <c r="F8" s="315" t="str">
        <f t="shared" si="2"/>
        <v>#ERROR!</v>
      </c>
      <c r="G8" s="7"/>
      <c r="H8" s="312" t="s">
        <v>38</v>
      </c>
      <c r="I8" s="313" t="str">
        <f t="shared" si="3"/>
        <v>#ERROR!</v>
      </c>
      <c r="J8" s="313" t="str">
        <f>+'REAL-BDGT2026'!#REF!</f>
        <v>#ERROR!</v>
      </c>
      <c r="K8" s="315" t="str">
        <f t="shared" si="4"/>
        <v>#ERROR!</v>
      </c>
      <c r="L8" s="303"/>
      <c r="M8" s="314"/>
      <c r="N8" s="7"/>
      <c r="O8" s="7"/>
      <c r="P8" s="7"/>
      <c r="Q8" s="7"/>
      <c r="R8" s="7"/>
      <c r="S8" s="7"/>
      <c r="T8" s="7"/>
      <c r="U8" s="7"/>
      <c r="V8" s="7"/>
      <c r="W8" s="7"/>
      <c r="X8" s="7"/>
      <c r="Y8" s="7"/>
      <c r="Z8" s="7"/>
      <c r="AA8" s="7"/>
      <c r="AB8" s="7"/>
    </row>
    <row r="9" ht="14.25" hidden="1" customHeight="1">
      <c r="A9" s="317" t="s">
        <v>1362</v>
      </c>
      <c r="B9" s="318">
        <f t="shared" ref="B9:C9" si="5">SUM(B6:B8)</f>
        <v>8400094283</v>
      </c>
      <c r="C9" s="318" t="str">
        <f t="shared" si="5"/>
        <v>#ERROR!</v>
      </c>
      <c r="D9" s="314" t="str">
        <f t="shared" si="1"/>
        <v>#ERROR!</v>
      </c>
      <c r="E9" s="303"/>
      <c r="F9" s="315" t="str">
        <f t="shared" si="2"/>
        <v>#ERROR!</v>
      </c>
      <c r="G9" s="7"/>
      <c r="H9" s="317" t="s">
        <v>1362</v>
      </c>
      <c r="I9" s="318" t="str">
        <f t="shared" ref="I9:J9" si="6">SUM(I6:I8)</f>
        <v>#ERROR!</v>
      </c>
      <c r="J9" s="318" t="str">
        <f t="shared" si="6"/>
        <v>#ERROR!</v>
      </c>
      <c r="K9" s="315" t="str">
        <f t="shared" si="4"/>
        <v>#ERROR!</v>
      </c>
      <c r="L9" s="303"/>
      <c r="M9" s="314"/>
      <c r="N9" s="7"/>
      <c r="O9" s="7"/>
      <c r="P9" s="7"/>
      <c r="Q9" s="7"/>
      <c r="R9" s="7"/>
      <c r="S9" s="7"/>
      <c r="T9" s="7"/>
      <c r="U9" s="7"/>
      <c r="V9" s="7"/>
      <c r="W9" s="7"/>
      <c r="X9" s="7"/>
      <c r="Y9" s="7"/>
      <c r="Z9" s="7"/>
      <c r="AA9" s="7"/>
      <c r="AB9" s="7"/>
    </row>
    <row r="10" ht="21.0" hidden="1" customHeight="1">
      <c r="A10" s="200" t="s">
        <v>1363</v>
      </c>
      <c r="B10" s="7"/>
      <c r="C10" s="7"/>
      <c r="D10" s="303"/>
      <c r="E10" s="303"/>
      <c r="F10" s="319"/>
      <c r="G10" s="7"/>
      <c r="H10" s="200" t="s">
        <v>1363</v>
      </c>
      <c r="I10" s="7"/>
      <c r="J10" s="320"/>
      <c r="K10" s="319"/>
      <c r="L10" s="303"/>
      <c r="M10" s="303"/>
      <c r="N10" s="7"/>
      <c r="O10" s="7"/>
      <c r="P10" s="7"/>
      <c r="Q10" s="7"/>
      <c r="R10" s="7"/>
      <c r="S10" s="7"/>
      <c r="T10" s="7"/>
      <c r="U10" s="7"/>
      <c r="V10" s="7"/>
      <c r="W10" s="7"/>
      <c r="X10" s="7"/>
      <c r="Y10" s="7"/>
      <c r="Z10" s="7"/>
      <c r="AA10" s="7"/>
      <c r="AB10" s="7"/>
    </row>
    <row r="11" ht="14.25" hidden="1" customHeight="1">
      <c r="A11" s="321" t="s">
        <v>49</v>
      </c>
      <c r="B11" s="316">
        <f>+'REAL-BDGT2026'!V46</f>
        <v>148768230.8</v>
      </c>
      <c r="C11" s="316" t="str">
        <f>+'REAL-BDGT2026'!#REF!</f>
        <v>#ERROR!</v>
      </c>
      <c r="D11" s="314" t="str">
        <f t="shared" ref="D11:D21" si="7">+B11/C11-1</f>
        <v>#ERROR!</v>
      </c>
      <c r="E11" s="303"/>
      <c r="F11" s="315" t="str">
        <f t="shared" ref="F11:F21" si="8">(+D11-$E$6)</f>
        <v>#ERROR!</v>
      </c>
      <c r="G11" s="7"/>
      <c r="H11" s="321" t="s">
        <v>49</v>
      </c>
      <c r="I11" s="316" t="str">
        <f t="shared" ref="I11:I24" si="9">+C11</f>
        <v>#ERROR!</v>
      </c>
      <c r="J11" s="316" t="str">
        <f>+'REAL-BDGT2026'!#REF!</f>
        <v>#ERROR!</v>
      </c>
      <c r="K11" s="315" t="str">
        <f t="shared" ref="K11:K12" si="10">+I11/J11-1</f>
        <v>#ERROR!</v>
      </c>
      <c r="L11" s="303"/>
      <c r="M11" s="314"/>
      <c r="N11" s="7"/>
      <c r="O11" s="7"/>
      <c r="P11" s="7"/>
      <c r="Q11" s="7"/>
      <c r="R11" s="7"/>
      <c r="S11" s="7"/>
      <c r="T11" s="7"/>
      <c r="U11" s="7"/>
      <c r="V11" s="7"/>
      <c r="W11" s="7"/>
      <c r="X11" s="7"/>
      <c r="Y11" s="7"/>
      <c r="Z11" s="7"/>
      <c r="AA11" s="7"/>
      <c r="AB11" s="7"/>
    </row>
    <row r="12" ht="14.25" hidden="1" customHeight="1">
      <c r="A12" s="321" t="s">
        <v>65</v>
      </c>
      <c r="B12" s="316">
        <f>+'REAL-BDGT2026'!V58</f>
        <v>12554860.99</v>
      </c>
      <c r="C12" s="316" t="str">
        <f>+'REAL-BDGT2026'!#REF!</f>
        <v>#ERROR!</v>
      </c>
      <c r="D12" s="314" t="str">
        <f t="shared" si="7"/>
        <v>#ERROR!</v>
      </c>
      <c r="E12" s="303"/>
      <c r="F12" s="315" t="str">
        <f t="shared" si="8"/>
        <v>#ERROR!</v>
      </c>
      <c r="G12" s="7"/>
      <c r="H12" s="321" t="s">
        <v>65</v>
      </c>
      <c r="I12" s="313" t="str">
        <f t="shared" si="9"/>
        <v>#ERROR!</v>
      </c>
      <c r="J12" s="313" t="str">
        <f>+'REAL-BDGT2026'!#REF!</f>
        <v>#ERROR!</v>
      </c>
      <c r="K12" s="315" t="str">
        <f t="shared" si="10"/>
        <v>#ERROR!</v>
      </c>
      <c r="L12" s="303"/>
      <c r="M12" s="314"/>
      <c r="N12" s="7"/>
      <c r="O12" s="7"/>
      <c r="P12" s="7"/>
      <c r="Q12" s="7"/>
      <c r="R12" s="7"/>
      <c r="S12" s="7"/>
      <c r="T12" s="7"/>
      <c r="U12" s="7"/>
      <c r="V12" s="7"/>
      <c r="W12" s="7"/>
      <c r="X12" s="7"/>
      <c r="Y12" s="7"/>
      <c r="Z12" s="7"/>
      <c r="AA12" s="7"/>
      <c r="AB12" s="7"/>
    </row>
    <row r="13" ht="14.25" hidden="1" customHeight="1">
      <c r="A13" s="321" t="s">
        <v>88</v>
      </c>
      <c r="B13" s="316">
        <f>+'REAL-BDGT2026'!V70</f>
        <v>21292482.56</v>
      </c>
      <c r="C13" s="316" t="str">
        <f>+'REAL-BDGT2026'!#REF!</f>
        <v>#ERROR!</v>
      </c>
      <c r="D13" s="314" t="str">
        <f t="shared" si="7"/>
        <v>#ERROR!</v>
      </c>
      <c r="E13" s="303"/>
      <c r="F13" s="315" t="str">
        <f t="shared" si="8"/>
        <v>#ERROR!</v>
      </c>
      <c r="G13" s="7"/>
      <c r="H13" s="321" t="s">
        <v>88</v>
      </c>
      <c r="I13" s="313" t="str">
        <f t="shared" si="9"/>
        <v>#ERROR!</v>
      </c>
      <c r="J13" s="313" t="str">
        <f>+'REAL-BDGT2026'!#REF!</f>
        <v>#ERROR!</v>
      </c>
      <c r="K13" s="315">
        <v>1.0</v>
      </c>
      <c r="L13" s="303"/>
      <c r="M13" s="314"/>
      <c r="N13" s="7"/>
      <c r="O13" s="7"/>
      <c r="P13" s="7"/>
      <c r="Q13" s="7"/>
      <c r="R13" s="7"/>
      <c r="S13" s="7"/>
      <c r="T13" s="7"/>
      <c r="U13" s="7"/>
      <c r="V13" s="7"/>
      <c r="W13" s="7"/>
      <c r="X13" s="7"/>
      <c r="Y13" s="7"/>
      <c r="Z13" s="7"/>
      <c r="AA13" s="7"/>
      <c r="AB13" s="7"/>
    </row>
    <row r="14" ht="14.25" hidden="1" customHeight="1">
      <c r="A14" s="321" t="s">
        <v>91</v>
      </c>
      <c r="B14" s="316">
        <f>+'REAL-BDGT2026'!V73</f>
        <v>0</v>
      </c>
      <c r="C14" s="316" t="str">
        <f>+'REAL-BDGT2026'!#REF!</f>
        <v>#ERROR!</v>
      </c>
      <c r="D14" s="314" t="str">
        <f t="shared" si="7"/>
        <v>#ERROR!</v>
      </c>
      <c r="E14" s="303"/>
      <c r="F14" s="315" t="str">
        <f t="shared" si="8"/>
        <v>#ERROR!</v>
      </c>
      <c r="G14" s="7"/>
      <c r="H14" s="321" t="s">
        <v>91</v>
      </c>
      <c r="I14" s="313" t="str">
        <f t="shared" si="9"/>
        <v>#ERROR!</v>
      </c>
      <c r="J14" s="313" t="str">
        <f>+'REAL-BDGT2026'!#REF!</f>
        <v>#ERROR!</v>
      </c>
      <c r="K14" s="315">
        <v>1.0</v>
      </c>
      <c r="L14" s="303"/>
      <c r="M14" s="314"/>
      <c r="N14" s="7"/>
      <c r="O14" s="7"/>
      <c r="P14" s="7"/>
      <c r="Q14" s="7"/>
      <c r="R14" s="7"/>
      <c r="S14" s="7"/>
      <c r="T14" s="7"/>
      <c r="U14" s="7"/>
      <c r="V14" s="7"/>
      <c r="W14" s="7"/>
      <c r="X14" s="7"/>
      <c r="Y14" s="7"/>
      <c r="Z14" s="7"/>
      <c r="AA14" s="7"/>
      <c r="AB14" s="7"/>
    </row>
    <row r="15" ht="14.25" hidden="1" customHeight="1">
      <c r="A15" s="321" t="s">
        <v>95</v>
      </c>
      <c r="B15" s="316">
        <f>+'REAL-BDGT2026'!V75</f>
        <v>52937079.23</v>
      </c>
      <c r="C15" s="316" t="str">
        <f>+'REAL-BDGT2026'!#REF!</f>
        <v>#ERROR!</v>
      </c>
      <c r="D15" s="314" t="str">
        <f t="shared" si="7"/>
        <v>#ERROR!</v>
      </c>
      <c r="E15" s="303"/>
      <c r="F15" s="315" t="str">
        <f t="shared" si="8"/>
        <v>#ERROR!</v>
      </c>
      <c r="G15" s="7"/>
      <c r="H15" s="321" t="s">
        <v>95</v>
      </c>
      <c r="I15" s="313" t="str">
        <f t="shared" si="9"/>
        <v>#ERROR!</v>
      </c>
      <c r="J15" s="313" t="str">
        <f>+'REAL-BDGT2026'!#REF!</f>
        <v>#ERROR!</v>
      </c>
      <c r="K15" s="315" t="str">
        <f t="shared" ref="K15:K20" si="11">+I15/J15-1</f>
        <v>#ERROR!</v>
      </c>
      <c r="L15" s="303"/>
      <c r="M15" s="314"/>
      <c r="N15" s="7"/>
      <c r="O15" s="7"/>
      <c r="P15" s="7"/>
      <c r="Q15" s="7"/>
      <c r="R15" s="7"/>
      <c r="S15" s="7"/>
      <c r="T15" s="7"/>
      <c r="U15" s="7"/>
      <c r="V15" s="7"/>
      <c r="W15" s="7"/>
      <c r="X15" s="7"/>
      <c r="Y15" s="7"/>
      <c r="Z15" s="7"/>
      <c r="AA15" s="7"/>
      <c r="AB15" s="7"/>
    </row>
    <row r="16" ht="14.25" hidden="1" customHeight="1">
      <c r="A16" s="321" t="s">
        <v>103</v>
      </c>
      <c r="B16" s="316">
        <f>+'REAL-BDGT2026'!V81</f>
        <v>111707511.4</v>
      </c>
      <c r="C16" s="316" t="str">
        <f>+'REAL-BDGT2026'!#REF!</f>
        <v>#ERROR!</v>
      </c>
      <c r="D16" s="314" t="str">
        <f t="shared" si="7"/>
        <v>#ERROR!</v>
      </c>
      <c r="E16" s="303"/>
      <c r="F16" s="315" t="str">
        <f t="shared" si="8"/>
        <v>#ERROR!</v>
      </c>
      <c r="G16" s="7"/>
      <c r="H16" s="321" t="s">
        <v>103</v>
      </c>
      <c r="I16" s="313" t="str">
        <f t="shared" si="9"/>
        <v>#ERROR!</v>
      </c>
      <c r="J16" s="313" t="str">
        <f>+'REAL-BDGT2026'!#REF!</f>
        <v>#ERROR!</v>
      </c>
      <c r="K16" s="315" t="str">
        <f t="shared" si="11"/>
        <v>#ERROR!</v>
      </c>
      <c r="L16" s="303"/>
      <c r="M16" s="314"/>
      <c r="N16" s="7"/>
      <c r="O16" s="7"/>
      <c r="P16" s="7"/>
      <c r="Q16" s="7"/>
      <c r="R16" s="7"/>
      <c r="S16" s="7"/>
      <c r="T16" s="7"/>
      <c r="U16" s="7"/>
      <c r="V16" s="7"/>
      <c r="W16" s="7"/>
      <c r="X16" s="7"/>
      <c r="Y16" s="7"/>
      <c r="Z16" s="7"/>
      <c r="AA16" s="7"/>
      <c r="AB16" s="7"/>
    </row>
    <row r="17" ht="14.25" hidden="1" customHeight="1">
      <c r="A17" s="321" t="s">
        <v>118</v>
      </c>
      <c r="B17" s="316">
        <f>+'REAL-BDGT2026'!V87</f>
        <v>477920332.5</v>
      </c>
      <c r="C17" s="316" t="str">
        <f>+'REAL-BDGT2026'!#REF!</f>
        <v>#ERROR!</v>
      </c>
      <c r="D17" s="314" t="str">
        <f t="shared" si="7"/>
        <v>#ERROR!</v>
      </c>
      <c r="E17" s="303"/>
      <c r="F17" s="315" t="str">
        <f t="shared" si="8"/>
        <v>#ERROR!</v>
      </c>
      <c r="G17" s="7"/>
      <c r="H17" s="321" t="s">
        <v>118</v>
      </c>
      <c r="I17" s="313" t="str">
        <f t="shared" si="9"/>
        <v>#ERROR!</v>
      </c>
      <c r="J17" s="313" t="str">
        <f>+'REAL-BDGT2026'!#REF!</f>
        <v>#ERROR!</v>
      </c>
      <c r="K17" s="315" t="str">
        <f t="shared" si="11"/>
        <v>#ERROR!</v>
      </c>
      <c r="L17" s="303"/>
      <c r="M17" s="314"/>
      <c r="N17" s="7"/>
      <c r="O17" s="7"/>
      <c r="P17" s="7"/>
      <c r="Q17" s="7"/>
      <c r="R17" s="7"/>
      <c r="S17" s="7"/>
      <c r="T17" s="7"/>
      <c r="U17" s="7"/>
      <c r="V17" s="7"/>
      <c r="W17" s="7"/>
      <c r="X17" s="7"/>
      <c r="Y17" s="7"/>
      <c r="Z17" s="7"/>
      <c r="AA17" s="7"/>
      <c r="AB17" s="7"/>
    </row>
    <row r="18" ht="14.25" hidden="1" customHeight="1">
      <c r="A18" s="321" t="s">
        <v>125</v>
      </c>
      <c r="B18" s="316">
        <f>+'REAL-BDGT2026'!V93</f>
        <v>28560202</v>
      </c>
      <c r="C18" s="316" t="str">
        <f>+'REAL-BDGT2026'!#REF!</f>
        <v>#ERROR!</v>
      </c>
      <c r="D18" s="314" t="str">
        <f t="shared" si="7"/>
        <v>#ERROR!</v>
      </c>
      <c r="E18" s="303"/>
      <c r="F18" s="315" t="str">
        <f t="shared" si="8"/>
        <v>#ERROR!</v>
      </c>
      <c r="G18" s="7"/>
      <c r="H18" s="321" t="s">
        <v>125</v>
      </c>
      <c r="I18" s="313" t="str">
        <f t="shared" si="9"/>
        <v>#ERROR!</v>
      </c>
      <c r="J18" s="313" t="str">
        <f>+'REAL-BDGT2026'!#REF!</f>
        <v>#ERROR!</v>
      </c>
      <c r="K18" s="315" t="str">
        <f t="shared" si="11"/>
        <v>#ERROR!</v>
      </c>
      <c r="L18" s="303"/>
      <c r="M18" s="314"/>
      <c r="N18" s="7"/>
      <c r="O18" s="7"/>
      <c r="P18" s="7"/>
      <c r="Q18" s="7"/>
      <c r="R18" s="7"/>
      <c r="S18" s="7"/>
      <c r="T18" s="7"/>
      <c r="U18" s="7"/>
      <c r="V18" s="7"/>
      <c r="W18" s="7"/>
      <c r="X18" s="7"/>
      <c r="Y18" s="7"/>
      <c r="Z18" s="7"/>
      <c r="AA18" s="7"/>
      <c r="AB18" s="7"/>
    </row>
    <row r="19" ht="14.25" hidden="1" customHeight="1">
      <c r="A19" s="321" t="s">
        <v>148</v>
      </c>
      <c r="B19" s="316">
        <f>+'REAL-BDGT2026'!V106</f>
        <v>601246375.4</v>
      </c>
      <c r="C19" s="316" t="str">
        <f>+'REAL-BDGT2026'!#REF!</f>
        <v>#ERROR!</v>
      </c>
      <c r="D19" s="314" t="str">
        <f t="shared" si="7"/>
        <v>#ERROR!</v>
      </c>
      <c r="E19" s="314"/>
      <c r="F19" s="315" t="str">
        <f t="shared" si="8"/>
        <v>#ERROR!</v>
      </c>
      <c r="G19" s="7"/>
      <c r="H19" s="321" t="s">
        <v>148</v>
      </c>
      <c r="I19" s="313" t="str">
        <f t="shared" si="9"/>
        <v>#ERROR!</v>
      </c>
      <c r="J19" s="313" t="str">
        <f>+'REAL-BDGT2026'!#REF!</f>
        <v>#ERROR!</v>
      </c>
      <c r="K19" s="315" t="str">
        <f t="shared" si="11"/>
        <v>#ERROR!</v>
      </c>
      <c r="L19" s="314"/>
      <c r="M19" s="314"/>
      <c r="N19" s="7"/>
      <c r="O19" s="7"/>
      <c r="P19" s="7"/>
      <c r="Q19" s="7"/>
      <c r="R19" s="7"/>
      <c r="S19" s="7"/>
      <c r="T19" s="7"/>
      <c r="U19" s="7"/>
      <c r="V19" s="7"/>
      <c r="W19" s="7"/>
      <c r="X19" s="7"/>
      <c r="Y19" s="7"/>
      <c r="Z19" s="7"/>
      <c r="AA19" s="7"/>
      <c r="AB19" s="7"/>
    </row>
    <row r="20" ht="14.25" hidden="1" customHeight="1">
      <c r="A20" s="321" t="s">
        <v>182</v>
      </c>
      <c r="B20" s="316">
        <f>+'REAL-BDGT2026'!V128</f>
        <v>43401843.11</v>
      </c>
      <c r="C20" s="316" t="str">
        <f>+'REAL-BDGT2026'!#REF!</f>
        <v>#ERROR!</v>
      </c>
      <c r="D20" s="314" t="str">
        <f t="shared" si="7"/>
        <v>#ERROR!</v>
      </c>
      <c r="E20" s="314"/>
      <c r="F20" s="315" t="str">
        <f t="shared" si="8"/>
        <v>#ERROR!</v>
      </c>
      <c r="G20" s="7"/>
      <c r="H20" s="321" t="s">
        <v>182</v>
      </c>
      <c r="I20" s="313" t="str">
        <f t="shared" si="9"/>
        <v>#ERROR!</v>
      </c>
      <c r="J20" s="313" t="str">
        <f>+'REAL-BDGT2026'!#REF!</f>
        <v>#ERROR!</v>
      </c>
      <c r="K20" s="315" t="str">
        <f t="shared" si="11"/>
        <v>#ERROR!</v>
      </c>
      <c r="L20" s="314"/>
      <c r="M20" s="314"/>
      <c r="N20" s="7"/>
      <c r="O20" s="7"/>
      <c r="P20" s="7"/>
      <c r="Q20" s="7"/>
      <c r="R20" s="7"/>
      <c r="S20" s="7"/>
      <c r="T20" s="7"/>
      <c r="U20" s="7"/>
      <c r="V20" s="7"/>
      <c r="W20" s="7"/>
      <c r="X20" s="7"/>
      <c r="Y20" s="7"/>
      <c r="Z20" s="7"/>
      <c r="AA20" s="7"/>
      <c r="AB20" s="7"/>
    </row>
    <row r="21" ht="14.25" hidden="1" customHeight="1">
      <c r="A21" s="321" t="s">
        <v>226</v>
      </c>
      <c r="B21" s="316">
        <f>+'REAL-BDGT2026'!V151</f>
        <v>55388958.6</v>
      </c>
      <c r="C21" s="316" t="str">
        <f>+'REAL-BDGT2026'!#REF!</f>
        <v>#ERROR!</v>
      </c>
      <c r="D21" s="314" t="str">
        <f t="shared" si="7"/>
        <v>#ERROR!</v>
      </c>
      <c r="E21" s="314"/>
      <c r="F21" s="315" t="str">
        <f t="shared" si="8"/>
        <v>#ERROR!</v>
      </c>
      <c r="G21" s="7"/>
      <c r="H21" s="321" t="s">
        <v>226</v>
      </c>
      <c r="I21" s="313" t="str">
        <f t="shared" si="9"/>
        <v>#ERROR!</v>
      </c>
      <c r="J21" s="313" t="str">
        <f>+'REAL-BDGT2026'!#REF!</f>
        <v>#ERROR!</v>
      </c>
      <c r="K21" s="315">
        <v>1.0</v>
      </c>
      <c r="L21" s="314"/>
      <c r="M21" s="314"/>
      <c r="N21" s="7"/>
      <c r="O21" s="7"/>
      <c r="P21" s="7"/>
      <c r="Q21" s="7"/>
      <c r="R21" s="7"/>
      <c r="S21" s="7"/>
      <c r="T21" s="7"/>
      <c r="U21" s="7"/>
      <c r="V21" s="7"/>
      <c r="W21" s="7"/>
      <c r="X21" s="7"/>
      <c r="Y21" s="7"/>
      <c r="Z21" s="7"/>
      <c r="AA21" s="7"/>
      <c r="AB21" s="7"/>
    </row>
    <row r="22" ht="14.25" hidden="1" customHeight="1">
      <c r="A22" s="321" t="s">
        <v>227</v>
      </c>
      <c r="B22" s="316">
        <f>+'REAL-BDGT2026'!V154</f>
        <v>0</v>
      </c>
      <c r="C22" s="316" t="str">
        <f>+'REAL-BDGT2026'!#REF!</f>
        <v>#ERROR!</v>
      </c>
      <c r="D22" s="314"/>
      <c r="E22" s="314"/>
      <c r="F22" s="319"/>
      <c r="G22" s="7"/>
      <c r="H22" s="321" t="s">
        <v>227</v>
      </c>
      <c r="I22" s="313" t="str">
        <f t="shared" si="9"/>
        <v>#ERROR!</v>
      </c>
      <c r="J22" s="313" t="str">
        <f>+'REAL-BDGT2026'!#REF!</f>
        <v>#ERROR!</v>
      </c>
      <c r="K22" s="315" t="str">
        <f t="shared" ref="K22:K23" si="12">+I22/J22-1</f>
        <v>#ERROR!</v>
      </c>
      <c r="L22" s="314"/>
      <c r="M22" s="305"/>
      <c r="N22" s="7"/>
      <c r="O22" s="7"/>
      <c r="P22" s="7"/>
      <c r="Q22" s="7"/>
      <c r="R22" s="7"/>
      <c r="S22" s="7"/>
      <c r="T22" s="7"/>
      <c r="U22" s="7"/>
      <c r="V22" s="7"/>
      <c r="W22" s="7"/>
      <c r="X22" s="7"/>
      <c r="Y22" s="7"/>
      <c r="Z22" s="7"/>
      <c r="AA22" s="7"/>
      <c r="AB22" s="7"/>
    </row>
    <row r="23" ht="14.25" hidden="1" customHeight="1">
      <c r="A23" s="321" t="s">
        <v>1364</v>
      </c>
      <c r="B23" s="316">
        <f>+'REAL-BDGT2026'!V157</f>
        <v>1458982437</v>
      </c>
      <c r="C23" s="316" t="str">
        <f>+'REAL-BDGT2026'!#REF!</f>
        <v>#ERROR!</v>
      </c>
      <c r="D23" s="314" t="str">
        <f>+B23/C23-1</f>
        <v>#ERROR!</v>
      </c>
      <c r="E23" s="314"/>
      <c r="F23" s="315" t="str">
        <f>(+D23-$E$6)</f>
        <v>#ERROR!</v>
      </c>
      <c r="G23" s="322"/>
      <c r="H23" s="321" t="s">
        <v>1364</v>
      </c>
      <c r="I23" s="313" t="str">
        <f t="shared" si="9"/>
        <v>#ERROR!</v>
      </c>
      <c r="J23" s="313" t="str">
        <f>+'REAL-BDGT2026'!#REF!</f>
        <v>#ERROR!</v>
      </c>
      <c r="K23" s="315" t="str">
        <f t="shared" si="12"/>
        <v>#ERROR!</v>
      </c>
      <c r="L23" s="314"/>
      <c r="M23" s="314"/>
      <c r="N23" s="7"/>
      <c r="O23" s="7"/>
      <c r="P23" s="7"/>
      <c r="Q23" s="7"/>
      <c r="R23" s="7"/>
      <c r="S23" s="7"/>
      <c r="T23" s="7"/>
      <c r="U23" s="7"/>
      <c r="V23" s="7"/>
      <c r="W23" s="7"/>
      <c r="X23" s="7"/>
      <c r="Y23" s="7"/>
      <c r="Z23" s="7"/>
      <c r="AA23" s="7"/>
      <c r="AB23" s="7"/>
    </row>
    <row r="24" ht="14.25" hidden="1" customHeight="1">
      <c r="A24" s="321" t="s">
        <v>240</v>
      </c>
      <c r="B24" s="316">
        <f>+'REAL-BDGT2026'!V166</f>
        <v>0</v>
      </c>
      <c r="C24" s="316" t="str">
        <f>+'REAL-BDGT2026'!#REF!</f>
        <v>#ERROR!</v>
      </c>
      <c r="D24" s="314"/>
      <c r="E24" s="314"/>
      <c r="F24" s="319"/>
      <c r="G24" s="322"/>
      <c r="H24" s="321" t="s">
        <v>240</v>
      </c>
      <c r="I24" s="313" t="str">
        <f t="shared" si="9"/>
        <v>#ERROR!</v>
      </c>
      <c r="J24" s="313" t="str">
        <f>+'REAL-BDGT2026'!#REF!</f>
        <v>#ERROR!</v>
      </c>
      <c r="K24" s="315"/>
      <c r="L24" s="314"/>
      <c r="M24" s="305"/>
      <c r="N24" s="7"/>
      <c r="O24" s="7"/>
      <c r="P24" s="7"/>
      <c r="Q24" s="7"/>
      <c r="R24" s="7"/>
      <c r="S24" s="7"/>
      <c r="T24" s="7"/>
      <c r="U24" s="7"/>
      <c r="V24" s="7"/>
      <c r="W24" s="7"/>
      <c r="X24" s="7"/>
      <c r="Y24" s="7"/>
      <c r="Z24" s="7"/>
      <c r="AA24" s="7"/>
      <c r="AB24" s="7"/>
    </row>
    <row r="25" ht="14.25" hidden="1" customHeight="1">
      <c r="A25" s="317" t="s">
        <v>1365</v>
      </c>
      <c r="B25" s="318">
        <f t="shared" ref="B25:C25" si="13">SUM(B11:B24)</f>
        <v>3012760313</v>
      </c>
      <c r="C25" s="318" t="str">
        <f t="shared" si="13"/>
        <v>#ERROR!</v>
      </c>
      <c r="D25" s="314" t="str">
        <f>+B25/C25-1</f>
        <v>#ERROR!</v>
      </c>
      <c r="E25" s="303"/>
      <c r="F25" s="315" t="str">
        <f>(+D25-$E$6)</f>
        <v>#ERROR!</v>
      </c>
      <c r="G25" s="322"/>
      <c r="H25" s="317" t="s">
        <v>1365</v>
      </c>
      <c r="I25" s="318" t="str">
        <f t="shared" ref="I25:J25" si="14">SUM(I11:I24)</f>
        <v>#ERROR!</v>
      </c>
      <c r="J25" s="318" t="str">
        <f t="shared" si="14"/>
        <v>#ERROR!</v>
      </c>
      <c r="K25" s="315" t="str">
        <f>+I25/J25-1</f>
        <v>#ERROR!</v>
      </c>
      <c r="L25" s="303"/>
      <c r="M25" s="314"/>
      <c r="N25" s="53"/>
      <c r="O25" s="7"/>
      <c r="P25" s="7"/>
      <c r="Q25" s="7"/>
      <c r="R25" s="7"/>
      <c r="S25" s="7"/>
      <c r="T25" s="7"/>
      <c r="U25" s="7"/>
      <c r="V25" s="7"/>
      <c r="W25" s="7"/>
      <c r="X25" s="7"/>
      <c r="Y25" s="7"/>
      <c r="Z25" s="7"/>
      <c r="AA25" s="7"/>
      <c r="AB25" s="7"/>
    </row>
    <row r="26" ht="14.25" hidden="1" customHeight="1">
      <c r="A26" s="273"/>
      <c r="B26" s="323"/>
      <c r="C26" s="323"/>
      <c r="D26" s="303"/>
      <c r="E26" s="303"/>
      <c r="F26" s="305"/>
      <c r="G26" s="322"/>
      <c r="H26" s="324"/>
      <c r="I26" s="324"/>
      <c r="J26" s="323"/>
      <c r="K26" s="303"/>
      <c r="L26" s="303"/>
      <c r="M26" s="303"/>
      <c r="N26" s="7"/>
      <c r="O26" s="7"/>
      <c r="P26" s="7"/>
      <c r="Q26" s="7"/>
      <c r="R26" s="7"/>
      <c r="S26" s="7"/>
      <c r="T26" s="7"/>
      <c r="U26" s="7"/>
      <c r="V26" s="7"/>
      <c r="W26" s="7"/>
      <c r="X26" s="7"/>
      <c r="Y26" s="7"/>
      <c r="Z26" s="7"/>
      <c r="AA26" s="7"/>
      <c r="AB26" s="7"/>
    </row>
    <row r="27" ht="14.25" customHeight="1">
      <c r="A27" s="273"/>
      <c r="B27" s="323"/>
      <c r="C27" s="323"/>
      <c r="D27" s="303"/>
      <c r="E27" s="303"/>
      <c r="F27" s="305"/>
      <c r="G27" s="322"/>
      <c r="H27" s="324"/>
      <c r="I27" s="324"/>
      <c r="J27" s="323"/>
      <c r="K27" s="303"/>
      <c r="L27" s="303"/>
      <c r="M27" s="303"/>
      <c r="N27" s="7"/>
      <c r="O27" s="7"/>
      <c r="P27" s="7"/>
      <c r="Q27" s="7"/>
      <c r="R27" s="7"/>
      <c r="S27" s="7"/>
      <c r="T27" s="7"/>
      <c r="U27" s="7"/>
      <c r="V27" s="7"/>
      <c r="W27" s="7"/>
      <c r="X27" s="7"/>
      <c r="Y27" s="7"/>
      <c r="Z27" s="7"/>
      <c r="AA27" s="7"/>
      <c r="AB27" s="7"/>
    </row>
    <row r="28" ht="14.25" customHeight="1">
      <c r="A28" s="325" t="s">
        <v>1366</v>
      </c>
      <c r="B28" s="323"/>
      <c r="C28" s="323"/>
      <c r="D28" s="303"/>
      <c r="E28" s="303"/>
      <c r="F28" s="305"/>
      <c r="G28" s="322"/>
      <c r="H28" s="324"/>
      <c r="I28" s="324"/>
      <c r="J28" s="323"/>
      <c r="K28" s="303"/>
      <c r="L28" s="303"/>
      <c r="M28" s="303"/>
      <c r="N28" s="7"/>
      <c r="O28" s="7"/>
      <c r="P28" s="7"/>
      <c r="Q28" s="7"/>
      <c r="R28" s="7"/>
      <c r="S28" s="7"/>
      <c r="T28" s="7"/>
      <c r="U28" s="7"/>
      <c r="V28" s="7"/>
      <c r="W28" s="7"/>
      <c r="X28" s="7"/>
      <c r="Y28" s="7"/>
      <c r="Z28" s="7"/>
      <c r="AA28" s="7"/>
      <c r="AB28" s="7"/>
    </row>
    <row r="29" ht="14.25" customHeight="1">
      <c r="A29" s="325"/>
      <c r="B29" s="323"/>
      <c r="C29" s="323"/>
      <c r="D29" s="303"/>
      <c r="E29" s="303"/>
      <c r="F29" s="305"/>
      <c r="G29" s="322"/>
      <c r="H29" s="324"/>
      <c r="I29" s="324"/>
      <c r="J29" s="323"/>
      <c r="K29" s="303"/>
      <c r="L29" s="303"/>
      <c r="M29" s="303"/>
      <c r="N29" s="7"/>
      <c r="O29" s="7"/>
      <c r="P29" s="7"/>
      <c r="Q29" s="7"/>
      <c r="R29" s="7"/>
      <c r="S29" s="7"/>
      <c r="T29" s="7"/>
      <c r="U29" s="7"/>
      <c r="V29" s="7"/>
      <c r="W29" s="7"/>
      <c r="X29" s="7"/>
      <c r="Y29" s="7"/>
      <c r="Z29" s="7"/>
      <c r="AA29" s="7"/>
      <c r="AB29" s="7"/>
    </row>
    <row r="30" ht="14.25" customHeight="1">
      <c r="A30" s="325" t="s">
        <v>1367</v>
      </c>
      <c r="B30" s="7"/>
      <c r="C30" s="7"/>
      <c r="D30" s="303"/>
      <c r="E30" s="303"/>
      <c r="F30" s="303"/>
      <c r="G30" s="7"/>
      <c r="H30" s="7"/>
      <c r="I30" s="7"/>
      <c r="J30" s="7"/>
      <c r="K30" s="303"/>
      <c r="L30" s="303"/>
      <c r="M30" s="303"/>
      <c r="N30" s="7"/>
      <c r="O30" s="7"/>
      <c r="P30" s="7"/>
      <c r="Q30" s="7"/>
      <c r="R30" s="7"/>
      <c r="S30" s="7"/>
      <c r="T30" s="7"/>
      <c r="U30" s="7"/>
      <c r="V30" s="7"/>
      <c r="W30" s="7"/>
      <c r="X30" s="7"/>
      <c r="Y30" s="7"/>
      <c r="Z30" s="7"/>
      <c r="AA30" s="7"/>
      <c r="AB30" s="7"/>
    </row>
    <row r="31" ht="14.25" customHeight="1">
      <c r="A31" s="7" t="s">
        <v>1368</v>
      </c>
      <c r="B31" s="7"/>
      <c r="C31" s="7"/>
      <c r="D31" s="303"/>
      <c r="E31" s="303" t="s">
        <v>1369</v>
      </c>
      <c r="F31" s="303"/>
      <c r="G31" s="7"/>
      <c r="H31" s="7"/>
      <c r="I31" s="7"/>
      <c r="J31" s="7"/>
      <c r="K31" s="303"/>
      <c r="L31" s="303"/>
      <c r="M31" s="303"/>
      <c r="N31" s="7"/>
      <c r="O31" s="7"/>
      <c r="P31" s="7"/>
      <c r="Q31" s="7"/>
      <c r="R31" s="7"/>
      <c r="S31" s="7"/>
      <c r="T31" s="7"/>
      <c r="U31" s="7"/>
      <c r="V31" s="7"/>
      <c r="W31" s="7"/>
      <c r="X31" s="7"/>
      <c r="Y31" s="7"/>
      <c r="Z31" s="7"/>
      <c r="AA31" s="7"/>
      <c r="AB31" s="7"/>
    </row>
    <row r="32" ht="14.25" customHeight="1">
      <c r="A32" s="7" t="s">
        <v>1370</v>
      </c>
      <c r="B32" s="7"/>
      <c r="C32" s="7"/>
      <c r="D32" s="303"/>
      <c r="E32" s="303" t="s">
        <v>1371</v>
      </c>
      <c r="F32" s="303"/>
      <c r="G32" s="165">
        <f>+dolarbnaene</f>
        <v>1415</v>
      </c>
      <c r="H32" s="7" t="s">
        <v>1372</v>
      </c>
      <c r="I32" s="165">
        <f>+usddic</f>
        <v>1537.662381</v>
      </c>
      <c r="J32" s="7"/>
      <c r="K32" s="303"/>
      <c r="L32" s="303"/>
      <c r="M32" s="303"/>
      <c r="N32" s="7"/>
      <c r="O32" s="7"/>
      <c r="P32" s="7"/>
      <c r="Q32" s="7"/>
      <c r="R32" s="7"/>
      <c r="S32" s="7"/>
      <c r="T32" s="7"/>
      <c r="U32" s="7"/>
      <c r="V32" s="7"/>
      <c r="W32" s="7"/>
      <c r="X32" s="7"/>
      <c r="Y32" s="7"/>
      <c r="Z32" s="7"/>
      <c r="AA32" s="7"/>
      <c r="AB32" s="7"/>
    </row>
    <row r="33" ht="14.25" customHeight="1">
      <c r="A33" s="7" t="s">
        <v>1373</v>
      </c>
      <c r="B33" s="7"/>
      <c r="C33" s="7"/>
      <c r="D33" s="303"/>
      <c r="E33" s="303" t="s">
        <v>1374</v>
      </c>
      <c r="F33" s="303"/>
      <c r="G33" s="165">
        <f>+dolarmepene</f>
        <v>1460.32</v>
      </c>
      <c r="H33" s="7" t="s">
        <v>1375</v>
      </c>
      <c r="I33" s="165">
        <f>+'REAL-BDGT2026'!T200</f>
        <v>0</v>
      </c>
      <c r="J33" s="7"/>
      <c r="K33" s="303"/>
      <c r="L33" s="303"/>
      <c r="M33" s="303"/>
      <c r="N33" s="7"/>
      <c r="O33" s="7"/>
      <c r="P33" s="7"/>
      <c r="Q33" s="7"/>
      <c r="R33" s="7"/>
      <c r="S33" s="7"/>
      <c r="T33" s="7"/>
      <c r="U33" s="7"/>
      <c r="V33" s="7"/>
      <c r="W33" s="7"/>
      <c r="X33" s="7"/>
      <c r="Y33" s="7"/>
      <c r="Z33" s="7"/>
      <c r="AA33" s="7"/>
      <c r="AB33" s="7"/>
    </row>
    <row r="34" ht="14.25" customHeight="1">
      <c r="A34" s="7"/>
      <c r="B34" s="7"/>
      <c r="C34" s="7"/>
      <c r="D34" s="303"/>
      <c r="E34" s="303"/>
      <c r="F34" s="303"/>
      <c r="G34" s="7"/>
      <c r="H34" s="7"/>
      <c r="I34" s="7"/>
      <c r="J34" s="7"/>
      <c r="K34" s="303"/>
      <c r="L34" s="303"/>
      <c r="M34" s="303"/>
      <c r="N34" s="7"/>
      <c r="O34" s="7"/>
      <c r="P34" s="7"/>
      <c r="Q34" s="7"/>
      <c r="R34" s="7"/>
      <c r="S34" s="7"/>
      <c r="T34" s="7"/>
      <c r="U34" s="7"/>
      <c r="V34" s="7"/>
      <c r="W34" s="7"/>
      <c r="X34" s="7"/>
      <c r="Y34" s="7"/>
      <c r="Z34" s="7"/>
      <c r="AA34" s="7"/>
      <c r="AB34" s="7"/>
    </row>
    <row r="35" ht="14.25" customHeight="1">
      <c r="A35" s="325" t="s">
        <v>1376</v>
      </c>
      <c r="B35" s="7"/>
      <c r="C35" s="7"/>
      <c r="D35" s="303"/>
      <c r="E35" s="303"/>
      <c r="F35" s="303"/>
      <c r="G35" s="7"/>
      <c r="H35" s="7"/>
      <c r="I35" s="7"/>
      <c r="J35" s="7"/>
      <c r="K35" s="303"/>
      <c r="L35" s="303"/>
      <c r="M35" s="303"/>
      <c r="N35" s="7"/>
      <c r="O35" s="7"/>
      <c r="P35" s="7"/>
      <c r="Q35" s="7"/>
      <c r="R35" s="7"/>
      <c r="S35" s="7"/>
      <c r="T35" s="7"/>
      <c r="U35" s="7"/>
      <c r="V35" s="7"/>
      <c r="W35" s="7"/>
      <c r="X35" s="7"/>
      <c r="Y35" s="7"/>
      <c r="Z35" s="7"/>
      <c r="AA35" s="7"/>
      <c r="AB35" s="7"/>
    </row>
    <row r="36" ht="14.25" customHeight="1">
      <c r="A36" s="7" t="s">
        <v>1377</v>
      </c>
      <c r="B36" s="7"/>
      <c r="C36" s="7"/>
      <c r="D36" s="303"/>
      <c r="E36" s="303"/>
      <c r="F36" s="303"/>
      <c r="G36" s="7"/>
      <c r="H36" s="7"/>
      <c r="I36" s="7"/>
      <c r="J36" s="7"/>
      <c r="K36" s="303"/>
      <c r="L36" s="303"/>
      <c r="M36" s="303"/>
      <c r="N36" s="7"/>
      <c r="O36" s="7"/>
      <c r="P36" s="7"/>
      <c r="Q36" s="7"/>
      <c r="R36" s="7"/>
      <c r="S36" s="7"/>
      <c r="T36" s="7"/>
      <c r="U36" s="7"/>
      <c r="V36" s="7"/>
      <c r="W36" s="7"/>
      <c r="X36" s="7"/>
      <c r="Y36" s="7"/>
      <c r="Z36" s="7"/>
      <c r="AA36" s="7"/>
      <c r="AB36" s="7"/>
    </row>
    <row r="37" ht="14.25" customHeight="1">
      <c r="A37" s="7" t="s">
        <v>1378</v>
      </c>
      <c r="B37" s="7"/>
      <c r="C37" s="7"/>
      <c r="D37" s="303"/>
      <c r="E37" s="303"/>
      <c r="F37" s="303"/>
      <c r="G37" s="7"/>
      <c r="H37" s="7"/>
      <c r="I37" s="7"/>
      <c r="J37" s="7"/>
      <c r="K37" s="303"/>
      <c r="L37" s="303"/>
      <c r="M37" s="303"/>
      <c r="N37" s="7"/>
      <c r="O37" s="7"/>
      <c r="P37" s="7"/>
      <c r="Q37" s="7"/>
      <c r="R37" s="7"/>
      <c r="S37" s="7"/>
      <c r="T37" s="7"/>
      <c r="U37" s="7"/>
      <c r="V37" s="7"/>
      <c r="W37" s="7"/>
      <c r="X37" s="7"/>
      <c r="Y37" s="7"/>
      <c r="Z37" s="7"/>
      <c r="AA37" s="7"/>
      <c r="AB37" s="7"/>
    </row>
    <row r="38" ht="14.25" customHeight="1">
      <c r="A38" s="7" t="s">
        <v>1379</v>
      </c>
      <c r="B38" s="7"/>
      <c r="C38" s="7"/>
      <c r="D38" s="303"/>
      <c r="E38" s="303"/>
      <c r="F38" s="303"/>
      <c r="G38" s="7"/>
      <c r="H38" s="7"/>
      <c r="I38" s="7"/>
      <c r="J38" s="7"/>
      <c r="K38" s="303"/>
      <c r="L38" s="303"/>
      <c r="M38" s="303"/>
      <c r="N38" s="7"/>
      <c r="O38" s="7"/>
      <c r="P38" s="7"/>
      <c r="Q38" s="7"/>
      <c r="R38" s="7"/>
      <c r="S38" s="7"/>
      <c r="T38" s="7"/>
      <c r="U38" s="7"/>
      <c r="V38" s="7"/>
      <c r="W38" s="7"/>
      <c r="X38" s="7"/>
      <c r="Y38" s="7"/>
      <c r="Z38" s="7"/>
      <c r="AA38" s="7"/>
      <c r="AB38" s="7"/>
    </row>
    <row r="39" ht="14.25" customHeight="1">
      <c r="A39" s="7"/>
      <c r="B39" s="7"/>
      <c r="C39" s="7"/>
      <c r="D39" s="303"/>
      <c r="E39" s="303"/>
      <c r="F39" s="303"/>
      <c r="G39" s="7"/>
      <c r="H39" s="7"/>
      <c r="I39" s="7"/>
      <c r="J39" s="7"/>
      <c r="K39" s="303"/>
      <c r="L39" s="303"/>
      <c r="M39" s="303"/>
      <c r="N39" s="7"/>
      <c r="O39" s="7"/>
      <c r="P39" s="7"/>
      <c r="Q39" s="7"/>
      <c r="R39" s="7"/>
      <c r="S39" s="7"/>
      <c r="T39" s="7"/>
      <c r="U39" s="7"/>
      <c r="V39" s="7"/>
      <c r="W39" s="7"/>
      <c r="X39" s="7"/>
      <c r="Y39" s="7"/>
      <c r="Z39" s="7"/>
      <c r="AA39" s="7"/>
      <c r="AB39" s="7"/>
    </row>
    <row r="40" ht="14.25" customHeight="1">
      <c r="A40" s="325" t="s">
        <v>1380</v>
      </c>
      <c r="B40" s="7"/>
      <c r="C40" s="7"/>
      <c r="D40" s="303"/>
      <c r="E40" s="303"/>
      <c r="F40" s="303"/>
      <c r="G40" s="7"/>
      <c r="H40" s="7"/>
      <c r="I40" s="7"/>
      <c r="J40" s="7"/>
      <c r="K40" s="303"/>
      <c r="L40" s="303"/>
      <c r="M40" s="303"/>
      <c r="N40" s="7"/>
      <c r="O40" s="7"/>
      <c r="P40" s="7"/>
      <c r="Q40" s="7"/>
      <c r="R40" s="7"/>
      <c r="S40" s="7"/>
      <c r="T40" s="7"/>
      <c r="U40" s="7"/>
      <c r="V40" s="7"/>
      <c r="W40" s="7"/>
      <c r="X40" s="7"/>
      <c r="Y40" s="7"/>
      <c r="Z40" s="7"/>
      <c r="AA40" s="7"/>
      <c r="AB40" s="7"/>
    </row>
    <row r="41" ht="14.25" customHeight="1">
      <c r="A41" s="7" t="s">
        <v>1381</v>
      </c>
      <c r="B41" s="7"/>
      <c r="C41" s="7"/>
      <c r="D41" s="303"/>
      <c r="E41" s="303"/>
      <c r="F41" s="303"/>
      <c r="G41" s="7"/>
      <c r="H41" s="7"/>
      <c r="I41" s="7"/>
      <c r="J41" s="7"/>
      <c r="K41" s="303"/>
      <c r="L41" s="303"/>
      <c r="M41" s="303"/>
      <c r="N41" s="7"/>
      <c r="O41" s="7"/>
      <c r="P41" s="7"/>
      <c r="Q41" s="7"/>
      <c r="R41" s="7"/>
      <c r="S41" s="7"/>
      <c r="T41" s="7"/>
      <c r="U41" s="7"/>
      <c r="V41" s="7"/>
      <c r="W41" s="7"/>
      <c r="X41" s="7"/>
      <c r="Y41" s="7"/>
      <c r="Z41" s="7"/>
      <c r="AA41" s="7"/>
      <c r="AB41" s="7"/>
    </row>
    <row r="42" ht="14.25" customHeight="1">
      <c r="A42" s="7" t="s">
        <v>1382</v>
      </c>
      <c r="B42" s="7"/>
      <c r="C42" s="7"/>
      <c r="D42" s="303"/>
      <c r="E42" s="303"/>
      <c r="F42" s="303"/>
      <c r="G42" s="7"/>
      <c r="H42" s="7"/>
      <c r="I42" s="7"/>
      <c r="J42" s="7"/>
      <c r="K42" s="303"/>
      <c r="L42" s="303"/>
      <c r="M42" s="303"/>
      <c r="N42" s="7"/>
      <c r="O42" s="7"/>
      <c r="P42" s="7"/>
      <c r="Q42" s="7"/>
      <c r="R42" s="7"/>
      <c r="S42" s="7"/>
      <c r="T42" s="7"/>
      <c r="U42" s="7"/>
      <c r="V42" s="7"/>
      <c r="W42" s="7"/>
      <c r="X42" s="7"/>
      <c r="Y42" s="7"/>
      <c r="Z42" s="7"/>
      <c r="AA42" s="7"/>
      <c r="AB42" s="7"/>
    </row>
    <row r="43" ht="14.25" customHeight="1">
      <c r="A43" s="7"/>
      <c r="B43" s="7"/>
      <c r="C43" s="7"/>
      <c r="D43" s="303"/>
      <c r="E43" s="303"/>
      <c r="F43" s="303"/>
      <c r="G43" s="7"/>
      <c r="H43" s="7"/>
      <c r="I43" s="7"/>
      <c r="J43" s="7"/>
      <c r="K43" s="303"/>
      <c r="L43" s="303"/>
      <c r="M43" s="303"/>
      <c r="N43" s="7"/>
      <c r="O43" s="7"/>
      <c r="P43" s="7"/>
      <c r="Q43" s="7"/>
      <c r="R43" s="7"/>
      <c r="S43" s="7"/>
      <c r="T43" s="7"/>
      <c r="U43" s="7"/>
      <c r="V43" s="7"/>
      <c r="W43" s="7"/>
      <c r="X43" s="7"/>
      <c r="Y43" s="7"/>
      <c r="Z43" s="7"/>
      <c r="AA43" s="7"/>
      <c r="AB43" s="7"/>
    </row>
    <row r="44" ht="14.25" customHeight="1">
      <c r="A44" s="325" t="s">
        <v>1383</v>
      </c>
      <c r="B44" s="7"/>
      <c r="C44" s="7"/>
      <c r="D44" s="303"/>
      <c r="E44" s="303"/>
      <c r="F44" s="303"/>
      <c r="G44" s="7"/>
      <c r="H44" s="7"/>
      <c r="I44" s="7"/>
      <c r="J44" s="7"/>
      <c r="K44" s="303"/>
      <c r="L44" s="303"/>
      <c r="M44" s="303"/>
      <c r="N44" s="7"/>
      <c r="O44" s="7"/>
      <c r="P44" s="7"/>
      <c r="Q44" s="7"/>
      <c r="R44" s="7"/>
      <c r="S44" s="7"/>
      <c r="T44" s="7"/>
      <c r="U44" s="7"/>
      <c r="V44" s="7"/>
      <c r="W44" s="7"/>
      <c r="X44" s="7"/>
      <c r="Y44" s="7"/>
      <c r="Z44" s="7"/>
      <c r="AA44" s="7"/>
      <c r="AB44" s="7"/>
    </row>
    <row r="45" ht="14.25" customHeight="1">
      <c r="A45" s="7" t="s">
        <v>1384</v>
      </c>
      <c r="B45" s="7"/>
      <c r="C45" s="7"/>
      <c r="D45" s="303"/>
      <c r="E45" s="303"/>
      <c r="F45" s="303"/>
      <c r="G45" s="7"/>
      <c r="H45" s="7"/>
      <c r="I45" s="7"/>
      <c r="J45" s="7"/>
      <c r="K45" s="303"/>
      <c r="L45" s="303"/>
      <c r="M45" s="303"/>
      <c r="N45" s="7"/>
      <c r="O45" s="7"/>
      <c r="P45" s="7"/>
      <c r="Q45" s="7"/>
      <c r="R45" s="7"/>
      <c r="S45" s="7"/>
      <c r="T45" s="7"/>
      <c r="U45" s="7"/>
      <c r="V45" s="7"/>
      <c r="W45" s="7"/>
      <c r="X45" s="7"/>
      <c r="Y45" s="7"/>
      <c r="Z45" s="7"/>
      <c r="AA45" s="7"/>
      <c r="AB45" s="7"/>
    </row>
    <row r="46" ht="14.25" customHeight="1">
      <c r="A46" s="7"/>
      <c r="B46" s="7"/>
      <c r="C46" s="7"/>
      <c r="D46" s="303"/>
      <c r="E46" s="303"/>
      <c r="F46" s="303"/>
      <c r="G46" s="7"/>
      <c r="H46" s="7"/>
      <c r="I46" s="7"/>
      <c r="J46" s="7"/>
      <c r="K46" s="303"/>
      <c r="L46" s="303"/>
      <c r="M46" s="303"/>
      <c r="N46" s="7"/>
      <c r="O46" s="7"/>
      <c r="P46" s="7"/>
      <c r="Q46" s="7"/>
      <c r="R46" s="7"/>
      <c r="S46" s="7"/>
      <c r="T46" s="7"/>
      <c r="U46" s="7"/>
      <c r="V46" s="7"/>
      <c r="W46" s="7"/>
      <c r="X46" s="7"/>
      <c r="Y46" s="7"/>
      <c r="Z46" s="7"/>
      <c r="AA46" s="7"/>
      <c r="AB46" s="7"/>
    </row>
    <row r="47" ht="14.25" customHeight="1">
      <c r="A47" s="7"/>
      <c r="B47" s="7"/>
      <c r="C47" s="7"/>
      <c r="D47" s="303"/>
      <c r="E47" s="303"/>
      <c r="F47" s="303"/>
      <c r="G47" s="7"/>
      <c r="H47" s="7"/>
      <c r="I47" s="7"/>
      <c r="J47" s="7"/>
      <c r="K47" s="303"/>
      <c r="L47" s="303"/>
      <c r="M47" s="303"/>
      <c r="N47" s="7"/>
      <c r="O47" s="7"/>
      <c r="P47" s="7"/>
      <c r="Q47" s="7"/>
      <c r="R47" s="7"/>
      <c r="S47" s="7"/>
      <c r="T47" s="7"/>
      <c r="U47" s="7"/>
      <c r="V47" s="7"/>
      <c r="W47" s="7"/>
      <c r="X47" s="7"/>
      <c r="Y47" s="7"/>
      <c r="Z47" s="7"/>
      <c r="AA47" s="7"/>
      <c r="AB47" s="7"/>
    </row>
    <row r="48" ht="14.25" customHeight="1">
      <c r="A48" s="7"/>
      <c r="B48" s="7"/>
      <c r="C48" s="7"/>
      <c r="D48" s="303"/>
      <c r="E48" s="303"/>
      <c r="F48" s="303"/>
      <c r="G48" s="7"/>
      <c r="H48" s="7"/>
      <c r="I48" s="7"/>
      <c r="J48" s="7"/>
      <c r="K48" s="303"/>
      <c r="L48" s="303"/>
      <c r="M48" s="303"/>
      <c r="N48" s="7"/>
      <c r="O48" s="7"/>
      <c r="P48" s="7"/>
      <c r="Q48" s="7"/>
      <c r="R48" s="7"/>
      <c r="S48" s="7"/>
      <c r="T48" s="7"/>
      <c r="U48" s="7"/>
      <c r="V48" s="7"/>
      <c r="W48" s="7"/>
      <c r="X48" s="7"/>
      <c r="Y48" s="7"/>
      <c r="Z48" s="7"/>
      <c r="AA48" s="7"/>
      <c r="AB48" s="7"/>
    </row>
    <row r="49" ht="14.25" customHeight="1">
      <c r="A49" s="7"/>
      <c r="B49" s="7"/>
      <c r="C49" s="7"/>
      <c r="D49" s="303"/>
      <c r="E49" s="303"/>
      <c r="F49" s="303"/>
      <c r="G49" s="7"/>
      <c r="H49" s="7"/>
      <c r="I49" s="7"/>
      <c r="J49" s="7"/>
      <c r="K49" s="303"/>
      <c r="L49" s="303"/>
      <c r="M49" s="303"/>
      <c r="N49" s="7"/>
      <c r="O49" s="7"/>
      <c r="P49" s="7"/>
      <c r="Q49" s="7"/>
      <c r="R49" s="7"/>
      <c r="S49" s="7"/>
      <c r="T49" s="7"/>
      <c r="U49" s="7"/>
      <c r="V49" s="7"/>
      <c r="W49" s="7"/>
      <c r="X49" s="7"/>
      <c r="Y49" s="7"/>
      <c r="Z49" s="7"/>
      <c r="AA49" s="7"/>
      <c r="AB49" s="7"/>
    </row>
    <row r="50" ht="14.25" customHeight="1">
      <c r="A50" s="7"/>
      <c r="B50" s="7"/>
      <c r="C50" s="7"/>
      <c r="D50" s="303"/>
      <c r="E50" s="303"/>
      <c r="F50" s="303"/>
      <c r="G50" s="7"/>
      <c r="H50" s="7"/>
      <c r="I50" s="7"/>
      <c r="J50" s="7"/>
      <c r="K50" s="303"/>
      <c r="L50" s="303"/>
      <c r="M50" s="303"/>
      <c r="N50" s="7"/>
      <c r="O50" s="7"/>
      <c r="P50" s="7"/>
      <c r="Q50" s="7"/>
      <c r="R50" s="7"/>
      <c r="S50" s="7"/>
      <c r="T50" s="7"/>
      <c r="U50" s="7"/>
      <c r="V50" s="7"/>
      <c r="W50" s="7"/>
      <c r="X50" s="7"/>
      <c r="Y50" s="7"/>
      <c r="Z50" s="7"/>
      <c r="AA50" s="7"/>
      <c r="AB50" s="7"/>
    </row>
    <row r="51" ht="14.25" customHeight="1">
      <c r="A51" s="7"/>
      <c r="B51" s="7"/>
      <c r="C51" s="7"/>
      <c r="D51" s="303"/>
      <c r="E51" s="303"/>
      <c r="F51" s="303"/>
      <c r="G51" s="7"/>
      <c r="H51" s="7"/>
      <c r="I51" s="7"/>
      <c r="J51" s="7"/>
      <c r="K51" s="303"/>
      <c r="L51" s="303"/>
      <c r="M51" s="303"/>
      <c r="N51" s="7"/>
      <c r="O51" s="7"/>
      <c r="P51" s="7"/>
      <c r="Q51" s="7"/>
      <c r="R51" s="7"/>
      <c r="S51" s="7"/>
      <c r="T51" s="7"/>
      <c r="U51" s="7"/>
      <c r="V51" s="7"/>
      <c r="W51" s="7"/>
      <c r="X51" s="7"/>
      <c r="Y51" s="7"/>
      <c r="Z51" s="7"/>
      <c r="AA51" s="7"/>
      <c r="AB51" s="7"/>
    </row>
    <row r="52" ht="14.25" customHeight="1">
      <c r="A52" s="7"/>
      <c r="B52" s="7"/>
      <c r="C52" s="7"/>
      <c r="D52" s="303"/>
      <c r="E52" s="303"/>
      <c r="F52" s="303"/>
      <c r="G52" s="7"/>
      <c r="H52" s="7"/>
      <c r="I52" s="7"/>
      <c r="J52" s="7"/>
      <c r="K52" s="303"/>
      <c r="L52" s="303"/>
      <c r="M52" s="303"/>
      <c r="N52" s="7"/>
      <c r="O52" s="7"/>
      <c r="P52" s="7"/>
      <c r="Q52" s="7"/>
      <c r="R52" s="7"/>
      <c r="S52" s="7"/>
      <c r="T52" s="7"/>
      <c r="U52" s="7"/>
      <c r="V52" s="7"/>
      <c r="W52" s="7"/>
      <c r="X52" s="7"/>
      <c r="Y52" s="7"/>
      <c r="Z52" s="7"/>
      <c r="AA52" s="7"/>
      <c r="AB52" s="7"/>
    </row>
    <row r="53" ht="14.25" customHeight="1">
      <c r="A53" s="7"/>
      <c r="B53" s="7"/>
      <c r="C53" s="7"/>
      <c r="D53" s="303"/>
      <c r="E53" s="303"/>
      <c r="F53" s="303"/>
      <c r="G53" s="7"/>
      <c r="H53" s="7"/>
      <c r="I53" s="7"/>
      <c r="J53" s="7"/>
      <c r="K53" s="303"/>
      <c r="L53" s="303"/>
      <c r="M53" s="303"/>
      <c r="N53" s="7"/>
      <c r="O53" s="7"/>
      <c r="P53" s="7"/>
      <c r="Q53" s="7"/>
      <c r="R53" s="7"/>
      <c r="S53" s="7"/>
      <c r="T53" s="7"/>
      <c r="U53" s="7"/>
      <c r="V53" s="7"/>
      <c r="W53" s="7"/>
      <c r="X53" s="7"/>
      <c r="Y53" s="7"/>
      <c r="Z53" s="7"/>
      <c r="AA53" s="7"/>
      <c r="AB53" s="7"/>
    </row>
    <row r="54" ht="14.25" customHeight="1">
      <c r="A54" s="7"/>
      <c r="B54" s="7"/>
      <c r="C54" s="7"/>
      <c r="D54" s="303"/>
      <c r="E54" s="303"/>
      <c r="F54" s="303"/>
      <c r="G54" s="7"/>
      <c r="H54" s="7"/>
      <c r="I54" s="7"/>
      <c r="J54" s="7"/>
      <c r="K54" s="303"/>
      <c r="L54" s="303"/>
      <c r="M54" s="303"/>
      <c r="N54" s="7"/>
      <c r="O54" s="7"/>
      <c r="P54" s="7"/>
      <c r="Q54" s="7"/>
      <c r="R54" s="7"/>
      <c r="S54" s="7"/>
      <c r="T54" s="7"/>
      <c r="U54" s="7"/>
      <c r="V54" s="7"/>
      <c r="W54" s="7"/>
      <c r="X54" s="7"/>
      <c r="Y54" s="7"/>
      <c r="Z54" s="7"/>
      <c r="AA54" s="7"/>
      <c r="AB54" s="7"/>
    </row>
    <row r="55" ht="14.25" customHeight="1">
      <c r="A55" s="7"/>
      <c r="B55" s="7"/>
      <c r="C55" s="7"/>
      <c r="D55" s="303"/>
      <c r="E55" s="303"/>
      <c r="F55" s="303"/>
      <c r="G55" s="7"/>
      <c r="H55" s="7"/>
      <c r="I55" s="7"/>
      <c r="J55" s="7"/>
      <c r="K55" s="303"/>
      <c r="L55" s="303"/>
      <c r="M55" s="303"/>
      <c r="N55" s="7"/>
      <c r="O55" s="7"/>
      <c r="P55" s="7"/>
      <c r="Q55" s="7"/>
      <c r="R55" s="7"/>
      <c r="S55" s="7"/>
      <c r="T55" s="7"/>
      <c r="U55" s="7"/>
      <c r="V55" s="7"/>
      <c r="W55" s="7"/>
      <c r="X55" s="7"/>
      <c r="Y55" s="7"/>
      <c r="Z55" s="7"/>
      <c r="AA55" s="7"/>
      <c r="AB55" s="7"/>
    </row>
    <row r="56" ht="14.25" customHeight="1">
      <c r="A56" s="7"/>
      <c r="B56" s="7"/>
      <c r="C56" s="7"/>
      <c r="D56" s="303"/>
      <c r="E56" s="303"/>
      <c r="F56" s="303"/>
      <c r="G56" s="7"/>
      <c r="H56" s="7"/>
      <c r="I56" s="7"/>
      <c r="J56" s="7"/>
      <c r="K56" s="303"/>
      <c r="L56" s="303"/>
      <c r="M56" s="303"/>
      <c r="N56" s="7"/>
      <c r="O56" s="7"/>
      <c r="P56" s="7"/>
      <c r="Q56" s="7"/>
      <c r="R56" s="7"/>
      <c r="S56" s="7"/>
      <c r="T56" s="7"/>
      <c r="U56" s="7"/>
      <c r="V56" s="7"/>
      <c r="W56" s="7"/>
      <c r="X56" s="7"/>
      <c r="Y56" s="7"/>
      <c r="Z56" s="7"/>
      <c r="AA56" s="7"/>
      <c r="AB56" s="7"/>
    </row>
    <row r="57" ht="14.25" customHeight="1">
      <c r="A57" s="7"/>
      <c r="B57" s="7"/>
      <c r="C57" s="7"/>
      <c r="D57" s="303"/>
      <c r="E57" s="303"/>
      <c r="F57" s="303"/>
      <c r="G57" s="7"/>
      <c r="H57" s="7"/>
      <c r="I57" s="7"/>
      <c r="J57" s="7"/>
      <c r="K57" s="303"/>
      <c r="L57" s="303"/>
      <c r="M57" s="303"/>
      <c r="N57" s="7"/>
      <c r="O57" s="7"/>
      <c r="P57" s="7"/>
      <c r="Q57" s="7"/>
      <c r="R57" s="7"/>
      <c r="S57" s="7"/>
      <c r="T57" s="7"/>
      <c r="U57" s="7"/>
      <c r="V57" s="7"/>
      <c r="W57" s="7"/>
      <c r="X57" s="7"/>
      <c r="Y57" s="7"/>
      <c r="Z57" s="7"/>
      <c r="AA57" s="7"/>
      <c r="AB57" s="7"/>
    </row>
    <row r="58" ht="14.25" customHeight="1">
      <c r="A58" s="7"/>
      <c r="B58" s="7"/>
      <c r="C58" s="7"/>
      <c r="D58" s="303"/>
      <c r="E58" s="303"/>
      <c r="F58" s="303"/>
      <c r="G58" s="7"/>
      <c r="H58" s="7"/>
      <c r="I58" s="7"/>
      <c r="J58" s="7"/>
      <c r="K58" s="303"/>
      <c r="L58" s="303"/>
      <c r="M58" s="303"/>
      <c r="N58" s="7"/>
      <c r="O58" s="7"/>
      <c r="P58" s="7"/>
      <c r="Q58" s="7"/>
      <c r="R58" s="7"/>
      <c r="S58" s="7"/>
      <c r="T58" s="7"/>
      <c r="U58" s="7"/>
      <c r="V58" s="7"/>
      <c r="W58" s="7"/>
      <c r="X58" s="7"/>
      <c r="Y58" s="7"/>
      <c r="Z58" s="7"/>
      <c r="AA58" s="7"/>
      <c r="AB58" s="7"/>
    </row>
    <row r="59" ht="14.25" customHeight="1">
      <c r="A59" s="7"/>
      <c r="B59" s="7"/>
      <c r="C59" s="7"/>
      <c r="D59" s="303"/>
      <c r="E59" s="303"/>
      <c r="F59" s="303"/>
      <c r="G59" s="7"/>
      <c r="H59" s="7"/>
      <c r="I59" s="7"/>
      <c r="J59" s="7"/>
      <c r="K59" s="303"/>
      <c r="L59" s="303"/>
      <c r="M59" s="303"/>
      <c r="N59" s="7"/>
      <c r="O59" s="7"/>
      <c r="P59" s="7"/>
      <c r="Q59" s="7"/>
      <c r="R59" s="7"/>
      <c r="S59" s="7"/>
      <c r="T59" s="7"/>
      <c r="U59" s="7"/>
      <c r="V59" s="7"/>
      <c r="W59" s="7"/>
      <c r="X59" s="7"/>
      <c r="Y59" s="7"/>
      <c r="Z59" s="7"/>
      <c r="AA59" s="7"/>
      <c r="AB59" s="7"/>
    </row>
    <row r="60" ht="14.25" customHeight="1">
      <c r="A60" s="7"/>
      <c r="B60" s="7"/>
      <c r="C60" s="7"/>
      <c r="D60" s="303"/>
      <c r="E60" s="303"/>
      <c r="F60" s="303"/>
      <c r="G60" s="7"/>
      <c r="H60" s="7"/>
      <c r="I60" s="7"/>
      <c r="J60" s="7"/>
      <c r="K60" s="303"/>
      <c r="L60" s="303"/>
      <c r="M60" s="303"/>
      <c r="N60" s="7"/>
      <c r="O60" s="7"/>
      <c r="P60" s="7"/>
      <c r="Q60" s="7"/>
      <c r="R60" s="7"/>
      <c r="S60" s="7"/>
      <c r="T60" s="7"/>
      <c r="U60" s="7"/>
      <c r="V60" s="7"/>
      <c r="W60" s="7"/>
      <c r="X60" s="7"/>
      <c r="Y60" s="7"/>
      <c r="Z60" s="7"/>
      <c r="AA60" s="7"/>
      <c r="AB60" s="7"/>
    </row>
    <row r="61" ht="14.25" customHeight="1">
      <c r="A61" s="7"/>
      <c r="B61" s="7"/>
      <c r="C61" s="7"/>
      <c r="D61" s="303"/>
      <c r="E61" s="303"/>
      <c r="F61" s="303"/>
      <c r="G61" s="7"/>
      <c r="H61" s="7"/>
      <c r="I61" s="7"/>
      <c r="J61" s="7"/>
      <c r="K61" s="303"/>
      <c r="L61" s="303"/>
      <c r="M61" s="303"/>
      <c r="N61" s="7"/>
      <c r="O61" s="7"/>
      <c r="P61" s="7"/>
      <c r="Q61" s="7"/>
      <c r="R61" s="7"/>
      <c r="S61" s="7"/>
      <c r="T61" s="7"/>
      <c r="U61" s="7"/>
      <c r="V61" s="7"/>
      <c r="W61" s="7"/>
      <c r="X61" s="7"/>
      <c r="Y61" s="7"/>
      <c r="Z61" s="7"/>
      <c r="AA61" s="7"/>
      <c r="AB61" s="7"/>
    </row>
    <row r="62" ht="14.25" customHeight="1">
      <c r="A62" s="7"/>
      <c r="B62" s="7"/>
      <c r="C62" s="7"/>
      <c r="D62" s="303"/>
      <c r="E62" s="303"/>
      <c r="F62" s="303"/>
      <c r="G62" s="7"/>
      <c r="H62" s="7"/>
      <c r="I62" s="7"/>
      <c r="J62" s="7"/>
      <c r="K62" s="303"/>
      <c r="L62" s="303"/>
      <c r="M62" s="303"/>
      <c r="N62" s="7"/>
      <c r="O62" s="7"/>
      <c r="P62" s="7"/>
      <c r="Q62" s="7"/>
      <c r="R62" s="7"/>
      <c r="S62" s="7"/>
      <c r="T62" s="7"/>
      <c r="U62" s="7"/>
      <c r="V62" s="7"/>
      <c r="W62" s="7"/>
      <c r="X62" s="7"/>
      <c r="Y62" s="7"/>
      <c r="Z62" s="7"/>
      <c r="AA62" s="7"/>
      <c r="AB62" s="7"/>
    </row>
    <row r="63" ht="14.25" customHeight="1">
      <c r="A63" s="7"/>
      <c r="B63" s="7"/>
      <c r="C63" s="7"/>
      <c r="D63" s="303"/>
      <c r="E63" s="303"/>
      <c r="F63" s="303"/>
      <c r="G63" s="7"/>
      <c r="H63" s="7"/>
      <c r="I63" s="7"/>
      <c r="J63" s="7"/>
      <c r="K63" s="303"/>
      <c r="L63" s="303"/>
      <c r="M63" s="303"/>
      <c r="N63" s="7"/>
      <c r="O63" s="7"/>
      <c r="P63" s="7"/>
      <c r="Q63" s="7"/>
      <c r="R63" s="7"/>
      <c r="S63" s="7"/>
      <c r="T63" s="7"/>
      <c r="U63" s="7"/>
      <c r="V63" s="7"/>
      <c r="W63" s="7"/>
      <c r="X63" s="7"/>
      <c r="Y63" s="7"/>
      <c r="Z63" s="7"/>
      <c r="AA63" s="7"/>
      <c r="AB63" s="7"/>
    </row>
    <row r="64" ht="14.25" customHeight="1">
      <c r="A64" s="7"/>
      <c r="B64" s="7"/>
      <c r="C64" s="7"/>
      <c r="D64" s="303"/>
      <c r="E64" s="303"/>
      <c r="F64" s="303"/>
      <c r="G64" s="7"/>
      <c r="H64" s="7"/>
      <c r="I64" s="7"/>
      <c r="J64" s="7"/>
      <c r="K64" s="303"/>
      <c r="L64" s="303"/>
      <c r="M64" s="303"/>
      <c r="N64" s="7"/>
      <c r="O64" s="7"/>
      <c r="P64" s="7"/>
      <c r="Q64" s="7"/>
      <c r="R64" s="7"/>
      <c r="S64" s="7"/>
      <c r="T64" s="7"/>
      <c r="U64" s="7"/>
      <c r="V64" s="7"/>
      <c r="W64" s="7"/>
      <c r="X64" s="7"/>
      <c r="Y64" s="7"/>
      <c r="Z64" s="7"/>
      <c r="AA64" s="7"/>
      <c r="AB64" s="7"/>
    </row>
    <row r="65" ht="14.25" customHeight="1">
      <c r="A65" s="7"/>
      <c r="B65" s="7"/>
      <c r="C65" s="7"/>
      <c r="D65" s="303"/>
      <c r="E65" s="303"/>
      <c r="F65" s="303"/>
      <c r="G65" s="7"/>
      <c r="H65" s="7"/>
      <c r="I65" s="7"/>
      <c r="J65" s="7"/>
      <c r="K65" s="303"/>
      <c r="L65" s="303"/>
      <c r="M65" s="303"/>
      <c r="N65" s="7"/>
      <c r="O65" s="7"/>
      <c r="P65" s="7"/>
      <c r="Q65" s="7"/>
      <c r="R65" s="7"/>
      <c r="S65" s="7"/>
      <c r="T65" s="7"/>
      <c r="U65" s="7"/>
      <c r="V65" s="7"/>
      <c r="W65" s="7"/>
      <c r="X65" s="7"/>
      <c r="Y65" s="7"/>
      <c r="Z65" s="7"/>
      <c r="AA65" s="7"/>
      <c r="AB65" s="7"/>
    </row>
    <row r="66" ht="14.25" customHeight="1">
      <c r="A66" s="7"/>
      <c r="B66" s="7"/>
      <c r="C66" s="7"/>
      <c r="D66" s="303"/>
      <c r="E66" s="303"/>
      <c r="F66" s="303"/>
      <c r="G66" s="7"/>
      <c r="H66" s="7"/>
      <c r="I66" s="7"/>
      <c r="J66" s="7"/>
      <c r="K66" s="303"/>
      <c r="L66" s="303"/>
      <c r="M66" s="303"/>
      <c r="N66" s="7"/>
      <c r="O66" s="7"/>
      <c r="P66" s="7"/>
      <c r="Q66" s="7"/>
      <c r="R66" s="7"/>
      <c r="S66" s="7"/>
      <c r="T66" s="7"/>
      <c r="U66" s="7"/>
      <c r="V66" s="7"/>
      <c r="W66" s="7"/>
      <c r="X66" s="7"/>
      <c r="Y66" s="7"/>
      <c r="Z66" s="7"/>
      <c r="AA66" s="7"/>
      <c r="AB66" s="7"/>
    </row>
    <row r="67" ht="14.25" customHeight="1">
      <c r="A67" s="7"/>
      <c r="B67" s="7"/>
      <c r="C67" s="7"/>
      <c r="D67" s="303"/>
      <c r="E67" s="303"/>
      <c r="F67" s="303"/>
      <c r="G67" s="7"/>
      <c r="H67" s="7"/>
      <c r="I67" s="7"/>
      <c r="J67" s="7"/>
      <c r="K67" s="303"/>
      <c r="L67" s="303"/>
      <c r="M67" s="303"/>
      <c r="N67" s="7"/>
      <c r="O67" s="7"/>
      <c r="P67" s="7"/>
      <c r="Q67" s="7"/>
      <c r="R67" s="7"/>
      <c r="S67" s="7"/>
      <c r="T67" s="7"/>
      <c r="U67" s="7"/>
      <c r="V67" s="7"/>
      <c r="W67" s="7"/>
      <c r="X67" s="7"/>
      <c r="Y67" s="7"/>
      <c r="Z67" s="7"/>
      <c r="AA67" s="7"/>
      <c r="AB67" s="7"/>
    </row>
    <row r="68" ht="14.25" customHeight="1">
      <c r="A68" s="7"/>
      <c r="B68" s="7"/>
      <c r="C68" s="7"/>
      <c r="D68" s="303"/>
      <c r="E68" s="303"/>
      <c r="F68" s="303"/>
      <c r="G68" s="7"/>
      <c r="H68" s="7"/>
      <c r="I68" s="7"/>
      <c r="J68" s="7"/>
      <c r="K68" s="303"/>
      <c r="L68" s="303"/>
      <c r="M68" s="303"/>
      <c r="N68" s="7"/>
      <c r="O68" s="7"/>
      <c r="P68" s="7"/>
      <c r="Q68" s="7"/>
      <c r="R68" s="7"/>
      <c r="S68" s="7"/>
      <c r="T68" s="7"/>
      <c r="U68" s="7"/>
      <c r="V68" s="7"/>
      <c r="W68" s="7"/>
      <c r="X68" s="7"/>
      <c r="Y68" s="7"/>
      <c r="Z68" s="7"/>
      <c r="AA68" s="7"/>
      <c r="AB68" s="7"/>
    </row>
    <row r="69" ht="14.25" customHeight="1">
      <c r="A69" s="7"/>
      <c r="B69" s="7"/>
      <c r="C69" s="7"/>
      <c r="D69" s="303"/>
      <c r="E69" s="303"/>
      <c r="F69" s="303"/>
      <c r="G69" s="7"/>
      <c r="H69" s="7"/>
      <c r="I69" s="7"/>
      <c r="J69" s="7"/>
      <c r="K69" s="303"/>
      <c r="L69" s="303"/>
      <c r="M69" s="303"/>
      <c r="N69" s="7"/>
      <c r="O69" s="7"/>
      <c r="P69" s="7"/>
      <c r="Q69" s="7"/>
      <c r="R69" s="7"/>
      <c r="S69" s="7"/>
      <c r="T69" s="7"/>
      <c r="U69" s="7"/>
      <c r="V69" s="7"/>
      <c r="W69" s="7"/>
      <c r="X69" s="7"/>
      <c r="Y69" s="7"/>
      <c r="Z69" s="7"/>
      <c r="AA69" s="7"/>
      <c r="AB69" s="7"/>
    </row>
    <row r="70" ht="14.25" customHeight="1">
      <c r="A70" s="7"/>
      <c r="B70" s="7"/>
      <c r="C70" s="7"/>
      <c r="D70" s="303"/>
      <c r="E70" s="303"/>
      <c r="F70" s="303"/>
      <c r="G70" s="7"/>
      <c r="H70" s="7"/>
      <c r="I70" s="7"/>
      <c r="J70" s="7"/>
      <c r="K70" s="303"/>
      <c r="L70" s="303"/>
      <c r="M70" s="303"/>
      <c r="N70" s="7"/>
      <c r="O70" s="7"/>
      <c r="P70" s="7"/>
      <c r="Q70" s="7"/>
      <c r="R70" s="7"/>
      <c r="S70" s="7"/>
      <c r="T70" s="7"/>
      <c r="U70" s="7"/>
      <c r="V70" s="7"/>
      <c r="W70" s="7"/>
      <c r="X70" s="7"/>
      <c r="Y70" s="7"/>
      <c r="Z70" s="7"/>
      <c r="AA70" s="7"/>
      <c r="AB70" s="7"/>
    </row>
    <row r="71" ht="14.25" customHeight="1">
      <c r="A71" s="7"/>
      <c r="B71" s="7"/>
      <c r="C71" s="7"/>
      <c r="D71" s="303"/>
      <c r="E71" s="303"/>
      <c r="F71" s="303"/>
      <c r="G71" s="7"/>
      <c r="H71" s="7"/>
      <c r="I71" s="7"/>
      <c r="J71" s="7"/>
      <c r="K71" s="303"/>
      <c r="L71" s="303"/>
      <c r="M71" s="303"/>
      <c r="N71" s="7"/>
      <c r="O71" s="7"/>
      <c r="P71" s="7"/>
      <c r="Q71" s="7"/>
      <c r="R71" s="7"/>
      <c r="S71" s="7"/>
      <c r="T71" s="7"/>
      <c r="U71" s="7"/>
      <c r="V71" s="7"/>
      <c r="W71" s="7"/>
      <c r="X71" s="7"/>
      <c r="Y71" s="7"/>
      <c r="Z71" s="7"/>
      <c r="AA71" s="7"/>
      <c r="AB71" s="7"/>
    </row>
    <row r="72" ht="14.25" customHeight="1">
      <c r="A72" s="7"/>
      <c r="B72" s="7"/>
      <c r="C72" s="7"/>
      <c r="D72" s="303"/>
      <c r="E72" s="303"/>
      <c r="F72" s="303"/>
      <c r="G72" s="7"/>
      <c r="H72" s="7"/>
      <c r="I72" s="7"/>
      <c r="J72" s="7"/>
      <c r="K72" s="303"/>
      <c r="L72" s="303"/>
      <c r="M72" s="303"/>
      <c r="N72" s="7"/>
      <c r="O72" s="7"/>
      <c r="P72" s="7"/>
      <c r="Q72" s="7"/>
      <c r="R72" s="7"/>
      <c r="S72" s="7"/>
      <c r="T72" s="7"/>
      <c r="U72" s="7"/>
      <c r="V72" s="7"/>
      <c r="W72" s="7"/>
      <c r="X72" s="7"/>
      <c r="Y72" s="7"/>
      <c r="Z72" s="7"/>
      <c r="AA72" s="7"/>
      <c r="AB72" s="7"/>
    </row>
    <row r="73" ht="14.25" customHeight="1">
      <c r="A73" s="7"/>
      <c r="B73" s="7"/>
      <c r="C73" s="7"/>
      <c r="D73" s="303"/>
      <c r="E73" s="303"/>
      <c r="F73" s="303"/>
      <c r="G73" s="7"/>
      <c r="H73" s="7"/>
      <c r="I73" s="7"/>
      <c r="J73" s="7"/>
      <c r="K73" s="303"/>
      <c r="L73" s="303"/>
      <c r="M73" s="303"/>
      <c r="N73" s="7"/>
      <c r="O73" s="7"/>
      <c r="P73" s="7"/>
      <c r="Q73" s="7"/>
      <c r="R73" s="7"/>
      <c r="S73" s="7"/>
      <c r="T73" s="7"/>
      <c r="U73" s="7"/>
      <c r="V73" s="7"/>
      <c r="W73" s="7"/>
      <c r="X73" s="7"/>
      <c r="Y73" s="7"/>
      <c r="Z73" s="7"/>
      <c r="AA73" s="7"/>
      <c r="AB73" s="7"/>
    </row>
    <row r="74" ht="14.25" customHeight="1">
      <c r="A74" s="7"/>
      <c r="B74" s="7"/>
      <c r="C74" s="7"/>
      <c r="D74" s="303"/>
      <c r="E74" s="303"/>
      <c r="F74" s="303"/>
      <c r="G74" s="7"/>
      <c r="H74" s="7"/>
      <c r="I74" s="7"/>
      <c r="J74" s="7"/>
      <c r="K74" s="303"/>
      <c r="L74" s="303"/>
      <c r="M74" s="303"/>
      <c r="N74" s="7"/>
      <c r="O74" s="7"/>
      <c r="P74" s="7"/>
      <c r="Q74" s="7"/>
      <c r="R74" s="7"/>
      <c r="S74" s="7"/>
      <c r="T74" s="7"/>
      <c r="U74" s="7"/>
      <c r="V74" s="7"/>
      <c r="W74" s="7"/>
      <c r="X74" s="7"/>
      <c r="Y74" s="7"/>
      <c r="Z74" s="7"/>
      <c r="AA74" s="7"/>
      <c r="AB74" s="7"/>
    </row>
    <row r="75" ht="14.25" customHeight="1">
      <c r="A75" s="7"/>
      <c r="B75" s="7"/>
      <c r="C75" s="7"/>
      <c r="D75" s="303"/>
      <c r="E75" s="303"/>
      <c r="F75" s="303"/>
      <c r="G75" s="7"/>
      <c r="H75" s="7"/>
      <c r="I75" s="7"/>
      <c r="J75" s="7"/>
      <c r="K75" s="303"/>
      <c r="L75" s="303"/>
      <c r="M75" s="303"/>
      <c r="N75" s="7"/>
      <c r="O75" s="7"/>
      <c r="P75" s="7"/>
      <c r="Q75" s="7"/>
      <c r="R75" s="7"/>
      <c r="S75" s="7"/>
      <c r="T75" s="7"/>
      <c r="U75" s="7"/>
      <c r="V75" s="7"/>
      <c r="W75" s="7"/>
      <c r="X75" s="7"/>
      <c r="Y75" s="7"/>
      <c r="Z75" s="7"/>
      <c r="AA75" s="7"/>
      <c r="AB75" s="7"/>
    </row>
    <row r="76" ht="14.25" customHeight="1">
      <c r="A76" s="7"/>
      <c r="B76" s="7"/>
      <c r="C76" s="7"/>
      <c r="D76" s="303"/>
      <c r="E76" s="303"/>
      <c r="F76" s="303"/>
      <c r="G76" s="7"/>
      <c r="H76" s="7"/>
      <c r="I76" s="7"/>
      <c r="J76" s="7"/>
      <c r="K76" s="303"/>
      <c r="L76" s="303"/>
      <c r="M76" s="303"/>
      <c r="N76" s="7"/>
      <c r="O76" s="7"/>
      <c r="P76" s="7"/>
      <c r="Q76" s="7"/>
      <c r="R76" s="7"/>
      <c r="S76" s="7"/>
      <c r="T76" s="7"/>
      <c r="U76" s="7"/>
      <c r="V76" s="7"/>
      <c r="W76" s="7"/>
      <c r="X76" s="7"/>
      <c r="Y76" s="7"/>
      <c r="Z76" s="7"/>
      <c r="AA76" s="7"/>
      <c r="AB76" s="7"/>
    </row>
    <row r="77" ht="14.25" customHeight="1">
      <c r="A77" s="7"/>
      <c r="B77" s="7"/>
      <c r="C77" s="7"/>
      <c r="D77" s="303"/>
      <c r="E77" s="303"/>
      <c r="F77" s="303"/>
      <c r="G77" s="7"/>
      <c r="H77" s="7"/>
      <c r="I77" s="7"/>
      <c r="J77" s="7"/>
      <c r="K77" s="303"/>
      <c r="L77" s="303"/>
      <c r="M77" s="303"/>
      <c r="N77" s="7"/>
      <c r="O77" s="7"/>
      <c r="P77" s="7"/>
      <c r="Q77" s="7"/>
      <c r="R77" s="7"/>
      <c r="S77" s="7"/>
      <c r="T77" s="7"/>
      <c r="U77" s="7"/>
      <c r="V77" s="7"/>
      <c r="W77" s="7"/>
      <c r="X77" s="7"/>
      <c r="Y77" s="7"/>
      <c r="Z77" s="7"/>
      <c r="AA77" s="7"/>
      <c r="AB77" s="7"/>
    </row>
    <row r="78" ht="14.25" customHeight="1">
      <c r="A78" s="7"/>
      <c r="B78" s="7"/>
      <c r="C78" s="7"/>
      <c r="D78" s="303"/>
      <c r="E78" s="303"/>
      <c r="F78" s="303"/>
      <c r="G78" s="7"/>
      <c r="H78" s="7"/>
      <c r="I78" s="7"/>
      <c r="J78" s="7"/>
      <c r="K78" s="303"/>
      <c r="L78" s="303"/>
      <c r="M78" s="303"/>
      <c r="N78" s="7"/>
      <c r="O78" s="7"/>
      <c r="P78" s="7"/>
      <c r="Q78" s="7"/>
      <c r="R78" s="7"/>
      <c r="S78" s="7"/>
      <c r="T78" s="7"/>
      <c r="U78" s="7"/>
      <c r="V78" s="7"/>
      <c r="W78" s="7"/>
      <c r="X78" s="7"/>
      <c r="Y78" s="7"/>
      <c r="Z78" s="7"/>
      <c r="AA78" s="7"/>
      <c r="AB78" s="7"/>
    </row>
    <row r="79" ht="14.25" customHeight="1">
      <c r="A79" s="7"/>
      <c r="B79" s="7"/>
      <c r="C79" s="7"/>
      <c r="D79" s="303"/>
      <c r="E79" s="303"/>
      <c r="F79" s="303"/>
      <c r="G79" s="7"/>
      <c r="H79" s="7"/>
      <c r="I79" s="7"/>
      <c r="J79" s="7"/>
      <c r="K79" s="303"/>
      <c r="L79" s="303"/>
      <c r="M79" s="303"/>
      <c r="N79" s="7"/>
      <c r="O79" s="7"/>
      <c r="P79" s="7"/>
      <c r="Q79" s="7"/>
      <c r="R79" s="7"/>
      <c r="S79" s="7"/>
      <c r="T79" s="7"/>
      <c r="U79" s="7"/>
      <c r="V79" s="7"/>
      <c r="W79" s="7"/>
      <c r="X79" s="7"/>
      <c r="Y79" s="7"/>
      <c r="Z79" s="7"/>
      <c r="AA79" s="7"/>
      <c r="AB79" s="7"/>
    </row>
    <row r="80" ht="14.25" customHeight="1">
      <c r="A80" s="7"/>
      <c r="B80" s="7"/>
      <c r="C80" s="7"/>
      <c r="D80" s="303"/>
      <c r="E80" s="303"/>
      <c r="F80" s="303"/>
      <c r="G80" s="7"/>
      <c r="H80" s="7"/>
      <c r="I80" s="7"/>
      <c r="J80" s="7"/>
      <c r="K80" s="303"/>
      <c r="L80" s="303"/>
      <c r="M80" s="303"/>
      <c r="N80" s="7"/>
      <c r="O80" s="7"/>
      <c r="P80" s="7"/>
      <c r="Q80" s="7"/>
      <c r="R80" s="7"/>
      <c r="S80" s="7"/>
      <c r="T80" s="7"/>
      <c r="U80" s="7"/>
      <c r="V80" s="7"/>
      <c r="W80" s="7"/>
      <c r="X80" s="7"/>
      <c r="Y80" s="7"/>
      <c r="Z80" s="7"/>
      <c r="AA80" s="7"/>
      <c r="AB80" s="7"/>
    </row>
    <row r="81" ht="14.25" customHeight="1">
      <c r="A81" s="7"/>
      <c r="B81" s="7"/>
      <c r="C81" s="7"/>
      <c r="D81" s="303"/>
      <c r="E81" s="303"/>
      <c r="F81" s="303"/>
      <c r="G81" s="7"/>
      <c r="H81" s="7"/>
      <c r="I81" s="7"/>
      <c r="J81" s="7"/>
      <c r="K81" s="303"/>
      <c r="L81" s="303"/>
      <c r="M81" s="303"/>
      <c r="N81" s="7"/>
      <c r="O81" s="7"/>
      <c r="P81" s="7"/>
      <c r="Q81" s="7"/>
      <c r="R81" s="7"/>
      <c r="S81" s="7"/>
      <c r="T81" s="7"/>
      <c r="U81" s="7"/>
      <c r="V81" s="7"/>
      <c r="W81" s="7"/>
      <c r="X81" s="7"/>
      <c r="Y81" s="7"/>
      <c r="Z81" s="7"/>
      <c r="AA81" s="7"/>
      <c r="AB81" s="7"/>
    </row>
    <row r="82" ht="14.25" customHeight="1">
      <c r="A82" s="7"/>
      <c r="B82" s="7"/>
      <c r="C82" s="7"/>
      <c r="D82" s="303"/>
      <c r="E82" s="303"/>
      <c r="F82" s="303"/>
      <c r="G82" s="7"/>
      <c r="H82" s="7"/>
      <c r="I82" s="7"/>
      <c r="J82" s="7"/>
      <c r="K82" s="303"/>
      <c r="L82" s="303"/>
      <c r="M82" s="303"/>
      <c r="N82" s="7"/>
      <c r="O82" s="7"/>
      <c r="P82" s="7"/>
      <c r="Q82" s="7"/>
      <c r="R82" s="7"/>
      <c r="S82" s="7"/>
      <c r="T82" s="7"/>
      <c r="U82" s="7"/>
      <c r="V82" s="7"/>
      <c r="W82" s="7"/>
      <c r="X82" s="7"/>
      <c r="Y82" s="7"/>
      <c r="Z82" s="7"/>
      <c r="AA82" s="7"/>
      <c r="AB82" s="7"/>
    </row>
    <row r="83" ht="14.25" customHeight="1">
      <c r="A83" s="7"/>
      <c r="B83" s="7"/>
      <c r="C83" s="7"/>
      <c r="D83" s="303"/>
      <c r="E83" s="303"/>
      <c r="F83" s="303"/>
      <c r="G83" s="7"/>
      <c r="H83" s="7"/>
      <c r="I83" s="7"/>
      <c r="J83" s="7"/>
      <c r="K83" s="303"/>
      <c r="L83" s="303"/>
      <c r="M83" s="303"/>
      <c r="N83" s="7"/>
      <c r="O83" s="7"/>
      <c r="P83" s="7"/>
      <c r="Q83" s="7"/>
      <c r="R83" s="7"/>
      <c r="S83" s="7"/>
      <c r="T83" s="7"/>
      <c r="U83" s="7"/>
      <c r="V83" s="7"/>
      <c r="W83" s="7"/>
      <c r="X83" s="7"/>
      <c r="Y83" s="7"/>
      <c r="Z83" s="7"/>
      <c r="AA83" s="7"/>
      <c r="AB83" s="7"/>
    </row>
    <row r="84" ht="14.25" customHeight="1">
      <c r="A84" s="7"/>
      <c r="B84" s="7"/>
      <c r="C84" s="7"/>
      <c r="D84" s="303"/>
      <c r="E84" s="303"/>
      <c r="F84" s="303"/>
      <c r="G84" s="7"/>
      <c r="H84" s="7"/>
      <c r="I84" s="7"/>
      <c r="J84" s="7"/>
      <c r="K84" s="303"/>
      <c r="L84" s="303"/>
      <c r="M84" s="303"/>
      <c r="N84" s="7"/>
      <c r="O84" s="7"/>
      <c r="P84" s="7"/>
      <c r="Q84" s="7"/>
      <c r="R84" s="7"/>
      <c r="S84" s="7"/>
      <c r="T84" s="7"/>
      <c r="U84" s="7"/>
      <c r="V84" s="7"/>
      <c r="W84" s="7"/>
      <c r="X84" s="7"/>
      <c r="Y84" s="7"/>
      <c r="Z84" s="7"/>
      <c r="AA84" s="7"/>
      <c r="AB84" s="7"/>
    </row>
    <row r="85" ht="14.25" customHeight="1">
      <c r="A85" s="7"/>
      <c r="B85" s="7"/>
      <c r="C85" s="7"/>
      <c r="D85" s="303"/>
      <c r="E85" s="303"/>
      <c r="F85" s="303"/>
      <c r="G85" s="7"/>
      <c r="H85" s="7"/>
      <c r="I85" s="7"/>
      <c r="J85" s="7"/>
      <c r="K85" s="303"/>
      <c r="L85" s="303"/>
      <c r="M85" s="303"/>
      <c r="N85" s="7"/>
      <c r="O85" s="7"/>
      <c r="P85" s="7"/>
      <c r="Q85" s="7"/>
      <c r="R85" s="7"/>
      <c r="S85" s="7"/>
      <c r="T85" s="7"/>
      <c r="U85" s="7"/>
      <c r="V85" s="7"/>
      <c r="W85" s="7"/>
      <c r="X85" s="7"/>
      <c r="Y85" s="7"/>
      <c r="Z85" s="7"/>
      <c r="AA85" s="7"/>
      <c r="AB85" s="7"/>
    </row>
    <row r="86" ht="14.25" customHeight="1">
      <c r="A86" s="7"/>
      <c r="B86" s="7"/>
      <c r="C86" s="7"/>
      <c r="D86" s="303"/>
      <c r="E86" s="303"/>
      <c r="F86" s="303"/>
      <c r="G86" s="7"/>
      <c r="H86" s="7"/>
      <c r="I86" s="7"/>
      <c r="J86" s="7"/>
      <c r="K86" s="303"/>
      <c r="L86" s="303"/>
      <c r="M86" s="303"/>
      <c r="N86" s="7"/>
      <c r="O86" s="7"/>
      <c r="P86" s="7"/>
      <c r="Q86" s="7"/>
      <c r="R86" s="7"/>
      <c r="S86" s="7"/>
      <c r="T86" s="7"/>
      <c r="U86" s="7"/>
      <c r="V86" s="7"/>
      <c r="W86" s="7"/>
      <c r="X86" s="7"/>
      <c r="Y86" s="7"/>
      <c r="Z86" s="7"/>
      <c r="AA86" s="7"/>
      <c r="AB86" s="7"/>
    </row>
    <row r="87" ht="14.25" customHeight="1">
      <c r="A87" s="7"/>
      <c r="B87" s="7"/>
      <c r="C87" s="7"/>
      <c r="D87" s="303"/>
      <c r="E87" s="303"/>
      <c r="F87" s="303"/>
      <c r="G87" s="7"/>
      <c r="H87" s="7"/>
      <c r="I87" s="7"/>
      <c r="J87" s="7"/>
      <c r="K87" s="303"/>
      <c r="L87" s="303"/>
      <c r="M87" s="303"/>
      <c r="N87" s="7"/>
      <c r="O87" s="7"/>
      <c r="P87" s="7"/>
      <c r="Q87" s="7"/>
      <c r="R87" s="7"/>
      <c r="S87" s="7"/>
      <c r="T87" s="7"/>
      <c r="U87" s="7"/>
      <c r="V87" s="7"/>
      <c r="W87" s="7"/>
      <c r="X87" s="7"/>
      <c r="Y87" s="7"/>
      <c r="Z87" s="7"/>
      <c r="AA87" s="7"/>
      <c r="AB87" s="7"/>
    </row>
    <row r="88" ht="14.25" customHeight="1">
      <c r="A88" s="7"/>
      <c r="B88" s="7"/>
      <c r="C88" s="7"/>
      <c r="D88" s="303"/>
      <c r="E88" s="303"/>
      <c r="F88" s="303"/>
      <c r="G88" s="7"/>
      <c r="H88" s="7"/>
      <c r="I88" s="7"/>
      <c r="J88" s="7"/>
      <c r="K88" s="303"/>
      <c r="L88" s="303"/>
      <c r="M88" s="303"/>
      <c r="N88" s="7"/>
      <c r="O88" s="7"/>
      <c r="P88" s="7"/>
      <c r="Q88" s="7"/>
      <c r="R88" s="7"/>
      <c r="S88" s="7"/>
      <c r="T88" s="7"/>
      <c r="U88" s="7"/>
      <c r="V88" s="7"/>
      <c r="W88" s="7"/>
      <c r="X88" s="7"/>
      <c r="Y88" s="7"/>
      <c r="Z88" s="7"/>
      <c r="AA88" s="7"/>
      <c r="AB88" s="7"/>
    </row>
    <row r="89" ht="14.25" customHeight="1">
      <c r="A89" s="7"/>
      <c r="B89" s="7"/>
      <c r="C89" s="7"/>
      <c r="D89" s="303"/>
      <c r="E89" s="303"/>
      <c r="F89" s="303"/>
      <c r="G89" s="7"/>
      <c r="H89" s="7"/>
      <c r="I89" s="7"/>
      <c r="J89" s="7"/>
      <c r="K89" s="303"/>
      <c r="L89" s="303"/>
      <c r="M89" s="303"/>
      <c r="N89" s="7"/>
      <c r="O89" s="7"/>
      <c r="P89" s="7"/>
      <c r="Q89" s="7"/>
      <c r="R89" s="7"/>
      <c r="S89" s="7"/>
      <c r="T89" s="7"/>
      <c r="U89" s="7"/>
      <c r="V89" s="7"/>
      <c r="W89" s="7"/>
      <c r="X89" s="7"/>
      <c r="Y89" s="7"/>
      <c r="Z89" s="7"/>
      <c r="AA89" s="7"/>
      <c r="AB89" s="7"/>
    </row>
    <row r="90" ht="14.25" customHeight="1">
      <c r="A90" s="7"/>
      <c r="B90" s="7"/>
      <c r="C90" s="7"/>
      <c r="D90" s="303"/>
      <c r="E90" s="303"/>
      <c r="F90" s="303"/>
      <c r="G90" s="7"/>
      <c r="H90" s="7"/>
      <c r="I90" s="7"/>
      <c r="J90" s="7"/>
      <c r="K90" s="303"/>
      <c r="L90" s="303"/>
      <c r="M90" s="303"/>
      <c r="N90" s="7"/>
      <c r="O90" s="7"/>
      <c r="P90" s="7"/>
      <c r="Q90" s="7"/>
      <c r="R90" s="7"/>
      <c r="S90" s="7"/>
      <c r="T90" s="7"/>
      <c r="U90" s="7"/>
      <c r="V90" s="7"/>
      <c r="W90" s="7"/>
      <c r="X90" s="7"/>
      <c r="Y90" s="7"/>
      <c r="Z90" s="7"/>
      <c r="AA90" s="7"/>
      <c r="AB90" s="7"/>
    </row>
    <row r="91" ht="14.25" customHeight="1">
      <c r="A91" s="7"/>
      <c r="B91" s="7"/>
      <c r="C91" s="7"/>
      <c r="D91" s="303"/>
      <c r="E91" s="303"/>
      <c r="F91" s="303"/>
      <c r="G91" s="7"/>
      <c r="H91" s="7"/>
      <c r="I91" s="7"/>
      <c r="J91" s="7"/>
      <c r="K91" s="303"/>
      <c r="L91" s="303"/>
      <c r="M91" s="303"/>
      <c r="N91" s="7"/>
      <c r="O91" s="7"/>
      <c r="P91" s="7"/>
      <c r="Q91" s="7"/>
      <c r="R91" s="7"/>
      <c r="S91" s="7"/>
      <c r="T91" s="7"/>
      <c r="U91" s="7"/>
      <c r="V91" s="7"/>
      <c r="W91" s="7"/>
      <c r="X91" s="7"/>
      <c r="Y91" s="7"/>
      <c r="Z91" s="7"/>
      <c r="AA91" s="7"/>
      <c r="AB91" s="7"/>
    </row>
    <row r="92" ht="14.25" customHeight="1">
      <c r="A92" s="7"/>
      <c r="B92" s="7"/>
      <c r="C92" s="7"/>
      <c r="D92" s="303"/>
      <c r="E92" s="303"/>
      <c r="F92" s="303"/>
      <c r="G92" s="7"/>
      <c r="H92" s="7"/>
      <c r="I92" s="7"/>
      <c r="J92" s="7"/>
      <c r="K92" s="303"/>
      <c r="L92" s="303"/>
      <c r="M92" s="303"/>
      <c r="N92" s="7"/>
      <c r="O92" s="7"/>
      <c r="P92" s="7"/>
      <c r="Q92" s="7"/>
      <c r="R92" s="7"/>
      <c r="S92" s="7"/>
      <c r="T92" s="7"/>
      <c r="U92" s="7"/>
      <c r="V92" s="7"/>
      <c r="W92" s="7"/>
      <c r="X92" s="7"/>
      <c r="Y92" s="7"/>
      <c r="Z92" s="7"/>
      <c r="AA92" s="7"/>
      <c r="AB92" s="7"/>
    </row>
    <row r="93" ht="14.25" customHeight="1">
      <c r="A93" s="7"/>
      <c r="B93" s="7"/>
      <c r="C93" s="7"/>
      <c r="D93" s="303"/>
      <c r="E93" s="303"/>
      <c r="F93" s="303"/>
      <c r="G93" s="7"/>
      <c r="H93" s="7"/>
      <c r="I93" s="7"/>
      <c r="J93" s="7"/>
      <c r="K93" s="303"/>
      <c r="L93" s="303"/>
      <c r="M93" s="303"/>
      <c r="N93" s="7"/>
      <c r="O93" s="7"/>
      <c r="P93" s="7"/>
      <c r="Q93" s="7"/>
      <c r="R93" s="7"/>
      <c r="S93" s="7"/>
      <c r="T93" s="7"/>
      <c r="U93" s="7"/>
      <c r="V93" s="7"/>
      <c r="W93" s="7"/>
      <c r="X93" s="7"/>
      <c r="Y93" s="7"/>
      <c r="Z93" s="7"/>
      <c r="AA93" s="7"/>
      <c r="AB93" s="7"/>
    </row>
    <row r="94" ht="14.25" customHeight="1">
      <c r="A94" s="7"/>
      <c r="B94" s="7"/>
      <c r="C94" s="7"/>
      <c r="D94" s="303"/>
      <c r="E94" s="303"/>
      <c r="F94" s="303"/>
      <c r="G94" s="7"/>
      <c r="H94" s="7"/>
      <c r="I94" s="7"/>
      <c r="J94" s="7"/>
      <c r="K94" s="303"/>
      <c r="L94" s="303"/>
      <c r="M94" s="303"/>
      <c r="N94" s="7"/>
      <c r="O94" s="7"/>
      <c r="P94" s="7"/>
      <c r="Q94" s="7"/>
      <c r="R94" s="7"/>
      <c r="S94" s="7"/>
      <c r="T94" s="7"/>
      <c r="U94" s="7"/>
      <c r="V94" s="7"/>
      <c r="W94" s="7"/>
      <c r="X94" s="7"/>
      <c r="Y94" s="7"/>
      <c r="Z94" s="7"/>
      <c r="AA94" s="7"/>
      <c r="AB94" s="7"/>
    </row>
    <row r="95" ht="14.25" customHeight="1">
      <c r="A95" s="7"/>
      <c r="B95" s="7"/>
      <c r="C95" s="7"/>
      <c r="D95" s="303"/>
      <c r="E95" s="303"/>
      <c r="F95" s="303"/>
      <c r="G95" s="7"/>
      <c r="H95" s="7"/>
      <c r="I95" s="7"/>
      <c r="J95" s="7"/>
      <c r="K95" s="303"/>
      <c r="L95" s="303"/>
      <c r="M95" s="303"/>
      <c r="N95" s="7"/>
      <c r="O95" s="7"/>
      <c r="P95" s="7"/>
      <c r="Q95" s="7"/>
      <c r="R95" s="7"/>
      <c r="S95" s="7"/>
      <c r="T95" s="7"/>
      <c r="U95" s="7"/>
      <c r="V95" s="7"/>
      <c r="W95" s="7"/>
      <c r="X95" s="7"/>
      <c r="Y95" s="7"/>
      <c r="Z95" s="7"/>
      <c r="AA95" s="7"/>
      <c r="AB95" s="7"/>
    </row>
    <row r="96" ht="14.25" customHeight="1">
      <c r="A96" s="7"/>
      <c r="B96" s="7"/>
      <c r="C96" s="7"/>
      <c r="D96" s="303"/>
      <c r="E96" s="303"/>
      <c r="F96" s="303"/>
      <c r="G96" s="7"/>
      <c r="H96" s="7"/>
      <c r="I96" s="7"/>
      <c r="J96" s="7"/>
      <c r="K96" s="303"/>
      <c r="L96" s="303"/>
      <c r="M96" s="303"/>
      <c r="N96" s="7"/>
      <c r="O96" s="7"/>
      <c r="P96" s="7"/>
      <c r="Q96" s="7"/>
      <c r="R96" s="7"/>
      <c r="S96" s="7"/>
      <c r="T96" s="7"/>
      <c r="U96" s="7"/>
      <c r="V96" s="7"/>
      <c r="W96" s="7"/>
      <c r="X96" s="7"/>
      <c r="Y96" s="7"/>
      <c r="Z96" s="7"/>
      <c r="AA96" s="7"/>
      <c r="AB96" s="7"/>
    </row>
    <row r="97" ht="14.25" customHeight="1">
      <c r="A97" s="7"/>
      <c r="B97" s="7"/>
      <c r="C97" s="7"/>
      <c r="D97" s="303"/>
      <c r="E97" s="303"/>
      <c r="F97" s="303"/>
      <c r="G97" s="7"/>
      <c r="H97" s="7"/>
      <c r="I97" s="7"/>
      <c r="J97" s="7"/>
      <c r="K97" s="303"/>
      <c r="L97" s="303"/>
      <c r="M97" s="303"/>
      <c r="N97" s="7"/>
      <c r="O97" s="7"/>
      <c r="P97" s="7"/>
      <c r="Q97" s="7"/>
      <c r="R97" s="7"/>
      <c r="S97" s="7"/>
      <c r="T97" s="7"/>
      <c r="U97" s="7"/>
      <c r="V97" s="7"/>
      <c r="W97" s="7"/>
      <c r="X97" s="7"/>
      <c r="Y97" s="7"/>
      <c r="Z97" s="7"/>
      <c r="AA97" s="7"/>
      <c r="AB97" s="7"/>
    </row>
    <row r="98" ht="14.25" customHeight="1">
      <c r="A98" s="7"/>
      <c r="B98" s="7"/>
      <c r="C98" s="7"/>
      <c r="D98" s="303"/>
      <c r="E98" s="303"/>
      <c r="F98" s="303"/>
      <c r="G98" s="7"/>
      <c r="H98" s="7"/>
      <c r="I98" s="7"/>
      <c r="J98" s="7"/>
      <c r="K98" s="303"/>
      <c r="L98" s="303"/>
      <c r="M98" s="303"/>
      <c r="N98" s="7"/>
      <c r="O98" s="7"/>
      <c r="P98" s="7"/>
      <c r="Q98" s="7"/>
      <c r="R98" s="7"/>
      <c r="S98" s="7"/>
      <c r="T98" s="7"/>
      <c r="U98" s="7"/>
      <c r="V98" s="7"/>
      <c r="W98" s="7"/>
      <c r="X98" s="7"/>
      <c r="Y98" s="7"/>
      <c r="Z98" s="7"/>
      <c r="AA98" s="7"/>
      <c r="AB98" s="7"/>
    </row>
    <row r="99" ht="14.25" customHeight="1">
      <c r="A99" s="7"/>
      <c r="B99" s="7"/>
      <c r="C99" s="7"/>
      <c r="D99" s="303"/>
      <c r="E99" s="303"/>
      <c r="F99" s="303"/>
      <c r="G99" s="7"/>
      <c r="H99" s="7"/>
      <c r="I99" s="7"/>
      <c r="J99" s="7"/>
      <c r="K99" s="303"/>
      <c r="L99" s="303"/>
      <c r="M99" s="303"/>
      <c r="N99" s="7"/>
      <c r="O99" s="7"/>
      <c r="P99" s="7"/>
      <c r="Q99" s="7"/>
      <c r="R99" s="7"/>
      <c r="S99" s="7"/>
      <c r="T99" s="7"/>
      <c r="U99" s="7"/>
      <c r="V99" s="7"/>
      <c r="W99" s="7"/>
      <c r="X99" s="7"/>
      <c r="Y99" s="7"/>
      <c r="Z99" s="7"/>
      <c r="AA99" s="7"/>
      <c r="AB99" s="7"/>
    </row>
    <row r="100" ht="14.25" customHeight="1">
      <c r="A100" s="7"/>
      <c r="B100" s="7"/>
      <c r="C100" s="7"/>
      <c r="D100" s="303"/>
      <c r="E100" s="303"/>
      <c r="F100" s="303"/>
      <c r="G100" s="7"/>
      <c r="H100" s="7"/>
      <c r="I100" s="7"/>
      <c r="J100" s="7"/>
      <c r="K100" s="303"/>
      <c r="L100" s="303"/>
      <c r="M100" s="303"/>
      <c r="N100" s="7"/>
      <c r="O100" s="7"/>
      <c r="P100" s="7"/>
      <c r="Q100" s="7"/>
      <c r="R100" s="7"/>
      <c r="S100" s="7"/>
      <c r="T100" s="7"/>
      <c r="U100" s="7"/>
      <c r="V100" s="7"/>
      <c r="W100" s="7"/>
      <c r="X100" s="7"/>
      <c r="Y100" s="7"/>
      <c r="Z100" s="7"/>
      <c r="AA100" s="7"/>
      <c r="AB100" s="7"/>
    </row>
    <row r="101" ht="14.25" customHeight="1">
      <c r="A101" s="7"/>
      <c r="B101" s="7"/>
      <c r="C101" s="7"/>
      <c r="D101" s="303"/>
      <c r="E101" s="303"/>
      <c r="F101" s="303"/>
      <c r="G101" s="7"/>
      <c r="H101" s="7"/>
      <c r="I101" s="7"/>
      <c r="J101" s="7"/>
      <c r="K101" s="303"/>
      <c r="L101" s="303"/>
      <c r="M101" s="303"/>
      <c r="N101" s="7"/>
      <c r="O101" s="7"/>
      <c r="P101" s="7"/>
      <c r="Q101" s="7"/>
      <c r="R101" s="7"/>
      <c r="S101" s="7"/>
      <c r="T101" s="7"/>
      <c r="U101" s="7"/>
      <c r="V101" s="7"/>
      <c r="W101" s="7"/>
      <c r="X101" s="7"/>
      <c r="Y101" s="7"/>
      <c r="Z101" s="7"/>
      <c r="AA101" s="7"/>
      <c r="AB101" s="7"/>
    </row>
    <row r="102" ht="14.25" customHeight="1">
      <c r="A102" s="7"/>
      <c r="B102" s="7"/>
      <c r="C102" s="7"/>
      <c r="D102" s="303"/>
      <c r="E102" s="303"/>
      <c r="F102" s="303"/>
      <c r="G102" s="7"/>
      <c r="H102" s="7"/>
      <c r="I102" s="7"/>
      <c r="J102" s="7"/>
      <c r="K102" s="303"/>
      <c r="L102" s="303"/>
      <c r="M102" s="303"/>
      <c r="N102" s="7"/>
      <c r="O102" s="7"/>
      <c r="P102" s="7"/>
      <c r="Q102" s="7"/>
      <c r="R102" s="7"/>
      <c r="S102" s="7"/>
      <c r="T102" s="7"/>
      <c r="U102" s="7"/>
      <c r="V102" s="7"/>
      <c r="W102" s="7"/>
      <c r="X102" s="7"/>
      <c r="Y102" s="7"/>
      <c r="Z102" s="7"/>
      <c r="AA102" s="7"/>
      <c r="AB102" s="7"/>
    </row>
    <row r="103" ht="14.25" customHeight="1">
      <c r="A103" s="7"/>
      <c r="B103" s="7"/>
      <c r="C103" s="7"/>
      <c r="D103" s="303"/>
      <c r="E103" s="303"/>
      <c r="F103" s="303"/>
      <c r="G103" s="7"/>
      <c r="H103" s="7"/>
      <c r="I103" s="7"/>
      <c r="J103" s="7"/>
      <c r="K103" s="303"/>
      <c r="L103" s="303"/>
      <c r="M103" s="303"/>
      <c r="N103" s="7"/>
      <c r="O103" s="7"/>
      <c r="P103" s="7"/>
      <c r="Q103" s="7"/>
      <c r="R103" s="7"/>
      <c r="S103" s="7"/>
      <c r="T103" s="7"/>
      <c r="U103" s="7"/>
      <c r="V103" s="7"/>
      <c r="W103" s="7"/>
      <c r="X103" s="7"/>
      <c r="Y103" s="7"/>
      <c r="Z103" s="7"/>
      <c r="AA103" s="7"/>
      <c r="AB103" s="7"/>
    </row>
    <row r="104" ht="14.25" customHeight="1">
      <c r="A104" s="7"/>
      <c r="B104" s="7"/>
      <c r="C104" s="7"/>
      <c r="D104" s="303"/>
      <c r="E104" s="303"/>
      <c r="F104" s="303"/>
      <c r="G104" s="7"/>
      <c r="H104" s="7"/>
      <c r="I104" s="7"/>
      <c r="J104" s="7"/>
      <c r="K104" s="303"/>
      <c r="L104" s="303"/>
      <c r="M104" s="303"/>
      <c r="N104" s="7"/>
      <c r="O104" s="7"/>
      <c r="P104" s="7"/>
      <c r="Q104" s="7"/>
      <c r="R104" s="7"/>
      <c r="S104" s="7"/>
      <c r="T104" s="7"/>
      <c r="U104" s="7"/>
      <c r="V104" s="7"/>
      <c r="W104" s="7"/>
      <c r="X104" s="7"/>
      <c r="Y104" s="7"/>
      <c r="Z104" s="7"/>
      <c r="AA104" s="7"/>
      <c r="AB104" s="7"/>
    </row>
    <row r="105" ht="14.25" customHeight="1">
      <c r="A105" s="7"/>
      <c r="B105" s="7"/>
      <c r="C105" s="7"/>
      <c r="D105" s="303"/>
      <c r="E105" s="303"/>
      <c r="F105" s="303"/>
      <c r="G105" s="7"/>
      <c r="H105" s="7"/>
      <c r="I105" s="7"/>
      <c r="J105" s="7"/>
      <c r="K105" s="303"/>
      <c r="L105" s="303"/>
      <c r="M105" s="303"/>
      <c r="N105" s="7"/>
      <c r="O105" s="7"/>
      <c r="P105" s="7"/>
      <c r="Q105" s="7"/>
      <c r="R105" s="7"/>
      <c r="S105" s="7"/>
      <c r="T105" s="7"/>
      <c r="U105" s="7"/>
      <c r="V105" s="7"/>
      <c r="W105" s="7"/>
      <c r="X105" s="7"/>
      <c r="Y105" s="7"/>
      <c r="Z105" s="7"/>
      <c r="AA105" s="7"/>
      <c r="AB105" s="7"/>
    </row>
    <row r="106" ht="14.25" customHeight="1">
      <c r="A106" s="7"/>
      <c r="B106" s="7"/>
      <c r="C106" s="7"/>
      <c r="D106" s="303"/>
      <c r="E106" s="303"/>
      <c r="F106" s="303"/>
      <c r="G106" s="7"/>
      <c r="H106" s="7"/>
      <c r="I106" s="7"/>
      <c r="J106" s="7"/>
      <c r="K106" s="303"/>
      <c r="L106" s="303"/>
      <c r="M106" s="303"/>
      <c r="N106" s="7"/>
      <c r="O106" s="7"/>
      <c r="P106" s="7"/>
      <c r="Q106" s="7"/>
      <c r="R106" s="7"/>
      <c r="S106" s="7"/>
      <c r="T106" s="7"/>
      <c r="U106" s="7"/>
      <c r="V106" s="7"/>
      <c r="W106" s="7"/>
      <c r="X106" s="7"/>
      <c r="Y106" s="7"/>
      <c r="Z106" s="7"/>
      <c r="AA106" s="7"/>
      <c r="AB106" s="7"/>
    </row>
    <row r="107" ht="14.25" customHeight="1">
      <c r="A107" s="7"/>
      <c r="B107" s="7"/>
      <c r="C107" s="7"/>
      <c r="D107" s="303"/>
      <c r="E107" s="303"/>
      <c r="F107" s="303"/>
      <c r="G107" s="7"/>
      <c r="H107" s="7"/>
      <c r="I107" s="7"/>
      <c r="J107" s="7"/>
      <c r="K107" s="303"/>
      <c r="L107" s="303"/>
      <c r="M107" s="303"/>
      <c r="N107" s="7"/>
      <c r="O107" s="7"/>
      <c r="P107" s="7"/>
      <c r="Q107" s="7"/>
      <c r="R107" s="7"/>
      <c r="S107" s="7"/>
      <c r="T107" s="7"/>
      <c r="U107" s="7"/>
      <c r="V107" s="7"/>
      <c r="W107" s="7"/>
      <c r="X107" s="7"/>
      <c r="Y107" s="7"/>
      <c r="Z107" s="7"/>
      <c r="AA107" s="7"/>
      <c r="AB107" s="7"/>
    </row>
    <row r="108" ht="14.25" customHeight="1">
      <c r="A108" s="7"/>
      <c r="B108" s="7"/>
      <c r="C108" s="7"/>
      <c r="D108" s="303"/>
      <c r="E108" s="303"/>
      <c r="F108" s="303"/>
      <c r="G108" s="7"/>
      <c r="H108" s="7"/>
      <c r="I108" s="7"/>
      <c r="J108" s="7"/>
      <c r="K108" s="303"/>
      <c r="L108" s="303"/>
      <c r="M108" s="303"/>
      <c r="N108" s="7"/>
      <c r="O108" s="7"/>
      <c r="P108" s="7"/>
      <c r="Q108" s="7"/>
      <c r="R108" s="7"/>
      <c r="S108" s="7"/>
      <c r="T108" s="7"/>
      <c r="U108" s="7"/>
      <c r="V108" s="7"/>
      <c r="W108" s="7"/>
      <c r="X108" s="7"/>
      <c r="Y108" s="7"/>
      <c r="Z108" s="7"/>
      <c r="AA108" s="7"/>
      <c r="AB108" s="7"/>
    </row>
    <row r="109" ht="14.25" customHeight="1">
      <c r="A109" s="7"/>
      <c r="B109" s="7"/>
      <c r="C109" s="7"/>
      <c r="D109" s="303"/>
      <c r="E109" s="303"/>
      <c r="F109" s="303"/>
      <c r="G109" s="7"/>
      <c r="H109" s="7"/>
      <c r="I109" s="7"/>
      <c r="J109" s="7"/>
      <c r="K109" s="303"/>
      <c r="L109" s="303"/>
      <c r="M109" s="303"/>
      <c r="N109" s="7"/>
      <c r="O109" s="7"/>
      <c r="P109" s="7"/>
      <c r="Q109" s="7"/>
      <c r="R109" s="7"/>
      <c r="S109" s="7"/>
      <c r="T109" s="7"/>
      <c r="U109" s="7"/>
      <c r="V109" s="7"/>
      <c r="W109" s="7"/>
      <c r="X109" s="7"/>
      <c r="Y109" s="7"/>
      <c r="Z109" s="7"/>
      <c r="AA109" s="7"/>
      <c r="AB109" s="7"/>
    </row>
    <row r="110" ht="14.25" customHeight="1">
      <c r="A110" s="7"/>
      <c r="B110" s="7"/>
      <c r="C110" s="7"/>
      <c r="D110" s="303"/>
      <c r="E110" s="303"/>
      <c r="F110" s="303"/>
      <c r="G110" s="7"/>
      <c r="H110" s="7"/>
      <c r="I110" s="7"/>
      <c r="J110" s="7"/>
      <c r="K110" s="303"/>
      <c r="L110" s="303"/>
      <c r="M110" s="303"/>
      <c r="N110" s="7"/>
      <c r="O110" s="7"/>
      <c r="P110" s="7"/>
      <c r="Q110" s="7"/>
      <c r="R110" s="7"/>
      <c r="S110" s="7"/>
      <c r="T110" s="7"/>
      <c r="U110" s="7"/>
      <c r="V110" s="7"/>
      <c r="W110" s="7"/>
      <c r="X110" s="7"/>
      <c r="Y110" s="7"/>
      <c r="Z110" s="7"/>
      <c r="AA110" s="7"/>
      <c r="AB110" s="7"/>
    </row>
    <row r="111" ht="14.25" customHeight="1">
      <c r="A111" s="7"/>
      <c r="B111" s="7"/>
      <c r="C111" s="7"/>
      <c r="D111" s="303"/>
      <c r="E111" s="303"/>
      <c r="F111" s="303"/>
      <c r="G111" s="7"/>
      <c r="H111" s="7"/>
      <c r="I111" s="7"/>
      <c r="J111" s="7"/>
      <c r="K111" s="303"/>
      <c r="L111" s="303"/>
      <c r="M111" s="303"/>
      <c r="N111" s="7"/>
      <c r="O111" s="7"/>
      <c r="P111" s="7"/>
      <c r="Q111" s="7"/>
      <c r="R111" s="7"/>
      <c r="S111" s="7"/>
      <c r="T111" s="7"/>
      <c r="U111" s="7"/>
      <c r="V111" s="7"/>
      <c r="W111" s="7"/>
      <c r="X111" s="7"/>
      <c r="Y111" s="7"/>
      <c r="Z111" s="7"/>
      <c r="AA111" s="7"/>
      <c r="AB111" s="7"/>
    </row>
    <row r="112" ht="14.25" customHeight="1">
      <c r="A112" s="7"/>
      <c r="B112" s="7"/>
      <c r="C112" s="7"/>
      <c r="D112" s="303"/>
      <c r="E112" s="303"/>
      <c r="F112" s="303"/>
      <c r="G112" s="7"/>
      <c r="H112" s="7"/>
      <c r="I112" s="7"/>
      <c r="J112" s="7"/>
      <c r="K112" s="303"/>
      <c r="L112" s="303"/>
      <c r="M112" s="303"/>
      <c r="N112" s="7"/>
      <c r="O112" s="7"/>
      <c r="P112" s="7"/>
      <c r="Q112" s="7"/>
      <c r="R112" s="7"/>
      <c r="S112" s="7"/>
      <c r="T112" s="7"/>
      <c r="U112" s="7"/>
      <c r="V112" s="7"/>
      <c r="W112" s="7"/>
      <c r="X112" s="7"/>
      <c r="Y112" s="7"/>
      <c r="Z112" s="7"/>
      <c r="AA112" s="7"/>
      <c r="AB112" s="7"/>
    </row>
    <row r="113" ht="14.25" customHeight="1">
      <c r="A113" s="7"/>
      <c r="B113" s="7"/>
      <c r="C113" s="7"/>
      <c r="D113" s="303"/>
      <c r="E113" s="303"/>
      <c r="F113" s="303"/>
      <c r="G113" s="7"/>
      <c r="H113" s="7"/>
      <c r="I113" s="7"/>
      <c r="J113" s="7"/>
      <c r="K113" s="303"/>
      <c r="L113" s="303"/>
      <c r="M113" s="303"/>
      <c r="N113" s="7"/>
      <c r="O113" s="7"/>
      <c r="P113" s="7"/>
      <c r="Q113" s="7"/>
      <c r="R113" s="7"/>
      <c r="S113" s="7"/>
      <c r="T113" s="7"/>
      <c r="U113" s="7"/>
      <c r="V113" s="7"/>
      <c r="W113" s="7"/>
      <c r="X113" s="7"/>
      <c r="Y113" s="7"/>
      <c r="Z113" s="7"/>
      <c r="AA113" s="7"/>
      <c r="AB113" s="7"/>
    </row>
    <row r="114" ht="14.25" customHeight="1">
      <c r="A114" s="7"/>
      <c r="B114" s="7"/>
      <c r="C114" s="7"/>
      <c r="D114" s="303"/>
      <c r="E114" s="303"/>
      <c r="F114" s="303"/>
      <c r="G114" s="7"/>
      <c r="H114" s="7"/>
      <c r="I114" s="7"/>
      <c r="J114" s="7"/>
      <c r="K114" s="303"/>
      <c r="L114" s="303"/>
      <c r="M114" s="303"/>
      <c r="N114" s="7"/>
      <c r="O114" s="7"/>
      <c r="P114" s="7"/>
      <c r="Q114" s="7"/>
      <c r="R114" s="7"/>
      <c r="S114" s="7"/>
      <c r="T114" s="7"/>
      <c r="U114" s="7"/>
      <c r="V114" s="7"/>
      <c r="W114" s="7"/>
      <c r="X114" s="7"/>
      <c r="Y114" s="7"/>
      <c r="Z114" s="7"/>
      <c r="AA114" s="7"/>
      <c r="AB114" s="7"/>
    </row>
    <row r="115" ht="14.25" customHeight="1">
      <c r="A115" s="7"/>
      <c r="B115" s="7"/>
      <c r="C115" s="7"/>
      <c r="D115" s="303"/>
      <c r="E115" s="303"/>
      <c r="F115" s="303"/>
      <c r="G115" s="7"/>
      <c r="H115" s="7"/>
      <c r="I115" s="7"/>
      <c r="J115" s="7"/>
      <c r="K115" s="303"/>
      <c r="L115" s="303"/>
      <c r="M115" s="303"/>
      <c r="N115" s="7"/>
      <c r="O115" s="7"/>
      <c r="P115" s="7"/>
      <c r="Q115" s="7"/>
      <c r="R115" s="7"/>
      <c r="S115" s="7"/>
      <c r="T115" s="7"/>
      <c r="U115" s="7"/>
      <c r="V115" s="7"/>
      <c r="W115" s="7"/>
      <c r="X115" s="7"/>
      <c r="Y115" s="7"/>
      <c r="Z115" s="7"/>
      <c r="AA115" s="7"/>
      <c r="AB115" s="7"/>
    </row>
    <row r="116" ht="14.25" customHeight="1">
      <c r="A116" s="7"/>
      <c r="B116" s="7"/>
      <c r="C116" s="7"/>
      <c r="D116" s="303"/>
      <c r="E116" s="303"/>
      <c r="F116" s="303"/>
      <c r="G116" s="7"/>
      <c r="H116" s="7"/>
      <c r="I116" s="7"/>
      <c r="J116" s="7"/>
      <c r="K116" s="303"/>
      <c r="L116" s="303"/>
      <c r="M116" s="303"/>
      <c r="N116" s="7"/>
      <c r="O116" s="7"/>
      <c r="P116" s="7"/>
      <c r="Q116" s="7"/>
      <c r="R116" s="7"/>
      <c r="S116" s="7"/>
      <c r="T116" s="7"/>
      <c r="U116" s="7"/>
      <c r="V116" s="7"/>
      <c r="W116" s="7"/>
      <c r="X116" s="7"/>
      <c r="Y116" s="7"/>
      <c r="Z116" s="7"/>
      <c r="AA116" s="7"/>
      <c r="AB116" s="7"/>
    </row>
    <row r="117" ht="14.25" customHeight="1">
      <c r="A117" s="7"/>
      <c r="B117" s="7"/>
      <c r="C117" s="7"/>
      <c r="D117" s="303"/>
      <c r="E117" s="303"/>
      <c r="F117" s="303"/>
      <c r="G117" s="7"/>
      <c r="H117" s="7"/>
      <c r="I117" s="7"/>
      <c r="J117" s="7"/>
      <c r="K117" s="303"/>
      <c r="L117" s="303"/>
      <c r="M117" s="303"/>
      <c r="N117" s="7"/>
      <c r="O117" s="7"/>
      <c r="P117" s="7"/>
      <c r="Q117" s="7"/>
      <c r="R117" s="7"/>
      <c r="S117" s="7"/>
      <c r="T117" s="7"/>
      <c r="U117" s="7"/>
      <c r="V117" s="7"/>
      <c r="W117" s="7"/>
      <c r="X117" s="7"/>
      <c r="Y117" s="7"/>
      <c r="Z117" s="7"/>
      <c r="AA117" s="7"/>
      <c r="AB117" s="7"/>
    </row>
    <row r="118" ht="14.25" customHeight="1">
      <c r="A118" s="7"/>
      <c r="B118" s="7"/>
      <c r="C118" s="7"/>
      <c r="D118" s="303"/>
      <c r="E118" s="303"/>
      <c r="F118" s="303"/>
      <c r="G118" s="7"/>
      <c r="H118" s="7"/>
      <c r="I118" s="7"/>
      <c r="J118" s="7"/>
      <c r="K118" s="303"/>
      <c r="L118" s="303"/>
      <c r="M118" s="303"/>
      <c r="N118" s="7"/>
      <c r="O118" s="7"/>
      <c r="P118" s="7"/>
      <c r="Q118" s="7"/>
      <c r="R118" s="7"/>
      <c r="S118" s="7"/>
      <c r="T118" s="7"/>
      <c r="U118" s="7"/>
      <c r="V118" s="7"/>
      <c r="W118" s="7"/>
      <c r="X118" s="7"/>
      <c r="Y118" s="7"/>
      <c r="Z118" s="7"/>
      <c r="AA118" s="7"/>
      <c r="AB118" s="7"/>
    </row>
    <row r="119" ht="14.25" customHeight="1">
      <c r="A119" s="7"/>
      <c r="B119" s="7"/>
      <c r="C119" s="7"/>
      <c r="D119" s="303"/>
      <c r="E119" s="303"/>
      <c r="F119" s="303"/>
      <c r="G119" s="7"/>
      <c r="H119" s="7"/>
      <c r="I119" s="7"/>
      <c r="J119" s="7"/>
      <c r="K119" s="303"/>
      <c r="L119" s="303"/>
      <c r="M119" s="303"/>
      <c r="N119" s="7"/>
      <c r="O119" s="7"/>
      <c r="P119" s="7"/>
      <c r="Q119" s="7"/>
      <c r="R119" s="7"/>
      <c r="S119" s="7"/>
      <c r="T119" s="7"/>
      <c r="U119" s="7"/>
      <c r="V119" s="7"/>
      <c r="W119" s="7"/>
      <c r="X119" s="7"/>
      <c r="Y119" s="7"/>
      <c r="Z119" s="7"/>
      <c r="AA119" s="7"/>
      <c r="AB119" s="7"/>
    </row>
    <row r="120" ht="14.25" customHeight="1">
      <c r="A120" s="7"/>
      <c r="B120" s="7"/>
      <c r="C120" s="7"/>
      <c r="D120" s="303"/>
      <c r="E120" s="303"/>
      <c r="F120" s="303"/>
      <c r="G120" s="7"/>
      <c r="H120" s="7"/>
      <c r="I120" s="7"/>
      <c r="J120" s="7"/>
      <c r="K120" s="303"/>
      <c r="L120" s="303"/>
      <c r="M120" s="303"/>
      <c r="N120" s="7"/>
      <c r="O120" s="7"/>
      <c r="P120" s="7"/>
      <c r="Q120" s="7"/>
      <c r="R120" s="7"/>
      <c r="S120" s="7"/>
      <c r="T120" s="7"/>
      <c r="U120" s="7"/>
      <c r="V120" s="7"/>
      <c r="W120" s="7"/>
      <c r="X120" s="7"/>
      <c r="Y120" s="7"/>
      <c r="Z120" s="7"/>
      <c r="AA120" s="7"/>
      <c r="AB120" s="7"/>
    </row>
    <row r="121" ht="14.25" customHeight="1">
      <c r="A121" s="7"/>
      <c r="B121" s="7"/>
      <c r="C121" s="7"/>
      <c r="D121" s="303"/>
      <c r="E121" s="303"/>
      <c r="F121" s="303"/>
      <c r="G121" s="7"/>
      <c r="H121" s="7"/>
      <c r="I121" s="7"/>
      <c r="J121" s="7"/>
      <c r="K121" s="303"/>
      <c r="L121" s="303"/>
      <c r="M121" s="303"/>
      <c r="N121" s="7"/>
      <c r="O121" s="7"/>
      <c r="P121" s="7"/>
      <c r="Q121" s="7"/>
      <c r="R121" s="7"/>
      <c r="S121" s="7"/>
      <c r="T121" s="7"/>
      <c r="U121" s="7"/>
      <c r="V121" s="7"/>
      <c r="W121" s="7"/>
      <c r="X121" s="7"/>
      <c r="Y121" s="7"/>
      <c r="Z121" s="7"/>
      <c r="AA121" s="7"/>
      <c r="AB121" s="7"/>
    </row>
    <row r="122" ht="14.25" customHeight="1">
      <c r="A122" s="7"/>
      <c r="B122" s="7"/>
      <c r="C122" s="7"/>
      <c r="D122" s="303"/>
      <c r="E122" s="303"/>
      <c r="F122" s="303"/>
      <c r="G122" s="7"/>
      <c r="H122" s="7"/>
      <c r="I122" s="7"/>
      <c r="J122" s="7"/>
      <c r="K122" s="303"/>
      <c r="L122" s="303"/>
      <c r="M122" s="303"/>
      <c r="N122" s="7"/>
      <c r="O122" s="7"/>
      <c r="P122" s="7"/>
      <c r="Q122" s="7"/>
      <c r="R122" s="7"/>
      <c r="S122" s="7"/>
      <c r="T122" s="7"/>
      <c r="U122" s="7"/>
      <c r="V122" s="7"/>
      <c r="W122" s="7"/>
      <c r="X122" s="7"/>
      <c r="Y122" s="7"/>
      <c r="Z122" s="7"/>
      <c r="AA122" s="7"/>
      <c r="AB122" s="7"/>
    </row>
    <row r="123" ht="14.25" customHeight="1">
      <c r="A123" s="7"/>
      <c r="B123" s="7"/>
      <c r="C123" s="7"/>
      <c r="D123" s="303"/>
      <c r="E123" s="303"/>
      <c r="F123" s="303"/>
      <c r="G123" s="7"/>
      <c r="H123" s="7"/>
      <c r="I123" s="7"/>
      <c r="J123" s="7"/>
      <c r="K123" s="303"/>
      <c r="L123" s="303"/>
      <c r="M123" s="303"/>
      <c r="N123" s="7"/>
      <c r="O123" s="7"/>
      <c r="P123" s="7"/>
      <c r="Q123" s="7"/>
      <c r="R123" s="7"/>
      <c r="S123" s="7"/>
      <c r="T123" s="7"/>
      <c r="U123" s="7"/>
      <c r="V123" s="7"/>
      <c r="W123" s="7"/>
      <c r="X123" s="7"/>
      <c r="Y123" s="7"/>
      <c r="Z123" s="7"/>
      <c r="AA123" s="7"/>
      <c r="AB123" s="7"/>
    </row>
    <row r="124" ht="14.25" customHeight="1">
      <c r="A124" s="7"/>
      <c r="B124" s="7"/>
      <c r="C124" s="7"/>
      <c r="D124" s="303"/>
      <c r="E124" s="303"/>
      <c r="F124" s="303"/>
      <c r="G124" s="7"/>
      <c r="H124" s="7"/>
      <c r="I124" s="7"/>
      <c r="J124" s="7"/>
      <c r="K124" s="303"/>
      <c r="L124" s="303"/>
      <c r="M124" s="303"/>
      <c r="N124" s="7"/>
      <c r="O124" s="7"/>
      <c r="P124" s="7"/>
      <c r="Q124" s="7"/>
      <c r="R124" s="7"/>
      <c r="S124" s="7"/>
      <c r="T124" s="7"/>
      <c r="U124" s="7"/>
      <c r="V124" s="7"/>
      <c r="W124" s="7"/>
      <c r="X124" s="7"/>
      <c r="Y124" s="7"/>
      <c r="Z124" s="7"/>
      <c r="AA124" s="7"/>
      <c r="AB124" s="7"/>
    </row>
    <row r="125" ht="14.25" customHeight="1">
      <c r="A125" s="7"/>
      <c r="B125" s="7"/>
      <c r="C125" s="7"/>
      <c r="D125" s="303"/>
      <c r="E125" s="303"/>
      <c r="F125" s="303"/>
      <c r="G125" s="7"/>
      <c r="H125" s="7"/>
      <c r="I125" s="7"/>
      <c r="J125" s="7"/>
      <c r="K125" s="303"/>
      <c r="L125" s="303"/>
      <c r="M125" s="303"/>
      <c r="N125" s="7"/>
      <c r="O125" s="7"/>
      <c r="P125" s="7"/>
      <c r="Q125" s="7"/>
      <c r="R125" s="7"/>
      <c r="S125" s="7"/>
      <c r="T125" s="7"/>
      <c r="U125" s="7"/>
      <c r="V125" s="7"/>
      <c r="W125" s="7"/>
      <c r="X125" s="7"/>
      <c r="Y125" s="7"/>
      <c r="Z125" s="7"/>
      <c r="AA125" s="7"/>
      <c r="AB125" s="7"/>
    </row>
    <row r="126" ht="14.25" customHeight="1">
      <c r="A126" s="7"/>
      <c r="B126" s="7"/>
      <c r="C126" s="7"/>
      <c r="D126" s="303"/>
      <c r="E126" s="303"/>
      <c r="F126" s="303"/>
      <c r="G126" s="7"/>
      <c r="H126" s="7"/>
      <c r="I126" s="7"/>
      <c r="J126" s="7"/>
      <c r="K126" s="303"/>
      <c r="L126" s="303"/>
      <c r="M126" s="303"/>
      <c r="N126" s="7"/>
      <c r="O126" s="7"/>
      <c r="P126" s="7"/>
      <c r="Q126" s="7"/>
      <c r="R126" s="7"/>
      <c r="S126" s="7"/>
      <c r="T126" s="7"/>
      <c r="U126" s="7"/>
      <c r="V126" s="7"/>
      <c r="W126" s="7"/>
      <c r="X126" s="7"/>
      <c r="Y126" s="7"/>
      <c r="Z126" s="7"/>
      <c r="AA126" s="7"/>
      <c r="AB126" s="7"/>
    </row>
    <row r="127" ht="14.25" customHeight="1">
      <c r="A127" s="7"/>
      <c r="B127" s="7"/>
      <c r="C127" s="7"/>
      <c r="D127" s="303"/>
      <c r="E127" s="303"/>
      <c r="F127" s="303"/>
      <c r="G127" s="7"/>
      <c r="H127" s="7"/>
      <c r="I127" s="7"/>
      <c r="J127" s="7"/>
      <c r="K127" s="303"/>
      <c r="L127" s="303"/>
      <c r="M127" s="303"/>
      <c r="N127" s="7"/>
      <c r="O127" s="7"/>
      <c r="P127" s="7"/>
      <c r="Q127" s="7"/>
      <c r="R127" s="7"/>
      <c r="S127" s="7"/>
      <c r="T127" s="7"/>
      <c r="U127" s="7"/>
      <c r="V127" s="7"/>
      <c r="W127" s="7"/>
      <c r="X127" s="7"/>
      <c r="Y127" s="7"/>
      <c r="Z127" s="7"/>
      <c r="AA127" s="7"/>
      <c r="AB127" s="7"/>
    </row>
    <row r="128" ht="14.25" customHeight="1">
      <c r="A128" s="7"/>
      <c r="B128" s="7"/>
      <c r="C128" s="7"/>
      <c r="D128" s="303"/>
      <c r="E128" s="303"/>
      <c r="F128" s="303"/>
      <c r="G128" s="7"/>
      <c r="H128" s="7"/>
      <c r="I128" s="7"/>
      <c r="J128" s="7"/>
      <c r="K128" s="303"/>
      <c r="L128" s="303"/>
      <c r="M128" s="303"/>
      <c r="N128" s="7"/>
      <c r="O128" s="7"/>
      <c r="P128" s="7"/>
      <c r="Q128" s="7"/>
      <c r="R128" s="7"/>
      <c r="S128" s="7"/>
      <c r="T128" s="7"/>
      <c r="U128" s="7"/>
      <c r="V128" s="7"/>
      <c r="W128" s="7"/>
      <c r="X128" s="7"/>
      <c r="Y128" s="7"/>
      <c r="Z128" s="7"/>
      <c r="AA128" s="7"/>
      <c r="AB128" s="7"/>
    </row>
    <row r="129" ht="14.25" customHeight="1">
      <c r="A129" s="7"/>
      <c r="B129" s="7"/>
      <c r="C129" s="7"/>
      <c r="D129" s="303"/>
      <c r="E129" s="303"/>
      <c r="F129" s="303"/>
      <c r="G129" s="7"/>
      <c r="H129" s="7"/>
      <c r="I129" s="7"/>
      <c r="J129" s="7"/>
      <c r="K129" s="303"/>
      <c r="L129" s="303"/>
      <c r="M129" s="303"/>
      <c r="N129" s="7"/>
      <c r="O129" s="7"/>
      <c r="P129" s="7"/>
      <c r="Q129" s="7"/>
      <c r="R129" s="7"/>
      <c r="S129" s="7"/>
      <c r="T129" s="7"/>
      <c r="U129" s="7"/>
      <c r="V129" s="7"/>
      <c r="W129" s="7"/>
      <c r="X129" s="7"/>
      <c r="Y129" s="7"/>
      <c r="Z129" s="7"/>
      <c r="AA129" s="7"/>
      <c r="AB129" s="7"/>
    </row>
    <row r="130" ht="14.25" customHeight="1">
      <c r="A130" s="7"/>
      <c r="B130" s="7"/>
      <c r="C130" s="7"/>
      <c r="D130" s="303"/>
      <c r="E130" s="303"/>
      <c r="F130" s="303"/>
      <c r="G130" s="7"/>
      <c r="H130" s="7"/>
      <c r="I130" s="7"/>
      <c r="J130" s="7"/>
      <c r="K130" s="303"/>
      <c r="L130" s="303"/>
      <c r="M130" s="303"/>
      <c r="N130" s="7"/>
      <c r="O130" s="7"/>
      <c r="P130" s="7"/>
      <c r="Q130" s="7"/>
      <c r="R130" s="7"/>
      <c r="S130" s="7"/>
      <c r="T130" s="7"/>
      <c r="U130" s="7"/>
      <c r="V130" s="7"/>
      <c r="W130" s="7"/>
      <c r="X130" s="7"/>
      <c r="Y130" s="7"/>
      <c r="Z130" s="7"/>
      <c r="AA130" s="7"/>
      <c r="AB130" s="7"/>
    </row>
    <row r="131" ht="14.25" customHeight="1">
      <c r="A131" s="7"/>
      <c r="B131" s="7"/>
      <c r="C131" s="7"/>
      <c r="D131" s="303"/>
      <c r="E131" s="303"/>
      <c r="F131" s="303"/>
      <c r="G131" s="7"/>
      <c r="H131" s="7"/>
      <c r="I131" s="7"/>
      <c r="J131" s="7"/>
      <c r="K131" s="303"/>
      <c r="L131" s="303"/>
      <c r="M131" s="303"/>
      <c r="N131" s="7"/>
      <c r="O131" s="7"/>
      <c r="P131" s="7"/>
      <c r="Q131" s="7"/>
      <c r="R131" s="7"/>
      <c r="S131" s="7"/>
      <c r="T131" s="7"/>
      <c r="U131" s="7"/>
      <c r="V131" s="7"/>
      <c r="W131" s="7"/>
      <c r="X131" s="7"/>
      <c r="Y131" s="7"/>
      <c r="Z131" s="7"/>
      <c r="AA131" s="7"/>
      <c r="AB131" s="7"/>
    </row>
    <row r="132" ht="14.25" customHeight="1">
      <c r="A132" s="7"/>
      <c r="B132" s="7"/>
      <c r="C132" s="7"/>
      <c r="D132" s="303"/>
      <c r="E132" s="303"/>
      <c r="F132" s="303"/>
      <c r="G132" s="7"/>
      <c r="H132" s="7"/>
      <c r="I132" s="7"/>
      <c r="J132" s="7"/>
      <c r="K132" s="303"/>
      <c r="L132" s="303"/>
      <c r="M132" s="303"/>
      <c r="N132" s="7"/>
      <c r="O132" s="7"/>
      <c r="P132" s="7"/>
      <c r="Q132" s="7"/>
      <c r="R132" s="7"/>
      <c r="S132" s="7"/>
      <c r="T132" s="7"/>
      <c r="U132" s="7"/>
      <c r="V132" s="7"/>
      <c r="W132" s="7"/>
      <c r="X132" s="7"/>
      <c r="Y132" s="7"/>
      <c r="Z132" s="7"/>
      <c r="AA132" s="7"/>
      <c r="AB132" s="7"/>
    </row>
    <row r="133" ht="14.25" customHeight="1">
      <c r="A133" s="7"/>
      <c r="B133" s="7"/>
      <c r="C133" s="7"/>
      <c r="D133" s="303"/>
      <c r="E133" s="303"/>
      <c r="F133" s="303"/>
      <c r="G133" s="7"/>
      <c r="H133" s="7"/>
      <c r="I133" s="7"/>
      <c r="J133" s="7"/>
      <c r="K133" s="303"/>
      <c r="L133" s="303"/>
      <c r="M133" s="303"/>
      <c r="N133" s="7"/>
      <c r="O133" s="7"/>
      <c r="P133" s="7"/>
      <c r="Q133" s="7"/>
      <c r="R133" s="7"/>
      <c r="S133" s="7"/>
      <c r="T133" s="7"/>
      <c r="U133" s="7"/>
      <c r="V133" s="7"/>
      <c r="W133" s="7"/>
      <c r="X133" s="7"/>
      <c r="Y133" s="7"/>
      <c r="Z133" s="7"/>
      <c r="AA133" s="7"/>
      <c r="AB133" s="7"/>
    </row>
    <row r="134" ht="14.25" customHeight="1">
      <c r="A134" s="7"/>
      <c r="B134" s="7"/>
      <c r="C134" s="7"/>
      <c r="D134" s="303"/>
      <c r="E134" s="303"/>
      <c r="F134" s="303"/>
      <c r="G134" s="7"/>
      <c r="H134" s="7"/>
      <c r="I134" s="7"/>
      <c r="J134" s="7"/>
      <c r="K134" s="303"/>
      <c r="L134" s="303"/>
      <c r="M134" s="303"/>
      <c r="N134" s="7"/>
      <c r="O134" s="7"/>
      <c r="P134" s="7"/>
      <c r="Q134" s="7"/>
      <c r="R134" s="7"/>
      <c r="S134" s="7"/>
      <c r="T134" s="7"/>
      <c r="U134" s="7"/>
      <c r="V134" s="7"/>
      <c r="W134" s="7"/>
      <c r="X134" s="7"/>
      <c r="Y134" s="7"/>
      <c r="Z134" s="7"/>
      <c r="AA134" s="7"/>
      <c r="AB134" s="7"/>
    </row>
    <row r="135" ht="14.25" customHeight="1">
      <c r="A135" s="7"/>
      <c r="B135" s="7"/>
      <c r="C135" s="7"/>
      <c r="D135" s="303"/>
      <c r="E135" s="303"/>
      <c r="F135" s="303"/>
      <c r="G135" s="7"/>
      <c r="H135" s="7"/>
      <c r="I135" s="7"/>
      <c r="J135" s="7"/>
      <c r="K135" s="303"/>
      <c r="L135" s="303"/>
      <c r="M135" s="303"/>
      <c r="N135" s="7"/>
      <c r="O135" s="7"/>
      <c r="P135" s="7"/>
      <c r="Q135" s="7"/>
      <c r="R135" s="7"/>
      <c r="S135" s="7"/>
      <c r="T135" s="7"/>
      <c r="U135" s="7"/>
      <c r="V135" s="7"/>
      <c r="W135" s="7"/>
      <c r="X135" s="7"/>
      <c r="Y135" s="7"/>
      <c r="Z135" s="7"/>
      <c r="AA135" s="7"/>
      <c r="AB135" s="7"/>
    </row>
    <row r="136" ht="14.25" customHeight="1">
      <c r="A136" s="7"/>
      <c r="B136" s="7"/>
      <c r="C136" s="7"/>
      <c r="D136" s="303"/>
      <c r="E136" s="303"/>
      <c r="F136" s="303"/>
      <c r="G136" s="7"/>
      <c r="H136" s="7"/>
      <c r="I136" s="7"/>
      <c r="J136" s="7"/>
      <c r="K136" s="303"/>
      <c r="L136" s="303"/>
      <c r="M136" s="303"/>
      <c r="N136" s="7"/>
      <c r="O136" s="7"/>
      <c r="P136" s="7"/>
      <c r="Q136" s="7"/>
      <c r="R136" s="7"/>
      <c r="S136" s="7"/>
      <c r="T136" s="7"/>
      <c r="U136" s="7"/>
      <c r="V136" s="7"/>
      <c r="W136" s="7"/>
      <c r="X136" s="7"/>
      <c r="Y136" s="7"/>
      <c r="Z136" s="7"/>
      <c r="AA136" s="7"/>
      <c r="AB136" s="7"/>
    </row>
    <row r="137" ht="14.25" customHeight="1">
      <c r="A137" s="7"/>
      <c r="B137" s="7"/>
      <c r="C137" s="7"/>
      <c r="D137" s="303"/>
      <c r="E137" s="303"/>
      <c r="F137" s="303"/>
      <c r="G137" s="7"/>
      <c r="H137" s="7"/>
      <c r="I137" s="7"/>
      <c r="J137" s="7"/>
      <c r="K137" s="303"/>
      <c r="L137" s="303"/>
      <c r="M137" s="303"/>
      <c r="N137" s="7"/>
      <c r="O137" s="7"/>
      <c r="P137" s="7"/>
      <c r="Q137" s="7"/>
      <c r="R137" s="7"/>
      <c r="S137" s="7"/>
      <c r="T137" s="7"/>
      <c r="U137" s="7"/>
      <c r="V137" s="7"/>
      <c r="W137" s="7"/>
      <c r="X137" s="7"/>
      <c r="Y137" s="7"/>
      <c r="Z137" s="7"/>
      <c r="AA137" s="7"/>
      <c r="AB137" s="7"/>
    </row>
    <row r="138" ht="14.25" customHeight="1">
      <c r="A138" s="7"/>
      <c r="B138" s="7"/>
      <c r="C138" s="7"/>
      <c r="D138" s="303"/>
      <c r="E138" s="303"/>
      <c r="F138" s="303"/>
      <c r="G138" s="7"/>
      <c r="H138" s="7"/>
      <c r="I138" s="7"/>
      <c r="J138" s="7"/>
      <c r="K138" s="303"/>
      <c r="L138" s="303"/>
      <c r="M138" s="303"/>
      <c r="N138" s="7"/>
      <c r="O138" s="7"/>
      <c r="P138" s="7"/>
      <c r="Q138" s="7"/>
      <c r="R138" s="7"/>
      <c r="S138" s="7"/>
      <c r="T138" s="7"/>
      <c r="U138" s="7"/>
      <c r="V138" s="7"/>
      <c r="W138" s="7"/>
      <c r="X138" s="7"/>
      <c r="Y138" s="7"/>
      <c r="Z138" s="7"/>
      <c r="AA138" s="7"/>
      <c r="AB138" s="7"/>
    </row>
    <row r="139" ht="14.25" customHeight="1">
      <c r="A139" s="7"/>
      <c r="B139" s="7"/>
      <c r="C139" s="7"/>
      <c r="D139" s="303"/>
      <c r="E139" s="303"/>
      <c r="F139" s="303"/>
      <c r="G139" s="7"/>
      <c r="H139" s="7"/>
      <c r="I139" s="7"/>
      <c r="J139" s="7"/>
      <c r="K139" s="303"/>
      <c r="L139" s="303"/>
      <c r="M139" s="303"/>
      <c r="N139" s="7"/>
      <c r="O139" s="7"/>
      <c r="P139" s="7"/>
      <c r="Q139" s="7"/>
      <c r="R139" s="7"/>
      <c r="S139" s="7"/>
      <c r="T139" s="7"/>
      <c r="U139" s="7"/>
      <c r="V139" s="7"/>
      <c r="W139" s="7"/>
      <c r="X139" s="7"/>
      <c r="Y139" s="7"/>
      <c r="Z139" s="7"/>
      <c r="AA139" s="7"/>
      <c r="AB139" s="7"/>
    </row>
    <row r="140" ht="14.25" customHeight="1">
      <c r="A140" s="7"/>
      <c r="B140" s="7"/>
      <c r="C140" s="7"/>
      <c r="D140" s="303"/>
      <c r="E140" s="303"/>
      <c r="F140" s="303"/>
      <c r="G140" s="7"/>
      <c r="H140" s="7"/>
      <c r="I140" s="7"/>
      <c r="J140" s="7"/>
      <c r="K140" s="303"/>
      <c r="L140" s="303"/>
      <c r="M140" s="303"/>
      <c r="N140" s="7"/>
      <c r="O140" s="7"/>
      <c r="P140" s="7"/>
      <c r="Q140" s="7"/>
      <c r="R140" s="7"/>
      <c r="S140" s="7"/>
      <c r="T140" s="7"/>
      <c r="U140" s="7"/>
      <c r="V140" s="7"/>
      <c r="W140" s="7"/>
      <c r="X140" s="7"/>
      <c r="Y140" s="7"/>
      <c r="Z140" s="7"/>
      <c r="AA140" s="7"/>
      <c r="AB140" s="7"/>
    </row>
    <row r="141" ht="14.25" customHeight="1">
      <c r="A141" s="7"/>
      <c r="B141" s="7"/>
      <c r="C141" s="7"/>
      <c r="D141" s="303"/>
      <c r="E141" s="303"/>
      <c r="F141" s="303"/>
      <c r="G141" s="7"/>
      <c r="H141" s="7"/>
      <c r="I141" s="7"/>
      <c r="J141" s="7"/>
      <c r="K141" s="303"/>
      <c r="L141" s="303"/>
      <c r="M141" s="303"/>
      <c r="N141" s="7"/>
      <c r="O141" s="7"/>
      <c r="P141" s="7"/>
      <c r="Q141" s="7"/>
      <c r="R141" s="7"/>
      <c r="S141" s="7"/>
      <c r="T141" s="7"/>
      <c r="U141" s="7"/>
      <c r="V141" s="7"/>
      <c r="W141" s="7"/>
      <c r="X141" s="7"/>
      <c r="Y141" s="7"/>
      <c r="Z141" s="7"/>
      <c r="AA141" s="7"/>
      <c r="AB141" s="7"/>
    </row>
    <row r="142" ht="14.25" customHeight="1">
      <c r="A142" s="7"/>
      <c r="B142" s="7"/>
      <c r="C142" s="7"/>
      <c r="D142" s="303"/>
      <c r="E142" s="303"/>
      <c r="F142" s="303"/>
      <c r="G142" s="7"/>
      <c r="H142" s="7"/>
      <c r="I142" s="7"/>
      <c r="J142" s="7"/>
      <c r="K142" s="303"/>
      <c r="L142" s="303"/>
      <c r="M142" s="303"/>
      <c r="N142" s="7"/>
      <c r="O142" s="7"/>
      <c r="P142" s="7"/>
      <c r="Q142" s="7"/>
      <c r="R142" s="7"/>
      <c r="S142" s="7"/>
      <c r="T142" s="7"/>
      <c r="U142" s="7"/>
      <c r="V142" s="7"/>
      <c r="W142" s="7"/>
      <c r="X142" s="7"/>
      <c r="Y142" s="7"/>
      <c r="Z142" s="7"/>
      <c r="AA142" s="7"/>
      <c r="AB142" s="7"/>
    </row>
    <row r="143" ht="14.25" customHeight="1">
      <c r="A143" s="7"/>
      <c r="B143" s="7"/>
      <c r="C143" s="7"/>
      <c r="D143" s="303"/>
      <c r="E143" s="303"/>
      <c r="F143" s="303"/>
      <c r="G143" s="7"/>
      <c r="H143" s="7"/>
      <c r="I143" s="7"/>
      <c r="J143" s="7"/>
      <c r="K143" s="303"/>
      <c r="L143" s="303"/>
      <c r="M143" s="303"/>
      <c r="N143" s="7"/>
      <c r="O143" s="7"/>
      <c r="P143" s="7"/>
      <c r="Q143" s="7"/>
      <c r="R143" s="7"/>
      <c r="S143" s="7"/>
      <c r="T143" s="7"/>
      <c r="U143" s="7"/>
      <c r="V143" s="7"/>
      <c r="W143" s="7"/>
      <c r="X143" s="7"/>
      <c r="Y143" s="7"/>
      <c r="Z143" s="7"/>
      <c r="AA143" s="7"/>
      <c r="AB143" s="7"/>
    </row>
    <row r="144" ht="14.25" customHeight="1">
      <c r="A144" s="7"/>
      <c r="B144" s="7"/>
      <c r="C144" s="7"/>
      <c r="D144" s="303"/>
      <c r="E144" s="303"/>
      <c r="F144" s="303"/>
      <c r="G144" s="7"/>
      <c r="H144" s="7"/>
      <c r="I144" s="7"/>
      <c r="J144" s="7"/>
      <c r="K144" s="303"/>
      <c r="L144" s="303"/>
      <c r="M144" s="303"/>
      <c r="N144" s="7"/>
      <c r="O144" s="7"/>
      <c r="P144" s="7"/>
      <c r="Q144" s="7"/>
      <c r="R144" s="7"/>
      <c r="S144" s="7"/>
      <c r="T144" s="7"/>
      <c r="U144" s="7"/>
      <c r="V144" s="7"/>
      <c r="W144" s="7"/>
      <c r="X144" s="7"/>
      <c r="Y144" s="7"/>
      <c r="Z144" s="7"/>
      <c r="AA144" s="7"/>
      <c r="AB144" s="7"/>
    </row>
    <row r="145" ht="14.25" customHeight="1">
      <c r="A145" s="7"/>
      <c r="B145" s="7"/>
      <c r="C145" s="7"/>
      <c r="D145" s="303"/>
      <c r="E145" s="303"/>
      <c r="F145" s="303"/>
      <c r="G145" s="7"/>
      <c r="H145" s="7"/>
      <c r="I145" s="7"/>
      <c r="J145" s="7"/>
      <c r="K145" s="303"/>
      <c r="L145" s="303"/>
      <c r="M145" s="303"/>
      <c r="N145" s="7"/>
      <c r="O145" s="7"/>
      <c r="P145" s="7"/>
      <c r="Q145" s="7"/>
      <c r="R145" s="7"/>
      <c r="S145" s="7"/>
      <c r="T145" s="7"/>
      <c r="U145" s="7"/>
      <c r="V145" s="7"/>
      <c r="W145" s="7"/>
      <c r="X145" s="7"/>
      <c r="Y145" s="7"/>
      <c r="Z145" s="7"/>
      <c r="AA145" s="7"/>
      <c r="AB145" s="7"/>
    </row>
    <row r="146" ht="14.25" customHeight="1">
      <c r="A146" s="7"/>
      <c r="B146" s="7"/>
      <c r="C146" s="7"/>
      <c r="D146" s="303"/>
      <c r="E146" s="303"/>
      <c r="F146" s="303"/>
      <c r="G146" s="7"/>
      <c r="H146" s="7"/>
      <c r="I146" s="7"/>
      <c r="J146" s="7"/>
      <c r="K146" s="303"/>
      <c r="L146" s="303"/>
      <c r="M146" s="303"/>
      <c r="N146" s="7"/>
      <c r="O146" s="7"/>
      <c r="P146" s="7"/>
      <c r="Q146" s="7"/>
      <c r="R146" s="7"/>
      <c r="S146" s="7"/>
      <c r="T146" s="7"/>
      <c r="U146" s="7"/>
      <c r="V146" s="7"/>
      <c r="W146" s="7"/>
      <c r="X146" s="7"/>
      <c r="Y146" s="7"/>
      <c r="Z146" s="7"/>
      <c r="AA146" s="7"/>
      <c r="AB146" s="7"/>
    </row>
    <row r="147" ht="14.25" customHeight="1">
      <c r="A147" s="7"/>
      <c r="B147" s="7"/>
      <c r="C147" s="7"/>
      <c r="D147" s="303"/>
      <c r="E147" s="303"/>
      <c r="F147" s="303"/>
      <c r="G147" s="7"/>
      <c r="H147" s="7"/>
      <c r="I147" s="7"/>
      <c r="J147" s="7"/>
      <c r="K147" s="303"/>
      <c r="L147" s="303"/>
      <c r="M147" s="303"/>
      <c r="N147" s="7"/>
      <c r="O147" s="7"/>
      <c r="P147" s="7"/>
      <c r="Q147" s="7"/>
      <c r="R147" s="7"/>
      <c r="S147" s="7"/>
      <c r="T147" s="7"/>
      <c r="U147" s="7"/>
      <c r="V147" s="7"/>
      <c r="W147" s="7"/>
      <c r="X147" s="7"/>
      <c r="Y147" s="7"/>
      <c r="Z147" s="7"/>
      <c r="AA147" s="7"/>
      <c r="AB147" s="7"/>
    </row>
    <row r="148" ht="14.25" customHeight="1">
      <c r="A148" s="7"/>
      <c r="B148" s="7"/>
      <c r="C148" s="7"/>
      <c r="D148" s="303"/>
      <c r="E148" s="303"/>
      <c r="F148" s="303"/>
      <c r="G148" s="7"/>
      <c r="H148" s="7"/>
      <c r="I148" s="7"/>
      <c r="J148" s="7"/>
      <c r="K148" s="303"/>
      <c r="L148" s="303"/>
      <c r="M148" s="303"/>
      <c r="N148" s="7"/>
      <c r="O148" s="7"/>
      <c r="P148" s="7"/>
      <c r="Q148" s="7"/>
      <c r="R148" s="7"/>
      <c r="S148" s="7"/>
      <c r="T148" s="7"/>
      <c r="U148" s="7"/>
      <c r="V148" s="7"/>
      <c r="W148" s="7"/>
      <c r="X148" s="7"/>
      <c r="Y148" s="7"/>
      <c r="Z148" s="7"/>
      <c r="AA148" s="7"/>
      <c r="AB148" s="7"/>
    </row>
    <row r="149" ht="14.25" customHeight="1">
      <c r="A149" s="7"/>
      <c r="B149" s="7"/>
      <c r="C149" s="7"/>
      <c r="D149" s="303"/>
      <c r="E149" s="303"/>
      <c r="F149" s="303"/>
      <c r="G149" s="7"/>
      <c r="H149" s="7"/>
      <c r="I149" s="7"/>
      <c r="J149" s="7"/>
      <c r="K149" s="303"/>
      <c r="L149" s="303"/>
      <c r="M149" s="303"/>
      <c r="N149" s="7"/>
      <c r="O149" s="7"/>
      <c r="P149" s="7"/>
      <c r="Q149" s="7"/>
      <c r="R149" s="7"/>
      <c r="S149" s="7"/>
      <c r="T149" s="7"/>
      <c r="U149" s="7"/>
      <c r="V149" s="7"/>
      <c r="W149" s="7"/>
      <c r="X149" s="7"/>
      <c r="Y149" s="7"/>
      <c r="Z149" s="7"/>
      <c r="AA149" s="7"/>
      <c r="AB149" s="7"/>
    </row>
    <row r="150" ht="14.25" customHeight="1">
      <c r="A150" s="7"/>
      <c r="B150" s="7"/>
      <c r="C150" s="7"/>
      <c r="D150" s="303"/>
      <c r="E150" s="303"/>
      <c r="F150" s="303"/>
      <c r="G150" s="7"/>
      <c r="H150" s="7"/>
      <c r="I150" s="7"/>
      <c r="J150" s="7"/>
      <c r="K150" s="303"/>
      <c r="L150" s="303"/>
      <c r="M150" s="303"/>
      <c r="N150" s="7"/>
      <c r="O150" s="7"/>
      <c r="P150" s="7"/>
      <c r="Q150" s="7"/>
      <c r="R150" s="7"/>
      <c r="S150" s="7"/>
      <c r="T150" s="7"/>
      <c r="U150" s="7"/>
      <c r="V150" s="7"/>
      <c r="W150" s="7"/>
      <c r="X150" s="7"/>
      <c r="Y150" s="7"/>
      <c r="Z150" s="7"/>
      <c r="AA150" s="7"/>
      <c r="AB150" s="7"/>
    </row>
    <row r="151" ht="14.25" customHeight="1">
      <c r="A151" s="7"/>
      <c r="B151" s="7"/>
      <c r="C151" s="7"/>
      <c r="D151" s="303"/>
      <c r="E151" s="303"/>
      <c r="F151" s="303"/>
      <c r="G151" s="7"/>
      <c r="H151" s="7"/>
      <c r="I151" s="7"/>
      <c r="J151" s="7"/>
      <c r="K151" s="303"/>
      <c r="L151" s="303"/>
      <c r="M151" s="303"/>
      <c r="N151" s="7"/>
      <c r="O151" s="7"/>
      <c r="P151" s="7"/>
      <c r="Q151" s="7"/>
      <c r="R151" s="7"/>
      <c r="S151" s="7"/>
      <c r="T151" s="7"/>
      <c r="U151" s="7"/>
      <c r="V151" s="7"/>
      <c r="W151" s="7"/>
      <c r="X151" s="7"/>
      <c r="Y151" s="7"/>
      <c r="Z151" s="7"/>
      <c r="AA151" s="7"/>
      <c r="AB151" s="7"/>
    </row>
    <row r="152" ht="14.25" customHeight="1">
      <c r="A152" s="7"/>
      <c r="B152" s="7"/>
      <c r="C152" s="7"/>
      <c r="D152" s="303"/>
      <c r="E152" s="303"/>
      <c r="F152" s="303"/>
      <c r="G152" s="7"/>
      <c r="H152" s="7"/>
      <c r="I152" s="7"/>
      <c r="J152" s="7"/>
      <c r="K152" s="303"/>
      <c r="L152" s="303"/>
      <c r="M152" s="303"/>
      <c r="N152" s="7"/>
      <c r="O152" s="7"/>
      <c r="P152" s="7"/>
      <c r="Q152" s="7"/>
      <c r="R152" s="7"/>
      <c r="S152" s="7"/>
      <c r="T152" s="7"/>
      <c r="U152" s="7"/>
      <c r="V152" s="7"/>
      <c r="W152" s="7"/>
      <c r="X152" s="7"/>
      <c r="Y152" s="7"/>
      <c r="Z152" s="7"/>
      <c r="AA152" s="7"/>
      <c r="AB152" s="7"/>
    </row>
    <row r="153" ht="14.25" customHeight="1">
      <c r="A153" s="7"/>
      <c r="B153" s="7"/>
      <c r="C153" s="7"/>
      <c r="D153" s="303"/>
      <c r="E153" s="303"/>
      <c r="F153" s="303"/>
      <c r="G153" s="7"/>
      <c r="H153" s="7"/>
      <c r="I153" s="7"/>
      <c r="J153" s="7"/>
      <c r="K153" s="303"/>
      <c r="L153" s="303"/>
      <c r="M153" s="303"/>
      <c r="N153" s="7"/>
      <c r="O153" s="7"/>
      <c r="P153" s="7"/>
      <c r="Q153" s="7"/>
      <c r="R153" s="7"/>
      <c r="S153" s="7"/>
      <c r="T153" s="7"/>
      <c r="U153" s="7"/>
      <c r="V153" s="7"/>
      <c r="W153" s="7"/>
      <c r="X153" s="7"/>
      <c r="Y153" s="7"/>
      <c r="Z153" s="7"/>
      <c r="AA153" s="7"/>
      <c r="AB153" s="7"/>
    </row>
    <row r="154" ht="14.25" customHeight="1">
      <c r="A154" s="7"/>
      <c r="B154" s="7"/>
      <c r="C154" s="7"/>
      <c r="D154" s="303"/>
      <c r="E154" s="303"/>
      <c r="F154" s="303"/>
      <c r="G154" s="7"/>
      <c r="H154" s="7"/>
      <c r="I154" s="7"/>
      <c r="J154" s="7"/>
      <c r="K154" s="303"/>
      <c r="L154" s="303"/>
      <c r="M154" s="303"/>
      <c r="N154" s="7"/>
      <c r="O154" s="7"/>
      <c r="P154" s="7"/>
      <c r="Q154" s="7"/>
      <c r="R154" s="7"/>
      <c r="S154" s="7"/>
      <c r="T154" s="7"/>
      <c r="U154" s="7"/>
      <c r="V154" s="7"/>
      <c r="W154" s="7"/>
      <c r="X154" s="7"/>
      <c r="Y154" s="7"/>
      <c r="Z154" s="7"/>
      <c r="AA154" s="7"/>
      <c r="AB154" s="7"/>
    </row>
    <row r="155" ht="14.25" customHeight="1">
      <c r="A155" s="7"/>
      <c r="B155" s="7"/>
      <c r="C155" s="7"/>
      <c r="D155" s="303"/>
      <c r="E155" s="303"/>
      <c r="F155" s="303"/>
      <c r="G155" s="7"/>
      <c r="H155" s="7"/>
      <c r="I155" s="7"/>
      <c r="J155" s="7"/>
      <c r="K155" s="303"/>
      <c r="L155" s="303"/>
      <c r="M155" s="303"/>
      <c r="N155" s="7"/>
      <c r="O155" s="7"/>
      <c r="P155" s="7"/>
      <c r="Q155" s="7"/>
      <c r="R155" s="7"/>
      <c r="S155" s="7"/>
      <c r="T155" s="7"/>
      <c r="U155" s="7"/>
      <c r="V155" s="7"/>
      <c r="W155" s="7"/>
      <c r="X155" s="7"/>
      <c r="Y155" s="7"/>
      <c r="Z155" s="7"/>
      <c r="AA155" s="7"/>
      <c r="AB155" s="7"/>
    </row>
    <row r="156" ht="14.25" customHeight="1">
      <c r="A156" s="7"/>
      <c r="B156" s="7"/>
      <c r="C156" s="7"/>
      <c r="D156" s="303"/>
      <c r="E156" s="303"/>
      <c r="F156" s="303"/>
      <c r="G156" s="7"/>
      <c r="H156" s="7"/>
      <c r="I156" s="7"/>
      <c r="J156" s="7"/>
      <c r="K156" s="303"/>
      <c r="L156" s="303"/>
      <c r="M156" s="303"/>
      <c r="N156" s="7"/>
      <c r="O156" s="7"/>
      <c r="P156" s="7"/>
      <c r="Q156" s="7"/>
      <c r="R156" s="7"/>
      <c r="S156" s="7"/>
      <c r="T156" s="7"/>
      <c r="U156" s="7"/>
      <c r="V156" s="7"/>
      <c r="W156" s="7"/>
      <c r="X156" s="7"/>
      <c r="Y156" s="7"/>
      <c r="Z156" s="7"/>
      <c r="AA156" s="7"/>
      <c r="AB156" s="7"/>
    </row>
    <row r="157" ht="14.25" customHeight="1">
      <c r="A157" s="7"/>
      <c r="B157" s="7"/>
      <c r="C157" s="7"/>
      <c r="D157" s="303"/>
      <c r="E157" s="303"/>
      <c r="F157" s="303"/>
      <c r="G157" s="7"/>
      <c r="H157" s="7"/>
      <c r="I157" s="7"/>
      <c r="J157" s="7"/>
      <c r="K157" s="303"/>
      <c r="L157" s="303"/>
      <c r="M157" s="303"/>
      <c r="N157" s="7"/>
      <c r="O157" s="7"/>
      <c r="P157" s="7"/>
      <c r="Q157" s="7"/>
      <c r="R157" s="7"/>
      <c r="S157" s="7"/>
      <c r="T157" s="7"/>
      <c r="U157" s="7"/>
      <c r="V157" s="7"/>
      <c r="W157" s="7"/>
      <c r="X157" s="7"/>
      <c r="Y157" s="7"/>
      <c r="Z157" s="7"/>
      <c r="AA157" s="7"/>
      <c r="AB157" s="7"/>
    </row>
    <row r="158" ht="14.25" customHeight="1">
      <c r="A158" s="7"/>
      <c r="B158" s="7"/>
      <c r="C158" s="7"/>
      <c r="D158" s="303"/>
      <c r="E158" s="303"/>
      <c r="F158" s="303"/>
      <c r="G158" s="7"/>
      <c r="H158" s="7"/>
      <c r="I158" s="7"/>
      <c r="J158" s="7"/>
      <c r="K158" s="303"/>
      <c r="L158" s="303"/>
      <c r="M158" s="303"/>
      <c r="N158" s="7"/>
      <c r="O158" s="7"/>
      <c r="P158" s="7"/>
      <c r="Q158" s="7"/>
      <c r="R158" s="7"/>
      <c r="S158" s="7"/>
      <c r="T158" s="7"/>
      <c r="U158" s="7"/>
      <c r="V158" s="7"/>
      <c r="W158" s="7"/>
      <c r="X158" s="7"/>
      <c r="Y158" s="7"/>
      <c r="Z158" s="7"/>
      <c r="AA158" s="7"/>
      <c r="AB158" s="7"/>
    </row>
    <row r="159" ht="14.25" customHeight="1">
      <c r="A159" s="7"/>
      <c r="B159" s="7"/>
      <c r="C159" s="7"/>
      <c r="D159" s="303"/>
      <c r="E159" s="303"/>
      <c r="F159" s="303"/>
      <c r="G159" s="7"/>
      <c r="H159" s="7"/>
      <c r="I159" s="7"/>
      <c r="J159" s="7"/>
      <c r="K159" s="303"/>
      <c r="L159" s="303"/>
      <c r="M159" s="303"/>
      <c r="N159" s="7"/>
      <c r="O159" s="7"/>
      <c r="P159" s="7"/>
      <c r="Q159" s="7"/>
      <c r="R159" s="7"/>
      <c r="S159" s="7"/>
      <c r="T159" s="7"/>
      <c r="U159" s="7"/>
      <c r="V159" s="7"/>
      <c r="W159" s="7"/>
      <c r="X159" s="7"/>
      <c r="Y159" s="7"/>
      <c r="Z159" s="7"/>
      <c r="AA159" s="7"/>
      <c r="AB159" s="7"/>
    </row>
    <row r="160" ht="14.25" customHeight="1">
      <c r="A160" s="7"/>
      <c r="B160" s="7"/>
      <c r="C160" s="7"/>
      <c r="D160" s="303"/>
      <c r="E160" s="303"/>
      <c r="F160" s="303"/>
      <c r="G160" s="7"/>
      <c r="H160" s="7"/>
      <c r="I160" s="7"/>
      <c r="J160" s="7"/>
      <c r="K160" s="303"/>
      <c r="L160" s="303"/>
      <c r="M160" s="303"/>
      <c r="N160" s="7"/>
      <c r="O160" s="7"/>
      <c r="P160" s="7"/>
      <c r="Q160" s="7"/>
      <c r="R160" s="7"/>
      <c r="S160" s="7"/>
      <c r="T160" s="7"/>
      <c r="U160" s="7"/>
      <c r="V160" s="7"/>
      <c r="W160" s="7"/>
      <c r="X160" s="7"/>
      <c r="Y160" s="7"/>
      <c r="Z160" s="7"/>
      <c r="AA160" s="7"/>
      <c r="AB160" s="7"/>
    </row>
    <row r="161" ht="14.25" customHeight="1">
      <c r="A161" s="7"/>
      <c r="B161" s="7"/>
      <c r="C161" s="7"/>
      <c r="D161" s="303"/>
      <c r="E161" s="303"/>
      <c r="F161" s="303"/>
      <c r="G161" s="7"/>
      <c r="H161" s="7"/>
      <c r="I161" s="7"/>
      <c r="J161" s="7"/>
      <c r="K161" s="303"/>
      <c r="L161" s="303"/>
      <c r="M161" s="303"/>
      <c r="N161" s="7"/>
      <c r="O161" s="7"/>
      <c r="P161" s="7"/>
      <c r="Q161" s="7"/>
      <c r="R161" s="7"/>
      <c r="S161" s="7"/>
      <c r="T161" s="7"/>
      <c r="U161" s="7"/>
      <c r="V161" s="7"/>
      <c r="W161" s="7"/>
      <c r="X161" s="7"/>
      <c r="Y161" s="7"/>
      <c r="Z161" s="7"/>
      <c r="AA161" s="7"/>
      <c r="AB161" s="7"/>
    </row>
    <row r="162" ht="14.25" customHeight="1">
      <c r="A162" s="7"/>
      <c r="B162" s="7"/>
      <c r="C162" s="7"/>
      <c r="D162" s="303"/>
      <c r="E162" s="303"/>
      <c r="F162" s="303"/>
      <c r="G162" s="7"/>
      <c r="H162" s="7"/>
      <c r="I162" s="7"/>
      <c r="J162" s="7"/>
      <c r="K162" s="303"/>
      <c r="L162" s="303"/>
      <c r="M162" s="303"/>
      <c r="N162" s="7"/>
      <c r="O162" s="7"/>
      <c r="P162" s="7"/>
      <c r="Q162" s="7"/>
      <c r="R162" s="7"/>
      <c r="S162" s="7"/>
      <c r="T162" s="7"/>
      <c r="U162" s="7"/>
      <c r="V162" s="7"/>
      <c r="W162" s="7"/>
      <c r="X162" s="7"/>
      <c r="Y162" s="7"/>
      <c r="Z162" s="7"/>
      <c r="AA162" s="7"/>
      <c r="AB162" s="7"/>
    </row>
    <row r="163" ht="14.25" customHeight="1">
      <c r="A163" s="7"/>
      <c r="B163" s="7"/>
      <c r="C163" s="7"/>
      <c r="D163" s="303"/>
      <c r="E163" s="303"/>
      <c r="F163" s="303"/>
      <c r="G163" s="7"/>
      <c r="H163" s="7"/>
      <c r="I163" s="7"/>
      <c r="J163" s="7"/>
      <c r="K163" s="303"/>
      <c r="L163" s="303"/>
      <c r="M163" s="303"/>
      <c r="N163" s="7"/>
      <c r="O163" s="7"/>
      <c r="P163" s="7"/>
      <c r="Q163" s="7"/>
      <c r="R163" s="7"/>
      <c r="S163" s="7"/>
      <c r="T163" s="7"/>
      <c r="U163" s="7"/>
      <c r="V163" s="7"/>
      <c r="W163" s="7"/>
      <c r="X163" s="7"/>
      <c r="Y163" s="7"/>
      <c r="Z163" s="7"/>
      <c r="AA163" s="7"/>
      <c r="AB163" s="7"/>
    </row>
    <row r="164" ht="14.25" customHeight="1">
      <c r="A164" s="7"/>
      <c r="B164" s="7"/>
      <c r="C164" s="7"/>
      <c r="D164" s="303"/>
      <c r="E164" s="303"/>
      <c r="F164" s="303"/>
      <c r="G164" s="7"/>
      <c r="H164" s="7"/>
      <c r="I164" s="7"/>
      <c r="J164" s="7"/>
      <c r="K164" s="303"/>
      <c r="L164" s="303"/>
      <c r="M164" s="303"/>
      <c r="N164" s="7"/>
      <c r="O164" s="7"/>
      <c r="P164" s="7"/>
      <c r="Q164" s="7"/>
      <c r="R164" s="7"/>
      <c r="S164" s="7"/>
      <c r="T164" s="7"/>
      <c r="U164" s="7"/>
      <c r="V164" s="7"/>
      <c r="W164" s="7"/>
      <c r="X164" s="7"/>
      <c r="Y164" s="7"/>
      <c r="Z164" s="7"/>
      <c r="AA164" s="7"/>
      <c r="AB164" s="7"/>
    </row>
    <row r="165" ht="14.25" customHeight="1">
      <c r="A165" s="7"/>
      <c r="B165" s="7"/>
      <c r="C165" s="7"/>
      <c r="D165" s="303"/>
      <c r="E165" s="303"/>
      <c r="F165" s="303"/>
      <c r="G165" s="7"/>
      <c r="H165" s="7"/>
      <c r="I165" s="7"/>
      <c r="J165" s="7"/>
      <c r="K165" s="303"/>
      <c r="L165" s="303"/>
      <c r="M165" s="303"/>
      <c r="N165" s="7"/>
      <c r="O165" s="7"/>
      <c r="P165" s="7"/>
      <c r="Q165" s="7"/>
      <c r="R165" s="7"/>
      <c r="S165" s="7"/>
      <c r="T165" s="7"/>
      <c r="U165" s="7"/>
      <c r="V165" s="7"/>
      <c r="W165" s="7"/>
      <c r="X165" s="7"/>
      <c r="Y165" s="7"/>
      <c r="Z165" s="7"/>
      <c r="AA165" s="7"/>
      <c r="AB165" s="7"/>
    </row>
    <row r="166" ht="14.25" customHeight="1">
      <c r="A166" s="7"/>
      <c r="B166" s="7"/>
      <c r="C166" s="7"/>
      <c r="D166" s="303"/>
      <c r="E166" s="303"/>
      <c r="F166" s="303"/>
      <c r="G166" s="7"/>
      <c r="H166" s="7"/>
      <c r="I166" s="7"/>
      <c r="J166" s="7"/>
      <c r="K166" s="303"/>
      <c r="L166" s="303"/>
      <c r="M166" s="303"/>
      <c r="N166" s="7"/>
      <c r="O166" s="7"/>
      <c r="P166" s="7"/>
      <c r="Q166" s="7"/>
      <c r="R166" s="7"/>
      <c r="S166" s="7"/>
      <c r="T166" s="7"/>
      <c r="U166" s="7"/>
      <c r="V166" s="7"/>
      <c r="W166" s="7"/>
      <c r="X166" s="7"/>
      <c r="Y166" s="7"/>
      <c r="Z166" s="7"/>
      <c r="AA166" s="7"/>
      <c r="AB166" s="7"/>
    </row>
    <row r="167" ht="14.25" customHeight="1">
      <c r="A167" s="7"/>
      <c r="B167" s="7"/>
      <c r="C167" s="7"/>
      <c r="D167" s="303"/>
      <c r="E167" s="303"/>
      <c r="F167" s="303"/>
      <c r="G167" s="7"/>
      <c r="H167" s="7"/>
      <c r="I167" s="7"/>
      <c r="J167" s="7"/>
      <c r="K167" s="303"/>
      <c r="L167" s="303"/>
      <c r="M167" s="303"/>
      <c r="N167" s="7"/>
      <c r="O167" s="7"/>
      <c r="P167" s="7"/>
      <c r="Q167" s="7"/>
      <c r="R167" s="7"/>
      <c r="S167" s="7"/>
      <c r="T167" s="7"/>
      <c r="U167" s="7"/>
      <c r="V167" s="7"/>
      <c r="W167" s="7"/>
      <c r="X167" s="7"/>
      <c r="Y167" s="7"/>
      <c r="Z167" s="7"/>
      <c r="AA167" s="7"/>
      <c r="AB167" s="7"/>
    </row>
    <row r="168" ht="14.25" customHeight="1">
      <c r="A168" s="7"/>
      <c r="B168" s="7"/>
      <c r="C168" s="7"/>
      <c r="D168" s="303"/>
      <c r="E168" s="303"/>
      <c r="F168" s="303"/>
      <c r="G168" s="7"/>
      <c r="H168" s="7"/>
      <c r="I168" s="7"/>
      <c r="J168" s="7"/>
      <c r="K168" s="303"/>
      <c r="L168" s="303"/>
      <c r="M168" s="303"/>
      <c r="N168" s="7"/>
      <c r="O168" s="7"/>
      <c r="P168" s="7"/>
      <c r="Q168" s="7"/>
      <c r="R168" s="7"/>
      <c r="S168" s="7"/>
      <c r="T168" s="7"/>
      <c r="U168" s="7"/>
      <c r="V168" s="7"/>
      <c r="W168" s="7"/>
      <c r="X168" s="7"/>
      <c r="Y168" s="7"/>
      <c r="Z168" s="7"/>
      <c r="AA168" s="7"/>
      <c r="AB168" s="7"/>
    </row>
    <row r="169" ht="14.25" customHeight="1">
      <c r="A169" s="7"/>
      <c r="B169" s="7"/>
      <c r="C169" s="7"/>
      <c r="D169" s="303"/>
      <c r="E169" s="303"/>
      <c r="F169" s="303"/>
      <c r="G169" s="7"/>
      <c r="H169" s="7"/>
      <c r="I169" s="7"/>
      <c r="J169" s="7"/>
      <c r="K169" s="303"/>
      <c r="L169" s="303"/>
      <c r="M169" s="303"/>
      <c r="N169" s="7"/>
      <c r="O169" s="7"/>
      <c r="P169" s="7"/>
      <c r="Q169" s="7"/>
      <c r="R169" s="7"/>
      <c r="S169" s="7"/>
      <c r="T169" s="7"/>
      <c r="U169" s="7"/>
      <c r="V169" s="7"/>
      <c r="W169" s="7"/>
      <c r="X169" s="7"/>
      <c r="Y169" s="7"/>
      <c r="Z169" s="7"/>
      <c r="AA169" s="7"/>
      <c r="AB169" s="7"/>
    </row>
    <row r="170" ht="14.25" customHeight="1">
      <c r="A170" s="7"/>
      <c r="B170" s="7"/>
      <c r="C170" s="7"/>
      <c r="D170" s="303"/>
      <c r="E170" s="303"/>
      <c r="F170" s="303"/>
      <c r="G170" s="7"/>
      <c r="H170" s="7"/>
      <c r="I170" s="7"/>
      <c r="J170" s="7"/>
      <c r="K170" s="303"/>
      <c r="L170" s="303"/>
      <c r="M170" s="303"/>
      <c r="N170" s="7"/>
      <c r="O170" s="7"/>
      <c r="P170" s="7"/>
      <c r="Q170" s="7"/>
      <c r="R170" s="7"/>
      <c r="S170" s="7"/>
      <c r="T170" s="7"/>
      <c r="U170" s="7"/>
      <c r="V170" s="7"/>
      <c r="W170" s="7"/>
      <c r="X170" s="7"/>
      <c r="Y170" s="7"/>
      <c r="Z170" s="7"/>
      <c r="AA170" s="7"/>
      <c r="AB170" s="7"/>
    </row>
    <row r="171" ht="14.25" customHeight="1">
      <c r="A171" s="7"/>
      <c r="B171" s="7"/>
      <c r="C171" s="7"/>
      <c r="D171" s="303"/>
      <c r="E171" s="303"/>
      <c r="F171" s="303"/>
      <c r="G171" s="7"/>
      <c r="H171" s="7"/>
      <c r="I171" s="7"/>
      <c r="J171" s="7"/>
      <c r="K171" s="303"/>
      <c r="L171" s="303"/>
      <c r="M171" s="303"/>
      <c r="N171" s="7"/>
      <c r="O171" s="7"/>
      <c r="P171" s="7"/>
      <c r="Q171" s="7"/>
      <c r="R171" s="7"/>
      <c r="S171" s="7"/>
      <c r="T171" s="7"/>
      <c r="U171" s="7"/>
      <c r="V171" s="7"/>
      <c r="W171" s="7"/>
      <c r="X171" s="7"/>
      <c r="Y171" s="7"/>
      <c r="Z171" s="7"/>
      <c r="AA171" s="7"/>
      <c r="AB171" s="7"/>
    </row>
    <row r="172" ht="14.25" customHeight="1">
      <c r="A172" s="7"/>
      <c r="B172" s="7"/>
      <c r="C172" s="7"/>
      <c r="D172" s="303"/>
      <c r="E172" s="303"/>
      <c r="F172" s="303"/>
      <c r="G172" s="7"/>
      <c r="H172" s="7"/>
      <c r="I172" s="7"/>
      <c r="J172" s="7"/>
      <c r="K172" s="303"/>
      <c r="L172" s="303"/>
      <c r="M172" s="303"/>
      <c r="N172" s="7"/>
      <c r="O172" s="7"/>
      <c r="P172" s="7"/>
      <c r="Q172" s="7"/>
      <c r="R172" s="7"/>
      <c r="S172" s="7"/>
      <c r="T172" s="7"/>
      <c r="U172" s="7"/>
      <c r="V172" s="7"/>
      <c r="W172" s="7"/>
      <c r="X172" s="7"/>
      <c r="Y172" s="7"/>
      <c r="Z172" s="7"/>
      <c r="AA172" s="7"/>
      <c r="AB172" s="7"/>
    </row>
    <row r="173" ht="14.25" customHeight="1">
      <c r="A173" s="7"/>
      <c r="B173" s="7"/>
      <c r="C173" s="7"/>
      <c r="D173" s="303"/>
      <c r="E173" s="303"/>
      <c r="F173" s="303"/>
      <c r="G173" s="7"/>
      <c r="H173" s="7"/>
      <c r="I173" s="7"/>
      <c r="J173" s="7"/>
      <c r="K173" s="303"/>
      <c r="L173" s="303"/>
      <c r="M173" s="303"/>
      <c r="N173" s="7"/>
      <c r="O173" s="7"/>
      <c r="P173" s="7"/>
      <c r="Q173" s="7"/>
      <c r="R173" s="7"/>
      <c r="S173" s="7"/>
      <c r="T173" s="7"/>
      <c r="U173" s="7"/>
      <c r="V173" s="7"/>
      <c r="W173" s="7"/>
      <c r="X173" s="7"/>
      <c r="Y173" s="7"/>
      <c r="Z173" s="7"/>
      <c r="AA173" s="7"/>
      <c r="AB173" s="7"/>
    </row>
    <row r="174" ht="14.25" customHeight="1">
      <c r="A174" s="7"/>
      <c r="B174" s="7"/>
      <c r="C174" s="7"/>
      <c r="D174" s="303"/>
      <c r="E174" s="303"/>
      <c r="F174" s="303"/>
      <c r="G174" s="7"/>
      <c r="H174" s="7"/>
      <c r="I174" s="7"/>
      <c r="J174" s="7"/>
      <c r="K174" s="303"/>
      <c r="L174" s="303"/>
      <c r="M174" s="303"/>
      <c r="N174" s="7"/>
      <c r="O174" s="7"/>
      <c r="P174" s="7"/>
      <c r="Q174" s="7"/>
      <c r="R174" s="7"/>
      <c r="S174" s="7"/>
      <c r="T174" s="7"/>
      <c r="U174" s="7"/>
      <c r="V174" s="7"/>
      <c r="W174" s="7"/>
      <c r="X174" s="7"/>
      <c r="Y174" s="7"/>
      <c r="Z174" s="7"/>
      <c r="AA174" s="7"/>
      <c r="AB174" s="7"/>
    </row>
    <row r="175" ht="14.25" customHeight="1">
      <c r="A175" s="7"/>
      <c r="B175" s="7"/>
      <c r="C175" s="7"/>
      <c r="D175" s="303"/>
      <c r="E175" s="303"/>
      <c r="F175" s="303"/>
      <c r="G175" s="7"/>
      <c r="H175" s="7"/>
      <c r="I175" s="7"/>
      <c r="J175" s="7"/>
      <c r="K175" s="303"/>
      <c r="L175" s="303"/>
      <c r="M175" s="303"/>
      <c r="N175" s="7"/>
      <c r="O175" s="7"/>
      <c r="P175" s="7"/>
      <c r="Q175" s="7"/>
      <c r="R175" s="7"/>
      <c r="S175" s="7"/>
      <c r="T175" s="7"/>
      <c r="U175" s="7"/>
      <c r="V175" s="7"/>
      <c r="W175" s="7"/>
      <c r="X175" s="7"/>
      <c r="Y175" s="7"/>
      <c r="Z175" s="7"/>
      <c r="AA175" s="7"/>
      <c r="AB175" s="7"/>
    </row>
    <row r="176" ht="14.25" customHeight="1">
      <c r="A176" s="7"/>
      <c r="B176" s="7"/>
      <c r="C176" s="7"/>
      <c r="D176" s="303"/>
      <c r="E176" s="303"/>
      <c r="F176" s="303"/>
      <c r="G176" s="7"/>
      <c r="H176" s="7"/>
      <c r="I176" s="7"/>
      <c r="J176" s="7"/>
      <c r="K176" s="303"/>
      <c r="L176" s="303"/>
      <c r="M176" s="303"/>
      <c r="N176" s="7"/>
      <c r="O176" s="7"/>
      <c r="P176" s="7"/>
      <c r="Q176" s="7"/>
      <c r="R176" s="7"/>
      <c r="S176" s="7"/>
      <c r="T176" s="7"/>
      <c r="U176" s="7"/>
      <c r="V176" s="7"/>
      <c r="W176" s="7"/>
      <c r="X176" s="7"/>
      <c r="Y176" s="7"/>
      <c r="Z176" s="7"/>
      <c r="AA176" s="7"/>
      <c r="AB176" s="7"/>
    </row>
    <row r="177" ht="14.25" customHeight="1">
      <c r="A177" s="7"/>
      <c r="B177" s="7"/>
      <c r="C177" s="7"/>
      <c r="D177" s="303"/>
      <c r="E177" s="303"/>
      <c r="F177" s="303"/>
      <c r="G177" s="7"/>
      <c r="H177" s="7"/>
      <c r="I177" s="7"/>
      <c r="J177" s="7"/>
      <c r="K177" s="303"/>
      <c r="L177" s="303"/>
      <c r="M177" s="303"/>
      <c r="N177" s="7"/>
      <c r="O177" s="7"/>
      <c r="P177" s="7"/>
      <c r="Q177" s="7"/>
      <c r="R177" s="7"/>
      <c r="S177" s="7"/>
      <c r="T177" s="7"/>
      <c r="U177" s="7"/>
      <c r="V177" s="7"/>
      <c r="W177" s="7"/>
      <c r="X177" s="7"/>
      <c r="Y177" s="7"/>
      <c r="Z177" s="7"/>
      <c r="AA177" s="7"/>
      <c r="AB177" s="7"/>
    </row>
    <row r="178" ht="14.25" customHeight="1">
      <c r="A178" s="7"/>
      <c r="B178" s="7"/>
      <c r="C178" s="7"/>
      <c r="D178" s="303"/>
      <c r="E178" s="303"/>
      <c r="F178" s="303"/>
      <c r="G178" s="7"/>
      <c r="H178" s="7"/>
      <c r="I178" s="7"/>
      <c r="J178" s="7"/>
      <c r="K178" s="303"/>
      <c r="L178" s="303"/>
      <c r="M178" s="303"/>
      <c r="N178" s="7"/>
      <c r="O178" s="7"/>
      <c r="P178" s="7"/>
      <c r="Q178" s="7"/>
      <c r="R178" s="7"/>
      <c r="S178" s="7"/>
      <c r="T178" s="7"/>
      <c r="U178" s="7"/>
      <c r="V178" s="7"/>
      <c r="W178" s="7"/>
      <c r="X178" s="7"/>
      <c r="Y178" s="7"/>
      <c r="Z178" s="7"/>
      <c r="AA178" s="7"/>
      <c r="AB178" s="7"/>
    </row>
    <row r="179" ht="14.25" customHeight="1">
      <c r="A179" s="7"/>
      <c r="B179" s="7"/>
      <c r="C179" s="7"/>
      <c r="D179" s="303"/>
      <c r="E179" s="303"/>
      <c r="F179" s="303"/>
      <c r="G179" s="7"/>
      <c r="H179" s="7"/>
      <c r="I179" s="7"/>
      <c r="J179" s="7"/>
      <c r="K179" s="303"/>
      <c r="L179" s="303"/>
      <c r="M179" s="303"/>
      <c r="N179" s="7"/>
      <c r="O179" s="7"/>
      <c r="P179" s="7"/>
      <c r="Q179" s="7"/>
      <c r="R179" s="7"/>
      <c r="S179" s="7"/>
      <c r="T179" s="7"/>
      <c r="U179" s="7"/>
      <c r="V179" s="7"/>
      <c r="W179" s="7"/>
      <c r="X179" s="7"/>
      <c r="Y179" s="7"/>
      <c r="Z179" s="7"/>
      <c r="AA179" s="7"/>
      <c r="AB179" s="7"/>
    </row>
    <row r="180" ht="14.25" customHeight="1">
      <c r="A180" s="7"/>
      <c r="B180" s="7"/>
      <c r="C180" s="7"/>
      <c r="D180" s="303"/>
      <c r="E180" s="303"/>
      <c r="F180" s="303"/>
      <c r="G180" s="7"/>
      <c r="H180" s="7"/>
      <c r="I180" s="7"/>
      <c r="J180" s="7"/>
      <c r="K180" s="303"/>
      <c r="L180" s="303"/>
      <c r="M180" s="303"/>
      <c r="N180" s="7"/>
      <c r="O180" s="7"/>
      <c r="P180" s="7"/>
      <c r="Q180" s="7"/>
      <c r="R180" s="7"/>
      <c r="S180" s="7"/>
      <c r="T180" s="7"/>
      <c r="U180" s="7"/>
      <c r="V180" s="7"/>
      <c r="W180" s="7"/>
      <c r="X180" s="7"/>
      <c r="Y180" s="7"/>
      <c r="Z180" s="7"/>
      <c r="AA180" s="7"/>
      <c r="AB180" s="7"/>
    </row>
    <row r="181" ht="14.25" customHeight="1">
      <c r="A181" s="7"/>
      <c r="B181" s="7"/>
      <c r="C181" s="7"/>
      <c r="D181" s="303"/>
      <c r="E181" s="303"/>
      <c r="F181" s="303"/>
      <c r="G181" s="7"/>
      <c r="H181" s="7"/>
      <c r="I181" s="7"/>
      <c r="J181" s="7"/>
      <c r="K181" s="303"/>
      <c r="L181" s="303"/>
      <c r="M181" s="303"/>
      <c r="N181" s="7"/>
      <c r="O181" s="7"/>
      <c r="P181" s="7"/>
      <c r="Q181" s="7"/>
      <c r="R181" s="7"/>
      <c r="S181" s="7"/>
      <c r="T181" s="7"/>
      <c r="U181" s="7"/>
      <c r="V181" s="7"/>
      <c r="W181" s="7"/>
      <c r="X181" s="7"/>
      <c r="Y181" s="7"/>
      <c r="Z181" s="7"/>
      <c r="AA181" s="7"/>
      <c r="AB181" s="7"/>
    </row>
    <row r="182" ht="14.25" customHeight="1">
      <c r="A182" s="7"/>
      <c r="B182" s="7"/>
      <c r="C182" s="7"/>
      <c r="D182" s="303"/>
      <c r="E182" s="303"/>
      <c r="F182" s="303"/>
      <c r="G182" s="7"/>
      <c r="H182" s="7"/>
      <c r="I182" s="7"/>
      <c r="J182" s="7"/>
      <c r="K182" s="303"/>
      <c r="L182" s="303"/>
      <c r="M182" s="303"/>
      <c r="N182" s="7"/>
      <c r="O182" s="7"/>
      <c r="P182" s="7"/>
      <c r="Q182" s="7"/>
      <c r="R182" s="7"/>
      <c r="S182" s="7"/>
      <c r="T182" s="7"/>
      <c r="U182" s="7"/>
      <c r="V182" s="7"/>
      <c r="W182" s="7"/>
      <c r="X182" s="7"/>
      <c r="Y182" s="7"/>
      <c r="Z182" s="7"/>
      <c r="AA182" s="7"/>
      <c r="AB182" s="7"/>
    </row>
    <row r="183" ht="14.25" customHeight="1">
      <c r="A183" s="7"/>
      <c r="B183" s="7"/>
      <c r="C183" s="7"/>
      <c r="D183" s="303"/>
      <c r="E183" s="303"/>
      <c r="F183" s="303"/>
      <c r="G183" s="7"/>
      <c r="H183" s="7"/>
      <c r="I183" s="7"/>
      <c r="J183" s="7"/>
      <c r="K183" s="303"/>
      <c r="L183" s="303"/>
      <c r="M183" s="303"/>
      <c r="N183" s="7"/>
      <c r="O183" s="7"/>
      <c r="P183" s="7"/>
      <c r="Q183" s="7"/>
      <c r="R183" s="7"/>
      <c r="S183" s="7"/>
      <c r="T183" s="7"/>
      <c r="U183" s="7"/>
      <c r="V183" s="7"/>
      <c r="W183" s="7"/>
      <c r="X183" s="7"/>
      <c r="Y183" s="7"/>
      <c r="Z183" s="7"/>
      <c r="AA183" s="7"/>
      <c r="AB183" s="7"/>
    </row>
    <row r="184" ht="14.25" customHeight="1">
      <c r="A184" s="7"/>
      <c r="B184" s="7"/>
      <c r="C184" s="7"/>
      <c r="D184" s="303"/>
      <c r="E184" s="303"/>
      <c r="F184" s="303"/>
      <c r="G184" s="7"/>
      <c r="H184" s="7"/>
      <c r="I184" s="7"/>
      <c r="J184" s="7"/>
      <c r="K184" s="303"/>
      <c r="L184" s="303"/>
      <c r="M184" s="303"/>
      <c r="N184" s="7"/>
      <c r="O184" s="7"/>
      <c r="P184" s="7"/>
      <c r="Q184" s="7"/>
      <c r="R184" s="7"/>
      <c r="S184" s="7"/>
      <c r="T184" s="7"/>
      <c r="U184" s="7"/>
      <c r="V184" s="7"/>
      <c r="W184" s="7"/>
      <c r="X184" s="7"/>
      <c r="Y184" s="7"/>
      <c r="Z184" s="7"/>
      <c r="AA184" s="7"/>
      <c r="AB184" s="7"/>
    </row>
    <row r="185" ht="14.25" customHeight="1">
      <c r="A185" s="7"/>
      <c r="B185" s="7"/>
      <c r="C185" s="7"/>
      <c r="D185" s="303"/>
      <c r="E185" s="303"/>
      <c r="F185" s="303"/>
      <c r="G185" s="7"/>
      <c r="H185" s="7"/>
      <c r="I185" s="7"/>
      <c r="J185" s="7"/>
      <c r="K185" s="303"/>
      <c r="L185" s="303"/>
      <c r="M185" s="303"/>
      <c r="N185" s="7"/>
      <c r="O185" s="7"/>
      <c r="P185" s="7"/>
      <c r="Q185" s="7"/>
      <c r="R185" s="7"/>
      <c r="S185" s="7"/>
      <c r="T185" s="7"/>
      <c r="U185" s="7"/>
      <c r="V185" s="7"/>
      <c r="W185" s="7"/>
      <c r="X185" s="7"/>
      <c r="Y185" s="7"/>
      <c r="Z185" s="7"/>
      <c r="AA185" s="7"/>
      <c r="AB185" s="7"/>
    </row>
    <row r="186" ht="14.25" customHeight="1">
      <c r="A186" s="7"/>
      <c r="B186" s="7"/>
      <c r="C186" s="7"/>
      <c r="D186" s="303"/>
      <c r="E186" s="303"/>
      <c r="F186" s="303"/>
      <c r="G186" s="7"/>
      <c r="H186" s="7"/>
      <c r="I186" s="7"/>
      <c r="J186" s="7"/>
      <c r="K186" s="303"/>
      <c r="L186" s="303"/>
      <c r="M186" s="303"/>
      <c r="N186" s="7"/>
      <c r="O186" s="7"/>
      <c r="P186" s="7"/>
      <c r="Q186" s="7"/>
      <c r="R186" s="7"/>
      <c r="S186" s="7"/>
      <c r="T186" s="7"/>
      <c r="U186" s="7"/>
      <c r="V186" s="7"/>
      <c r="W186" s="7"/>
      <c r="X186" s="7"/>
      <c r="Y186" s="7"/>
      <c r="Z186" s="7"/>
      <c r="AA186" s="7"/>
      <c r="AB186" s="7"/>
    </row>
    <row r="187" ht="14.25" customHeight="1">
      <c r="A187" s="7"/>
      <c r="B187" s="7"/>
      <c r="C187" s="7"/>
      <c r="D187" s="303"/>
      <c r="E187" s="303"/>
      <c r="F187" s="303"/>
      <c r="G187" s="7"/>
      <c r="H187" s="7"/>
      <c r="I187" s="7"/>
      <c r="J187" s="7"/>
      <c r="K187" s="303"/>
      <c r="L187" s="303"/>
      <c r="M187" s="303"/>
      <c r="N187" s="7"/>
      <c r="O187" s="7"/>
      <c r="P187" s="7"/>
      <c r="Q187" s="7"/>
      <c r="R187" s="7"/>
      <c r="S187" s="7"/>
      <c r="T187" s="7"/>
      <c r="U187" s="7"/>
      <c r="V187" s="7"/>
      <c r="W187" s="7"/>
      <c r="X187" s="7"/>
      <c r="Y187" s="7"/>
      <c r="Z187" s="7"/>
      <c r="AA187" s="7"/>
      <c r="AB187" s="7"/>
    </row>
    <row r="188" ht="14.25" customHeight="1">
      <c r="A188" s="7"/>
      <c r="B188" s="7"/>
      <c r="C188" s="7"/>
      <c r="D188" s="303"/>
      <c r="E188" s="303"/>
      <c r="F188" s="303"/>
      <c r="G188" s="7"/>
      <c r="H188" s="7"/>
      <c r="I188" s="7"/>
      <c r="J188" s="7"/>
      <c r="K188" s="303"/>
      <c r="L188" s="303"/>
      <c r="M188" s="303"/>
      <c r="N188" s="7"/>
      <c r="O188" s="7"/>
      <c r="P188" s="7"/>
      <c r="Q188" s="7"/>
      <c r="R188" s="7"/>
      <c r="S188" s="7"/>
      <c r="T188" s="7"/>
      <c r="U188" s="7"/>
      <c r="V188" s="7"/>
      <c r="W188" s="7"/>
      <c r="X188" s="7"/>
      <c r="Y188" s="7"/>
      <c r="Z188" s="7"/>
      <c r="AA188" s="7"/>
      <c r="AB188" s="7"/>
    </row>
    <row r="189" ht="14.25" customHeight="1">
      <c r="A189" s="7"/>
      <c r="B189" s="7"/>
      <c r="C189" s="7"/>
      <c r="D189" s="303"/>
      <c r="E189" s="303"/>
      <c r="F189" s="303"/>
      <c r="G189" s="7"/>
      <c r="H189" s="7"/>
      <c r="I189" s="7"/>
      <c r="J189" s="7"/>
      <c r="K189" s="303"/>
      <c r="L189" s="303"/>
      <c r="M189" s="303"/>
      <c r="N189" s="7"/>
      <c r="O189" s="7"/>
      <c r="P189" s="7"/>
      <c r="Q189" s="7"/>
      <c r="R189" s="7"/>
      <c r="S189" s="7"/>
      <c r="T189" s="7"/>
      <c r="U189" s="7"/>
      <c r="V189" s="7"/>
      <c r="W189" s="7"/>
      <c r="X189" s="7"/>
      <c r="Y189" s="7"/>
      <c r="Z189" s="7"/>
      <c r="AA189" s="7"/>
      <c r="AB189" s="7"/>
    </row>
    <row r="190" ht="14.25" customHeight="1">
      <c r="A190" s="7"/>
      <c r="B190" s="7"/>
      <c r="C190" s="7"/>
      <c r="D190" s="303"/>
      <c r="E190" s="303"/>
      <c r="F190" s="303"/>
      <c r="G190" s="7"/>
      <c r="H190" s="7"/>
      <c r="I190" s="7"/>
      <c r="J190" s="7"/>
      <c r="K190" s="303"/>
      <c r="L190" s="303"/>
      <c r="M190" s="303"/>
      <c r="N190" s="7"/>
      <c r="O190" s="7"/>
      <c r="P190" s="7"/>
      <c r="Q190" s="7"/>
      <c r="R190" s="7"/>
      <c r="S190" s="7"/>
      <c r="T190" s="7"/>
      <c r="U190" s="7"/>
      <c r="V190" s="7"/>
      <c r="W190" s="7"/>
      <c r="X190" s="7"/>
      <c r="Y190" s="7"/>
      <c r="Z190" s="7"/>
      <c r="AA190" s="7"/>
      <c r="AB190" s="7"/>
    </row>
    <row r="191" ht="14.25" customHeight="1">
      <c r="A191" s="7"/>
      <c r="B191" s="7"/>
      <c r="C191" s="7"/>
      <c r="D191" s="303"/>
      <c r="E191" s="303"/>
      <c r="F191" s="303"/>
      <c r="G191" s="7"/>
      <c r="H191" s="7"/>
      <c r="I191" s="7"/>
      <c r="J191" s="7"/>
      <c r="K191" s="303"/>
      <c r="L191" s="303"/>
      <c r="M191" s="303"/>
      <c r="N191" s="7"/>
      <c r="O191" s="7"/>
      <c r="P191" s="7"/>
      <c r="Q191" s="7"/>
      <c r="R191" s="7"/>
      <c r="S191" s="7"/>
      <c r="T191" s="7"/>
      <c r="U191" s="7"/>
      <c r="V191" s="7"/>
      <c r="W191" s="7"/>
      <c r="X191" s="7"/>
      <c r="Y191" s="7"/>
      <c r="Z191" s="7"/>
      <c r="AA191" s="7"/>
      <c r="AB191" s="7"/>
    </row>
    <row r="192" ht="14.25" customHeight="1">
      <c r="A192" s="7"/>
      <c r="B192" s="7"/>
      <c r="C192" s="7"/>
      <c r="D192" s="303"/>
      <c r="E192" s="303"/>
      <c r="F192" s="303"/>
      <c r="G192" s="7"/>
      <c r="H192" s="7"/>
      <c r="I192" s="7"/>
      <c r="J192" s="7"/>
      <c r="K192" s="303"/>
      <c r="L192" s="303"/>
      <c r="M192" s="303"/>
      <c r="N192" s="7"/>
      <c r="O192" s="7"/>
      <c r="P192" s="7"/>
      <c r="Q192" s="7"/>
      <c r="R192" s="7"/>
      <c r="S192" s="7"/>
      <c r="T192" s="7"/>
      <c r="U192" s="7"/>
      <c r="V192" s="7"/>
      <c r="W192" s="7"/>
      <c r="X192" s="7"/>
      <c r="Y192" s="7"/>
      <c r="Z192" s="7"/>
      <c r="AA192" s="7"/>
      <c r="AB192" s="7"/>
    </row>
    <row r="193" ht="14.25" customHeight="1">
      <c r="A193" s="7"/>
      <c r="B193" s="7"/>
      <c r="C193" s="7"/>
      <c r="D193" s="303"/>
      <c r="E193" s="303"/>
      <c r="F193" s="303"/>
      <c r="G193" s="7"/>
      <c r="H193" s="7"/>
      <c r="I193" s="7"/>
      <c r="J193" s="7"/>
      <c r="K193" s="303"/>
      <c r="L193" s="303"/>
      <c r="M193" s="303"/>
      <c r="N193" s="7"/>
      <c r="O193" s="7"/>
      <c r="P193" s="7"/>
      <c r="Q193" s="7"/>
      <c r="R193" s="7"/>
      <c r="S193" s="7"/>
      <c r="T193" s="7"/>
      <c r="U193" s="7"/>
      <c r="V193" s="7"/>
      <c r="W193" s="7"/>
      <c r="X193" s="7"/>
      <c r="Y193" s="7"/>
      <c r="Z193" s="7"/>
      <c r="AA193" s="7"/>
      <c r="AB193" s="7"/>
    </row>
    <row r="194" ht="14.25" customHeight="1">
      <c r="A194" s="7"/>
      <c r="B194" s="7"/>
      <c r="C194" s="7"/>
      <c r="D194" s="303"/>
      <c r="E194" s="303"/>
      <c r="F194" s="303"/>
      <c r="G194" s="7"/>
      <c r="H194" s="7"/>
      <c r="I194" s="7"/>
      <c r="J194" s="7"/>
      <c r="K194" s="303"/>
      <c r="L194" s="303"/>
      <c r="M194" s="303"/>
      <c r="N194" s="7"/>
      <c r="O194" s="7"/>
      <c r="P194" s="7"/>
      <c r="Q194" s="7"/>
      <c r="R194" s="7"/>
      <c r="S194" s="7"/>
      <c r="T194" s="7"/>
      <c r="U194" s="7"/>
      <c r="V194" s="7"/>
      <c r="W194" s="7"/>
      <c r="X194" s="7"/>
      <c r="Y194" s="7"/>
      <c r="Z194" s="7"/>
      <c r="AA194" s="7"/>
      <c r="AB194" s="7"/>
    </row>
    <row r="195" ht="14.25" customHeight="1">
      <c r="A195" s="7"/>
      <c r="B195" s="7"/>
      <c r="C195" s="7"/>
      <c r="D195" s="303"/>
      <c r="E195" s="303"/>
      <c r="F195" s="303"/>
      <c r="G195" s="7"/>
      <c r="H195" s="7"/>
      <c r="I195" s="7"/>
      <c r="J195" s="7"/>
      <c r="K195" s="303"/>
      <c r="L195" s="303"/>
      <c r="M195" s="303"/>
      <c r="N195" s="7"/>
      <c r="O195" s="7"/>
      <c r="P195" s="7"/>
      <c r="Q195" s="7"/>
      <c r="R195" s="7"/>
      <c r="S195" s="7"/>
      <c r="T195" s="7"/>
      <c r="U195" s="7"/>
      <c r="V195" s="7"/>
      <c r="W195" s="7"/>
      <c r="X195" s="7"/>
      <c r="Y195" s="7"/>
      <c r="Z195" s="7"/>
      <c r="AA195" s="7"/>
      <c r="AB195" s="7"/>
    </row>
    <row r="196" ht="14.25" customHeight="1">
      <c r="A196" s="7"/>
      <c r="B196" s="7"/>
      <c r="C196" s="7"/>
      <c r="D196" s="303"/>
      <c r="E196" s="303"/>
      <c r="F196" s="303"/>
      <c r="G196" s="7"/>
      <c r="H196" s="7"/>
      <c r="I196" s="7"/>
      <c r="J196" s="7"/>
      <c r="K196" s="303"/>
      <c r="L196" s="303"/>
      <c r="M196" s="303"/>
      <c r="N196" s="7"/>
      <c r="O196" s="7"/>
      <c r="P196" s="7"/>
      <c r="Q196" s="7"/>
      <c r="R196" s="7"/>
      <c r="S196" s="7"/>
      <c r="T196" s="7"/>
      <c r="U196" s="7"/>
      <c r="V196" s="7"/>
      <c r="W196" s="7"/>
      <c r="X196" s="7"/>
      <c r="Y196" s="7"/>
      <c r="Z196" s="7"/>
      <c r="AA196" s="7"/>
      <c r="AB196" s="7"/>
    </row>
    <row r="197" ht="14.25" customHeight="1">
      <c r="A197" s="7"/>
      <c r="B197" s="7"/>
      <c r="C197" s="7"/>
      <c r="D197" s="303"/>
      <c r="E197" s="303"/>
      <c r="F197" s="303"/>
      <c r="G197" s="7"/>
      <c r="H197" s="7"/>
      <c r="I197" s="7"/>
      <c r="J197" s="7"/>
      <c r="K197" s="303"/>
      <c r="L197" s="303"/>
      <c r="M197" s="303"/>
      <c r="N197" s="7"/>
      <c r="O197" s="7"/>
      <c r="P197" s="7"/>
      <c r="Q197" s="7"/>
      <c r="R197" s="7"/>
      <c r="S197" s="7"/>
      <c r="T197" s="7"/>
      <c r="U197" s="7"/>
      <c r="V197" s="7"/>
      <c r="W197" s="7"/>
      <c r="X197" s="7"/>
      <c r="Y197" s="7"/>
      <c r="Z197" s="7"/>
      <c r="AA197" s="7"/>
      <c r="AB197" s="7"/>
    </row>
    <row r="198" ht="14.25" customHeight="1">
      <c r="A198" s="7"/>
      <c r="B198" s="7"/>
      <c r="C198" s="7"/>
      <c r="D198" s="303"/>
      <c r="E198" s="303"/>
      <c r="F198" s="303"/>
      <c r="G198" s="7"/>
      <c r="H198" s="7"/>
      <c r="I198" s="7"/>
      <c r="J198" s="7"/>
      <c r="K198" s="303"/>
      <c r="L198" s="303"/>
      <c r="M198" s="303"/>
      <c r="N198" s="7"/>
      <c r="O198" s="7"/>
      <c r="P198" s="7"/>
      <c r="Q198" s="7"/>
      <c r="R198" s="7"/>
      <c r="S198" s="7"/>
      <c r="T198" s="7"/>
      <c r="U198" s="7"/>
      <c r="V198" s="7"/>
      <c r="W198" s="7"/>
      <c r="X198" s="7"/>
      <c r="Y198" s="7"/>
      <c r="Z198" s="7"/>
      <c r="AA198" s="7"/>
      <c r="AB198" s="7"/>
    </row>
    <row r="199" ht="14.25" customHeight="1">
      <c r="A199" s="7"/>
      <c r="B199" s="7"/>
      <c r="C199" s="7"/>
      <c r="D199" s="303"/>
      <c r="E199" s="303"/>
      <c r="F199" s="303"/>
      <c r="G199" s="7"/>
      <c r="H199" s="7"/>
      <c r="I199" s="7"/>
      <c r="J199" s="7"/>
      <c r="K199" s="303"/>
      <c r="L199" s="303"/>
      <c r="M199" s="303"/>
      <c r="N199" s="7"/>
      <c r="O199" s="7"/>
      <c r="P199" s="7"/>
      <c r="Q199" s="7"/>
      <c r="R199" s="7"/>
      <c r="S199" s="7"/>
      <c r="T199" s="7"/>
      <c r="U199" s="7"/>
      <c r="V199" s="7"/>
      <c r="W199" s="7"/>
      <c r="X199" s="7"/>
      <c r="Y199" s="7"/>
      <c r="Z199" s="7"/>
      <c r="AA199" s="7"/>
      <c r="AB199" s="7"/>
    </row>
    <row r="200" ht="14.25" customHeight="1">
      <c r="A200" s="7"/>
      <c r="B200" s="7"/>
      <c r="C200" s="7"/>
      <c r="D200" s="303"/>
      <c r="E200" s="303"/>
      <c r="F200" s="303"/>
      <c r="G200" s="7"/>
      <c r="H200" s="7"/>
      <c r="I200" s="7"/>
      <c r="J200" s="7"/>
      <c r="K200" s="303"/>
      <c r="L200" s="303"/>
      <c r="M200" s="303"/>
      <c r="N200" s="7"/>
      <c r="O200" s="7"/>
      <c r="P200" s="7"/>
      <c r="Q200" s="7"/>
      <c r="R200" s="7"/>
      <c r="S200" s="7"/>
      <c r="T200" s="7"/>
      <c r="U200" s="7"/>
      <c r="V200" s="7"/>
      <c r="W200" s="7"/>
      <c r="X200" s="7"/>
      <c r="Y200" s="7"/>
      <c r="Z200" s="7"/>
      <c r="AA200" s="7"/>
      <c r="AB200" s="7"/>
    </row>
    <row r="201" ht="14.25" customHeight="1">
      <c r="A201" s="7"/>
      <c r="B201" s="7"/>
      <c r="C201" s="7"/>
      <c r="D201" s="303"/>
      <c r="E201" s="303"/>
      <c r="F201" s="303"/>
      <c r="G201" s="7"/>
      <c r="H201" s="7"/>
      <c r="I201" s="7"/>
      <c r="J201" s="7"/>
      <c r="K201" s="303"/>
      <c r="L201" s="303"/>
      <c r="M201" s="303"/>
      <c r="N201" s="7"/>
      <c r="O201" s="7"/>
      <c r="P201" s="7"/>
      <c r="Q201" s="7"/>
      <c r="R201" s="7"/>
      <c r="S201" s="7"/>
      <c r="T201" s="7"/>
      <c r="U201" s="7"/>
      <c r="V201" s="7"/>
      <c r="W201" s="7"/>
      <c r="X201" s="7"/>
      <c r="Y201" s="7"/>
      <c r="Z201" s="7"/>
      <c r="AA201" s="7"/>
      <c r="AB201" s="7"/>
    </row>
    <row r="202" ht="14.25" customHeight="1">
      <c r="A202" s="7"/>
      <c r="B202" s="7"/>
      <c r="C202" s="7"/>
      <c r="D202" s="303"/>
      <c r="E202" s="303"/>
      <c r="F202" s="303"/>
      <c r="G202" s="7"/>
      <c r="H202" s="7"/>
      <c r="I202" s="7"/>
      <c r="J202" s="7"/>
      <c r="K202" s="303"/>
      <c r="L202" s="303"/>
      <c r="M202" s="303"/>
      <c r="N202" s="7"/>
      <c r="O202" s="7"/>
      <c r="P202" s="7"/>
      <c r="Q202" s="7"/>
      <c r="R202" s="7"/>
      <c r="S202" s="7"/>
      <c r="T202" s="7"/>
      <c r="U202" s="7"/>
      <c r="V202" s="7"/>
      <c r="W202" s="7"/>
      <c r="X202" s="7"/>
      <c r="Y202" s="7"/>
      <c r="Z202" s="7"/>
      <c r="AA202" s="7"/>
      <c r="AB202" s="7"/>
    </row>
    <row r="203" ht="14.25" customHeight="1">
      <c r="A203" s="7"/>
      <c r="B203" s="7"/>
      <c r="C203" s="7"/>
      <c r="D203" s="303"/>
      <c r="E203" s="303"/>
      <c r="F203" s="303"/>
      <c r="G203" s="7"/>
      <c r="H203" s="7"/>
      <c r="I203" s="7"/>
      <c r="J203" s="7"/>
      <c r="K203" s="303"/>
      <c r="L203" s="303"/>
      <c r="M203" s="303"/>
      <c r="N203" s="7"/>
      <c r="O203" s="7"/>
      <c r="P203" s="7"/>
      <c r="Q203" s="7"/>
      <c r="R203" s="7"/>
      <c r="S203" s="7"/>
      <c r="T203" s="7"/>
      <c r="U203" s="7"/>
      <c r="V203" s="7"/>
      <c r="W203" s="7"/>
      <c r="X203" s="7"/>
      <c r="Y203" s="7"/>
      <c r="Z203" s="7"/>
      <c r="AA203" s="7"/>
      <c r="AB203" s="7"/>
    </row>
    <row r="204" ht="14.25" customHeight="1">
      <c r="A204" s="7"/>
      <c r="B204" s="7"/>
      <c r="C204" s="7"/>
      <c r="D204" s="303"/>
      <c r="E204" s="303"/>
      <c r="F204" s="303"/>
      <c r="G204" s="7"/>
      <c r="H204" s="7"/>
      <c r="I204" s="7"/>
      <c r="J204" s="7"/>
      <c r="K204" s="303"/>
      <c r="L204" s="303"/>
      <c r="M204" s="303"/>
      <c r="N204" s="7"/>
      <c r="O204" s="7"/>
      <c r="P204" s="7"/>
      <c r="Q204" s="7"/>
      <c r="R204" s="7"/>
      <c r="S204" s="7"/>
      <c r="T204" s="7"/>
      <c r="U204" s="7"/>
      <c r="V204" s="7"/>
      <c r="W204" s="7"/>
      <c r="X204" s="7"/>
      <c r="Y204" s="7"/>
      <c r="Z204" s="7"/>
      <c r="AA204" s="7"/>
      <c r="AB204" s="7"/>
    </row>
    <row r="205" ht="14.25" customHeight="1">
      <c r="A205" s="7"/>
      <c r="B205" s="7"/>
      <c r="C205" s="7"/>
      <c r="D205" s="303"/>
      <c r="E205" s="303"/>
      <c r="F205" s="303"/>
      <c r="G205" s="7"/>
      <c r="H205" s="7"/>
      <c r="I205" s="7"/>
      <c r="J205" s="7"/>
      <c r="K205" s="303"/>
      <c r="L205" s="303"/>
      <c r="M205" s="303"/>
      <c r="N205" s="7"/>
      <c r="O205" s="7"/>
      <c r="P205" s="7"/>
      <c r="Q205" s="7"/>
      <c r="R205" s="7"/>
      <c r="S205" s="7"/>
      <c r="T205" s="7"/>
      <c r="U205" s="7"/>
      <c r="V205" s="7"/>
      <c r="W205" s="7"/>
      <c r="X205" s="7"/>
      <c r="Y205" s="7"/>
      <c r="Z205" s="7"/>
      <c r="AA205" s="7"/>
      <c r="AB205" s="7"/>
    </row>
    <row r="206" ht="14.25" customHeight="1">
      <c r="A206" s="7"/>
      <c r="B206" s="7"/>
      <c r="C206" s="7"/>
      <c r="D206" s="303"/>
      <c r="E206" s="303"/>
      <c r="F206" s="303"/>
      <c r="G206" s="7"/>
      <c r="H206" s="7"/>
      <c r="I206" s="7"/>
      <c r="J206" s="7"/>
      <c r="K206" s="303"/>
      <c r="L206" s="303"/>
      <c r="M206" s="303"/>
      <c r="N206" s="7"/>
      <c r="O206" s="7"/>
      <c r="P206" s="7"/>
      <c r="Q206" s="7"/>
      <c r="R206" s="7"/>
      <c r="S206" s="7"/>
      <c r="T206" s="7"/>
      <c r="U206" s="7"/>
      <c r="V206" s="7"/>
      <c r="W206" s="7"/>
      <c r="X206" s="7"/>
      <c r="Y206" s="7"/>
      <c r="Z206" s="7"/>
      <c r="AA206" s="7"/>
      <c r="AB206" s="7"/>
    </row>
    <row r="207" ht="14.25" customHeight="1">
      <c r="A207" s="7"/>
      <c r="B207" s="7"/>
      <c r="C207" s="7"/>
      <c r="D207" s="303"/>
      <c r="E207" s="303"/>
      <c r="F207" s="303"/>
      <c r="G207" s="7"/>
      <c r="H207" s="7"/>
      <c r="I207" s="7"/>
      <c r="J207" s="7"/>
      <c r="K207" s="303"/>
      <c r="L207" s="303"/>
      <c r="M207" s="303"/>
      <c r="N207" s="7"/>
      <c r="O207" s="7"/>
      <c r="P207" s="7"/>
      <c r="Q207" s="7"/>
      <c r="R207" s="7"/>
      <c r="S207" s="7"/>
      <c r="T207" s="7"/>
      <c r="U207" s="7"/>
      <c r="V207" s="7"/>
      <c r="W207" s="7"/>
      <c r="X207" s="7"/>
      <c r="Y207" s="7"/>
      <c r="Z207" s="7"/>
      <c r="AA207" s="7"/>
      <c r="AB207" s="7"/>
    </row>
    <row r="208" ht="14.25" customHeight="1">
      <c r="A208" s="7"/>
      <c r="B208" s="7"/>
      <c r="C208" s="7"/>
      <c r="D208" s="303"/>
      <c r="E208" s="303"/>
      <c r="F208" s="303"/>
      <c r="G208" s="7"/>
      <c r="H208" s="7"/>
      <c r="I208" s="7"/>
      <c r="J208" s="7"/>
      <c r="K208" s="303"/>
      <c r="L208" s="303"/>
      <c r="M208" s="303"/>
      <c r="N208" s="7"/>
      <c r="O208" s="7"/>
      <c r="P208" s="7"/>
      <c r="Q208" s="7"/>
      <c r="R208" s="7"/>
      <c r="S208" s="7"/>
      <c r="T208" s="7"/>
      <c r="U208" s="7"/>
      <c r="V208" s="7"/>
      <c r="W208" s="7"/>
      <c r="X208" s="7"/>
      <c r="Y208" s="7"/>
      <c r="Z208" s="7"/>
      <c r="AA208" s="7"/>
      <c r="AB208" s="7"/>
    </row>
    <row r="209" ht="14.25" customHeight="1">
      <c r="A209" s="7"/>
      <c r="B209" s="7"/>
      <c r="C209" s="7"/>
      <c r="D209" s="303"/>
      <c r="E209" s="303"/>
      <c r="F209" s="303"/>
      <c r="G209" s="7"/>
      <c r="H209" s="7"/>
      <c r="I209" s="7"/>
      <c r="J209" s="7"/>
      <c r="K209" s="303"/>
      <c r="L209" s="303"/>
      <c r="M209" s="303"/>
      <c r="N209" s="7"/>
      <c r="O209" s="7"/>
      <c r="P209" s="7"/>
      <c r="Q209" s="7"/>
      <c r="R209" s="7"/>
      <c r="S209" s="7"/>
      <c r="T209" s="7"/>
      <c r="U209" s="7"/>
      <c r="V209" s="7"/>
      <c r="W209" s="7"/>
      <c r="X209" s="7"/>
      <c r="Y209" s="7"/>
      <c r="Z209" s="7"/>
      <c r="AA209" s="7"/>
      <c r="AB209" s="7"/>
    </row>
    <row r="210" ht="14.25" customHeight="1">
      <c r="A210" s="7"/>
      <c r="B210" s="7"/>
      <c r="C210" s="7"/>
      <c r="D210" s="303"/>
      <c r="E210" s="303"/>
      <c r="F210" s="303"/>
      <c r="G210" s="7"/>
      <c r="H210" s="7"/>
      <c r="I210" s="7"/>
      <c r="J210" s="7"/>
      <c r="K210" s="303"/>
      <c r="L210" s="303"/>
      <c r="M210" s="303"/>
      <c r="N210" s="7"/>
      <c r="O210" s="7"/>
      <c r="P210" s="7"/>
      <c r="Q210" s="7"/>
      <c r="R210" s="7"/>
      <c r="S210" s="7"/>
      <c r="T210" s="7"/>
      <c r="U210" s="7"/>
      <c r="V210" s="7"/>
      <c r="W210" s="7"/>
      <c r="X210" s="7"/>
      <c r="Y210" s="7"/>
      <c r="Z210" s="7"/>
      <c r="AA210" s="7"/>
      <c r="AB210" s="7"/>
    </row>
    <row r="211" ht="14.25" customHeight="1">
      <c r="A211" s="7"/>
      <c r="B211" s="7"/>
      <c r="C211" s="7"/>
      <c r="D211" s="303"/>
      <c r="E211" s="303"/>
      <c r="F211" s="303"/>
      <c r="G211" s="7"/>
      <c r="H211" s="7"/>
      <c r="I211" s="7"/>
      <c r="J211" s="7"/>
      <c r="K211" s="303"/>
      <c r="L211" s="303"/>
      <c r="M211" s="303"/>
      <c r="N211" s="7"/>
      <c r="O211" s="7"/>
      <c r="P211" s="7"/>
      <c r="Q211" s="7"/>
      <c r="R211" s="7"/>
      <c r="S211" s="7"/>
      <c r="T211" s="7"/>
      <c r="U211" s="7"/>
      <c r="V211" s="7"/>
      <c r="W211" s="7"/>
      <c r="X211" s="7"/>
      <c r="Y211" s="7"/>
      <c r="Z211" s="7"/>
      <c r="AA211" s="7"/>
      <c r="AB211" s="7"/>
    </row>
    <row r="212" ht="14.25" customHeight="1">
      <c r="A212" s="7"/>
      <c r="B212" s="7"/>
      <c r="C212" s="7"/>
      <c r="D212" s="303"/>
      <c r="E212" s="303"/>
      <c r="F212" s="303"/>
      <c r="G212" s="7"/>
      <c r="H212" s="7"/>
      <c r="I212" s="7"/>
      <c r="J212" s="7"/>
      <c r="K212" s="303"/>
      <c r="L212" s="303"/>
      <c r="M212" s="303"/>
      <c r="N212" s="7"/>
      <c r="O212" s="7"/>
      <c r="P212" s="7"/>
      <c r="Q212" s="7"/>
      <c r="R212" s="7"/>
      <c r="S212" s="7"/>
      <c r="T212" s="7"/>
      <c r="U212" s="7"/>
      <c r="V212" s="7"/>
      <c r="W212" s="7"/>
      <c r="X212" s="7"/>
      <c r="Y212" s="7"/>
      <c r="Z212" s="7"/>
      <c r="AA212" s="7"/>
      <c r="AB212" s="7"/>
    </row>
    <row r="213" ht="14.25" customHeight="1">
      <c r="A213" s="7"/>
      <c r="B213" s="7"/>
      <c r="C213" s="7"/>
      <c r="D213" s="303"/>
      <c r="E213" s="303"/>
      <c r="F213" s="303"/>
      <c r="G213" s="7"/>
      <c r="H213" s="7"/>
      <c r="I213" s="7"/>
      <c r="J213" s="7"/>
      <c r="K213" s="303"/>
      <c r="L213" s="303"/>
      <c r="M213" s="303"/>
      <c r="N213" s="7"/>
      <c r="O213" s="7"/>
      <c r="P213" s="7"/>
      <c r="Q213" s="7"/>
      <c r="R213" s="7"/>
      <c r="S213" s="7"/>
      <c r="T213" s="7"/>
      <c r="U213" s="7"/>
      <c r="V213" s="7"/>
      <c r="W213" s="7"/>
      <c r="X213" s="7"/>
      <c r="Y213" s="7"/>
      <c r="Z213" s="7"/>
      <c r="AA213" s="7"/>
      <c r="AB213" s="7"/>
    </row>
    <row r="214" ht="14.25" customHeight="1">
      <c r="A214" s="7"/>
      <c r="B214" s="7"/>
      <c r="C214" s="7"/>
      <c r="D214" s="303"/>
      <c r="E214" s="303"/>
      <c r="F214" s="303"/>
      <c r="G214" s="7"/>
      <c r="H214" s="7"/>
      <c r="I214" s="7"/>
      <c r="J214" s="7"/>
      <c r="K214" s="303"/>
      <c r="L214" s="303"/>
      <c r="M214" s="303"/>
      <c r="N214" s="7"/>
      <c r="O214" s="7"/>
      <c r="P214" s="7"/>
      <c r="Q214" s="7"/>
      <c r="R214" s="7"/>
      <c r="S214" s="7"/>
      <c r="T214" s="7"/>
      <c r="U214" s="7"/>
      <c r="V214" s="7"/>
      <c r="W214" s="7"/>
      <c r="X214" s="7"/>
      <c r="Y214" s="7"/>
      <c r="Z214" s="7"/>
      <c r="AA214" s="7"/>
      <c r="AB214" s="7"/>
    </row>
    <row r="215" ht="14.25" customHeight="1">
      <c r="A215" s="7"/>
      <c r="B215" s="7"/>
      <c r="C215" s="7"/>
      <c r="D215" s="303"/>
      <c r="E215" s="303"/>
      <c r="F215" s="303"/>
      <c r="G215" s="7"/>
      <c r="H215" s="7"/>
      <c r="I215" s="7"/>
      <c r="J215" s="7"/>
      <c r="K215" s="303"/>
      <c r="L215" s="303"/>
      <c r="M215" s="303"/>
      <c r="N215" s="7"/>
      <c r="O215" s="7"/>
      <c r="P215" s="7"/>
      <c r="Q215" s="7"/>
      <c r="R215" s="7"/>
      <c r="S215" s="7"/>
      <c r="T215" s="7"/>
      <c r="U215" s="7"/>
      <c r="V215" s="7"/>
      <c r="W215" s="7"/>
      <c r="X215" s="7"/>
      <c r="Y215" s="7"/>
      <c r="Z215" s="7"/>
      <c r="AA215" s="7"/>
      <c r="AB215" s="7"/>
    </row>
    <row r="216" ht="14.25" customHeight="1">
      <c r="A216" s="7"/>
      <c r="B216" s="7"/>
      <c r="C216" s="7"/>
      <c r="D216" s="303"/>
      <c r="E216" s="303"/>
      <c r="F216" s="303"/>
      <c r="G216" s="7"/>
      <c r="H216" s="7"/>
      <c r="I216" s="7"/>
      <c r="J216" s="7"/>
      <c r="K216" s="303"/>
      <c r="L216" s="303"/>
      <c r="M216" s="303"/>
      <c r="N216" s="7"/>
      <c r="O216" s="7"/>
      <c r="P216" s="7"/>
      <c r="Q216" s="7"/>
      <c r="R216" s="7"/>
      <c r="S216" s="7"/>
      <c r="T216" s="7"/>
      <c r="U216" s="7"/>
      <c r="V216" s="7"/>
      <c r="W216" s="7"/>
      <c r="X216" s="7"/>
      <c r="Y216" s="7"/>
      <c r="Z216" s="7"/>
      <c r="AA216" s="7"/>
      <c r="AB216" s="7"/>
    </row>
    <row r="217" ht="14.25" customHeight="1">
      <c r="A217" s="7"/>
      <c r="B217" s="7"/>
      <c r="C217" s="7"/>
      <c r="D217" s="303"/>
      <c r="E217" s="303"/>
      <c r="F217" s="303"/>
      <c r="G217" s="7"/>
      <c r="H217" s="7"/>
      <c r="I217" s="7"/>
      <c r="J217" s="7"/>
      <c r="K217" s="303"/>
      <c r="L217" s="303"/>
      <c r="M217" s="303"/>
      <c r="N217" s="7"/>
      <c r="O217" s="7"/>
      <c r="P217" s="7"/>
      <c r="Q217" s="7"/>
      <c r="R217" s="7"/>
      <c r="S217" s="7"/>
      <c r="T217" s="7"/>
      <c r="U217" s="7"/>
      <c r="V217" s="7"/>
      <c r="W217" s="7"/>
      <c r="X217" s="7"/>
      <c r="Y217" s="7"/>
      <c r="Z217" s="7"/>
      <c r="AA217" s="7"/>
      <c r="AB217" s="7"/>
    </row>
    <row r="218" ht="14.25" customHeight="1">
      <c r="A218" s="7"/>
      <c r="B218" s="7"/>
      <c r="C218" s="7"/>
      <c r="D218" s="303"/>
      <c r="E218" s="303"/>
      <c r="F218" s="303"/>
      <c r="G218" s="7"/>
      <c r="H218" s="7"/>
      <c r="I218" s="7"/>
      <c r="J218" s="7"/>
      <c r="K218" s="303"/>
      <c r="L218" s="303"/>
      <c r="M218" s="303"/>
      <c r="N218" s="7"/>
      <c r="O218" s="7"/>
      <c r="P218" s="7"/>
      <c r="Q218" s="7"/>
      <c r="R218" s="7"/>
      <c r="S218" s="7"/>
      <c r="T218" s="7"/>
      <c r="U218" s="7"/>
      <c r="V218" s="7"/>
      <c r="W218" s="7"/>
      <c r="X218" s="7"/>
      <c r="Y218" s="7"/>
      <c r="Z218" s="7"/>
      <c r="AA218" s="7"/>
      <c r="AB218" s="7"/>
    </row>
    <row r="219" ht="14.25" customHeight="1">
      <c r="A219" s="7"/>
      <c r="B219" s="7"/>
      <c r="C219" s="7"/>
      <c r="D219" s="303"/>
      <c r="E219" s="303"/>
      <c r="F219" s="303"/>
      <c r="G219" s="7"/>
      <c r="H219" s="7"/>
      <c r="I219" s="7"/>
      <c r="J219" s="7"/>
      <c r="K219" s="303"/>
      <c r="L219" s="303"/>
      <c r="M219" s="303"/>
      <c r="N219" s="7"/>
      <c r="O219" s="7"/>
      <c r="P219" s="7"/>
      <c r="Q219" s="7"/>
      <c r="R219" s="7"/>
      <c r="S219" s="7"/>
      <c r="T219" s="7"/>
      <c r="U219" s="7"/>
      <c r="V219" s="7"/>
      <c r="W219" s="7"/>
      <c r="X219" s="7"/>
      <c r="Y219" s="7"/>
      <c r="Z219" s="7"/>
      <c r="AA219" s="7"/>
      <c r="AB219" s="7"/>
    </row>
    <row r="220" ht="14.25" customHeight="1">
      <c r="A220" s="7"/>
      <c r="B220" s="7"/>
      <c r="C220" s="7"/>
      <c r="D220" s="303"/>
      <c r="E220" s="303"/>
      <c r="F220" s="303"/>
      <c r="G220" s="7"/>
      <c r="H220" s="7"/>
      <c r="I220" s="7"/>
      <c r="J220" s="7"/>
      <c r="K220" s="303"/>
      <c r="L220" s="303"/>
      <c r="M220" s="303"/>
      <c r="N220" s="7"/>
      <c r="O220" s="7"/>
      <c r="P220" s="7"/>
      <c r="Q220" s="7"/>
      <c r="R220" s="7"/>
      <c r="S220" s="7"/>
      <c r="T220" s="7"/>
      <c r="U220" s="7"/>
      <c r="V220" s="7"/>
      <c r="W220" s="7"/>
      <c r="X220" s="7"/>
      <c r="Y220" s="7"/>
      <c r="Z220" s="7"/>
      <c r="AA220" s="7"/>
      <c r="AB220" s="7"/>
    </row>
    <row r="221" ht="14.25" customHeight="1">
      <c r="A221" s="7"/>
      <c r="B221" s="7"/>
      <c r="C221" s="7"/>
      <c r="D221" s="303"/>
      <c r="E221" s="303"/>
      <c r="F221" s="303"/>
      <c r="G221" s="7"/>
      <c r="H221" s="7"/>
      <c r="I221" s="7"/>
      <c r="J221" s="7"/>
      <c r="K221" s="303"/>
      <c r="L221" s="303"/>
      <c r="M221" s="303"/>
      <c r="N221" s="7"/>
      <c r="O221" s="7"/>
      <c r="P221" s="7"/>
      <c r="Q221" s="7"/>
      <c r="R221" s="7"/>
      <c r="S221" s="7"/>
      <c r="T221" s="7"/>
      <c r="U221" s="7"/>
      <c r="V221" s="7"/>
      <c r="W221" s="7"/>
      <c r="X221" s="7"/>
      <c r="Y221" s="7"/>
      <c r="Z221" s="7"/>
      <c r="AA221" s="7"/>
      <c r="AB221" s="7"/>
    </row>
    <row r="222" ht="14.25" customHeight="1">
      <c r="A222" s="7"/>
      <c r="B222" s="7"/>
      <c r="C222" s="7"/>
      <c r="D222" s="303"/>
      <c r="E222" s="303"/>
      <c r="F222" s="303"/>
      <c r="G222" s="7"/>
      <c r="H222" s="7"/>
      <c r="I222" s="7"/>
      <c r="J222" s="7"/>
      <c r="K222" s="303"/>
      <c r="L222" s="303"/>
      <c r="M222" s="303"/>
      <c r="N222" s="7"/>
      <c r="O222" s="7"/>
      <c r="P222" s="7"/>
      <c r="Q222" s="7"/>
      <c r="R222" s="7"/>
      <c r="S222" s="7"/>
      <c r="T222" s="7"/>
      <c r="U222" s="7"/>
      <c r="V222" s="7"/>
      <c r="W222" s="7"/>
      <c r="X222" s="7"/>
      <c r="Y222" s="7"/>
      <c r="Z222" s="7"/>
      <c r="AA222" s="7"/>
      <c r="AB222" s="7"/>
    </row>
    <row r="223" ht="14.25" customHeight="1">
      <c r="A223" s="7"/>
      <c r="B223" s="7"/>
      <c r="C223" s="7"/>
      <c r="D223" s="303"/>
      <c r="E223" s="303"/>
      <c r="F223" s="303"/>
      <c r="G223" s="7"/>
      <c r="H223" s="7"/>
      <c r="I223" s="7"/>
      <c r="J223" s="7"/>
      <c r="K223" s="303"/>
      <c r="L223" s="303"/>
      <c r="M223" s="303"/>
      <c r="N223" s="7"/>
      <c r="O223" s="7"/>
      <c r="P223" s="7"/>
      <c r="Q223" s="7"/>
      <c r="R223" s="7"/>
      <c r="S223" s="7"/>
      <c r="T223" s="7"/>
      <c r="U223" s="7"/>
      <c r="V223" s="7"/>
      <c r="W223" s="7"/>
      <c r="X223" s="7"/>
      <c r="Y223" s="7"/>
      <c r="Z223" s="7"/>
      <c r="AA223" s="7"/>
      <c r="AB223" s="7"/>
    </row>
    <row r="224" ht="14.25" customHeight="1">
      <c r="A224" s="7"/>
      <c r="B224" s="7"/>
      <c r="C224" s="7"/>
      <c r="D224" s="303"/>
      <c r="E224" s="303"/>
      <c r="F224" s="303"/>
      <c r="G224" s="7"/>
      <c r="H224" s="7"/>
      <c r="I224" s="7"/>
      <c r="J224" s="7"/>
      <c r="K224" s="303"/>
      <c r="L224" s="303"/>
      <c r="M224" s="303"/>
      <c r="N224" s="7"/>
      <c r="O224" s="7"/>
      <c r="P224" s="7"/>
      <c r="Q224" s="7"/>
      <c r="R224" s="7"/>
      <c r="S224" s="7"/>
      <c r="T224" s="7"/>
      <c r="U224" s="7"/>
      <c r="V224" s="7"/>
      <c r="W224" s="7"/>
      <c r="X224" s="7"/>
      <c r="Y224" s="7"/>
      <c r="Z224" s="7"/>
      <c r="AA224" s="7"/>
      <c r="AB224" s="7"/>
    </row>
    <row r="225" ht="14.25" customHeight="1">
      <c r="A225" s="7"/>
      <c r="B225" s="7"/>
      <c r="C225" s="7"/>
      <c r="D225" s="303"/>
      <c r="E225" s="303"/>
      <c r="F225" s="303"/>
      <c r="G225" s="7"/>
      <c r="H225" s="7"/>
      <c r="I225" s="7"/>
      <c r="J225" s="7"/>
      <c r="K225" s="303"/>
      <c r="L225" s="303"/>
      <c r="M225" s="303"/>
      <c r="N225" s="7"/>
      <c r="O225" s="7"/>
      <c r="P225" s="7"/>
      <c r="Q225" s="7"/>
      <c r="R225" s="7"/>
      <c r="S225" s="7"/>
      <c r="T225" s="7"/>
      <c r="U225" s="7"/>
      <c r="V225" s="7"/>
      <c r="W225" s="7"/>
      <c r="X225" s="7"/>
      <c r="Y225" s="7"/>
      <c r="Z225" s="7"/>
      <c r="AA225" s="7"/>
      <c r="AB225" s="7"/>
    </row>
    <row r="226" ht="14.25" customHeight="1">
      <c r="A226" s="7"/>
      <c r="B226" s="7"/>
      <c r="C226" s="7"/>
      <c r="D226" s="303"/>
      <c r="E226" s="303"/>
      <c r="F226" s="303"/>
      <c r="G226" s="7"/>
      <c r="H226" s="7"/>
      <c r="I226" s="7"/>
      <c r="J226" s="7"/>
      <c r="K226" s="303"/>
      <c r="L226" s="303"/>
      <c r="M226" s="303"/>
      <c r="N226" s="7"/>
      <c r="O226" s="7"/>
      <c r="P226" s="7"/>
      <c r="Q226" s="7"/>
      <c r="R226" s="7"/>
      <c r="S226" s="7"/>
      <c r="T226" s="7"/>
      <c r="U226" s="7"/>
      <c r="V226" s="7"/>
      <c r="W226" s="7"/>
      <c r="X226" s="7"/>
      <c r="Y226" s="7"/>
      <c r="Z226" s="7"/>
      <c r="AA226" s="7"/>
      <c r="AB226" s="7"/>
    </row>
    <row r="227" ht="14.25" customHeight="1">
      <c r="A227" s="7"/>
      <c r="B227" s="7"/>
      <c r="C227" s="7"/>
      <c r="D227" s="303"/>
      <c r="E227" s="303"/>
      <c r="F227" s="303"/>
      <c r="G227" s="7"/>
      <c r="H227" s="7"/>
      <c r="I227" s="7"/>
      <c r="J227" s="7"/>
      <c r="K227" s="303"/>
      <c r="L227" s="303"/>
      <c r="M227" s="303"/>
      <c r="N227" s="7"/>
      <c r="O227" s="7"/>
      <c r="P227" s="7"/>
      <c r="Q227" s="7"/>
      <c r="R227" s="7"/>
      <c r="S227" s="7"/>
      <c r="T227" s="7"/>
      <c r="U227" s="7"/>
      <c r="V227" s="7"/>
      <c r="W227" s="7"/>
      <c r="X227" s="7"/>
      <c r="Y227" s="7"/>
      <c r="Z227" s="7"/>
      <c r="AA227" s="7"/>
      <c r="AB227" s="7"/>
    </row>
    <row r="228" ht="14.25" customHeight="1">
      <c r="A228" s="7"/>
      <c r="B228" s="7"/>
      <c r="C228" s="7"/>
      <c r="D228" s="303"/>
      <c r="E228" s="303"/>
      <c r="F228" s="303"/>
      <c r="G228" s="7"/>
      <c r="H228" s="7"/>
      <c r="I228" s="7"/>
      <c r="J228" s="7"/>
      <c r="K228" s="303"/>
      <c r="L228" s="303"/>
      <c r="M228" s="303"/>
      <c r="N228" s="7"/>
      <c r="O228" s="7"/>
      <c r="P228" s="7"/>
      <c r="Q228" s="7"/>
      <c r="R228" s="7"/>
      <c r="S228" s="7"/>
      <c r="T228" s="7"/>
      <c r="U228" s="7"/>
      <c r="V228" s="7"/>
      <c r="W228" s="7"/>
      <c r="X228" s="7"/>
      <c r="Y228" s="7"/>
      <c r="Z228" s="7"/>
      <c r="AA228" s="7"/>
      <c r="AB228" s="7"/>
    </row>
    <row r="229" ht="14.25" customHeight="1">
      <c r="A229" s="7"/>
      <c r="B229" s="7"/>
      <c r="C229" s="7"/>
      <c r="D229" s="303"/>
      <c r="E229" s="303"/>
      <c r="F229" s="303"/>
      <c r="G229" s="7"/>
      <c r="H229" s="7"/>
      <c r="I229" s="7"/>
      <c r="J229" s="7"/>
      <c r="K229" s="303"/>
      <c r="L229" s="303"/>
      <c r="M229" s="303"/>
      <c r="N229" s="7"/>
      <c r="O229" s="7"/>
      <c r="P229" s="7"/>
      <c r="Q229" s="7"/>
      <c r="R229" s="7"/>
      <c r="S229" s="7"/>
      <c r="T229" s="7"/>
      <c r="U229" s="7"/>
      <c r="V229" s="7"/>
      <c r="W229" s="7"/>
      <c r="X229" s="7"/>
      <c r="Y229" s="7"/>
      <c r="Z229" s="7"/>
      <c r="AA229" s="7"/>
      <c r="AB229" s="7"/>
    </row>
    <row r="230" ht="14.25" customHeight="1">
      <c r="A230" s="7"/>
      <c r="B230" s="7"/>
      <c r="C230" s="7"/>
      <c r="D230" s="303"/>
      <c r="E230" s="303"/>
      <c r="F230" s="303"/>
      <c r="G230" s="7"/>
      <c r="H230" s="7"/>
      <c r="I230" s="7"/>
      <c r="J230" s="7"/>
      <c r="K230" s="303"/>
      <c r="L230" s="303"/>
      <c r="M230" s="303"/>
      <c r="N230" s="7"/>
      <c r="O230" s="7"/>
      <c r="P230" s="7"/>
      <c r="Q230" s="7"/>
      <c r="R230" s="7"/>
      <c r="S230" s="7"/>
      <c r="T230" s="7"/>
      <c r="U230" s="7"/>
      <c r="V230" s="7"/>
      <c r="W230" s="7"/>
      <c r="X230" s="7"/>
      <c r="Y230" s="7"/>
      <c r="Z230" s="7"/>
      <c r="AA230" s="7"/>
      <c r="AB230" s="7"/>
    </row>
    <row r="231" ht="14.25" customHeight="1">
      <c r="A231" s="7"/>
      <c r="B231" s="7"/>
      <c r="C231" s="7"/>
      <c r="D231" s="303"/>
      <c r="E231" s="303"/>
      <c r="F231" s="303"/>
      <c r="G231" s="7"/>
      <c r="H231" s="7"/>
      <c r="I231" s="7"/>
      <c r="J231" s="7"/>
      <c r="K231" s="303"/>
      <c r="L231" s="303"/>
      <c r="M231" s="303"/>
      <c r="N231" s="7"/>
      <c r="O231" s="7"/>
      <c r="P231" s="7"/>
      <c r="Q231" s="7"/>
      <c r="R231" s="7"/>
      <c r="S231" s="7"/>
      <c r="T231" s="7"/>
      <c r="U231" s="7"/>
      <c r="V231" s="7"/>
      <c r="W231" s="7"/>
      <c r="X231" s="7"/>
      <c r="Y231" s="7"/>
      <c r="Z231" s="7"/>
      <c r="AA231" s="7"/>
      <c r="AB231" s="7"/>
    </row>
    <row r="232" ht="14.25" customHeight="1">
      <c r="A232" s="7"/>
      <c r="B232" s="7"/>
      <c r="C232" s="7"/>
      <c r="D232" s="303"/>
      <c r="E232" s="303"/>
      <c r="F232" s="303"/>
      <c r="G232" s="7"/>
      <c r="H232" s="7"/>
      <c r="I232" s="7"/>
      <c r="J232" s="7"/>
      <c r="K232" s="303"/>
      <c r="L232" s="303"/>
      <c r="M232" s="303"/>
      <c r="N232" s="7"/>
      <c r="O232" s="7"/>
      <c r="P232" s="7"/>
      <c r="Q232" s="7"/>
      <c r="R232" s="7"/>
      <c r="S232" s="7"/>
      <c r="T232" s="7"/>
      <c r="U232" s="7"/>
      <c r="V232" s="7"/>
      <c r="W232" s="7"/>
      <c r="X232" s="7"/>
      <c r="Y232" s="7"/>
      <c r="Z232" s="7"/>
      <c r="AA232" s="7"/>
      <c r="AB232" s="7"/>
    </row>
    <row r="233" ht="14.25" customHeight="1">
      <c r="A233" s="7"/>
      <c r="B233" s="7"/>
      <c r="C233" s="7"/>
      <c r="D233" s="303"/>
      <c r="E233" s="303"/>
      <c r="F233" s="303"/>
      <c r="G233" s="7"/>
      <c r="H233" s="7"/>
      <c r="I233" s="7"/>
      <c r="J233" s="7"/>
      <c r="K233" s="303"/>
      <c r="L233" s="303"/>
      <c r="M233" s="303"/>
      <c r="N233" s="7"/>
      <c r="O233" s="7"/>
      <c r="P233" s="7"/>
      <c r="Q233" s="7"/>
      <c r="R233" s="7"/>
      <c r="S233" s="7"/>
      <c r="T233" s="7"/>
      <c r="U233" s="7"/>
      <c r="V233" s="7"/>
      <c r="W233" s="7"/>
      <c r="X233" s="7"/>
      <c r="Y233" s="7"/>
      <c r="Z233" s="7"/>
      <c r="AA233" s="7"/>
      <c r="AB233" s="7"/>
    </row>
    <row r="234" ht="14.25" customHeight="1">
      <c r="A234" s="7"/>
      <c r="B234" s="7"/>
      <c r="C234" s="7"/>
      <c r="D234" s="303"/>
      <c r="E234" s="303"/>
      <c r="F234" s="303"/>
      <c r="G234" s="7"/>
      <c r="H234" s="7"/>
      <c r="I234" s="7"/>
      <c r="J234" s="7"/>
      <c r="K234" s="303"/>
      <c r="L234" s="303"/>
      <c r="M234" s="303"/>
      <c r="N234" s="7"/>
      <c r="O234" s="7"/>
      <c r="P234" s="7"/>
      <c r="Q234" s="7"/>
      <c r="R234" s="7"/>
      <c r="S234" s="7"/>
      <c r="T234" s="7"/>
      <c r="U234" s="7"/>
      <c r="V234" s="7"/>
      <c r="W234" s="7"/>
      <c r="X234" s="7"/>
      <c r="Y234" s="7"/>
      <c r="Z234" s="7"/>
      <c r="AA234" s="7"/>
      <c r="AB234" s="7"/>
    </row>
    <row r="235" ht="14.25" customHeight="1">
      <c r="A235" s="7"/>
      <c r="B235" s="7"/>
      <c r="C235" s="7"/>
      <c r="D235" s="303"/>
      <c r="E235" s="303"/>
      <c r="F235" s="303"/>
      <c r="G235" s="7"/>
      <c r="H235" s="7"/>
      <c r="I235" s="7"/>
      <c r="J235" s="7"/>
      <c r="K235" s="303"/>
      <c r="L235" s="303"/>
      <c r="M235" s="303"/>
      <c r="N235" s="7"/>
      <c r="O235" s="7"/>
      <c r="P235" s="7"/>
      <c r="Q235" s="7"/>
      <c r="R235" s="7"/>
      <c r="S235" s="7"/>
      <c r="T235" s="7"/>
      <c r="U235" s="7"/>
      <c r="V235" s="7"/>
      <c r="W235" s="7"/>
      <c r="X235" s="7"/>
      <c r="Y235" s="7"/>
      <c r="Z235" s="7"/>
      <c r="AA235" s="7"/>
      <c r="AB235" s="7"/>
    </row>
    <row r="236" ht="14.25" customHeight="1">
      <c r="A236" s="7"/>
      <c r="B236" s="7"/>
      <c r="C236" s="7"/>
      <c r="D236" s="303"/>
      <c r="E236" s="303"/>
      <c r="F236" s="303"/>
      <c r="G236" s="7"/>
      <c r="H236" s="7"/>
      <c r="I236" s="7"/>
      <c r="J236" s="7"/>
      <c r="K236" s="303"/>
      <c r="L236" s="303"/>
      <c r="M236" s="303"/>
      <c r="N236" s="7"/>
      <c r="O236" s="7"/>
      <c r="P236" s="7"/>
      <c r="Q236" s="7"/>
      <c r="R236" s="7"/>
      <c r="S236" s="7"/>
      <c r="T236" s="7"/>
      <c r="U236" s="7"/>
      <c r="V236" s="7"/>
      <c r="W236" s="7"/>
      <c r="X236" s="7"/>
      <c r="Y236" s="7"/>
      <c r="Z236" s="7"/>
      <c r="AA236" s="7"/>
      <c r="AB236" s="7"/>
    </row>
    <row r="237" ht="14.25" customHeight="1">
      <c r="A237" s="7"/>
      <c r="B237" s="7"/>
      <c r="C237" s="7"/>
      <c r="D237" s="303"/>
      <c r="E237" s="303"/>
      <c r="F237" s="303"/>
      <c r="G237" s="7"/>
      <c r="H237" s="7"/>
      <c r="I237" s="7"/>
      <c r="J237" s="7"/>
      <c r="K237" s="303"/>
      <c r="L237" s="303"/>
      <c r="M237" s="303"/>
      <c r="N237" s="7"/>
      <c r="O237" s="7"/>
      <c r="P237" s="7"/>
      <c r="Q237" s="7"/>
      <c r="R237" s="7"/>
      <c r="S237" s="7"/>
      <c r="T237" s="7"/>
      <c r="U237" s="7"/>
      <c r="V237" s="7"/>
      <c r="W237" s="7"/>
      <c r="X237" s="7"/>
      <c r="Y237" s="7"/>
      <c r="Z237" s="7"/>
      <c r="AA237" s="7"/>
      <c r="AB237" s="7"/>
    </row>
    <row r="238" ht="14.25" customHeight="1">
      <c r="A238" s="7"/>
      <c r="B238" s="7"/>
      <c r="C238" s="7"/>
      <c r="D238" s="303"/>
      <c r="E238" s="303"/>
      <c r="F238" s="303"/>
      <c r="G238" s="7"/>
      <c r="H238" s="7"/>
      <c r="I238" s="7"/>
      <c r="J238" s="7"/>
      <c r="K238" s="303"/>
      <c r="L238" s="303"/>
      <c r="M238" s="303"/>
      <c r="N238" s="7"/>
      <c r="O238" s="7"/>
      <c r="P238" s="7"/>
      <c r="Q238" s="7"/>
      <c r="R238" s="7"/>
      <c r="S238" s="7"/>
      <c r="T238" s="7"/>
      <c r="U238" s="7"/>
      <c r="V238" s="7"/>
      <c r="W238" s="7"/>
      <c r="X238" s="7"/>
      <c r="Y238" s="7"/>
      <c r="Z238" s="7"/>
      <c r="AA238" s="7"/>
      <c r="AB238" s="7"/>
    </row>
    <row r="239" ht="14.25" customHeight="1">
      <c r="A239" s="7"/>
      <c r="B239" s="7"/>
      <c r="C239" s="7"/>
      <c r="D239" s="303"/>
      <c r="E239" s="303"/>
      <c r="F239" s="303"/>
      <c r="G239" s="7"/>
      <c r="H239" s="7"/>
      <c r="I239" s="7"/>
      <c r="J239" s="7"/>
      <c r="K239" s="303"/>
      <c r="L239" s="303"/>
      <c r="M239" s="303"/>
      <c r="N239" s="7"/>
      <c r="O239" s="7"/>
      <c r="P239" s="7"/>
      <c r="Q239" s="7"/>
      <c r="R239" s="7"/>
      <c r="S239" s="7"/>
      <c r="T239" s="7"/>
      <c r="U239" s="7"/>
      <c r="V239" s="7"/>
      <c r="W239" s="7"/>
      <c r="X239" s="7"/>
      <c r="Y239" s="7"/>
      <c r="Z239" s="7"/>
      <c r="AA239" s="7"/>
      <c r="AB239" s="7"/>
    </row>
    <row r="240" ht="14.25" customHeight="1">
      <c r="A240" s="7"/>
      <c r="B240" s="7"/>
      <c r="C240" s="7"/>
      <c r="D240" s="303"/>
      <c r="E240" s="303"/>
      <c r="F240" s="303"/>
      <c r="G240" s="7"/>
      <c r="H240" s="7"/>
      <c r="I240" s="7"/>
      <c r="J240" s="7"/>
      <c r="K240" s="303"/>
      <c r="L240" s="303"/>
      <c r="M240" s="303"/>
      <c r="N240" s="7"/>
      <c r="O240" s="7"/>
      <c r="P240" s="7"/>
      <c r="Q240" s="7"/>
      <c r="R240" s="7"/>
      <c r="S240" s="7"/>
      <c r="T240" s="7"/>
      <c r="U240" s="7"/>
      <c r="V240" s="7"/>
      <c r="W240" s="7"/>
      <c r="X240" s="7"/>
      <c r="Y240" s="7"/>
      <c r="Z240" s="7"/>
      <c r="AA240" s="7"/>
      <c r="AB240" s="7"/>
    </row>
    <row r="241" ht="14.25" customHeight="1">
      <c r="A241" s="7"/>
      <c r="B241" s="7"/>
      <c r="C241" s="7"/>
      <c r="D241" s="303"/>
      <c r="E241" s="303"/>
      <c r="F241" s="303"/>
      <c r="G241" s="7"/>
      <c r="H241" s="7"/>
      <c r="I241" s="7"/>
      <c r="J241" s="7"/>
      <c r="K241" s="303"/>
      <c r="L241" s="303"/>
      <c r="M241" s="303"/>
      <c r="N241" s="7"/>
      <c r="O241" s="7"/>
      <c r="P241" s="7"/>
      <c r="Q241" s="7"/>
      <c r="R241" s="7"/>
      <c r="S241" s="7"/>
      <c r="T241" s="7"/>
      <c r="U241" s="7"/>
      <c r="V241" s="7"/>
      <c r="W241" s="7"/>
      <c r="X241" s="7"/>
      <c r="Y241" s="7"/>
      <c r="Z241" s="7"/>
      <c r="AA241" s="7"/>
      <c r="AB241" s="7"/>
    </row>
    <row r="242" ht="14.25" customHeight="1">
      <c r="A242" s="7"/>
      <c r="B242" s="7"/>
      <c r="C242" s="7"/>
      <c r="D242" s="303"/>
      <c r="E242" s="303"/>
      <c r="F242" s="303"/>
      <c r="G242" s="7"/>
      <c r="H242" s="7"/>
      <c r="I242" s="7"/>
      <c r="J242" s="7"/>
      <c r="K242" s="303"/>
      <c r="L242" s="303"/>
      <c r="M242" s="303"/>
      <c r="N242" s="7"/>
      <c r="O242" s="7"/>
      <c r="P242" s="7"/>
      <c r="Q242" s="7"/>
      <c r="R242" s="7"/>
      <c r="S242" s="7"/>
      <c r="T242" s="7"/>
      <c r="U242" s="7"/>
      <c r="V242" s="7"/>
      <c r="W242" s="7"/>
      <c r="X242" s="7"/>
      <c r="Y242" s="7"/>
      <c r="Z242" s="7"/>
      <c r="AA242" s="7"/>
      <c r="AB242" s="7"/>
    </row>
    <row r="243" ht="14.25" customHeight="1">
      <c r="A243" s="7"/>
      <c r="B243" s="7"/>
      <c r="C243" s="7"/>
      <c r="D243" s="303"/>
      <c r="E243" s="303"/>
      <c r="F243" s="303"/>
      <c r="G243" s="7"/>
      <c r="H243" s="7"/>
      <c r="I243" s="7"/>
      <c r="J243" s="7"/>
      <c r="K243" s="303"/>
      <c r="L243" s="303"/>
      <c r="M243" s="303"/>
      <c r="N243" s="7"/>
      <c r="O243" s="7"/>
      <c r="P243" s="7"/>
      <c r="Q243" s="7"/>
      <c r="R243" s="7"/>
      <c r="S243" s="7"/>
      <c r="T243" s="7"/>
      <c r="U243" s="7"/>
      <c r="V243" s="7"/>
      <c r="W243" s="7"/>
      <c r="X243" s="7"/>
      <c r="Y243" s="7"/>
      <c r="Z243" s="7"/>
      <c r="AA243" s="7"/>
      <c r="AB243" s="7"/>
    </row>
    <row r="244" ht="14.25" customHeight="1">
      <c r="A244" s="7"/>
      <c r="B244" s="7"/>
      <c r="C244" s="7"/>
      <c r="D244" s="303"/>
      <c r="E244" s="303"/>
      <c r="F244" s="303"/>
      <c r="G244" s="7"/>
      <c r="H244" s="7"/>
      <c r="I244" s="7"/>
      <c r="J244" s="7"/>
      <c r="K244" s="303"/>
      <c r="L244" s="303"/>
      <c r="M244" s="303"/>
      <c r="N244" s="7"/>
      <c r="O244" s="7"/>
      <c r="P244" s="7"/>
      <c r="Q244" s="7"/>
      <c r="R244" s="7"/>
      <c r="S244" s="7"/>
      <c r="T244" s="7"/>
      <c r="U244" s="7"/>
      <c r="V244" s="7"/>
      <c r="W244" s="7"/>
      <c r="X244" s="7"/>
      <c r="Y244" s="7"/>
      <c r="Z244" s="7"/>
      <c r="AA244" s="7"/>
      <c r="AB244" s="7"/>
    </row>
    <row r="245" ht="14.25" customHeight="1">
      <c r="A245" s="7"/>
      <c r="B245" s="7"/>
      <c r="C245" s="7"/>
      <c r="D245" s="303"/>
      <c r="E245" s="303"/>
      <c r="F245" s="303"/>
      <c r="G245" s="7"/>
      <c r="H245" s="7"/>
      <c r="I245" s="7"/>
      <c r="J245" s="7"/>
      <c r="K245" s="303"/>
      <c r="L245" s="303"/>
      <c r="M245" s="303"/>
      <c r="N245" s="7"/>
      <c r="O245" s="7"/>
      <c r="P245" s="7"/>
      <c r="Q245" s="7"/>
      <c r="R245" s="7"/>
      <c r="S245" s="7"/>
      <c r="T245" s="7"/>
      <c r="U245" s="7"/>
      <c r="V245" s="7"/>
      <c r="W245" s="7"/>
      <c r="X245" s="7"/>
      <c r="Y245" s="7"/>
      <c r="Z245" s="7"/>
      <c r="AA245" s="7"/>
      <c r="AB245" s="7"/>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outlineLevelCol="1"/>
  <cols>
    <col customWidth="1" min="1" max="1" width="25.0"/>
    <col customWidth="1" min="2" max="4" width="12.63"/>
    <col customWidth="1" min="5" max="5" width="13.0"/>
    <col customWidth="1" hidden="1" min="6" max="13" width="13.0" outlineLevel="1"/>
    <col customWidth="1" min="14" max="14" width="4.25"/>
    <col customWidth="1" min="15" max="15" width="14.38"/>
    <col customWidth="1" min="16" max="16" width="8.0"/>
    <col customWidth="1" hidden="1" min="17" max="17" width="11.75"/>
    <col customWidth="1" min="21" max="21" width="13.0"/>
    <col customWidth="1" hidden="1" min="22" max="29" width="13.0" outlineLevel="1"/>
    <col customWidth="1" min="30" max="30" width="3.88"/>
  </cols>
  <sheetData>
    <row r="1" ht="15.0" customHeight="1">
      <c r="A1" s="326"/>
      <c r="B1" s="327" t="s">
        <v>0</v>
      </c>
      <c r="C1" s="327" t="s">
        <v>0</v>
      </c>
      <c r="D1" s="327" t="s">
        <v>0</v>
      </c>
      <c r="E1" s="327" t="s">
        <v>0</v>
      </c>
      <c r="F1" s="327" t="s">
        <v>0</v>
      </c>
      <c r="G1" s="327" t="s">
        <v>0</v>
      </c>
      <c r="H1" s="327" t="s">
        <v>0</v>
      </c>
      <c r="I1" s="327" t="s">
        <v>0</v>
      </c>
      <c r="J1" s="327" t="s">
        <v>0</v>
      </c>
      <c r="K1" s="327" t="s">
        <v>0</v>
      </c>
      <c r="L1" s="327" t="s">
        <v>0</v>
      </c>
      <c r="M1" s="327" t="s">
        <v>0</v>
      </c>
      <c r="N1" s="326"/>
      <c r="O1" s="327" t="s">
        <v>1385</v>
      </c>
      <c r="P1" s="326"/>
      <c r="Q1" s="326"/>
      <c r="R1" s="327" t="s">
        <v>1386</v>
      </c>
      <c r="S1" s="327" t="s">
        <v>1386</v>
      </c>
      <c r="T1" s="327" t="s">
        <v>1386</v>
      </c>
      <c r="U1" s="327" t="s">
        <v>1386</v>
      </c>
      <c r="V1" s="327" t="s">
        <v>1386</v>
      </c>
      <c r="W1" s="327" t="s">
        <v>1386</v>
      </c>
      <c r="X1" s="327" t="s">
        <v>1386</v>
      </c>
      <c r="Y1" s="327" t="s">
        <v>1386</v>
      </c>
      <c r="Z1" s="327" t="s">
        <v>1386</v>
      </c>
      <c r="AA1" s="327" t="s">
        <v>1386</v>
      </c>
      <c r="AB1" s="327" t="s">
        <v>1386</v>
      </c>
      <c r="AC1" s="327" t="s">
        <v>1386</v>
      </c>
      <c r="AD1" s="7"/>
      <c r="AE1" s="327" t="s">
        <v>1387</v>
      </c>
    </row>
    <row r="2" ht="14.25" customHeight="1">
      <c r="A2" s="326" t="s">
        <v>1388</v>
      </c>
      <c r="B2" s="328">
        <v>46023.0</v>
      </c>
      <c r="C2" s="328">
        <v>46055.0</v>
      </c>
      <c r="D2" s="328">
        <v>46084.0</v>
      </c>
      <c r="E2" s="328">
        <v>46116.0</v>
      </c>
      <c r="F2" s="328">
        <v>46147.0</v>
      </c>
      <c r="G2" s="328">
        <v>46179.0</v>
      </c>
      <c r="H2" s="328">
        <v>46210.0</v>
      </c>
      <c r="I2" s="328">
        <v>46242.0</v>
      </c>
      <c r="J2" s="329">
        <f t="shared" ref="J2:M2" si="1">+I2+31</f>
        <v>46273</v>
      </c>
      <c r="K2" s="329">
        <f t="shared" si="1"/>
        <v>46304</v>
      </c>
      <c r="L2" s="329">
        <f t="shared" si="1"/>
        <v>46335</v>
      </c>
      <c r="M2" s="329">
        <f t="shared" si="1"/>
        <v>46366</v>
      </c>
      <c r="N2" s="326"/>
      <c r="O2" s="327">
        <v>2026.0</v>
      </c>
      <c r="P2" s="326"/>
      <c r="Q2" s="326"/>
      <c r="R2" s="328">
        <v>46023.0</v>
      </c>
      <c r="S2" s="328">
        <v>46055.0</v>
      </c>
      <c r="T2" s="328">
        <v>46084.0</v>
      </c>
      <c r="U2" s="328">
        <v>46116.0</v>
      </c>
      <c r="V2" s="328">
        <v>46147.0</v>
      </c>
      <c r="W2" s="328">
        <v>46179.0</v>
      </c>
      <c r="X2" s="328">
        <v>46210.0</v>
      </c>
      <c r="Y2" s="328">
        <v>46242.0</v>
      </c>
      <c r="Z2" s="329">
        <v>46273.0</v>
      </c>
      <c r="AA2" s="329">
        <v>46304.0</v>
      </c>
      <c r="AB2" s="329">
        <v>46335.0</v>
      </c>
      <c r="AC2" s="329">
        <v>46366.0</v>
      </c>
      <c r="AD2" s="326"/>
      <c r="AE2" s="327">
        <v>2026.0</v>
      </c>
    </row>
    <row r="3" ht="14.25" customHeight="1">
      <c r="A3" s="330" t="s">
        <v>1389</v>
      </c>
      <c r="B3" s="331">
        <f>'REAL-BDGT2026'!I40</f>
        <v>2033358817</v>
      </c>
      <c r="C3" s="331">
        <f>'REAL-BDGT2026'!J40</f>
        <v>1982638579</v>
      </c>
      <c r="D3" s="331">
        <f>'REAL-BDGT2026'!K40</f>
        <v>2145968560</v>
      </c>
      <c r="E3" s="331">
        <f>'REAL-BDGT2026'!L40</f>
        <v>2238128327</v>
      </c>
      <c r="F3" s="331">
        <f>'REAL-BDGT2026'!M40</f>
        <v>0</v>
      </c>
      <c r="G3" s="331">
        <f>'REAL-BDGT2026'!N40</f>
        <v>0</v>
      </c>
      <c r="H3" s="331">
        <f>'REAL-BDGT2026'!O40</f>
        <v>0</v>
      </c>
      <c r="I3" s="331">
        <f>'REAL-BDGT2026'!P40</f>
        <v>0</v>
      </c>
      <c r="J3" s="331">
        <f>'REAL-BDGT2026'!Q40</f>
        <v>0</v>
      </c>
      <c r="K3" s="331">
        <f>'REAL-BDGT2026'!R40</f>
        <v>0</v>
      </c>
      <c r="L3" s="331">
        <f>'REAL-BDGT2026'!S40</f>
        <v>0</v>
      </c>
      <c r="M3" s="331">
        <f>'REAL-BDGT2026'!T40</f>
        <v>0</v>
      </c>
      <c r="N3" s="7"/>
      <c r="O3" s="331">
        <f t="shared" ref="O3:O6" si="2">SUM(B3:D3)</f>
        <v>6161965956</v>
      </c>
      <c r="P3" s="7"/>
      <c r="Q3" s="7"/>
      <c r="R3" s="331">
        <v>1.957656134698197E9</v>
      </c>
      <c r="S3" s="331">
        <v>1.83216590711041E9</v>
      </c>
      <c r="T3" s="331">
        <v>1.989794609530836E9</v>
      </c>
      <c r="U3" s="331">
        <v>2.093036782478103E9</v>
      </c>
      <c r="V3" s="331">
        <v>2.212359534154604E9</v>
      </c>
      <c r="W3" s="331">
        <v>2.223216376383032E9</v>
      </c>
      <c r="X3" s="331">
        <v>2.456770512089608E9</v>
      </c>
      <c r="Y3" s="331">
        <v>2.426548871778958E9</v>
      </c>
      <c r="Z3" s="331">
        <v>2.549424401189842E9</v>
      </c>
      <c r="AA3" s="331">
        <v>2.67123551685492E9</v>
      </c>
      <c r="AB3" s="331">
        <v>2.613005974318159E9</v>
      </c>
      <c r="AC3" s="331">
        <v>2.697010488486026E9</v>
      </c>
      <c r="AD3" s="7"/>
      <c r="AE3" s="331">
        <f t="shared" ref="AE3:AE6" si="3">SUM(R3:T3)</f>
        <v>5779616651</v>
      </c>
    </row>
    <row r="4" ht="14.25" customHeight="1">
      <c r="A4" s="332" t="s">
        <v>1390</v>
      </c>
      <c r="B4" s="333">
        <f>'REAL-BDGT2026'!I41</f>
        <v>-120619546.9</v>
      </c>
      <c r="C4" s="333">
        <f>'REAL-BDGT2026'!J41</f>
        <v>-124410617</v>
      </c>
      <c r="D4" s="333">
        <f>'REAL-BDGT2026'!K41</f>
        <v>-125984748.1</v>
      </c>
      <c r="E4" s="333">
        <f>'REAL-BDGT2026'!L41</f>
        <v>-110823384.1</v>
      </c>
      <c r="F4" s="333">
        <f>'REAL-BDGT2026'!M41</f>
        <v>0</v>
      </c>
      <c r="G4" s="333">
        <f>'REAL-BDGT2026'!N41</f>
        <v>0</v>
      </c>
      <c r="H4" s="333">
        <f>'REAL-BDGT2026'!O41</f>
        <v>0</v>
      </c>
      <c r="I4" s="333">
        <f>'REAL-BDGT2026'!P41</f>
        <v>0</v>
      </c>
      <c r="J4" s="333">
        <f>'REAL-BDGT2026'!Q41</f>
        <v>0</v>
      </c>
      <c r="K4" s="333">
        <f>'REAL-BDGT2026'!R41</f>
        <v>0</v>
      </c>
      <c r="L4" s="333">
        <f>'REAL-BDGT2026'!S41</f>
        <v>0</v>
      </c>
      <c r="M4" s="333">
        <f>'REAL-BDGT2026'!T41</f>
        <v>0</v>
      </c>
      <c r="N4" s="7"/>
      <c r="O4" s="333">
        <f t="shared" si="2"/>
        <v>-371014912</v>
      </c>
      <c r="P4" s="7"/>
      <c r="Q4" s="7"/>
      <c r="R4" s="333">
        <v>-9.788280673490988E7</v>
      </c>
      <c r="S4" s="333">
        <v>-9.160829535552053E7</v>
      </c>
      <c r="T4" s="333">
        <v>-9.948973047654182E7</v>
      </c>
      <c r="U4" s="333">
        <v>-1.046518391239051E8</v>
      </c>
      <c r="V4" s="333">
        <v>-1.106179767077302E8</v>
      </c>
      <c r="W4" s="333">
        <v>-1.111608188191516E8</v>
      </c>
      <c r="X4" s="333">
        <v>-1.228385256044804E8</v>
      </c>
      <c r="Y4" s="333">
        <v>-1.213274435889479E8</v>
      </c>
      <c r="Z4" s="333">
        <v>-1.274712200594921E8</v>
      </c>
      <c r="AA4" s="333">
        <v>-1.33561775842746E8</v>
      </c>
      <c r="AB4" s="333">
        <v>-1.306502987159079E8</v>
      </c>
      <c r="AC4" s="333">
        <v>-1.348505244243013E8</v>
      </c>
      <c r="AD4" s="7"/>
      <c r="AE4" s="333">
        <f t="shared" si="3"/>
        <v>-288980832.6</v>
      </c>
    </row>
    <row r="5" ht="14.25" customHeight="1">
      <c r="A5" s="330" t="s">
        <v>52</v>
      </c>
      <c r="B5" s="334">
        <f>-SUMIF('REAL-BDGT2026'!$G$43:$G$191,$A5,'REAL-BDGT2026'!I$43:I$191)</f>
        <v>-535655956.5</v>
      </c>
      <c r="C5" s="334">
        <f>-SUMIF('REAL-BDGT2026'!$G$43:$G$191,$A5,'REAL-BDGT2026'!J$43:J$191)</f>
        <v>-516282516.1</v>
      </c>
      <c r="D5" s="334">
        <f>-SUMIF('REAL-BDGT2026'!$G$43:$G$191,$A5,'REAL-BDGT2026'!K$43:K$191)</f>
        <v>-554696607.9</v>
      </c>
      <c r="E5" s="334">
        <f>-SUMIF('REAL-BDGT2026'!$G$43:$G$191,$A5,'REAL-BDGT2026'!L$43:L$191)</f>
        <v>-530113780.2</v>
      </c>
      <c r="F5" s="334">
        <f>-SUMIF('REAL-BDGT2026'!$G$43:$G$191,$A5,'REAL-BDGT2026'!M$43:M$191)</f>
        <v>0</v>
      </c>
      <c r="G5" s="334">
        <f>-SUMIF('REAL-BDGT2026'!$G$43:$G$191,$A5,'REAL-BDGT2026'!N$43:N$191)</f>
        <v>0</v>
      </c>
      <c r="H5" s="334">
        <f>-SUMIF('REAL-BDGT2026'!$G$43:$G$191,$A5,'REAL-BDGT2026'!O$43:O$191)</f>
        <v>0</v>
      </c>
      <c r="I5" s="334">
        <f>-SUMIF('REAL-BDGT2026'!$G$43:$G$191,$A5,'REAL-BDGT2026'!P$43:P$191)</f>
        <v>0</v>
      </c>
      <c r="J5" s="334">
        <f>-SUMIF('REAL-BDGT2026'!$G$43:$G$191,$A5,'REAL-BDGT2026'!Q$43:Q$191)</f>
        <v>0</v>
      </c>
      <c r="K5" s="334">
        <f>-SUMIF('REAL-BDGT2026'!$G$43:$G$191,$A5,'REAL-BDGT2026'!R$43:R$191)</f>
        <v>0</v>
      </c>
      <c r="L5" s="334">
        <f>-SUMIF('REAL-BDGT2026'!$G$43:$G$191,$A5,'REAL-BDGT2026'!S$43:S$191)</f>
        <v>0</v>
      </c>
      <c r="M5" s="334">
        <f>-SUMIF('REAL-BDGT2026'!$G$43:$G$191,$A5,'REAL-BDGT2026'!T$43:T$191)</f>
        <v>0</v>
      </c>
      <c r="N5" s="7"/>
      <c r="O5" s="334">
        <f t="shared" si="2"/>
        <v>-1606635081</v>
      </c>
      <c r="P5" s="7"/>
      <c r="Q5" s="7"/>
      <c r="R5" s="334">
        <v>-5.957298394988295E8</v>
      </c>
      <c r="S5" s="334">
        <v>-5.54378480156614E8</v>
      </c>
      <c r="T5" s="334">
        <v>-5.839341565499197E8</v>
      </c>
      <c r="U5" s="334">
        <v>-6.267536207477015E8</v>
      </c>
      <c r="V5" s="334">
        <v>-6.513464026466599E8</v>
      </c>
      <c r="W5" s="334">
        <v>-6.655538696452268E8</v>
      </c>
      <c r="X5" s="334">
        <v>-9.6075564676843E8</v>
      </c>
      <c r="Y5" s="334">
        <v>-7.326215846502895E8</v>
      </c>
      <c r="Z5" s="334">
        <v>-7.731705483628634E8</v>
      </c>
      <c r="AA5" s="334">
        <v>-8.244661470168004E8</v>
      </c>
      <c r="AB5" s="334">
        <v>-8.207217643987714E8</v>
      </c>
      <c r="AC5" s="334">
        <v>-8.526961757732183E8</v>
      </c>
      <c r="AD5" s="7"/>
      <c r="AE5" s="334">
        <f t="shared" si="3"/>
        <v>-1734042476</v>
      </c>
    </row>
    <row r="6" ht="14.25" customHeight="1">
      <c r="A6" s="326" t="s">
        <v>1391</v>
      </c>
      <c r="B6" s="335">
        <f t="shared" ref="B6:M6" si="4">SUM(B3:B5)</f>
        <v>1377083313</v>
      </c>
      <c r="C6" s="335">
        <f t="shared" si="4"/>
        <v>1341945446</v>
      </c>
      <c r="D6" s="335">
        <f t="shared" si="4"/>
        <v>1465287204</v>
      </c>
      <c r="E6" s="335">
        <f t="shared" si="4"/>
        <v>1597191163</v>
      </c>
      <c r="F6" s="335">
        <f t="shared" si="4"/>
        <v>0</v>
      </c>
      <c r="G6" s="335">
        <f t="shared" si="4"/>
        <v>0</v>
      </c>
      <c r="H6" s="335">
        <f t="shared" si="4"/>
        <v>0</v>
      </c>
      <c r="I6" s="335">
        <f t="shared" si="4"/>
        <v>0</v>
      </c>
      <c r="J6" s="335">
        <f t="shared" si="4"/>
        <v>0</v>
      </c>
      <c r="K6" s="335">
        <f t="shared" si="4"/>
        <v>0</v>
      </c>
      <c r="L6" s="335">
        <f t="shared" si="4"/>
        <v>0</v>
      </c>
      <c r="M6" s="335">
        <f t="shared" si="4"/>
        <v>0</v>
      </c>
      <c r="N6" s="7"/>
      <c r="O6" s="335">
        <f t="shared" si="2"/>
        <v>4184315963</v>
      </c>
      <c r="P6" s="7"/>
      <c r="Q6" s="7"/>
      <c r="R6" s="335">
        <v>1.264043488464458E9</v>
      </c>
      <c r="S6" s="335">
        <v>1.186179131598276E9</v>
      </c>
      <c r="T6" s="335">
        <v>1.306370722504375E9</v>
      </c>
      <c r="U6" s="335">
        <v>1.361631322606496E9</v>
      </c>
      <c r="V6" s="335">
        <v>1.450395154800214E9</v>
      </c>
      <c r="W6" s="335">
        <v>1.446501687918654E9</v>
      </c>
      <c r="X6" s="335">
        <v>1.373176339716697E9</v>
      </c>
      <c r="Y6" s="335">
        <v>1.572599843539721E9</v>
      </c>
      <c r="Z6" s="335">
        <v>1.648782632767487E9</v>
      </c>
      <c r="AA6" s="335">
        <v>1.713207593995374E9</v>
      </c>
      <c r="AB6" s="335">
        <v>1.661633911203479E9</v>
      </c>
      <c r="AC6" s="335">
        <v>1.709463788288507E9</v>
      </c>
      <c r="AD6" s="7"/>
      <c r="AE6" s="335">
        <f t="shared" si="3"/>
        <v>3756593343</v>
      </c>
    </row>
    <row r="7" ht="14.25" customHeight="1">
      <c r="A7" s="332" t="s">
        <v>247</v>
      </c>
      <c r="B7" s="336">
        <f t="shared" ref="B7:M7" si="5">B6/B3</f>
        <v>0.6772456007</v>
      </c>
      <c r="C7" s="336">
        <f t="shared" si="5"/>
        <v>0.6768482467</v>
      </c>
      <c r="D7" s="336">
        <f t="shared" si="5"/>
        <v>0.6828092597</v>
      </c>
      <c r="E7" s="336">
        <f t="shared" si="5"/>
        <v>0.713628054</v>
      </c>
      <c r="F7" s="336" t="str">
        <f t="shared" si="5"/>
        <v>#DIV/0!</v>
      </c>
      <c r="G7" s="336" t="str">
        <f t="shared" si="5"/>
        <v>#DIV/0!</v>
      </c>
      <c r="H7" s="336" t="str">
        <f t="shared" si="5"/>
        <v>#DIV/0!</v>
      </c>
      <c r="I7" s="336" t="str">
        <f t="shared" si="5"/>
        <v>#DIV/0!</v>
      </c>
      <c r="J7" s="336" t="str">
        <f t="shared" si="5"/>
        <v>#DIV/0!</v>
      </c>
      <c r="K7" s="336" t="str">
        <f t="shared" si="5"/>
        <v>#DIV/0!</v>
      </c>
      <c r="L7" s="336" t="str">
        <f t="shared" si="5"/>
        <v>#DIV/0!</v>
      </c>
      <c r="M7" s="336" t="str">
        <f t="shared" si="5"/>
        <v>#DIV/0!</v>
      </c>
      <c r="N7" s="7"/>
      <c r="O7" s="336">
        <f>O6/O3</f>
        <v>0.6790553524</v>
      </c>
      <c r="P7" s="7"/>
      <c r="Q7" s="7"/>
      <c r="R7" s="336">
        <f t="shared" ref="R7:S7" si="6">R6/R3</f>
        <v>0.6456922981</v>
      </c>
      <c r="S7" s="336">
        <f t="shared" si="6"/>
        <v>0.6474190612</v>
      </c>
      <c r="T7" s="336">
        <v>0.6565354616235478</v>
      </c>
      <c r="U7" s="336">
        <v>0.6505529831130625</v>
      </c>
      <c r="V7" s="336">
        <v>0.6555874542129723</v>
      </c>
      <c r="W7" s="336">
        <v>0.650634685532489</v>
      </c>
      <c r="X7" s="336">
        <v>0.5589355346620232</v>
      </c>
      <c r="Y7" s="336">
        <v>0.6480808451167983</v>
      </c>
      <c r="Z7" s="336">
        <v>0.6467274071739421</v>
      </c>
      <c r="AA7" s="336">
        <v>0.6413540038627832</v>
      </c>
      <c r="AB7" s="336">
        <v>0.6359089598473147</v>
      </c>
      <c r="AC7" s="336">
        <v>0.6338365370051336</v>
      </c>
      <c r="AD7" s="7"/>
      <c r="AE7" s="336">
        <f>AE6/AE3</f>
        <v>0.6499727524</v>
      </c>
    </row>
    <row r="8" ht="14.25" customHeight="1">
      <c r="A8" s="330" t="s">
        <v>152</v>
      </c>
      <c r="B8" s="331">
        <f>-SUMIF('REAL-BDGT2026'!$G$43:$G$191,$A8,'REAL-BDGT2026'!I$43:I$191)</f>
        <v>-148329380.6</v>
      </c>
      <c r="C8" s="331">
        <f>-SUMIF('REAL-BDGT2026'!$G$43:$G$191,$A8,'REAL-BDGT2026'!J$43:J$191)</f>
        <v>-145847724.3</v>
      </c>
      <c r="D8" s="331">
        <f>-SUMIF('REAL-BDGT2026'!$G$43:$G$191,$A8,'REAL-BDGT2026'!K$43:K$191)</f>
        <v>-318171622.4</v>
      </c>
      <c r="E8" s="331">
        <f>-SUMIF('REAL-BDGT2026'!$G$43:$G$191,$A8,'REAL-BDGT2026'!L$43:L$191)</f>
        <v>-149270632.8</v>
      </c>
      <c r="F8" s="331">
        <f>-SUMIF('REAL-BDGT2026'!$G$43:$G$191,$A8,'REAL-BDGT2026'!M$43:M$191)</f>
        <v>0</v>
      </c>
      <c r="G8" s="331">
        <f>-SUMIF('REAL-BDGT2026'!$G$43:$G$191,$A8,'REAL-BDGT2026'!N$43:N$191)</f>
        <v>0</v>
      </c>
      <c r="H8" s="331">
        <f>-SUMIF('REAL-BDGT2026'!$G$43:$G$191,$A8,'REAL-BDGT2026'!O$43:O$191)</f>
        <v>0</v>
      </c>
      <c r="I8" s="331">
        <f>-SUMIF('REAL-BDGT2026'!$G$43:$G$191,$A8,'REAL-BDGT2026'!P$43:P$191)</f>
        <v>0</v>
      </c>
      <c r="J8" s="331">
        <f>-SUMIF('REAL-BDGT2026'!$G$43:$G$191,$A8,'REAL-BDGT2026'!Q$43:Q$191)</f>
        <v>0</v>
      </c>
      <c r="K8" s="331">
        <f>-SUMIF('REAL-BDGT2026'!$G$43:$G$191,$A8,'REAL-BDGT2026'!R$43:R$191)</f>
        <v>0</v>
      </c>
      <c r="L8" s="331">
        <f>-SUMIF('REAL-BDGT2026'!$G$43:$G$191,$A8,'REAL-BDGT2026'!S$43:S$191)</f>
        <v>0</v>
      </c>
      <c r="M8" s="331">
        <f>-SUMIF('REAL-BDGT2026'!$G$43:$G$191,$A8,'REAL-BDGT2026'!T$43:T$191)</f>
        <v>0</v>
      </c>
      <c r="N8" s="7"/>
      <c r="O8" s="331">
        <f t="shared" ref="O8:O15" si="7">SUM(B8:D8)</f>
        <v>-612348727.3</v>
      </c>
      <c r="P8" s="7"/>
      <c r="Q8" s="7"/>
      <c r="R8" s="331">
        <v>-1.759265902855539E8</v>
      </c>
      <c r="S8" s="331">
        <v>-1.800919162768039E8</v>
      </c>
      <c r="T8" s="331">
        <v>-1.802597221579226E8</v>
      </c>
      <c r="U8" s="331">
        <v>-1.920948296429072E8</v>
      </c>
      <c r="V8" s="331">
        <v>-1.916216074567828E8</v>
      </c>
      <c r="W8" s="331">
        <v>-1.917970784378665E8</v>
      </c>
      <c r="X8" s="331">
        <v>-1.999530491419798E8</v>
      </c>
      <c r="Y8" s="331">
        <v>-2.001338237334667E8</v>
      </c>
      <c r="Z8" s="331">
        <v>-2.00317309943826E8</v>
      </c>
      <c r="AA8" s="331">
        <v>-2.078392432099914E8</v>
      </c>
      <c r="AB8" s="331">
        <v>-2.080282752910588E8</v>
      </c>
      <c r="AC8" s="331">
        <v>-2.082201428533422E8</v>
      </c>
      <c r="AD8" s="7"/>
      <c r="AE8" s="331">
        <f t="shared" ref="AE8:AE15" si="8">SUM(R8:T8)</f>
        <v>-536278228.7</v>
      </c>
    </row>
    <row r="9" ht="14.25" customHeight="1">
      <c r="A9" s="332" t="s">
        <v>185</v>
      </c>
      <c r="B9" s="333">
        <f>-SUMIF('REAL-BDGT2026'!$G$43:$G$191,$A9,'REAL-BDGT2026'!I$43:I$191)</f>
        <v>-9170663.22</v>
      </c>
      <c r="C9" s="333">
        <f>-SUMIF('REAL-BDGT2026'!$G$43:$G$191,$A9,'REAL-BDGT2026'!J$43:J$191)</f>
        <v>-10435567.25</v>
      </c>
      <c r="D9" s="333">
        <f>-SUMIF('REAL-BDGT2026'!$G$43:$G$191,$A9,'REAL-BDGT2026'!K$43:K$191)</f>
        <v>-9906459</v>
      </c>
      <c r="E9" s="333">
        <f>-SUMIF('REAL-BDGT2026'!$G$43:$G$191,$A9,'REAL-BDGT2026'!L$43:L$191)</f>
        <v>-10670610.18</v>
      </c>
      <c r="F9" s="333">
        <f>-SUMIF('REAL-BDGT2026'!$G$43:$G$191,$A9,'REAL-BDGT2026'!M$43:M$191)</f>
        <v>0</v>
      </c>
      <c r="G9" s="333">
        <f>-SUMIF('REAL-BDGT2026'!$G$43:$G$191,$A9,'REAL-BDGT2026'!N$43:N$191)</f>
        <v>0</v>
      </c>
      <c r="H9" s="333">
        <f>-SUMIF('REAL-BDGT2026'!$G$43:$G$191,$A9,'REAL-BDGT2026'!O$43:O$191)</f>
        <v>0</v>
      </c>
      <c r="I9" s="333">
        <f>-SUMIF('REAL-BDGT2026'!$G$43:$G$191,$A9,'REAL-BDGT2026'!P$43:P$191)</f>
        <v>0</v>
      </c>
      <c r="J9" s="333">
        <f>-SUMIF('REAL-BDGT2026'!$G$43:$G$191,$A9,'REAL-BDGT2026'!Q$43:Q$191)</f>
        <v>0</v>
      </c>
      <c r="K9" s="333">
        <f>-SUMIF('REAL-BDGT2026'!$G$43:$G$191,$A9,'REAL-BDGT2026'!R$43:R$191)</f>
        <v>0</v>
      </c>
      <c r="L9" s="333">
        <f>-SUMIF('REAL-BDGT2026'!$G$43:$G$191,$A9,'REAL-BDGT2026'!S$43:S$191)</f>
        <v>0</v>
      </c>
      <c r="M9" s="333">
        <f>-SUMIF('REAL-BDGT2026'!$G$43:$G$191,$A9,'REAL-BDGT2026'!T$43:T$191)</f>
        <v>0</v>
      </c>
      <c r="N9" s="7"/>
      <c r="O9" s="333">
        <f t="shared" si="7"/>
        <v>-29512689.47</v>
      </c>
      <c r="P9" s="7"/>
      <c r="Q9" s="7"/>
      <c r="R9" s="333">
        <v>-1.25820764488E7</v>
      </c>
      <c r="S9" s="333">
        <v>-1.24004460988E7</v>
      </c>
      <c r="T9" s="333">
        <v>-1.062544971655E7</v>
      </c>
      <c r="U9" s="333">
        <v>-1.279427049248195E7</v>
      </c>
      <c r="V9" s="333">
        <v>-1.432591612031302E7</v>
      </c>
      <c r="W9" s="333">
        <v>-1.13093753434258E7</v>
      </c>
      <c r="X9" s="333">
        <v>-1.396092919290239E7</v>
      </c>
      <c r="Y9" s="333">
        <v>-1.1671444916807E7</v>
      </c>
      <c r="Z9" s="333">
        <v>-1.184570267147074E7</v>
      </c>
      <c r="AA9" s="333">
        <v>-1.304541242176571E7</v>
      </c>
      <c r="AB9" s="333">
        <v>-1.222529766660556E7</v>
      </c>
      <c r="AC9" s="333">
        <v>-1.838844980332894E7</v>
      </c>
      <c r="AD9" s="7"/>
      <c r="AE9" s="333">
        <f t="shared" si="8"/>
        <v>-35607972.26</v>
      </c>
    </row>
    <row r="10" ht="14.25" customHeight="1">
      <c r="A10" s="330" t="s">
        <v>1392</v>
      </c>
      <c r="B10" s="331">
        <f>-SUMIF('REAL-BDGT2026'!$G$43:$G$169,$A10,'REAL-BDGT2026'!I$43:I$169)</f>
        <v>-39780585.62</v>
      </c>
      <c r="C10" s="331">
        <f>-SUMIF('REAL-BDGT2026'!$G$43:$G$169,$A10,'REAL-BDGT2026'!J$43:J$169)</f>
        <v>-38581587.62</v>
      </c>
      <c r="D10" s="331">
        <f>-SUMIF('REAL-BDGT2026'!$G$43:$G$169,$A10,'REAL-BDGT2026'!K$43:K$169)</f>
        <v>-44021551.62</v>
      </c>
      <c r="E10" s="331">
        <f>-SUMIF('REAL-BDGT2026'!$G$43:$G$169,$A10,'REAL-BDGT2026'!L$43:L$169)</f>
        <v>-51875614.45</v>
      </c>
      <c r="F10" s="331">
        <f>-SUMIF('REAL-BDGT2026'!$G$43:$G$169,$A10,'REAL-BDGT2026'!M$43:M$169)</f>
        <v>0</v>
      </c>
      <c r="G10" s="331">
        <f>-SUMIF('REAL-BDGT2026'!$G$43:$G$169,$A10,'REAL-BDGT2026'!N$43:N$169)</f>
        <v>0</v>
      </c>
      <c r="H10" s="331">
        <f>-SUMIF('REAL-BDGT2026'!$G$43:$G$169,$A10,'REAL-BDGT2026'!O$43:O$169)</f>
        <v>0</v>
      </c>
      <c r="I10" s="331">
        <f>-SUMIF('REAL-BDGT2026'!$G$43:$G$169,$A10,'REAL-BDGT2026'!P$43:P$169)</f>
        <v>0</v>
      </c>
      <c r="J10" s="331">
        <f>-SUMIF('REAL-BDGT2026'!$G$43:$G$169,$A10,'REAL-BDGT2026'!Q$43:Q$169)</f>
        <v>0</v>
      </c>
      <c r="K10" s="331">
        <f>-SUMIF('REAL-BDGT2026'!$G$43:$G$169,$A10,'REAL-BDGT2026'!R$43:R$169)</f>
        <v>0</v>
      </c>
      <c r="L10" s="331">
        <f>-SUMIF('REAL-BDGT2026'!$G$43:$G$169,$A10,'REAL-BDGT2026'!S$43:S$169)</f>
        <v>0</v>
      </c>
      <c r="M10" s="331">
        <f>-SUMIF('REAL-BDGT2026'!$G$43:$G$169,$A10,'REAL-BDGT2026'!T$43:T$169)</f>
        <v>0</v>
      </c>
      <c r="N10" s="7"/>
      <c r="O10" s="331">
        <f t="shared" si="7"/>
        <v>-122383724.9</v>
      </c>
      <c r="P10" s="7"/>
      <c r="Q10" s="7"/>
      <c r="R10" s="331">
        <v>-4.501772517701929E7</v>
      </c>
      <c r="S10" s="331">
        <v>-4.382779092701929E7</v>
      </c>
      <c r="T10" s="331">
        <v>-4.006481017701929E7</v>
      </c>
      <c r="U10" s="331">
        <v>-4.699002851196547E7</v>
      </c>
      <c r="V10" s="331">
        <v>-4.171530356234046E7</v>
      </c>
      <c r="W10" s="331">
        <v>-4.172485583429608E7</v>
      </c>
      <c r="X10" s="331">
        <v>-3.052330207782064E7</v>
      </c>
      <c r="Y10" s="331">
        <v>-3.384143056311816E7</v>
      </c>
      <c r="Z10" s="331">
        <v>-3.088205684898839E7</v>
      </c>
      <c r="AA10" s="331">
        <v>-3.19175569163696E7</v>
      </c>
      <c r="AB10" s="331">
        <v>-3.169916943106931E7</v>
      </c>
      <c r="AC10" s="331">
        <v>-3.170961429849453E7</v>
      </c>
      <c r="AD10" s="7"/>
      <c r="AE10" s="331">
        <f t="shared" si="8"/>
        <v>-128910326.3</v>
      </c>
    </row>
    <row r="11" ht="14.25" customHeight="1">
      <c r="A11" s="332" t="s">
        <v>1393</v>
      </c>
      <c r="B11" s="333">
        <f>-SUMIF('REAL-BDGT2026'!$G$43:$G$169,$A11,'REAL-BDGT2026'!I$43:I$140)</f>
        <v>0</v>
      </c>
      <c r="C11" s="333">
        <f>-SUMIF('REAL-BDGT2026'!$G$43:$G$169,$A11,'REAL-BDGT2026'!J$43:J$140)</f>
        <v>0</v>
      </c>
      <c r="D11" s="333">
        <f>-SUMIF('REAL-BDGT2026'!$G$43:$G$191,$A11,'REAL-BDGT2026'!K$43:K$191)</f>
        <v>0</v>
      </c>
      <c r="E11" s="333">
        <f>-SUMIF('REAL-BDGT2026'!$G$43:$G$191,$A11,'REAL-BDGT2026'!L$43:L$191)</f>
        <v>0</v>
      </c>
      <c r="F11" s="333">
        <f>-SUMIF('REAL-BDGT2026'!$G$43:$G$191,$A11,'REAL-BDGT2026'!M$43:M$191)</f>
        <v>0</v>
      </c>
      <c r="G11" s="333">
        <f>-SUMIF('REAL-BDGT2026'!$G$43:$G$191,$A11,'REAL-BDGT2026'!N$43:N$191)</f>
        <v>0</v>
      </c>
      <c r="H11" s="333">
        <f>-SUMIF('REAL-BDGT2026'!$G$43:$G$191,$A11,'REAL-BDGT2026'!O$43:O$191)</f>
        <v>0</v>
      </c>
      <c r="I11" s="333">
        <f>-SUMIF('REAL-BDGT2026'!$G$43:$G$191,$A11,'REAL-BDGT2026'!P$43:P$191)</f>
        <v>0</v>
      </c>
      <c r="J11" s="333">
        <f>-SUMIF('REAL-BDGT2026'!$G$43:$G$191,$A11,'REAL-BDGT2026'!Q$43:Q$191)</f>
        <v>0</v>
      </c>
      <c r="K11" s="333">
        <f>-SUMIF('REAL-BDGT2026'!$G$43:$G$191,$A11,'REAL-BDGT2026'!R$43:R$191)</f>
        <v>0</v>
      </c>
      <c r="L11" s="333">
        <f>-SUMIF('REAL-BDGT2026'!$G$43:$G$191,$A11,'REAL-BDGT2026'!S$43:S$191)</f>
        <v>0</v>
      </c>
      <c r="M11" s="333">
        <f>-SUMIF('REAL-BDGT2026'!$G$43:$G$191,$A11,'REAL-BDGT2026'!T$43:T$191)</f>
        <v>0</v>
      </c>
      <c r="N11" s="7"/>
      <c r="O11" s="333">
        <f t="shared" si="7"/>
        <v>0</v>
      </c>
      <c r="P11" s="7"/>
      <c r="Q11" s="7"/>
      <c r="R11" s="333">
        <v>0.0</v>
      </c>
      <c r="S11" s="333">
        <v>0.0</v>
      </c>
      <c r="T11" s="333">
        <v>0.0</v>
      </c>
      <c r="U11" s="333">
        <v>0.0</v>
      </c>
      <c r="V11" s="333">
        <v>0.0</v>
      </c>
      <c r="W11" s="333">
        <v>0.0</v>
      </c>
      <c r="X11" s="333">
        <v>0.0</v>
      </c>
      <c r="Y11" s="333">
        <v>0.0</v>
      </c>
      <c r="Z11" s="333">
        <v>0.0</v>
      </c>
      <c r="AA11" s="333">
        <v>0.0</v>
      </c>
      <c r="AB11" s="333">
        <v>0.0</v>
      </c>
      <c r="AC11" s="333">
        <v>0.0</v>
      </c>
      <c r="AD11" s="7"/>
      <c r="AE11" s="333">
        <f t="shared" si="8"/>
        <v>0</v>
      </c>
    </row>
    <row r="12" ht="14.25" customHeight="1">
      <c r="A12" s="330" t="s">
        <v>1394</v>
      </c>
      <c r="B12" s="331">
        <f>-SUMIF('REAL-BDGT2026'!$G$43:$G$169,$A12,'REAL-BDGT2026'!I$43:I$140)</f>
        <v>0</v>
      </c>
      <c r="C12" s="331">
        <f>-SUMIF('REAL-BDGT2026'!$G$43:$G$169,$A12,'REAL-BDGT2026'!J$43:J$140)</f>
        <v>0</v>
      </c>
      <c r="D12" s="331">
        <f>-SUMIF('REAL-BDGT2026'!$G$43:$G$191,$A12,'REAL-BDGT2026'!K$43:K$191)</f>
        <v>0</v>
      </c>
      <c r="E12" s="331">
        <f>-SUMIF('REAL-BDGT2026'!$G$43:$G$191,$A12,'REAL-BDGT2026'!L$43:L$191)</f>
        <v>0</v>
      </c>
      <c r="F12" s="331">
        <f>-SUMIF('REAL-BDGT2026'!$G$43:$G$191,$A12,'REAL-BDGT2026'!M$43:M$191)</f>
        <v>0</v>
      </c>
      <c r="G12" s="331">
        <f>-SUMIF('REAL-BDGT2026'!$G$43:$G$191,$A12,'REAL-BDGT2026'!N$43:N$191)</f>
        <v>0</v>
      </c>
      <c r="H12" s="331">
        <f>-SUMIF('REAL-BDGT2026'!$G$43:$G$191,$A12,'REAL-BDGT2026'!O$43:O$191)</f>
        <v>0</v>
      </c>
      <c r="I12" s="331">
        <f>-SUMIF('REAL-BDGT2026'!$G$43:$G$191,$A12,'REAL-BDGT2026'!P$43:P$191)</f>
        <v>0</v>
      </c>
      <c r="J12" s="331">
        <f>-SUMIF('REAL-BDGT2026'!$G$43:$G$191,$A12,'REAL-BDGT2026'!Q$43:Q$191)</f>
        <v>0</v>
      </c>
      <c r="K12" s="331">
        <f>-SUMIF('REAL-BDGT2026'!$G$43:$G$191,$A12,'REAL-BDGT2026'!R$43:R$191)</f>
        <v>0</v>
      </c>
      <c r="L12" s="331">
        <f>-SUMIF('REAL-BDGT2026'!$G$43:$G$191,$A12,'REAL-BDGT2026'!S$43:S$191)</f>
        <v>0</v>
      </c>
      <c r="M12" s="331">
        <f>-SUMIF('REAL-BDGT2026'!$G$43:$G$191,$A12,'REAL-BDGT2026'!T$43:T$191)</f>
        <v>0</v>
      </c>
      <c r="N12" s="7"/>
      <c r="O12" s="331">
        <f t="shared" si="7"/>
        <v>0</v>
      </c>
      <c r="P12" s="7"/>
      <c r="Q12" s="7"/>
      <c r="R12" s="331">
        <v>0.0</v>
      </c>
      <c r="S12" s="331">
        <v>0.0</v>
      </c>
      <c r="T12" s="331">
        <v>0.0</v>
      </c>
      <c r="U12" s="331">
        <v>0.0</v>
      </c>
      <c r="V12" s="331">
        <v>0.0</v>
      </c>
      <c r="W12" s="331">
        <v>0.0</v>
      </c>
      <c r="X12" s="331">
        <v>0.0</v>
      </c>
      <c r="Y12" s="331">
        <v>0.0</v>
      </c>
      <c r="Z12" s="331">
        <v>0.0</v>
      </c>
      <c r="AA12" s="331">
        <v>0.0</v>
      </c>
      <c r="AB12" s="331">
        <v>0.0</v>
      </c>
      <c r="AC12" s="331">
        <v>0.0</v>
      </c>
      <c r="AD12" s="7"/>
      <c r="AE12" s="331">
        <f t="shared" si="8"/>
        <v>0</v>
      </c>
    </row>
    <row r="13" ht="14.25" customHeight="1">
      <c r="A13" s="332" t="s">
        <v>141</v>
      </c>
      <c r="B13" s="333">
        <f>-SUMIF('REAL-BDGT2026'!$G$43:$G$191,$A13,'REAL-BDGT2026'!I$43:I$191)</f>
        <v>-15332425.68</v>
      </c>
      <c r="C13" s="333">
        <f>-SUMIF('REAL-BDGT2026'!$G$43:$G$191,$A13,'REAL-BDGT2026'!J$43:J$191)</f>
        <v>-12269412.45</v>
      </c>
      <c r="D13" s="333">
        <f>-SUMIF('REAL-BDGT2026'!$G$43:$G$191,$A13,'REAL-BDGT2026'!K$43:K$191)</f>
        <v>-6631113</v>
      </c>
      <c r="E13" s="333">
        <f>-SUMIF('REAL-BDGT2026'!$G$43:$G$191,$A13,'REAL-BDGT2026'!L$43:L$191)</f>
        <v>-2361718.27</v>
      </c>
      <c r="F13" s="333">
        <f>-SUMIF('REAL-BDGT2026'!$G$43:$G$191,$A13,'REAL-BDGT2026'!M$43:M$191)</f>
        <v>0</v>
      </c>
      <c r="G13" s="333">
        <f>-SUMIF('REAL-BDGT2026'!$G$43:$G$191,$A13,'REAL-BDGT2026'!N$43:N$191)</f>
        <v>0</v>
      </c>
      <c r="H13" s="333">
        <f>-SUMIF('REAL-BDGT2026'!$G$43:$G$191,$A13,'REAL-BDGT2026'!O$43:O$191)</f>
        <v>0</v>
      </c>
      <c r="I13" s="333">
        <f>-SUMIF('REAL-BDGT2026'!$G$43:$G$191,$A13,'REAL-BDGT2026'!P$43:P$191)</f>
        <v>0</v>
      </c>
      <c r="J13" s="333">
        <f>-SUMIF('REAL-BDGT2026'!$G$43:$G$191,$A13,'REAL-BDGT2026'!Q$43:Q$191)</f>
        <v>0</v>
      </c>
      <c r="K13" s="333">
        <f>-SUMIF('REAL-BDGT2026'!$G$43:$G$191,$A13,'REAL-BDGT2026'!R$43:R$191)</f>
        <v>0</v>
      </c>
      <c r="L13" s="333">
        <f>-SUMIF('REAL-BDGT2026'!$G$43:$G$191,$A13,'REAL-BDGT2026'!S$43:S$191)</f>
        <v>0</v>
      </c>
      <c r="M13" s="333">
        <f>-SUMIF('REAL-BDGT2026'!$G$43:$G$191,$A13,'REAL-BDGT2026'!T$43:T$191)</f>
        <v>0</v>
      </c>
      <c r="N13" s="7"/>
      <c r="O13" s="333">
        <f t="shared" si="7"/>
        <v>-34232951.13</v>
      </c>
      <c r="P13" s="7"/>
      <c r="Q13" s="7"/>
      <c r="R13" s="333">
        <v>-2537.5</v>
      </c>
      <c r="S13" s="333">
        <v>-2575.562499999999</v>
      </c>
      <c r="T13" s="333">
        <v>-2614.195937499999</v>
      </c>
      <c r="U13" s="333">
        <v>-2653.408876562498</v>
      </c>
      <c r="V13" s="333">
        <v>-1.500870875743865E7</v>
      </c>
      <c r="W13" s="333">
        <v>-1.511527999388538E7</v>
      </c>
      <c r="X13" s="333">
        <v>-1.764701999606975E7</v>
      </c>
      <c r="Y13" s="333">
        <v>-1.641491968204406E7</v>
      </c>
      <c r="Z13" s="333">
        <v>-1.718556096007442E7</v>
      </c>
      <c r="AA13" s="333">
        <v>-1.806181450178005E7</v>
      </c>
      <c r="AB13" s="333">
        <v>-1.776083364960532E7</v>
      </c>
      <c r="AC13" s="333">
        <v>-1.83471034139953E7</v>
      </c>
      <c r="AD13" s="7"/>
      <c r="AE13" s="333">
        <f t="shared" si="8"/>
        <v>-7727.258438</v>
      </c>
    </row>
    <row r="14" ht="14.25" customHeight="1">
      <c r="A14" s="337" t="s">
        <v>1395</v>
      </c>
      <c r="B14" s="331">
        <f>-SUMIF('REAL-BDGT2026'!$G$43:$G$169,$A14,'REAL-BDGT2026'!I$43:I$140)</f>
        <v>0</v>
      </c>
      <c r="C14" s="331">
        <f>-SUMIF('REAL-BDGT2026'!$G$43:$G$169,$A14,'REAL-BDGT2026'!J$43:J$140)</f>
        <v>0</v>
      </c>
      <c r="D14" s="331">
        <f>-SUMIF('REAL-BDGT2026'!$G$43:$G$191,$A14,'REAL-BDGT2026'!K$43:K$191)</f>
        <v>0</v>
      </c>
      <c r="E14" s="331">
        <f>-SUMIF('REAL-BDGT2026'!$G$43:$G$191,$A14,'REAL-BDGT2026'!L$43:L$191)</f>
        <v>0</v>
      </c>
      <c r="F14" s="331">
        <f>-SUMIF('REAL-BDGT2026'!$G$43:$G$191,$A14,'REAL-BDGT2026'!M$43:M$191)</f>
        <v>0</v>
      </c>
      <c r="G14" s="331">
        <f>-SUMIF('REAL-BDGT2026'!$G$43:$G$191,$A14,'REAL-BDGT2026'!N$43:N$191)</f>
        <v>0</v>
      </c>
      <c r="H14" s="331">
        <f>-SUMIF('REAL-BDGT2026'!$G$43:$G$191,$A14,'REAL-BDGT2026'!O$43:O$191)</f>
        <v>0</v>
      </c>
      <c r="I14" s="331">
        <f>-SUMIF('REAL-BDGT2026'!$G$43:$G$191,$A14,'REAL-BDGT2026'!P$43:P$191)</f>
        <v>0</v>
      </c>
      <c r="J14" s="331">
        <f>-SUMIF('REAL-BDGT2026'!$G$43:$G$191,$A14,'REAL-BDGT2026'!Q$43:Q$191)</f>
        <v>0</v>
      </c>
      <c r="K14" s="331">
        <f>-SUMIF('REAL-BDGT2026'!$G$43:$G$191,$A14,'REAL-BDGT2026'!R$43:R$191)</f>
        <v>0</v>
      </c>
      <c r="L14" s="331">
        <f>-SUMIF('REAL-BDGT2026'!$G$43:$G$191,$A14,'REAL-BDGT2026'!S$43:S$191)</f>
        <v>0</v>
      </c>
      <c r="M14" s="331">
        <f>-SUMIF('REAL-BDGT2026'!$G$43:$G$191,$A14,'REAL-BDGT2026'!T$43:T$191)</f>
        <v>0</v>
      </c>
      <c r="N14" s="7"/>
      <c r="O14" s="331">
        <f t="shared" si="7"/>
        <v>0</v>
      </c>
      <c r="P14" s="7"/>
      <c r="Q14" s="7"/>
      <c r="R14" s="331">
        <v>0.0</v>
      </c>
      <c r="S14" s="331">
        <v>0.0</v>
      </c>
      <c r="T14" s="331">
        <v>0.0</v>
      </c>
      <c r="U14" s="331">
        <v>0.0</v>
      </c>
      <c r="V14" s="331">
        <v>0.0</v>
      </c>
      <c r="W14" s="331">
        <v>0.0</v>
      </c>
      <c r="X14" s="331">
        <v>0.0</v>
      </c>
      <c r="Y14" s="331">
        <v>0.0</v>
      </c>
      <c r="Z14" s="331">
        <v>0.0</v>
      </c>
      <c r="AA14" s="331">
        <v>0.0</v>
      </c>
      <c r="AB14" s="331">
        <v>0.0</v>
      </c>
      <c r="AC14" s="331">
        <v>0.0</v>
      </c>
      <c r="AD14" s="7"/>
      <c r="AE14" s="331">
        <f t="shared" si="8"/>
        <v>0</v>
      </c>
    </row>
    <row r="15" ht="14.25" customHeight="1">
      <c r="A15" s="338" t="s">
        <v>1396</v>
      </c>
      <c r="B15" s="339">
        <f t="shared" ref="B15:M15" si="9">SUM(B6:B14)</f>
        <v>1164470259</v>
      </c>
      <c r="C15" s="339">
        <f t="shared" si="9"/>
        <v>1134811155</v>
      </c>
      <c r="D15" s="339">
        <f t="shared" si="9"/>
        <v>1086556458</v>
      </c>
      <c r="E15" s="339">
        <f t="shared" si="9"/>
        <v>1383012588</v>
      </c>
      <c r="F15" s="339" t="str">
        <f t="shared" si="9"/>
        <v>#DIV/0!</v>
      </c>
      <c r="G15" s="339" t="str">
        <f t="shared" si="9"/>
        <v>#DIV/0!</v>
      </c>
      <c r="H15" s="339" t="str">
        <f t="shared" si="9"/>
        <v>#DIV/0!</v>
      </c>
      <c r="I15" s="339" t="str">
        <f t="shared" si="9"/>
        <v>#DIV/0!</v>
      </c>
      <c r="J15" s="339" t="str">
        <f t="shared" si="9"/>
        <v>#DIV/0!</v>
      </c>
      <c r="K15" s="339" t="str">
        <f t="shared" si="9"/>
        <v>#DIV/0!</v>
      </c>
      <c r="L15" s="339" t="str">
        <f t="shared" si="9"/>
        <v>#DIV/0!</v>
      </c>
      <c r="M15" s="339" t="str">
        <f t="shared" si="9"/>
        <v>#DIV/0!</v>
      </c>
      <c r="N15" s="7"/>
      <c r="O15" s="339">
        <f t="shared" si="7"/>
        <v>3385837873</v>
      </c>
      <c r="P15" s="7"/>
      <c r="Q15" s="333"/>
      <c r="R15" s="339">
        <v>1.030514559698777E9</v>
      </c>
      <c r="S15" s="339">
        <v>9.498564033805721E8</v>
      </c>
      <c r="T15" s="339">
        <v>1.075418126913481E9</v>
      </c>
      <c r="U15" s="339">
        <v>1.109749541200818E9</v>
      </c>
      <c r="V15" s="339">
        <v>1.187723619558927E9</v>
      </c>
      <c r="W15" s="339">
        <v>1.186555098959815E9</v>
      </c>
      <c r="X15" s="339">
        <v>1.111092039866861E9</v>
      </c>
      <c r="Y15" s="339">
        <v>1.310538225292366E9</v>
      </c>
      <c r="Z15" s="339">
        <v>1.388552002989855E9</v>
      </c>
      <c r="AA15" s="339">
        <v>1.442343567586821E9</v>
      </c>
      <c r="AB15" s="339">
        <v>1.391920335801049E9</v>
      </c>
      <c r="AC15" s="339">
        <v>1.432798478553182E9</v>
      </c>
      <c r="AD15" s="7"/>
      <c r="AE15" s="339">
        <f t="shared" si="8"/>
        <v>3055789090</v>
      </c>
    </row>
    <row r="16" ht="14.25" customHeight="1">
      <c r="A16" s="332" t="s">
        <v>247</v>
      </c>
      <c r="B16" s="336">
        <f t="shared" ref="B16:M16" si="10">B15/B3</f>
        <v>0.5726831139</v>
      </c>
      <c r="C16" s="336">
        <f t="shared" si="10"/>
        <v>0.5723741922</v>
      </c>
      <c r="D16" s="336">
        <f t="shared" si="10"/>
        <v>0.5063245002</v>
      </c>
      <c r="E16" s="336">
        <f t="shared" si="10"/>
        <v>0.6179326587</v>
      </c>
      <c r="F16" s="336" t="str">
        <f t="shared" si="10"/>
        <v>#DIV/0!</v>
      </c>
      <c r="G16" s="336" t="str">
        <f t="shared" si="10"/>
        <v>#DIV/0!</v>
      </c>
      <c r="H16" s="336" t="str">
        <f t="shared" si="10"/>
        <v>#DIV/0!</v>
      </c>
      <c r="I16" s="336" t="str">
        <f t="shared" si="10"/>
        <v>#DIV/0!</v>
      </c>
      <c r="J16" s="336" t="str">
        <f t="shared" si="10"/>
        <v>#DIV/0!</v>
      </c>
      <c r="K16" s="336" t="str">
        <f t="shared" si="10"/>
        <v>#DIV/0!</v>
      </c>
      <c r="L16" s="336" t="str">
        <f t="shared" si="10"/>
        <v>#DIV/0!</v>
      </c>
      <c r="M16" s="336" t="str">
        <f t="shared" si="10"/>
        <v>#DIV/0!</v>
      </c>
      <c r="N16" s="7"/>
      <c r="O16" s="336">
        <f>O15/O3</f>
        <v>0.5494736415</v>
      </c>
      <c r="P16" s="7"/>
      <c r="Q16" s="7"/>
      <c r="R16" s="336">
        <f t="shared" ref="R16:S16" si="11">R15/R3</f>
        <v>0.5264022325</v>
      </c>
      <c r="S16" s="336">
        <f t="shared" si="11"/>
        <v>0.5184336198</v>
      </c>
      <c r="T16" s="336">
        <v>0.5404669013386503</v>
      </c>
      <c r="U16" s="336">
        <v>0.5302102430741338</v>
      </c>
      <c r="V16" s="336">
        <v>0.5368583185611304</v>
      </c>
      <c r="W16" s="336">
        <v>0.5337110285640442</v>
      </c>
      <c r="X16" s="336">
        <v>0.4522571540155049</v>
      </c>
      <c r="Y16" s="336">
        <v>0.5400831776083621</v>
      </c>
      <c r="Z16" s="336">
        <v>0.5446531390935944</v>
      </c>
      <c r="AA16" s="336">
        <v>0.5399537249658236</v>
      </c>
      <c r="AB16" s="336">
        <v>0.5326893047629785</v>
      </c>
      <c r="AC16" s="336">
        <v>0.5312543220243415</v>
      </c>
      <c r="AD16" s="7"/>
      <c r="AE16" s="336">
        <f>AE15/AE3</f>
        <v>0.5287182999</v>
      </c>
    </row>
    <row r="17" ht="14.25" customHeight="1">
      <c r="A17" s="330" t="s">
        <v>250</v>
      </c>
      <c r="B17" s="331">
        <f>-SUMIF('REAL-BDGT2026'!$G$43:$G$191,$A17,'REAL-BDGT2026'!I$43:I$140)</f>
        <v>-140088</v>
      </c>
      <c r="C17" s="331">
        <f>-SUMIF('REAL-BDGT2026'!$G$43:$G$191,$A17,'REAL-BDGT2026'!J$43:J$140)</f>
        <v>4508</v>
      </c>
      <c r="D17" s="331">
        <f>-SUMIF('REAL-BDGT2026'!$G$43:$G$191,$A17,'REAL-BDGT2026'!K$43:K$191)</f>
        <v>5728</v>
      </c>
      <c r="E17" s="331">
        <f>-SUMIF('REAL-BDGT2026'!$G$43:$G$191,$A17,'REAL-BDGT2026'!L$43:L$191)</f>
        <v>-47373.53</v>
      </c>
      <c r="F17" s="331">
        <f>-SUMIF('REAL-BDGT2026'!$G$43:$G$191,$A17,'REAL-BDGT2026'!M$43:M$191)</f>
        <v>0</v>
      </c>
      <c r="G17" s="331">
        <f>-SUMIF('REAL-BDGT2026'!$G$43:$G$191,$A17,'REAL-BDGT2026'!N$43:N$191)</f>
        <v>0</v>
      </c>
      <c r="H17" s="331">
        <f>-SUMIF('REAL-BDGT2026'!$G$43:$G$191,$A17,'REAL-BDGT2026'!O$43:O$191)</f>
        <v>0</v>
      </c>
      <c r="I17" s="331">
        <f>-SUMIF('REAL-BDGT2026'!$G$43:$G$191,$A17,'REAL-BDGT2026'!P$43:P$191)</f>
        <v>0</v>
      </c>
      <c r="J17" s="331">
        <f>-SUMIF('REAL-BDGT2026'!$G$43:$G$191,$A17,'REAL-BDGT2026'!Q$43:Q$191)</f>
        <v>0</v>
      </c>
      <c r="K17" s="331">
        <f>-SUMIF('REAL-BDGT2026'!$G$43:$G$191,$A17,'REAL-BDGT2026'!R$43:R$191)</f>
        <v>0</v>
      </c>
      <c r="L17" s="331">
        <f>-SUMIF('REAL-BDGT2026'!$G$43:$G$191,$A17,'REAL-BDGT2026'!S$43:S$191)</f>
        <v>0</v>
      </c>
      <c r="M17" s="331">
        <f>-SUMIF('REAL-BDGT2026'!$G$43:$G$191,$A17,'REAL-BDGT2026'!T$43:T$191)</f>
        <v>0</v>
      </c>
      <c r="N17" s="7"/>
      <c r="O17" s="331">
        <f t="shared" ref="O17:O23" si="12">SUM(B17:D17)</f>
        <v>-129852</v>
      </c>
      <c r="P17" s="7"/>
      <c r="Q17" s="7"/>
      <c r="R17" s="331">
        <v>0.0</v>
      </c>
      <c r="S17" s="331">
        <v>0.0</v>
      </c>
      <c r="T17" s="331">
        <v>0.0</v>
      </c>
      <c r="U17" s="331">
        <v>0.0</v>
      </c>
      <c r="V17" s="331">
        <v>0.0</v>
      </c>
      <c r="W17" s="331">
        <v>0.0</v>
      </c>
      <c r="X17" s="331">
        <v>0.0</v>
      </c>
      <c r="Y17" s="331">
        <v>0.0</v>
      </c>
      <c r="Z17" s="331">
        <v>0.0</v>
      </c>
      <c r="AA17" s="331">
        <v>0.0</v>
      </c>
      <c r="AB17" s="331">
        <v>0.0</v>
      </c>
      <c r="AC17" s="331">
        <v>0.0</v>
      </c>
      <c r="AD17" s="7"/>
      <c r="AE17" s="331">
        <f t="shared" ref="AE17:AE23" si="13">SUM(R17:T17)</f>
        <v>0</v>
      </c>
    </row>
    <row r="18" ht="14.25" customHeight="1">
      <c r="A18" s="332" t="s">
        <v>251</v>
      </c>
      <c r="B18" s="333">
        <f>SUMIF('REAL-BDGT2026'!$G$43:$G$191,$A18,'REAL-BDGT2026'!I$43:I$191)*-1</f>
        <v>238087809.4</v>
      </c>
      <c r="C18" s="333">
        <f>SUMIF('REAL-BDGT2026'!$G$43:$G$191,$A18,'REAL-BDGT2026'!J$43:J$191)*-1</f>
        <v>218300896</v>
      </c>
      <c r="D18" s="333">
        <f>SUMIF('REAL-BDGT2026'!$G$43:$G$191,$A18,'REAL-BDGT2026'!K$43:K$191)*-1</f>
        <v>262865752</v>
      </c>
      <c r="E18" s="333">
        <f>SUMIF('REAL-BDGT2026'!$G$43:$G$191,$A18,'REAL-BDGT2026'!L$43:L$191)*-1</f>
        <v>85208675.73</v>
      </c>
      <c r="F18" s="333">
        <f>SUMIF('REAL-BDGT2026'!$G$43:$G$191,$A18,'REAL-BDGT2026'!M$43:M$191)*-1</f>
        <v>0</v>
      </c>
      <c r="G18" s="333">
        <f>SUMIF('REAL-BDGT2026'!$G$43:$G$191,$A18,'REAL-BDGT2026'!N$43:N$191)*-1</f>
        <v>0</v>
      </c>
      <c r="H18" s="333">
        <f>SUMIF('REAL-BDGT2026'!$G$43:$G$191,$A18,'REAL-BDGT2026'!O$43:O$191)*-1</f>
        <v>0</v>
      </c>
      <c r="I18" s="333">
        <f>SUMIF('REAL-BDGT2026'!$G$43:$G$191,$A18,'REAL-BDGT2026'!P$43:P$191)*-1</f>
        <v>0</v>
      </c>
      <c r="J18" s="333">
        <f>SUMIF('REAL-BDGT2026'!$G$43:$G$191,$A18,'REAL-BDGT2026'!Q$43:Q$191)*-1</f>
        <v>0</v>
      </c>
      <c r="K18" s="333">
        <f>SUMIF('REAL-BDGT2026'!$G$43:$G$191,$A18,'REAL-BDGT2026'!R$43:R$191)*-1</f>
        <v>0</v>
      </c>
      <c r="L18" s="333">
        <f>SUMIF('REAL-BDGT2026'!$G$43:$G$191,$A18,'REAL-BDGT2026'!S$43:S$191)*-1</f>
        <v>0</v>
      </c>
      <c r="M18" s="333">
        <f>SUMIF('REAL-BDGT2026'!$G$43:$G$191,$A18,'REAL-BDGT2026'!T$43:T$191)*-1</f>
        <v>0</v>
      </c>
      <c r="N18" s="7"/>
      <c r="O18" s="333">
        <f t="shared" si="12"/>
        <v>719254457.4</v>
      </c>
      <c r="P18" s="7"/>
      <c r="Q18" s="7"/>
      <c r="R18" s="333">
        <v>0.0</v>
      </c>
      <c r="S18" s="333">
        <v>0.0</v>
      </c>
      <c r="T18" s="333">
        <v>0.0</v>
      </c>
      <c r="U18" s="333">
        <v>0.0</v>
      </c>
      <c r="V18" s="333">
        <v>0.0</v>
      </c>
      <c r="W18" s="333">
        <v>0.0</v>
      </c>
      <c r="X18" s="333">
        <v>0.0</v>
      </c>
      <c r="Y18" s="333">
        <v>0.0</v>
      </c>
      <c r="Z18" s="333">
        <v>0.0</v>
      </c>
      <c r="AA18" s="333">
        <v>0.0</v>
      </c>
      <c r="AB18" s="333">
        <v>0.0</v>
      </c>
      <c r="AC18" s="333">
        <v>0.0</v>
      </c>
      <c r="AD18" s="7"/>
      <c r="AE18" s="333">
        <f t="shared" si="13"/>
        <v>0</v>
      </c>
    </row>
    <row r="19" ht="14.25" customHeight="1">
      <c r="A19" s="330" t="s">
        <v>253</v>
      </c>
      <c r="B19" s="331">
        <f>SUMIF('REAL-BDGT2026'!$G$43:$G$191,$A19,'REAL-BDGT2026'!I$43:I$191)*-1</f>
        <v>0</v>
      </c>
      <c r="C19" s="331">
        <f>SUMIF('REAL-BDGT2026'!$G$43:$G$191,$A19,'REAL-BDGT2026'!J$43:J$191)*-1</f>
        <v>-3024427.04</v>
      </c>
      <c r="D19" s="331">
        <f>SUMIF('REAL-BDGT2026'!$G$43:$G$191,$A19,'REAL-BDGT2026'!K$43:K$191)</f>
        <v>0</v>
      </c>
      <c r="E19" s="331">
        <f>SUMIF('REAL-BDGT2026'!$G$43:$G$191,$A19,'REAL-BDGT2026'!L$43:L$191)*-1</f>
        <v>-27050.63</v>
      </c>
      <c r="F19" s="331">
        <f>SUMIF('REAL-BDGT2026'!$G$43:$G$191,$A19,'REAL-BDGT2026'!M$43:M$191)*-1</f>
        <v>0</v>
      </c>
      <c r="G19" s="331">
        <f>SUMIF('REAL-BDGT2026'!$G$43:$G$191,$A19,'REAL-BDGT2026'!N$43:N$191)*-1</f>
        <v>0</v>
      </c>
      <c r="H19" s="331">
        <f>SUMIF('REAL-BDGT2026'!$G$43:$G$191,$A19,'REAL-BDGT2026'!O$43:O$191)*-1</f>
        <v>0</v>
      </c>
      <c r="I19" s="331">
        <f>SUMIF('REAL-BDGT2026'!$G$43:$G$191,$A19,'REAL-BDGT2026'!P$43:P$191)*-1</f>
        <v>0</v>
      </c>
      <c r="J19" s="331">
        <f>SUMIF('REAL-BDGT2026'!$G$43:$G$191,$A19,'REAL-BDGT2026'!Q$43:Q$191)*-1</f>
        <v>0</v>
      </c>
      <c r="K19" s="331">
        <f>SUMIF('REAL-BDGT2026'!$G$43:$G$191,$A19,'REAL-BDGT2026'!R$43:R$191)*-1</f>
        <v>0</v>
      </c>
      <c r="L19" s="331">
        <f>SUMIF('REAL-BDGT2026'!$G$43:$G$191,$A19,'REAL-BDGT2026'!S$43:S$191)*-1</f>
        <v>0</v>
      </c>
      <c r="M19" s="331">
        <f>SUMIF('REAL-BDGT2026'!$G$43:$G$191,$A19,'REAL-BDGT2026'!T$43:T$191)*-1</f>
        <v>0</v>
      </c>
      <c r="N19" s="7"/>
      <c r="O19" s="331">
        <f t="shared" si="12"/>
        <v>-3024427.04</v>
      </c>
      <c r="P19" s="7"/>
      <c r="Q19" s="7"/>
      <c r="R19" s="331">
        <v>0.0</v>
      </c>
      <c r="S19" s="331">
        <v>0.0</v>
      </c>
      <c r="T19" s="331">
        <v>0.0</v>
      </c>
      <c r="U19" s="331">
        <v>0.0</v>
      </c>
      <c r="V19" s="331">
        <v>0.0</v>
      </c>
      <c r="W19" s="331">
        <v>0.0</v>
      </c>
      <c r="X19" s="331">
        <v>0.0</v>
      </c>
      <c r="Y19" s="331">
        <v>0.0</v>
      </c>
      <c r="Z19" s="331">
        <v>0.0</v>
      </c>
      <c r="AA19" s="331">
        <v>0.0</v>
      </c>
      <c r="AB19" s="331">
        <v>0.0</v>
      </c>
      <c r="AC19" s="331">
        <v>0.0</v>
      </c>
      <c r="AD19" s="7"/>
      <c r="AE19" s="331">
        <f t="shared" si="13"/>
        <v>0</v>
      </c>
    </row>
    <row r="20" ht="14.25" customHeight="1">
      <c r="A20" s="332" t="s">
        <v>1397</v>
      </c>
      <c r="B20" s="333">
        <f>-SUMIF('REAL-BDGT2026'!$G$43:$G$191,$A20,'REAL-BDGT2026'!I$43:I$191)</f>
        <v>-67750</v>
      </c>
      <c r="C20" s="333">
        <f>-SUMIF('REAL-BDGT2026'!$G$43:$G$191,$A20,'REAL-BDGT2026'!J$43:J$191)</f>
        <v>-49000</v>
      </c>
      <c r="D20" s="333">
        <f>-SUMIF('REAL-BDGT2026'!$G$43:$G$191,$A20,'REAL-BDGT2026'!K$43:K$191)</f>
        <v>-49000</v>
      </c>
      <c r="E20" s="333">
        <f>-SUMIF('REAL-BDGT2026'!$G$43:$G$191,$A20,'REAL-BDGT2026'!L$43:L$191)</f>
        <v>-49000</v>
      </c>
      <c r="F20" s="333">
        <f>-SUMIF('REAL-BDGT2026'!$G$43:$G$191,$A20,'REAL-BDGT2026'!M$43:M$191)</f>
        <v>0</v>
      </c>
      <c r="G20" s="333">
        <f>-SUMIF('REAL-BDGT2026'!$G$43:$G$191,$A20,'REAL-BDGT2026'!N$43:N$191)</f>
        <v>0</v>
      </c>
      <c r="H20" s="333">
        <f>-SUMIF('REAL-BDGT2026'!$G$43:$G$191,$A20,'REAL-BDGT2026'!O$43:O$191)</f>
        <v>0</v>
      </c>
      <c r="I20" s="333">
        <f>-SUMIF('REAL-BDGT2026'!$G$43:$G$191,$A20,'REAL-BDGT2026'!P$43:P$191)</f>
        <v>0</v>
      </c>
      <c r="J20" s="333">
        <f>-SUMIF('REAL-BDGT2026'!$G$43:$G$191,$A20,'REAL-BDGT2026'!Q$43:Q$191)</f>
        <v>0</v>
      </c>
      <c r="K20" s="333">
        <f>-SUMIF('REAL-BDGT2026'!$G$43:$G$191,$A20,'REAL-BDGT2026'!R$43:R$191)</f>
        <v>0</v>
      </c>
      <c r="L20" s="333">
        <f>-SUMIF('REAL-BDGT2026'!$G$43:$G$191,$A20,'REAL-BDGT2026'!S$43:S$191)</f>
        <v>0</v>
      </c>
      <c r="M20" s="333">
        <f>-SUMIF('REAL-BDGT2026'!$G$43:$G$191,$A20,'REAL-BDGT2026'!T$43:T$191)</f>
        <v>0</v>
      </c>
      <c r="N20" s="7"/>
      <c r="O20" s="333">
        <f t="shared" si="12"/>
        <v>-165750</v>
      </c>
      <c r="P20" s="7"/>
      <c r="Q20" s="7"/>
      <c r="R20" s="333">
        <v>-70000.0</v>
      </c>
      <c r="S20" s="333">
        <v>-70000.0</v>
      </c>
      <c r="T20" s="333">
        <v>-70000.0</v>
      </c>
      <c r="U20" s="333">
        <v>-70000.0</v>
      </c>
      <c r="V20" s="333">
        <v>-70000.0</v>
      </c>
      <c r="W20" s="333">
        <v>-70000.0</v>
      </c>
      <c r="X20" s="333">
        <v>-70000.0</v>
      </c>
      <c r="Y20" s="333">
        <v>-70000.0</v>
      </c>
      <c r="Z20" s="333">
        <v>-70000.0</v>
      </c>
      <c r="AA20" s="333">
        <v>-70000.0</v>
      </c>
      <c r="AB20" s="333">
        <v>-70000.0</v>
      </c>
      <c r="AC20" s="333">
        <v>-70000.0</v>
      </c>
      <c r="AD20" s="7"/>
      <c r="AE20" s="333">
        <f t="shared" si="13"/>
        <v>-210000</v>
      </c>
    </row>
    <row r="21" ht="15.75" customHeight="1">
      <c r="A21" s="330" t="s">
        <v>63</v>
      </c>
      <c r="B21" s="331">
        <f>-SUMIF('REAL-BDGT2026'!$G$43:$G$191,$A21,'REAL-BDGT2026'!I$43:I$191)</f>
        <v>-20874038.38</v>
      </c>
      <c r="C21" s="331">
        <f>-SUMIF('REAL-BDGT2026'!$G$43:$G$191,$A21,'REAL-BDGT2026'!J$43:J$191)</f>
        <v>-20874038.38</v>
      </c>
      <c r="D21" s="331">
        <f>-SUMIF('REAL-BDGT2026'!$G$43:$G$191,$A21,'REAL-BDGT2026'!K$43:K$191)</f>
        <v>-21322922.56</v>
      </c>
      <c r="E21" s="331">
        <f>-SUMIF('REAL-BDGT2026'!$G$43:$G$191,$A21,'REAL-BDGT2026'!L$43:L$191)</f>
        <v>-21082522.38</v>
      </c>
      <c r="F21" s="331">
        <f>-SUMIF('REAL-BDGT2026'!$G$43:$G$191,$A21,'REAL-BDGT2026'!M$43:M$191)</f>
        <v>0</v>
      </c>
      <c r="G21" s="331">
        <f>-SUMIF('REAL-BDGT2026'!$G$43:$G$191,$A21,'REAL-BDGT2026'!N$43:N$191)</f>
        <v>0</v>
      </c>
      <c r="H21" s="331">
        <f>-SUMIF('REAL-BDGT2026'!$G$43:$G$191,$A21,'REAL-BDGT2026'!O$43:O$191)</f>
        <v>0</v>
      </c>
      <c r="I21" s="331">
        <f>-SUMIF('REAL-BDGT2026'!$G$43:$G$191,$A21,'REAL-BDGT2026'!P$43:P$191)</f>
        <v>0</v>
      </c>
      <c r="J21" s="331">
        <f>-SUMIF('REAL-BDGT2026'!$G$43:$G$191,$A21,'REAL-BDGT2026'!Q$43:Q$191)</f>
        <v>0</v>
      </c>
      <c r="K21" s="331">
        <f>-SUMIF('REAL-BDGT2026'!$G$43:$G$191,$A21,'REAL-BDGT2026'!R$43:R$191)</f>
        <v>0</v>
      </c>
      <c r="L21" s="331">
        <f>-SUMIF('REAL-BDGT2026'!$G$43:$G$191,$A21,'REAL-BDGT2026'!S$43:S$191)</f>
        <v>0</v>
      </c>
      <c r="M21" s="331">
        <f>-SUMIF('REAL-BDGT2026'!$G$43:$G$191,$A21,'REAL-BDGT2026'!T$43:T$191)</f>
        <v>0</v>
      </c>
      <c r="N21" s="7"/>
      <c r="O21" s="331">
        <f t="shared" si="12"/>
        <v>-63070999.32</v>
      </c>
      <c r="P21" s="7"/>
      <c r="Q21" s="7"/>
      <c r="R21" s="331">
        <v>-2.0362316E7</v>
      </c>
      <c r="S21" s="331">
        <v>-2.0362316E7</v>
      </c>
      <c r="T21" s="331">
        <v>-2.0362316E7</v>
      </c>
      <c r="U21" s="331">
        <v>-2.0362316E7</v>
      </c>
      <c r="V21" s="331">
        <v>-2.0362316E7</v>
      </c>
      <c r="W21" s="331">
        <v>-2.0362316E7</v>
      </c>
      <c r="X21" s="331">
        <v>-2.0362316E7</v>
      </c>
      <c r="Y21" s="331">
        <v>-2.0362316E7</v>
      </c>
      <c r="Z21" s="331">
        <v>-2.0362316E7</v>
      </c>
      <c r="AA21" s="331">
        <v>-2.0362316E7</v>
      </c>
      <c r="AB21" s="331">
        <v>-2.0362316E7</v>
      </c>
      <c r="AC21" s="331">
        <v>-2.0362316E7</v>
      </c>
      <c r="AD21" s="7"/>
      <c r="AE21" s="331">
        <f t="shared" si="13"/>
        <v>-61086948</v>
      </c>
    </row>
    <row r="22" ht="15.75" customHeight="1">
      <c r="A22" s="340" t="s">
        <v>1398</v>
      </c>
      <c r="B22" s="341">
        <f>-SUMIF('REAL-BDGT2026'!$G$43:$G$191,$A22,'REAL-BDGT2026'!I$43:I$191)</f>
        <v>-488319429.5</v>
      </c>
      <c r="C22" s="341">
        <f>-SUMIF('REAL-BDGT2026'!$G$43:$G$191,$A22,'REAL-BDGT2026'!J$43:J$191)</f>
        <v>-462332863.8</v>
      </c>
      <c r="D22" s="341">
        <f>-SUMIF('REAL-BDGT2026'!$G$43:$G$191,$A22,'REAL-BDGT2026'!K$43:K$191)</f>
        <v>-477732537.8</v>
      </c>
      <c r="E22" s="341">
        <f>-SUMIF('REAL-BDGT2026'!$G$43:$G$191,$A22,'REAL-BDGT2026'!L$43:L$191)</f>
        <v>-512501472.9</v>
      </c>
      <c r="F22" s="341">
        <f>-SUMIF('REAL-BDGT2026'!$G$43:$G$191,$A22,'REAL-BDGT2026'!M$43:M$191)</f>
        <v>0</v>
      </c>
      <c r="G22" s="341">
        <f>-SUMIF('REAL-BDGT2026'!$G$43:$G$191,$A22,'REAL-BDGT2026'!N$43:N$191)</f>
        <v>0</v>
      </c>
      <c r="H22" s="341">
        <f>-SUMIF('REAL-BDGT2026'!$G$43:$G$191,$A22,'REAL-BDGT2026'!O$43:O$191)</f>
        <v>0</v>
      </c>
      <c r="I22" s="341">
        <f>-SUMIF('REAL-BDGT2026'!$G$43:$G$191,$A22,'REAL-BDGT2026'!P$43:P$191)</f>
        <v>0</v>
      </c>
      <c r="J22" s="341">
        <f>-SUMIF('REAL-BDGT2026'!$G$43:$G$191,$A22,'REAL-BDGT2026'!Q$43:Q$191)</f>
        <v>0</v>
      </c>
      <c r="K22" s="341">
        <f>-SUMIF('REAL-BDGT2026'!$G$43:$G$191,$A22,'REAL-BDGT2026'!R$43:R$191)</f>
        <v>0</v>
      </c>
      <c r="L22" s="341">
        <f>-SUMIF('REAL-BDGT2026'!$G$43:$G$191,$A22,'REAL-BDGT2026'!S$43:S$191)</f>
        <v>0</v>
      </c>
      <c r="M22" s="341">
        <f>-SUMIF('REAL-BDGT2026'!$G$43:$G$191,$A22,'REAL-BDGT2026'!T$43:T$191)</f>
        <v>0</v>
      </c>
      <c r="N22" s="7"/>
      <c r="O22" s="341">
        <f t="shared" si="12"/>
        <v>-1428384831</v>
      </c>
      <c r="P22" s="7"/>
      <c r="Q22" s="7"/>
      <c r="R22" s="341">
        <v>-3.535532850685797E8</v>
      </c>
      <c r="S22" s="341">
        <v>-3.253229303566035E8</v>
      </c>
      <c r="T22" s="341">
        <v>-3.692695335899308E8</v>
      </c>
      <c r="U22" s="341">
        <v>-3.812855285925927E8</v>
      </c>
      <c r="V22" s="341">
        <v>-4.085764560161688E8</v>
      </c>
      <c r="W22" s="341">
        <v>-4.08167473808213E8</v>
      </c>
      <c r="X22" s="341">
        <v>-3.817554031577736E8</v>
      </c>
      <c r="Y22" s="341">
        <v>-4.515615680254995E8</v>
      </c>
      <c r="Z22" s="341">
        <v>-4.788663902200945E8</v>
      </c>
      <c r="AA22" s="341">
        <v>-4.976934378309135E8</v>
      </c>
      <c r="AB22" s="341">
        <v>-4.80045306707799E8</v>
      </c>
      <c r="AC22" s="341">
        <v>-4.94352656671771E8</v>
      </c>
      <c r="AD22" s="7"/>
      <c r="AE22" s="341">
        <f t="shared" si="13"/>
        <v>-1048145749</v>
      </c>
    </row>
    <row r="23" ht="15.75" customHeight="1">
      <c r="A23" s="326" t="s">
        <v>1399</v>
      </c>
      <c r="B23" s="335">
        <f t="shared" ref="B23:M23" si="14">SUM(B15:B22)</f>
        <v>893156763</v>
      </c>
      <c r="C23" s="335">
        <f t="shared" si="14"/>
        <v>866836230.7</v>
      </c>
      <c r="D23" s="335">
        <f t="shared" si="14"/>
        <v>850323478.6</v>
      </c>
      <c r="E23" s="335">
        <f t="shared" si="14"/>
        <v>934513844.6</v>
      </c>
      <c r="F23" s="335" t="str">
        <f t="shared" si="14"/>
        <v>#DIV/0!</v>
      </c>
      <c r="G23" s="335" t="str">
        <f t="shared" si="14"/>
        <v>#DIV/0!</v>
      </c>
      <c r="H23" s="335" t="str">
        <f t="shared" si="14"/>
        <v>#DIV/0!</v>
      </c>
      <c r="I23" s="335" t="str">
        <f t="shared" si="14"/>
        <v>#DIV/0!</v>
      </c>
      <c r="J23" s="335" t="str">
        <f t="shared" si="14"/>
        <v>#DIV/0!</v>
      </c>
      <c r="K23" s="335" t="str">
        <f t="shared" si="14"/>
        <v>#DIV/0!</v>
      </c>
      <c r="L23" s="335" t="str">
        <f t="shared" si="14"/>
        <v>#DIV/0!</v>
      </c>
      <c r="M23" s="335" t="str">
        <f t="shared" si="14"/>
        <v>#DIV/0!</v>
      </c>
      <c r="N23" s="7"/>
      <c r="O23" s="335">
        <f t="shared" si="12"/>
        <v>2610316472</v>
      </c>
      <c r="P23" s="7"/>
      <c r="Q23" s="7"/>
      <c r="R23" s="335">
        <v>6.565289591565995E8</v>
      </c>
      <c r="S23" s="335">
        <v>6.041011575424021E8</v>
      </c>
      <c r="T23" s="335">
        <v>6.857162778640165E8</v>
      </c>
      <c r="U23" s="335">
        <v>7.080316971384351E8</v>
      </c>
      <c r="V23" s="335">
        <v>7.587148480796163E8</v>
      </c>
      <c r="W23" s="335">
        <v>7.579553096853132E8</v>
      </c>
      <c r="X23" s="335">
        <v>7.089043211613442E8</v>
      </c>
      <c r="Y23" s="335">
        <v>8.385443418069491E8</v>
      </c>
      <c r="Z23" s="335">
        <v>8.892532973144133E8</v>
      </c>
      <c r="AA23" s="335">
        <v>9.242178142958615E8</v>
      </c>
      <c r="AB23" s="335">
        <v>8.914427136259396E8</v>
      </c>
      <c r="AC23" s="335">
        <v>9.180135064126651E8</v>
      </c>
      <c r="AD23" s="7"/>
      <c r="AE23" s="335">
        <f t="shared" si="13"/>
        <v>1946346395</v>
      </c>
    </row>
    <row r="24" ht="15.75" customHeight="1">
      <c r="A24" s="332" t="s">
        <v>247</v>
      </c>
      <c r="B24" s="336">
        <f t="shared" ref="B24:M24" si="15">B23/(SUM(B3:B4))</f>
        <v>0.4669516526</v>
      </c>
      <c r="C24" s="336">
        <f t="shared" si="15"/>
        <v>0.4664854088</v>
      </c>
      <c r="D24" s="336">
        <f t="shared" si="15"/>
        <v>0.4209555907</v>
      </c>
      <c r="E24" s="336">
        <f t="shared" si="15"/>
        <v>0.4392947272</v>
      </c>
      <c r="F24" s="336" t="str">
        <f t="shared" si="15"/>
        <v>#DIV/0!</v>
      </c>
      <c r="G24" s="336" t="str">
        <f t="shared" si="15"/>
        <v>#DIV/0!</v>
      </c>
      <c r="H24" s="336" t="str">
        <f t="shared" si="15"/>
        <v>#DIV/0!</v>
      </c>
      <c r="I24" s="336" t="str">
        <f t="shared" si="15"/>
        <v>#DIV/0!</v>
      </c>
      <c r="J24" s="336" t="str">
        <f t="shared" si="15"/>
        <v>#DIV/0!</v>
      </c>
      <c r="K24" s="336" t="str">
        <f t="shared" si="15"/>
        <v>#DIV/0!</v>
      </c>
      <c r="L24" s="336" t="str">
        <f t="shared" si="15"/>
        <v>#DIV/0!</v>
      </c>
      <c r="M24" s="336" t="str">
        <f t="shared" si="15"/>
        <v>#DIV/0!</v>
      </c>
      <c r="N24" s="7"/>
      <c r="O24" s="342">
        <f>O23/(SUM(O3:O4))</f>
        <v>0.4507578207</v>
      </c>
      <c r="P24" s="7"/>
      <c r="Q24" s="7"/>
      <c r="R24" s="342">
        <f t="shared" ref="R24:S24" si="16">R23/(SUM(R3:R4))</f>
        <v>0.3530155795</v>
      </c>
      <c r="S24" s="342">
        <f t="shared" si="16"/>
        <v>0.3470733479</v>
      </c>
      <c r="T24" s="336">
        <v>0.362754328924483</v>
      </c>
      <c r="U24" s="336">
        <v>0.3560838154125527</v>
      </c>
      <c r="V24" s="336">
        <v>0.3609934082481949</v>
      </c>
      <c r="W24" s="336">
        <v>0.3588709146266804</v>
      </c>
      <c r="X24" s="336">
        <v>0.3037382088536972</v>
      </c>
      <c r="Y24" s="336">
        <v>0.3637586964760035</v>
      </c>
      <c r="Z24" s="336">
        <v>0.3671637025202072</v>
      </c>
      <c r="AA24" s="336">
        <v>0.3641988327180423</v>
      </c>
      <c r="AB24" s="336">
        <v>0.359111598062862</v>
      </c>
      <c r="AC24" s="336">
        <v>0.3582967181164452</v>
      </c>
      <c r="AD24" s="7"/>
      <c r="AE24" s="342">
        <f>AE23/(SUM(AE3:AE4))</f>
        <v>0.3544847006</v>
      </c>
    </row>
    <row r="25" ht="15.75" customHeight="1">
      <c r="A25" s="7"/>
      <c r="B25" s="343"/>
      <c r="C25" s="343"/>
      <c r="D25" s="344"/>
      <c r="E25" s="344"/>
      <c r="F25" s="344"/>
      <c r="G25" s="344"/>
      <c r="H25" s="344"/>
      <c r="I25" s="344"/>
      <c r="J25" s="344"/>
      <c r="K25" s="344"/>
      <c r="L25" s="344"/>
      <c r="M25" s="344"/>
      <c r="N25" s="7"/>
      <c r="O25" s="7"/>
      <c r="P25" s="7"/>
      <c r="Q25" s="7"/>
      <c r="R25" s="343"/>
      <c r="S25" s="343"/>
      <c r="U25" s="7"/>
      <c r="V25" s="7"/>
      <c r="W25" s="7"/>
      <c r="X25" s="7"/>
      <c r="Y25" s="7"/>
      <c r="Z25" s="7"/>
      <c r="AA25" s="7"/>
      <c r="AB25" s="7"/>
      <c r="AC25" s="7"/>
      <c r="AD25" s="7"/>
    </row>
    <row r="26" ht="15.75" customHeight="1">
      <c r="A26" s="7"/>
      <c r="B26" s="345"/>
      <c r="C26" s="345"/>
      <c r="D26" s="345"/>
      <c r="E26" s="345"/>
      <c r="F26" s="345"/>
      <c r="G26" s="345"/>
      <c r="H26" s="345"/>
      <c r="I26" s="345"/>
      <c r="J26" s="345"/>
      <c r="K26" s="345"/>
      <c r="L26" s="345"/>
      <c r="M26" s="345"/>
      <c r="N26" s="7"/>
      <c r="O26" s="345"/>
      <c r="P26" s="7"/>
      <c r="Q26" s="7"/>
      <c r="U26" s="7"/>
      <c r="V26" s="7"/>
      <c r="W26" s="7"/>
      <c r="X26" s="7"/>
      <c r="Y26" s="7"/>
      <c r="Z26" s="7"/>
      <c r="AA26" s="7"/>
      <c r="AB26" s="7"/>
      <c r="AC26" s="7"/>
      <c r="AD26" s="7"/>
    </row>
    <row r="27" ht="15.75" customHeight="1">
      <c r="A27" s="7"/>
      <c r="B27" s="345"/>
      <c r="C27" s="345"/>
      <c r="D27" s="345"/>
      <c r="E27" s="345"/>
      <c r="F27" s="345"/>
      <c r="G27" s="345"/>
      <c r="H27" s="345"/>
      <c r="I27" s="345"/>
      <c r="J27" s="345"/>
      <c r="K27" s="345"/>
      <c r="L27" s="345"/>
      <c r="M27" s="345"/>
      <c r="N27" s="345"/>
      <c r="O27" s="345"/>
      <c r="P27" s="7"/>
      <c r="Q27" s="7"/>
      <c r="U27" s="7"/>
      <c r="V27" s="7"/>
      <c r="W27" s="7"/>
      <c r="X27" s="7"/>
      <c r="Y27" s="7"/>
      <c r="Z27" s="7"/>
      <c r="AA27" s="7"/>
      <c r="AB27" s="7"/>
      <c r="AC27" s="7"/>
      <c r="AD27" s="7"/>
    </row>
    <row r="28" ht="15.75" customHeight="1">
      <c r="A28" s="7"/>
      <c r="B28" s="7"/>
      <c r="C28" s="7"/>
      <c r="D28" s="7"/>
      <c r="E28" s="7"/>
      <c r="F28" s="7"/>
      <c r="G28" s="7"/>
      <c r="H28" s="7"/>
      <c r="I28" s="7"/>
      <c r="J28" s="7"/>
      <c r="K28" s="7"/>
      <c r="L28" s="7"/>
      <c r="M28" s="7"/>
      <c r="N28" s="7"/>
      <c r="O28" s="7"/>
      <c r="P28" s="7"/>
      <c r="Q28" s="7"/>
      <c r="U28" s="7"/>
      <c r="V28" s="7"/>
      <c r="W28" s="7"/>
      <c r="X28" s="7"/>
      <c r="Y28" s="7"/>
      <c r="Z28" s="7"/>
      <c r="AA28" s="7"/>
      <c r="AB28" s="7"/>
      <c r="AC28" s="7"/>
      <c r="AD28" s="7"/>
    </row>
    <row r="29" ht="15.75" customHeight="1">
      <c r="A29" s="7"/>
      <c r="B29" s="7"/>
      <c r="C29" s="7"/>
      <c r="D29" s="7"/>
      <c r="E29" s="7"/>
      <c r="F29" s="7"/>
      <c r="G29" s="7"/>
      <c r="H29" s="7"/>
      <c r="I29" s="7"/>
      <c r="J29" s="7"/>
      <c r="K29" s="7"/>
      <c r="L29" s="7"/>
      <c r="M29" s="7"/>
      <c r="N29" s="7"/>
      <c r="O29" s="7"/>
      <c r="P29" s="7"/>
      <c r="Q29" s="7"/>
      <c r="U29" s="7"/>
      <c r="V29" s="7"/>
      <c r="W29" s="7"/>
      <c r="X29" s="7"/>
      <c r="Y29" s="7"/>
      <c r="Z29" s="7"/>
      <c r="AA29" s="7"/>
      <c r="AB29" s="7"/>
      <c r="AC29" s="7"/>
      <c r="AD29" s="7"/>
    </row>
    <row r="30" ht="15.75" customHeight="1">
      <c r="A30" s="7"/>
      <c r="B30" s="7"/>
      <c r="C30" s="7"/>
      <c r="D30" s="7"/>
      <c r="E30" s="7"/>
      <c r="F30" s="7"/>
      <c r="G30" s="7"/>
      <c r="H30" s="7"/>
      <c r="I30" s="7"/>
      <c r="J30" s="7"/>
      <c r="K30" s="7"/>
      <c r="L30" s="7"/>
      <c r="M30" s="7"/>
      <c r="N30" s="7"/>
      <c r="O30" s="7"/>
      <c r="P30" s="7"/>
      <c r="Q30" s="7"/>
      <c r="U30" s="7"/>
      <c r="V30" s="7"/>
      <c r="W30" s="7"/>
      <c r="X30" s="7"/>
      <c r="Y30" s="7"/>
      <c r="Z30" s="7"/>
      <c r="AA30" s="7"/>
      <c r="AB30" s="7"/>
      <c r="AC30" s="7"/>
      <c r="AD30" s="7"/>
    </row>
    <row r="31" ht="15.75" customHeight="1">
      <c r="A31" s="7"/>
      <c r="B31" s="7"/>
      <c r="C31" s="7"/>
      <c r="D31" s="7"/>
      <c r="E31" s="7"/>
      <c r="F31" s="7"/>
      <c r="G31" s="7"/>
      <c r="H31" s="7"/>
      <c r="I31" s="7"/>
      <c r="J31" s="7"/>
      <c r="K31" s="7"/>
      <c r="L31" s="7"/>
      <c r="M31" s="7"/>
      <c r="N31" s="7"/>
      <c r="O31" s="7"/>
      <c r="P31" s="7"/>
      <c r="Q31" s="7"/>
      <c r="U31" s="7"/>
      <c r="V31" s="7"/>
      <c r="W31" s="7"/>
      <c r="X31" s="7"/>
      <c r="Y31" s="7"/>
      <c r="Z31" s="7"/>
      <c r="AA31" s="7"/>
      <c r="AB31" s="7"/>
      <c r="AC31" s="7"/>
      <c r="AD31" s="7"/>
    </row>
    <row r="32" ht="15.75" customHeight="1">
      <c r="A32" s="7"/>
      <c r="B32" s="7"/>
      <c r="C32" s="7"/>
      <c r="D32" s="7"/>
      <c r="E32" s="7"/>
      <c r="F32" s="7"/>
      <c r="G32" s="7"/>
      <c r="H32" s="7"/>
      <c r="I32" s="7"/>
      <c r="J32" s="7"/>
      <c r="K32" s="7"/>
      <c r="L32" s="7"/>
      <c r="M32" s="7"/>
      <c r="N32" s="7"/>
      <c r="O32" s="7"/>
      <c r="P32" s="7"/>
      <c r="Q32" s="7"/>
      <c r="U32" s="7"/>
      <c r="V32" s="7"/>
      <c r="W32" s="7"/>
      <c r="X32" s="7"/>
      <c r="Y32" s="7"/>
      <c r="Z32" s="7"/>
      <c r="AA32" s="7"/>
      <c r="AB32" s="7"/>
      <c r="AC32" s="7"/>
      <c r="AD32" s="7"/>
    </row>
    <row r="33" ht="15.75" customHeight="1">
      <c r="A33" s="7"/>
      <c r="B33" s="7"/>
      <c r="C33" s="7"/>
      <c r="D33" s="7"/>
      <c r="E33" s="7"/>
      <c r="F33" s="7"/>
      <c r="G33" s="7"/>
      <c r="H33" s="7"/>
      <c r="I33" s="7"/>
      <c r="J33" s="7"/>
      <c r="K33" s="7"/>
      <c r="L33" s="7"/>
      <c r="M33" s="7"/>
      <c r="N33" s="7"/>
      <c r="O33" s="7"/>
      <c r="P33" s="7"/>
      <c r="Q33" s="7"/>
      <c r="U33" s="7"/>
      <c r="V33" s="7"/>
      <c r="W33" s="7"/>
      <c r="X33" s="7"/>
      <c r="Y33" s="7"/>
      <c r="Z33" s="7"/>
      <c r="AA33" s="7"/>
      <c r="AB33" s="7"/>
      <c r="AC33" s="7"/>
      <c r="AD33" s="7"/>
    </row>
    <row r="34" ht="15.75" customHeight="1">
      <c r="A34" s="7"/>
      <c r="B34" s="7"/>
      <c r="C34" s="7"/>
      <c r="D34" s="7"/>
      <c r="E34" s="7"/>
      <c r="F34" s="7"/>
      <c r="G34" s="7"/>
      <c r="H34" s="7"/>
      <c r="I34" s="7"/>
      <c r="J34" s="7"/>
      <c r="K34" s="7"/>
      <c r="L34" s="7"/>
      <c r="M34" s="7"/>
      <c r="N34" s="7"/>
      <c r="O34" s="7"/>
      <c r="P34" s="7"/>
      <c r="Q34" s="7"/>
      <c r="U34" s="7"/>
      <c r="V34" s="7"/>
      <c r="W34" s="7"/>
      <c r="X34" s="7"/>
      <c r="Y34" s="7"/>
      <c r="Z34" s="7"/>
      <c r="AA34" s="7"/>
      <c r="AB34" s="7"/>
      <c r="AC34" s="7"/>
      <c r="AD34" s="7"/>
    </row>
    <row r="35" ht="15.75" customHeight="1">
      <c r="A35" s="7"/>
      <c r="B35" s="7"/>
      <c r="C35" s="7"/>
      <c r="D35" s="7"/>
      <c r="E35" s="7"/>
      <c r="F35" s="7"/>
      <c r="G35" s="7"/>
      <c r="H35" s="7"/>
      <c r="I35" s="7"/>
      <c r="J35" s="7"/>
      <c r="K35" s="7"/>
      <c r="L35" s="7"/>
      <c r="M35" s="7"/>
      <c r="N35" s="7"/>
      <c r="O35" s="7"/>
      <c r="P35" s="7"/>
      <c r="Q35" s="7"/>
      <c r="U35" s="7"/>
      <c r="V35" s="7"/>
      <c r="W35" s="7"/>
      <c r="X35" s="7"/>
      <c r="Y35" s="7"/>
      <c r="Z35" s="7"/>
      <c r="AA35" s="7"/>
      <c r="AB35" s="7"/>
      <c r="AC35" s="7"/>
      <c r="AD35" s="7"/>
    </row>
    <row r="36" ht="15.75" customHeight="1">
      <c r="A36" s="7"/>
      <c r="B36" s="7"/>
      <c r="C36" s="7"/>
      <c r="D36" s="7"/>
      <c r="E36" s="7"/>
      <c r="F36" s="7"/>
      <c r="G36" s="7"/>
      <c r="H36" s="7"/>
      <c r="I36" s="7"/>
      <c r="J36" s="7"/>
      <c r="K36" s="7"/>
      <c r="L36" s="7"/>
      <c r="M36" s="7"/>
      <c r="N36" s="7"/>
      <c r="O36" s="7"/>
      <c r="P36" s="7"/>
      <c r="Q36" s="7"/>
      <c r="U36" s="7"/>
      <c r="V36" s="7"/>
      <c r="W36" s="7"/>
      <c r="X36" s="7"/>
      <c r="Y36" s="7"/>
      <c r="Z36" s="7"/>
      <c r="AA36" s="7"/>
      <c r="AB36" s="7"/>
      <c r="AC36" s="7"/>
      <c r="AD36" s="7"/>
    </row>
    <row r="37" ht="15.75" customHeight="1">
      <c r="A37" s="7"/>
      <c r="B37" s="7"/>
      <c r="C37" s="7"/>
      <c r="D37" s="7"/>
      <c r="E37" s="7"/>
      <c r="F37" s="7"/>
      <c r="G37" s="7"/>
      <c r="H37" s="7"/>
      <c r="I37" s="7"/>
      <c r="J37" s="7"/>
      <c r="K37" s="7"/>
      <c r="L37" s="7"/>
      <c r="M37" s="7"/>
      <c r="N37" s="7"/>
      <c r="O37" s="7"/>
      <c r="P37" s="7"/>
      <c r="Q37" s="7"/>
      <c r="U37" s="7"/>
      <c r="V37" s="7"/>
      <c r="W37" s="7"/>
      <c r="X37" s="7"/>
      <c r="Y37" s="7"/>
      <c r="Z37" s="7"/>
      <c r="AA37" s="7"/>
      <c r="AB37" s="7"/>
      <c r="AC37" s="7"/>
      <c r="AD37" s="7"/>
    </row>
    <row r="38" ht="15.75" customHeight="1">
      <c r="A38" s="7"/>
      <c r="B38" s="7"/>
      <c r="C38" s="7"/>
      <c r="D38" s="7"/>
      <c r="E38" s="7"/>
      <c r="F38" s="7"/>
      <c r="G38" s="7"/>
      <c r="H38" s="7"/>
      <c r="I38" s="7"/>
      <c r="J38" s="7"/>
      <c r="K38" s="7"/>
      <c r="L38" s="7"/>
      <c r="M38" s="7"/>
      <c r="N38" s="7"/>
      <c r="O38" s="7"/>
      <c r="P38" s="7"/>
      <c r="Q38" s="7"/>
      <c r="U38" s="7"/>
      <c r="V38" s="7"/>
      <c r="W38" s="7"/>
      <c r="X38" s="7"/>
      <c r="Y38" s="7"/>
      <c r="Z38" s="7"/>
      <c r="AA38" s="7"/>
      <c r="AB38" s="7"/>
      <c r="AC38" s="7"/>
      <c r="AD38" s="7"/>
    </row>
    <row r="39" ht="15.75" customHeight="1">
      <c r="A39" s="7"/>
      <c r="B39" s="7"/>
      <c r="C39" s="7"/>
      <c r="D39" s="7"/>
      <c r="E39" s="7"/>
      <c r="F39" s="7"/>
      <c r="G39" s="7"/>
      <c r="H39" s="7"/>
      <c r="I39" s="7"/>
      <c r="J39" s="7"/>
      <c r="K39" s="7"/>
      <c r="L39" s="7"/>
      <c r="M39" s="7"/>
      <c r="N39" s="7"/>
      <c r="O39" s="7"/>
      <c r="P39" s="7"/>
      <c r="Q39" s="7"/>
      <c r="U39" s="7"/>
      <c r="V39" s="7"/>
      <c r="W39" s="7"/>
      <c r="X39" s="7"/>
      <c r="Y39" s="7"/>
      <c r="Z39" s="7"/>
      <c r="AA39" s="7"/>
      <c r="AB39" s="7"/>
      <c r="AC39" s="7"/>
      <c r="AD39" s="7"/>
    </row>
    <row r="40" ht="15.75" customHeight="1">
      <c r="A40" s="7"/>
      <c r="B40" s="7"/>
      <c r="C40" s="7"/>
      <c r="D40" s="7"/>
      <c r="E40" s="7"/>
      <c r="F40" s="7"/>
      <c r="G40" s="7"/>
      <c r="H40" s="7"/>
      <c r="I40" s="7"/>
      <c r="J40" s="7"/>
      <c r="K40" s="7"/>
      <c r="L40" s="7"/>
      <c r="M40" s="7"/>
      <c r="N40" s="7"/>
      <c r="O40" s="7"/>
      <c r="P40" s="7"/>
      <c r="Q40" s="7"/>
      <c r="U40" s="7"/>
      <c r="V40" s="7"/>
      <c r="W40" s="7"/>
      <c r="X40" s="7"/>
      <c r="Y40" s="7"/>
      <c r="Z40" s="7"/>
      <c r="AA40" s="7"/>
      <c r="AB40" s="7"/>
      <c r="AC40" s="7"/>
      <c r="AD40" s="7"/>
    </row>
    <row r="41" ht="15.75" customHeight="1">
      <c r="A41" s="7"/>
      <c r="B41" s="7"/>
      <c r="C41" s="7"/>
      <c r="D41" s="7"/>
      <c r="E41" s="7"/>
      <c r="F41" s="7"/>
      <c r="G41" s="7"/>
      <c r="H41" s="7"/>
      <c r="I41" s="7"/>
      <c r="J41" s="7"/>
      <c r="K41" s="7"/>
      <c r="L41" s="7"/>
      <c r="M41" s="7"/>
      <c r="N41" s="7"/>
      <c r="O41" s="7"/>
      <c r="P41" s="7"/>
      <c r="Q41" s="7"/>
      <c r="U41" s="7"/>
      <c r="V41" s="7"/>
      <c r="W41" s="7"/>
      <c r="X41" s="7"/>
      <c r="Y41" s="7"/>
      <c r="Z41" s="7"/>
      <c r="AA41" s="7"/>
      <c r="AB41" s="7"/>
      <c r="AC41" s="7"/>
      <c r="AD41" s="7"/>
    </row>
    <row r="42" ht="15.75" customHeight="1">
      <c r="A42" s="7"/>
      <c r="B42" s="7"/>
      <c r="C42" s="7"/>
      <c r="D42" s="7"/>
      <c r="E42" s="7"/>
      <c r="F42" s="7"/>
      <c r="G42" s="7"/>
      <c r="H42" s="7"/>
      <c r="I42" s="7"/>
      <c r="J42" s="7"/>
      <c r="K42" s="7"/>
      <c r="L42" s="7"/>
      <c r="M42" s="7"/>
      <c r="N42" s="7"/>
      <c r="O42" s="7"/>
      <c r="P42" s="7"/>
      <c r="Q42" s="7"/>
      <c r="U42" s="7"/>
      <c r="V42" s="7"/>
      <c r="W42" s="7"/>
      <c r="X42" s="7"/>
      <c r="Y42" s="7"/>
      <c r="Z42" s="7"/>
      <c r="AA42" s="7"/>
      <c r="AB42" s="7"/>
      <c r="AC42" s="7"/>
      <c r="AD42" s="7"/>
    </row>
    <row r="43" ht="15.75" customHeight="1">
      <c r="A43" s="7"/>
      <c r="B43" s="7"/>
      <c r="C43" s="7"/>
      <c r="D43" s="7"/>
      <c r="E43" s="7"/>
      <c r="F43" s="7"/>
      <c r="G43" s="7"/>
      <c r="H43" s="7"/>
      <c r="I43" s="7"/>
      <c r="J43" s="7"/>
      <c r="K43" s="7"/>
      <c r="L43" s="7"/>
      <c r="M43" s="7"/>
      <c r="N43" s="7"/>
      <c r="O43" s="7"/>
      <c r="P43" s="7"/>
      <c r="Q43" s="7"/>
      <c r="U43" s="7"/>
      <c r="V43" s="7"/>
      <c r="W43" s="7"/>
      <c r="X43" s="7"/>
      <c r="Y43" s="7"/>
      <c r="Z43" s="7"/>
      <c r="AA43" s="7"/>
      <c r="AB43" s="7"/>
      <c r="AC43" s="7"/>
      <c r="AD43" s="7"/>
    </row>
    <row r="44" ht="15.75" customHeight="1">
      <c r="A44" s="7"/>
      <c r="B44" s="7"/>
      <c r="C44" s="7"/>
      <c r="D44" s="7"/>
      <c r="E44" s="7"/>
      <c r="F44" s="7"/>
      <c r="G44" s="7"/>
      <c r="H44" s="7"/>
      <c r="I44" s="7"/>
      <c r="J44" s="7"/>
      <c r="K44" s="7"/>
      <c r="L44" s="7"/>
      <c r="M44" s="7"/>
      <c r="N44" s="7"/>
      <c r="O44" s="7"/>
      <c r="P44" s="7"/>
      <c r="Q44" s="7"/>
      <c r="U44" s="7"/>
      <c r="V44" s="7"/>
      <c r="W44" s="7"/>
      <c r="X44" s="7"/>
      <c r="Y44" s="7"/>
      <c r="Z44" s="7"/>
      <c r="AA44" s="7"/>
      <c r="AB44" s="7"/>
      <c r="AC44" s="7"/>
      <c r="AD44" s="7"/>
    </row>
    <row r="45" ht="15.75" customHeight="1">
      <c r="A45" s="7"/>
      <c r="B45" s="7"/>
      <c r="C45" s="7"/>
      <c r="D45" s="7"/>
      <c r="E45" s="7"/>
      <c r="F45" s="7"/>
      <c r="G45" s="7"/>
      <c r="H45" s="7"/>
      <c r="I45" s="7"/>
      <c r="J45" s="7"/>
      <c r="K45" s="7"/>
      <c r="L45" s="7"/>
      <c r="M45" s="7"/>
      <c r="N45" s="7"/>
      <c r="O45" s="7"/>
      <c r="P45" s="7"/>
      <c r="Q45" s="7"/>
      <c r="U45" s="7"/>
      <c r="V45" s="7"/>
      <c r="W45" s="7"/>
      <c r="X45" s="7"/>
      <c r="Y45" s="7"/>
      <c r="Z45" s="7"/>
      <c r="AA45" s="7"/>
      <c r="AB45" s="7"/>
      <c r="AC45" s="7"/>
      <c r="AD45" s="7"/>
    </row>
    <row r="46" ht="15.75" customHeight="1">
      <c r="A46" s="7"/>
      <c r="B46" s="7"/>
      <c r="C46" s="7"/>
      <c r="D46" s="7"/>
      <c r="E46" s="7"/>
      <c r="F46" s="7"/>
      <c r="G46" s="7"/>
      <c r="H46" s="7"/>
      <c r="I46" s="7"/>
      <c r="J46" s="7"/>
      <c r="K46" s="7"/>
      <c r="L46" s="7"/>
      <c r="M46" s="7"/>
      <c r="N46" s="7"/>
      <c r="O46" s="7"/>
      <c r="P46" s="7"/>
      <c r="Q46" s="7"/>
      <c r="U46" s="7"/>
      <c r="V46" s="7"/>
      <c r="W46" s="7"/>
      <c r="X46" s="7"/>
      <c r="Y46" s="7"/>
      <c r="Z46" s="7"/>
      <c r="AA46" s="7"/>
      <c r="AB46" s="7"/>
      <c r="AC46" s="7"/>
      <c r="AD46" s="7"/>
    </row>
    <row r="47" ht="15.75" customHeight="1">
      <c r="A47" s="7"/>
      <c r="B47" s="7"/>
      <c r="C47" s="7"/>
      <c r="D47" s="7"/>
      <c r="E47" s="7"/>
      <c r="F47" s="7"/>
      <c r="G47" s="7"/>
      <c r="H47" s="7"/>
      <c r="I47" s="7"/>
      <c r="J47" s="7"/>
      <c r="K47" s="7"/>
      <c r="L47" s="7"/>
      <c r="M47" s="7"/>
      <c r="N47" s="7"/>
      <c r="O47" s="7"/>
      <c r="P47" s="7"/>
      <c r="Q47" s="7"/>
      <c r="U47" s="7"/>
      <c r="V47" s="7"/>
      <c r="W47" s="7"/>
      <c r="X47" s="7"/>
      <c r="Y47" s="7"/>
      <c r="Z47" s="7"/>
      <c r="AA47" s="7"/>
      <c r="AB47" s="7"/>
      <c r="AC47" s="7"/>
      <c r="AD47" s="7"/>
    </row>
    <row r="48" ht="15.75" customHeight="1">
      <c r="A48" s="7"/>
      <c r="B48" s="7"/>
      <c r="C48" s="7"/>
      <c r="D48" s="7"/>
      <c r="E48" s="7"/>
      <c r="F48" s="7"/>
      <c r="G48" s="7"/>
      <c r="H48" s="7"/>
      <c r="I48" s="7"/>
      <c r="J48" s="7"/>
      <c r="K48" s="7"/>
      <c r="L48" s="7"/>
      <c r="M48" s="7"/>
      <c r="N48" s="7"/>
      <c r="O48" s="7"/>
      <c r="P48" s="7"/>
      <c r="Q48" s="7"/>
      <c r="U48" s="7"/>
      <c r="V48" s="7"/>
      <c r="W48" s="7"/>
      <c r="X48" s="7"/>
      <c r="Y48" s="7"/>
      <c r="Z48" s="7"/>
      <c r="AA48" s="7"/>
      <c r="AB48" s="7"/>
      <c r="AC48" s="7"/>
      <c r="AD48" s="7"/>
    </row>
    <row r="49" ht="15.75" customHeight="1">
      <c r="A49" s="7"/>
      <c r="B49" s="7"/>
      <c r="C49" s="7"/>
      <c r="D49" s="7"/>
      <c r="E49" s="7"/>
      <c r="F49" s="7"/>
      <c r="G49" s="7"/>
      <c r="H49" s="7"/>
      <c r="I49" s="7"/>
      <c r="J49" s="7"/>
      <c r="K49" s="7"/>
      <c r="L49" s="7"/>
      <c r="M49" s="7"/>
      <c r="N49" s="7"/>
      <c r="O49" s="7"/>
      <c r="P49" s="7"/>
      <c r="Q49" s="7"/>
      <c r="U49" s="7"/>
      <c r="V49" s="7"/>
      <c r="W49" s="7"/>
      <c r="X49" s="7"/>
      <c r="Y49" s="7"/>
      <c r="Z49" s="7"/>
      <c r="AA49" s="7"/>
      <c r="AB49" s="7"/>
      <c r="AC49" s="7"/>
      <c r="AD49" s="7"/>
    </row>
    <row r="50" ht="15.75" customHeight="1">
      <c r="A50" s="7"/>
      <c r="B50" s="7"/>
      <c r="C50" s="7"/>
      <c r="D50" s="7"/>
      <c r="E50" s="7"/>
      <c r="F50" s="7"/>
      <c r="G50" s="7"/>
      <c r="H50" s="7"/>
      <c r="I50" s="7"/>
      <c r="J50" s="7"/>
      <c r="K50" s="7"/>
      <c r="L50" s="7"/>
      <c r="M50" s="7"/>
      <c r="N50" s="7"/>
      <c r="O50" s="7"/>
      <c r="P50" s="7"/>
      <c r="Q50" s="7"/>
      <c r="U50" s="7"/>
      <c r="V50" s="7"/>
      <c r="W50" s="7"/>
      <c r="X50" s="7"/>
      <c r="Y50" s="7"/>
      <c r="Z50" s="7"/>
      <c r="AA50" s="7"/>
      <c r="AB50" s="7"/>
      <c r="AC50" s="7"/>
      <c r="AD50" s="7"/>
    </row>
    <row r="51" ht="15.75" customHeight="1">
      <c r="A51" s="7"/>
      <c r="B51" s="7"/>
      <c r="C51" s="7"/>
      <c r="D51" s="7"/>
      <c r="E51" s="7"/>
      <c r="F51" s="7"/>
      <c r="G51" s="7"/>
      <c r="H51" s="7"/>
      <c r="I51" s="7"/>
      <c r="J51" s="7"/>
      <c r="K51" s="7"/>
      <c r="L51" s="7"/>
      <c r="M51" s="7"/>
      <c r="N51" s="7"/>
      <c r="O51" s="7"/>
      <c r="P51" s="7"/>
      <c r="Q51" s="7"/>
      <c r="U51" s="7"/>
      <c r="V51" s="7"/>
      <c r="W51" s="7"/>
      <c r="X51" s="7"/>
      <c r="Y51" s="7"/>
      <c r="Z51" s="7"/>
      <c r="AA51" s="7"/>
      <c r="AB51" s="7"/>
      <c r="AC51" s="7"/>
      <c r="AD51" s="7"/>
    </row>
    <row r="52" ht="15.75" customHeight="1">
      <c r="A52" s="7"/>
      <c r="B52" s="7"/>
      <c r="C52" s="7"/>
      <c r="D52" s="7"/>
      <c r="E52" s="7"/>
      <c r="F52" s="7"/>
      <c r="G52" s="7"/>
      <c r="H52" s="7"/>
      <c r="I52" s="7"/>
      <c r="J52" s="7"/>
      <c r="K52" s="7"/>
      <c r="L52" s="7"/>
      <c r="M52" s="7"/>
      <c r="N52" s="7"/>
      <c r="O52" s="7"/>
      <c r="P52" s="7"/>
      <c r="Q52" s="7"/>
      <c r="U52" s="7"/>
      <c r="V52" s="7"/>
      <c r="W52" s="7"/>
      <c r="X52" s="7"/>
      <c r="Y52" s="7"/>
      <c r="Z52" s="7"/>
      <c r="AA52" s="7"/>
      <c r="AB52" s="7"/>
      <c r="AC52" s="7"/>
      <c r="AD52" s="7"/>
    </row>
    <row r="53" ht="15.75" customHeight="1">
      <c r="A53" s="7"/>
      <c r="B53" s="7"/>
      <c r="C53" s="7"/>
      <c r="D53" s="7"/>
      <c r="E53" s="7"/>
      <c r="F53" s="7"/>
      <c r="G53" s="7"/>
      <c r="H53" s="7"/>
      <c r="I53" s="7"/>
      <c r="J53" s="7"/>
      <c r="K53" s="7"/>
      <c r="L53" s="7"/>
      <c r="M53" s="7"/>
      <c r="N53" s="7"/>
      <c r="O53" s="7"/>
      <c r="P53" s="7"/>
      <c r="Q53" s="7"/>
      <c r="U53" s="7"/>
      <c r="V53" s="7"/>
      <c r="W53" s="7"/>
      <c r="X53" s="7"/>
      <c r="Y53" s="7"/>
      <c r="Z53" s="7"/>
      <c r="AA53" s="7"/>
      <c r="AB53" s="7"/>
      <c r="AC53" s="7"/>
      <c r="AD53" s="7"/>
    </row>
    <row r="54" ht="15.75" customHeight="1">
      <c r="A54" s="7"/>
      <c r="B54" s="7"/>
      <c r="C54" s="7"/>
      <c r="D54" s="7"/>
      <c r="E54" s="7"/>
      <c r="F54" s="7"/>
      <c r="G54" s="7"/>
      <c r="H54" s="7"/>
      <c r="I54" s="7"/>
      <c r="J54" s="7"/>
      <c r="K54" s="7"/>
      <c r="L54" s="7"/>
      <c r="M54" s="7"/>
      <c r="N54" s="7"/>
      <c r="O54" s="7"/>
      <c r="P54" s="7"/>
      <c r="Q54" s="7"/>
      <c r="U54" s="7"/>
      <c r="V54" s="7"/>
      <c r="W54" s="7"/>
      <c r="X54" s="7"/>
      <c r="Y54" s="7"/>
      <c r="Z54" s="7"/>
      <c r="AA54" s="7"/>
      <c r="AB54" s="7"/>
      <c r="AC54" s="7"/>
      <c r="AD54" s="7"/>
    </row>
    <row r="55" ht="15.75" customHeight="1">
      <c r="A55" s="7"/>
      <c r="B55" s="7"/>
      <c r="C55" s="7"/>
      <c r="D55" s="7"/>
      <c r="E55" s="7"/>
      <c r="F55" s="7"/>
      <c r="G55" s="7"/>
      <c r="H55" s="7"/>
      <c r="I55" s="7"/>
      <c r="J55" s="7"/>
      <c r="K55" s="7"/>
      <c r="L55" s="7"/>
      <c r="M55" s="7"/>
      <c r="N55" s="7"/>
      <c r="O55" s="7"/>
      <c r="P55" s="7"/>
      <c r="Q55" s="7"/>
      <c r="U55" s="7"/>
      <c r="V55" s="7"/>
      <c r="W55" s="7"/>
      <c r="X55" s="7"/>
      <c r="Y55" s="7"/>
      <c r="Z55" s="7"/>
      <c r="AA55" s="7"/>
      <c r="AB55" s="7"/>
      <c r="AC55" s="7"/>
      <c r="AD55" s="7"/>
    </row>
    <row r="56" ht="15.75" customHeight="1">
      <c r="A56" s="7"/>
      <c r="B56" s="7"/>
      <c r="C56" s="7"/>
      <c r="D56" s="7"/>
      <c r="E56" s="7"/>
      <c r="F56" s="7"/>
      <c r="G56" s="7"/>
      <c r="H56" s="7"/>
      <c r="I56" s="7"/>
      <c r="J56" s="7"/>
      <c r="K56" s="7"/>
      <c r="L56" s="7"/>
      <c r="M56" s="7"/>
      <c r="N56" s="7"/>
      <c r="O56" s="7"/>
      <c r="P56" s="7"/>
      <c r="Q56" s="7"/>
      <c r="U56" s="7"/>
      <c r="V56" s="7"/>
      <c r="W56" s="7"/>
      <c r="X56" s="7"/>
      <c r="Y56" s="7"/>
      <c r="Z56" s="7"/>
      <c r="AA56" s="7"/>
      <c r="AB56" s="7"/>
      <c r="AC56" s="7"/>
      <c r="AD56" s="7"/>
    </row>
    <row r="57" ht="15.75" customHeight="1">
      <c r="A57" s="7"/>
      <c r="B57" s="7"/>
      <c r="C57" s="7"/>
      <c r="D57" s="7"/>
      <c r="E57" s="7"/>
      <c r="F57" s="7"/>
      <c r="G57" s="7"/>
      <c r="H57" s="7"/>
      <c r="I57" s="7"/>
      <c r="J57" s="7"/>
      <c r="K57" s="7"/>
      <c r="L57" s="7"/>
      <c r="M57" s="7"/>
      <c r="N57" s="7"/>
      <c r="O57" s="7"/>
      <c r="P57" s="7"/>
      <c r="Q57" s="7"/>
      <c r="U57" s="7"/>
      <c r="V57" s="7"/>
      <c r="W57" s="7"/>
      <c r="X57" s="7"/>
      <c r="Y57" s="7"/>
      <c r="Z57" s="7"/>
      <c r="AA57" s="7"/>
      <c r="AB57" s="7"/>
      <c r="AC57" s="7"/>
      <c r="AD57" s="7"/>
    </row>
    <row r="58" ht="15.75" customHeight="1">
      <c r="A58" s="7"/>
      <c r="B58" s="7"/>
      <c r="C58" s="7"/>
      <c r="D58" s="7"/>
      <c r="E58" s="7"/>
      <c r="F58" s="7"/>
      <c r="G58" s="7"/>
      <c r="H58" s="7"/>
      <c r="I58" s="7"/>
      <c r="J58" s="7"/>
      <c r="K58" s="7"/>
      <c r="L58" s="7"/>
      <c r="M58" s="7"/>
      <c r="N58" s="7"/>
      <c r="O58" s="7"/>
      <c r="P58" s="7"/>
      <c r="Q58" s="7"/>
      <c r="U58" s="7"/>
      <c r="V58" s="7"/>
      <c r="W58" s="7"/>
      <c r="X58" s="7"/>
      <c r="Y58" s="7"/>
      <c r="Z58" s="7"/>
      <c r="AA58" s="7"/>
      <c r="AB58" s="7"/>
      <c r="AC58" s="7"/>
      <c r="AD58" s="7"/>
    </row>
    <row r="59" ht="15.75" customHeight="1">
      <c r="A59" s="7"/>
      <c r="B59" s="7"/>
      <c r="C59" s="7"/>
      <c r="D59" s="7"/>
      <c r="E59" s="7"/>
      <c r="F59" s="7"/>
      <c r="G59" s="7"/>
      <c r="H59" s="7"/>
      <c r="I59" s="7"/>
      <c r="J59" s="7"/>
      <c r="K59" s="7"/>
      <c r="L59" s="7"/>
      <c r="M59" s="7"/>
      <c r="N59" s="7"/>
      <c r="O59" s="7"/>
      <c r="P59" s="7"/>
      <c r="Q59" s="7"/>
      <c r="U59" s="7"/>
      <c r="V59" s="7"/>
      <c r="W59" s="7"/>
      <c r="X59" s="7"/>
      <c r="Y59" s="7"/>
      <c r="Z59" s="7"/>
      <c r="AA59" s="7"/>
      <c r="AB59" s="7"/>
      <c r="AC59" s="7"/>
      <c r="AD59" s="7"/>
    </row>
    <row r="60" ht="15.75" customHeight="1">
      <c r="A60" s="7"/>
      <c r="B60" s="7"/>
      <c r="C60" s="7"/>
      <c r="D60" s="7"/>
      <c r="E60" s="7"/>
      <c r="F60" s="7"/>
      <c r="G60" s="7"/>
      <c r="H60" s="7"/>
      <c r="I60" s="7"/>
      <c r="J60" s="7"/>
      <c r="K60" s="7"/>
      <c r="L60" s="7"/>
      <c r="M60" s="7"/>
      <c r="N60" s="7"/>
      <c r="O60" s="7"/>
      <c r="P60" s="7"/>
      <c r="Q60" s="7"/>
      <c r="U60" s="7"/>
      <c r="V60" s="7"/>
      <c r="W60" s="7"/>
      <c r="X60" s="7"/>
      <c r="Y60" s="7"/>
      <c r="Z60" s="7"/>
      <c r="AA60" s="7"/>
      <c r="AB60" s="7"/>
      <c r="AC60" s="7"/>
      <c r="AD60" s="7"/>
    </row>
    <row r="61" ht="15.75" customHeight="1">
      <c r="A61" s="7"/>
      <c r="B61" s="7"/>
      <c r="C61" s="7"/>
      <c r="D61" s="7"/>
      <c r="E61" s="7"/>
      <c r="F61" s="7"/>
      <c r="G61" s="7"/>
      <c r="H61" s="7"/>
      <c r="I61" s="7"/>
      <c r="J61" s="7"/>
      <c r="K61" s="7"/>
      <c r="L61" s="7"/>
      <c r="M61" s="7"/>
      <c r="N61" s="7"/>
      <c r="O61" s="7"/>
      <c r="P61" s="7"/>
      <c r="Q61" s="7"/>
      <c r="U61" s="7"/>
      <c r="V61" s="7"/>
      <c r="W61" s="7"/>
      <c r="X61" s="7"/>
      <c r="Y61" s="7"/>
      <c r="Z61" s="7"/>
      <c r="AA61" s="7"/>
      <c r="AB61" s="7"/>
      <c r="AC61" s="7"/>
      <c r="AD61" s="7"/>
    </row>
    <row r="62" ht="15.75" customHeight="1">
      <c r="A62" s="7"/>
      <c r="B62" s="7"/>
      <c r="C62" s="7"/>
      <c r="D62" s="7"/>
      <c r="E62" s="7"/>
      <c r="F62" s="7"/>
      <c r="G62" s="7"/>
      <c r="H62" s="7"/>
      <c r="I62" s="7"/>
      <c r="J62" s="7"/>
      <c r="K62" s="7"/>
      <c r="L62" s="7"/>
      <c r="M62" s="7"/>
      <c r="N62" s="7"/>
      <c r="O62" s="7"/>
      <c r="P62" s="7"/>
      <c r="Q62" s="7"/>
      <c r="U62" s="7"/>
      <c r="V62" s="7"/>
      <c r="W62" s="7"/>
      <c r="X62" s="7"/>
      <c r="Y62" s="7"/>
      <c r="Z62" s="7"/>
      <c r="AA62" s="7"/>
      <c r="AB62" s="7"/>
      <c r="AC62" s="7"/>
      <c r="AD62" s="7"/>
    </row>
    <row r="63" ht="15.75" customHeight="1">
      <c r="A63" s="7"/>
      <c r="B63" s="7"/>
      <c r="C63" s="7"/>
      <c r="D63" s="7"/>
      <c r="E63" s="7"/>
      <c r="F63" s="7"/>
      <c r="G63" s="7"/>
      <c r="H63" s="7"/>
      <c r="I63" s="7"/>
      <c r="J63" s="7"/>
      <c r="K63" s="7"/>
      <c r="L63" s="7"/>
      <c r="M63" s="7"/>
      <c r="N63" s="7"/>
      <c r="O63" s="7"/>
      <c r="P63" s="7"/>
      <c r="Q63" s="7"/>
      <c r="U63" s="7"/>
      <c r="V63" s="7"/>
      <c r="W63" s="7"/>
      <c r="X63" s="7"/>
      <c r="Y63" s="7"/>
      <c r="Z63" s="7"/>
      <c r="AA63" s="7"/>
      <c r="AB63" s="7"/>
      <c r="AC63" s="7"/>
      <c r="AD63" s="7"/>
    </row>
    <row r="64" ht="15.75" customHeight="1">
      <c r="A64" s="7"/>
      <c r="B64" s="7"/>
      <c r="C64" s="7"/>
      <c r="D64" s="7"/>
      <c r="E64" s="7"/>
      <c r="F64" s="7"/>
      <c r="G64" s="7"/>
      <c r="H64" s="7"/>
      <c r="I64" s="7"/>
      <c r="J64" s="7"/>
      <c r="K64" s="7"/>
      <c r="L64" s="7"/>
      <c r="M64" s="7"/>
      <c r="N64" s="7"/>
      <c r="O64" s="7"/>
      <c r="P64" s="7"/>
      <c r="Q64" s="7"/>
      <c r="U64" s="7"/>
      <c r="V64" s="7"/>
      <c r="W64" s="7"/>
      <c r="X64" s="7"/>
      <c r="Y64" s="7"/>
      <c r="Z64" s="7"/>
      <c r="AA64" s="7"/>
      <c r="AB64" s="7"/>
      <c r="AC64" s="7"/>
      <c r="AD64" s="7"/>
    </row>
    <row r="65" ht="15.75" customHeight="1">
      <c r="A65" s="7"/>
      <c r="B65" s="7"/>
      <c r="C65" s="7"/>
      <c r="D65" s="7"/>
      <c r="E65" s="7"/>
      <c r="F65" s="7"/>
      <c r="G65" s="7"/>
      <c r="H65" s="7"/>
      <c r="I65" s="7"/>
      <c r="J65" s="7"/>
      <c r="K65" s="7"/>
      <c r="L65" s="7"/>
      <c r="M65" s="7"/>
      <c r="N65" s="7"/>
      <c r="O65" s="7"/>
      <c r="P65" s="7"/>
      <c r="Q65" s="7"/>
      <c r="U65" s="7"/>
      <c r="V65" s="7"/>
      <c r="W65" s="7"/>
      <c r="X65" s="7"/>
      <c r="Y65" s="7"/>
      <c r="Z65" s="7"/>
      <c r="AA65" s="7"/>
      <c r="AB65" s="7"/>
      <c r="AC65" s="7"/>
      <c r="AD65" s="7"/>
    </row>
    <row r="66" ht="15.75" customHeight="1">
      <c r="A66" s="7"/>
      <c r="B66" s="7"/>
      <c r="C66" s="7"/>
      <c r="D66" s="7"/>
      <c r="E66" s="7"/>
      <c r="F66" s="7"/>
      <c r="G66" s="7"/>
      <c r="H66" s="7"/>
      <c r="I66" s="7"/>
      <c r="J66" s="7"/>
      <c r="K66" s="7"/>
      <c r="L66" s="7"/>
      <c r="M66" s="7"/>
      <c r="N66" s="7"/>
      <c r="O66" s="7"/>
      <c r="P66" s="7"/>
      <c r="Q66" s="7"/>
      <c r="U66" s="7"/>
      <c r="V66" s="7"/>
      <c r="W66" s="7"/>
      <c r="X66" s="7"/>
      <c r="Y66" s="7"/>
      <c r="Z66" s="7"/>
      <c r="AA66" s="7"/>
      <c r="AB66" s="7"/>
      <c r="AC66" s="7"/>
      <c r="AD66" s="7"/>
    </row>
    <row r="67" ht="15.75" customHeight="1">
      <c r="A67" s="7"/>
      <c r="B67" s="7"/>
      <c r="C67" s="7"/>
      <c r="D67" s="7"/>
      <c r="E67" s="7"/>
      <c r="F67" s="7"/>
      <c r="G67" s="7"/>
      <c r="H67" s="7"/>
      <c r="I67" s="7"/>
      <c r="J67" s="7"/>
      <c r="K67" s="7"/>
      <c r="L67" s="7"/>
      <c r="M67" s="7"/>
      <c r="N67" s="7"/>
      <c r="O67" s="7"/>
      <c r="P67" s="7"/>
      <c r="Q67" s="7"/>
      <c r="U67" s="7"/>
      <c r="V67" s="7"/>
      <c r="W67" s="7"/>
      <c r="X67" s="7"/>
      <c r="Y67" s="7"/>
      <c r="Z67" s="7"/>
      <c r="AA67" s="7"/>
      <c r="AB67" s="7"/>
      <c r="AC67" s="7"/>
      <c r="AD67" s="7"/>
    </row>
    <row r="68" ht="15.75" customHeight="1">
      <c r="A68" s="7"/>
      <c r="B68" s="7"/>
      <c r="C68" s="7"/>
      <c r="D68" s="7"/>
      <c r="E68" s="7"/>
      <c r="F68" s="7"/>
      <c r="G68" s="7"/>
      <c r="H68" s="7"/>
      <c r="I68" s="7"/>
      <c r="J68" s="7"/>
      <c r="K68" s="7"/>
      <c r="L68" s="7"/>
      <c r="M68" s="7"/>
      <c r="N68" s="7"/>
      <c r="O68" s="7"/>
      <c r="P68" s="7"/>
      <c r="Q68" s="7"/>
      <c r="U68" s="7"/>
      <c r="V68" s="7"/>
      <c r="W68" s="7"/>
      <c r="X68" s="7"/>
      <c r="Y68" s="7"/>
      <c r="Z68" s="7"/>
      <c r="AA68" s="7"/>
      <c r="AB68" s="7"/>
      <c r="AC68" s="7"/>
      <c r="AD68" s="7"/>
    </row>
    <row r="69" ht="15.75" customHeight="1">
      <c r="A69" s="7"/>
      <c r="B69" s="7"/>
      <c r="C69" s="7"/>
      <c r="D69" s="7"/>
      <c r="E69" s="7"/>
      <c r="F69" s="7"/>
      <c r="G69" s="7"/>
      <c r="H69" s="7"/>
      <c r="I69" s="7"/>
      <c r="J69" s="7"/>
      <c r="K69" s="7"/>
      <c r="L69" s="7"/>
      <c r="M69" s="7"/>
      <c r="N69" s="7"/>
      <c r="O69" s="7"/>
      <c r="P69" s="7"/>
      <c r="Q69" s="7"/>
      <c r="U69" s="7"/>
      <c r="V69" s="7"/>
      <c r="W69" s="7"/>
      <c r="X69" s="7"/>
      <c r="Y69" s="7"/>
      <c r="Z69" s="7"/>
      <c r="AA69" s="7"/>
      <c r="AB69" s="7"/>
      <c r="AC69" s="7"/>
      <c r="AD69" s="7"/>
    </row>
    <row r="70" ht="15.75" customHeight="1">
      <c r="A70" s="7"/>
      <c r="B70" s="7"/>
      <c r="C70" s="7"/>
      <c r="D70" s="7"/>
      <c r="E70" s="7"/>
      <c r="F70" s="7"/>
      <c r="G70" s="7"/>
      <c r="H70" s="7"/>
      <c r="I70" s="7"/>
      <c r="J70" s="7"/>
      <c r="K70" s="7"/>
      <c r="L70" s="7"/>
      <c r="M70" s="7"/>
      <c r="N70" s="7"/>
      <c r="O70" s="7"/>
      <c r="P70" s="7"/>
      <c r="Q70" s="7"/>
      <c r="U70" s="7"/>
      <c r="V70" s="7"/>
      <c r="W70" s="7"/>
      <c r="X70" s="7"/>
      <c r="Y70" s="7"/>
      <c r="Z70" s="7"/>
      <c r="AA70" s="7"/>
      <c r="AB70" s="7"/>
      <c r="AC70" s="7"/>
      <c r="AD70" s="7"/>
    </row>
    <row r="71" ht="15.75" customHeight="1">
      <c r="A71" s="7"/>
      <c r="B71" s="7"/>
      <c r="C71" s="7"/>
      <c r="D71" s="7"/>
      <c r="E71" s="7"/>
      <c r="F71" s="7"/>
      <c r="G71" s="7"/>
      <c r="H71" s="7"/>
      <c r="I71" s="7"/>
      <c r="J71" s="7"/>
      <c r="K71" s="7"/>
      <c r="L71" s="7"/>
      <c r="M71" s="7"/>
      <c r="N71" s="7"/>
      <c r="O71" s="7"/>
      <c r="P71" s="7"/>
      <c r="Q71" s="7"/>
      <c r="U71" s="7"/>
      <c r="V71" s="7"/>
      <c r="W71" s="7"/>
      <c r="X71" s="7"/>
      <c r="Y71" s="7"/>
      <c r="Z71" s="7"/>
      <c r="AA71" s="7"/>
      <c r="AB71" s="7"/>
      <c r="AC71" s="7"/>
      <c r="AD71" s="7"/>
    </row>
    <row r="72" ht="15.75" customHeight="1">
      <c r="A72" s="7"/>
      <c r="B72" s="7"/>
      <c r="C72" s="7"/>
      <c r="D72" s="7"/>
      <c r="E72" s="7"/>
      <c r="F72" s="7"/>
      <c r="G72" s="7"/>
      <c r="H72" s="7"/>
      <c r="I72" s="7"/>
      <c r="J72" s="7"/>
      <c r="K72" s="7"/>
      <c r="L72" s="7"/>
      <c r="M72" s="7"/>
      <c r="N72" s="7"/>
      <c r="O72" s="7"/>
      <c r="P72" s="7"/>
      <c r="Q72" s="7"/>
      <c r="U72" s="7"/>
      <c r="V72" s="7"/>
      <c r="W72" s="7"/>
      <c r="X72" s="7"/>
      <c r="Y72" s="7"/>
      <c r="Z72" s="7"/>
      <c r="AA72" s="7"/>
      <c r="AB72" s="7"/>
      <c r="AC72" s="7"/>
      <c r="AD72" s="7"/>
    </row>
    <row r="73" ht="15.75" customHeight="1">
      <c r="A73" s="7"/>
      <c r="B73" s="7"/>
      <c r="C73" s="7"/>
      <c r="D73" s="7"/>
      <c r="E73" s="7"/>
      <c r="F73" s="7"/>
      <c r="G73" s="7"/>
      <c r="H73" s="7"/>
      <c r="I73" s="7"/>
      <c r="J73" s="7"/>
      <c r="K73" s="7"/>
      <c r="L73" s="7"/>
      <c r="M73" s="7"/>
      <c r="N73" s="7"/>
      <c r="O73" s="7"/>
      <c r="P73" s="7"/>
      <c r="Q73" s="7"/>
      <c r="U73" s="7"/>
      <c r="V73" s="7"/>
      <c r="W73" s="7"/>
      <c r="X73" s="7"/>
      <c r="Y73" s="7"/>
      <c r="Z73" s="7"/>
      <c r="AA73" s="7"/>
      <c r="AB73" s="7"/>
      <c r="AC73" s="7"/>
      <c r="AD73" s="7"/>
    </row>
    <row r="74" ht="15.75" customHeight="1">
      <c r="A74" s="7"/>
      <c r="B74" s="7"/>
      <c r="C74" s="7"/>
      <c r="D74" s="7"/>
      <c r="E74" s="7"/>
      <c r="F74" s="7"/>
      <c r="G74" s="7"/>
      <c r="H74" s="7"/>
      <c r="I74" s="7"/>
      <c r="J74" s="7"/>
      <c r="K74" s="7"/>
      <c r="L74" s="7"/>
      <c r="M74" s="7"/>
      <c r="N74" s="7"/>
      <c r="O74" s="7"/>
      <c r="P74" s="7"/>
      <c r="Q74" s="7"/>
      <c r="U74" s="7"/>
      <c r="V74" s="7"/>
      <c r="W74" s="7"/>
      <c r="X74" s="7"/>
      <c r="Y74" s="7"/>
      <c r="Z74" s="7"/>
      <c r="AA74" s="7"/>
      <c r="AB74" s="7"/>
      <c r="AC74" s="7"/>
      <c r="AD74" s="7"/>
    </row>
    <row r="75" ht="15.75" customHeight="1">
      <c r="A75" s="7"/>
      <c r="B75" s="7"/>
      <c r="C75" s="7"/>
      <c r="D75" s="7"/>
      <c r="E75" s="7"/>
      <c r="F75" s="7"/>
      <c r="G75" s="7"/>
      <c r="H75" s="7"/>
      <c r="I75" s="7"/>
      <c r="J75" s="7"/>
      <c r="K75" s="7"/>
      <c r="L75" s="7"/>
      <c r="M75" s="7"/>
      <c r="N75" s="7"/>
      <c r="O75" s="7"/>
      <c r="P75" s="7"/>
      <c r="Q75" s="7"/>
      <c r="U75" s="7"/>
      <c r="V75" s="7"/>
      <c r="W75" s="7"/>
      <c r="X75" s="7"/>
      <c r="Y75" s="7"/>
      <c r="Z75" s="7"/>
      <c r="AA75" s="7"/>
      <c r="AB75" s="7"/>
      <c r="AC75" s="7"/>
      <c r="AD75" s="7"/>
    </row>
    <row r="76" ht="15.75" customHeight="1">
      <c r="A76" s="7"/>
      <c r="B76" s="7"/>
      <c r="C76" s="7"/>
      <c r="D76" s="7"/>
      <c r="E76" s="7"/>
      <c r="F76" s="7"/>
      <c r="G76" s="7"/>
      <c r="H76" s="7"/>
      <c r="I76" s="7"/>
      <c r="J76" s="7"/>
      <c r="K76" s="7"/>
      <c r="L76" s="7"/>
      <c r="M76" s="7"/>
      <c r="N76" s="7"/>
      <c r="O76" s="7"/>
      <c r="P76" s="7"/>
      <c r="Q76" s="7"/>
      <c r="U76" s="7"/>
      <c r="V76" s="7"/>
      <c r="W76" s="7"/>
      <c r="X76" s="7"/>
      <c r="Y76" s="7"/>
      <c r="Z76" s="7"/>
      <c r="AA76" s="7"/>
      <c r="AB76" s="7"/>
      <c r="AC76" s="7"/>
      <c r="AD76" s="7"/>
    </row>
    <row r="77" ht="15.75" customHeight="1">
      <c r="A77" s="7"/>
      <c r="B77" s="7"/>
      <c r="C77" s="7"/>
      <c r="D77" s="7"/>
      <c r="E77" s="7"/>
      <c r="F77" s="7"/>
      <c r="G77" s="7"/>
      <c r="H77" s="7"/>
      <c r="I77" s="7"/>
      <c r="J77" s="7"/>
      <c r="K77" s="7"/>
      <c r="L77" s="7"/>
      <c r="M77" s="7"/>
      <c r="N77" s="7"/>
      <c r="O77" s="7"/>
      <c r="P77" s="7"/>
      <c r="Q77" s="7"/>
      <c r="U77" s="7"/>
      <c r="V77" s="7"/>
      <c r="W77" s="7"/>
      <c r="X77" s="7"/>
      <c r="Y77" s="7"/>
      <c r="Z77" s="7"/>
      <c r="AA77" s="7"/>
      <c r="AB77" s="7"/>
      <c r="AC77" s="7"/>
      <c r="AD77" s="7"/>
    </row>
    <row r="78" ht="15.75" customHeight="1">
      <c r="A78" s="7"/>
      <c r="B78" s="7"/>
      <c r="C78" s="7"/>
      <c r="D78" s="7"/>
      <c r="E78" s="7"/>
      <c r="F78" s="7"/>
      <c r="G78" s="7"/>
      <c r="H78" s="7"/>
      <c r="I78" s="7"/>
      <c r="J78" s="7"/>
      <c r="K78" s="7"/>
      <c r="L78" s="7"/>
      <c r="M78" s="7"/>
      <c r="N78" s="7"/>
      <c r="O78" s="7"/>
      <c r="P78" s="7"/>
      <c r="Q78" s="7"/>
      <c r="U78" s="7"/>
      <c r="V78" s="7"/>
      <c r="W78" s="7"/>
      <c r="X78" s="7"/>
      <c r="Y78" s="7"/>
      <c r="Z78" s="7"/>
      <c r="AA78" s="7"/>
      <c r="AB78" s="7"/>
      <c r="AC78" s="7"/>
      <c r="AD78" s="7"/>
    </row>
    <row r="79" ht="15.75" customHeight="1">
      <c r="A79" s="7"/>
      <c r="B79" s="7"/>
      <c r="C79" s="7"/>
      <c r="D79" s="7"/>
      <c r="E79" s="7"/>
      <c r="F79" s="7"/>
      <c r="G79" s="7"/>
      <c r="H79" s="7"/>
      <c r="I79" s="7"/>
      <c r="J79" s="7"/>
      <c r="K79" s="7"/>
      <c r="L79" s="7"/>
      <c r="M79" s="7"/>
      <c r="N79" s="7"/>
      <c r="O79" s="7"/>
      <c r="P79" s="7"/>
      <c r="Q79" s="7"/>
      <c r="U79" s="7"/>
      <c r="V79" s="7"/>
      <c r="W79" s="7"/>
      <c r="X79" s="7"/>
      <c r="Y79" s="7"/>
      <c r="Z79" s="7"/>
      <c r="AA79" s="7"/>
      <c r="AB79" s="7"/>
      <c r="AC79" s="7"/>
      <c r="AD79" s="7"/>
    </row>
    <row r="80" ht="15.75" customHeight="1">
      <c r="A80" s="7"/>
      <c r="B80" s="7"/>
      <c r="C80" s="7"/>
      <c r="D80" s="7"/>
      <c r="E80" s="7"/>
      <c r="F80" s="7"/>
      <c r="G80" s="7"/>
      <c r="H80" s="7"/>
      <c r="I80" s="7"/>
      <c r="J80" s="7"/>
      <c r="K80" s="7"/>
      <c r="L80" s="7"/>
      <c r="M80" s="7"/>
      <c r="N80" s="7"/>
      <c r="O80" s="7"/>
      <c r="P80" s="7"/>
      <c r="Q80" s="7"/>
      <c r="U80" s="7"/>
      <c r="V80" s="7"/>
      <c r="W80" s="7"/>
      <c r="X80" s="7"/>
      <c r="Y80" s="7"/>
      <c r="Z80" s="7"/>
      <c r="AA80" s="7"/>
      <c r="AB80" s="7"/>
      <c r="AC80" s="7"/>
      <c r="AD80" s="7"/>
    </row>
    <row r="81" ht="15.75" customHeight="1">
      <c r="A81" s="7"/>
      <c r="B81" s="7"/>
      <c r="C81" s="7"/>
      <c r="D81" s="7"/>
      <c r="E81" s="7"/>
      <c r="F81" s="7"/>
      <c r="G81" s="7"/>
      <c r="H81" s="7"/>
      <c r="I81" s="7"/>
      <c r="J81" s="7"/>
      <c r="K81" s="7"/>
      <c r="L81" s="7"/>
      <c r="M81" s="7"/>
      <c r="N81" s="7"/>
      <c r="O81" s="7"/>
      <c r="P81" s="7"/>
      <c r="Q81" s="7"/>
      <c r="U81" s="7"/>
      <c r="V81" s="7"/>
      <c r="W81" s="7"/>
      <c r="X81" s="7"/>
      <c r="Y81" s="7"/>
      <c r="Z81" s="7"/>
      <c r="AA81" s="7"/>
      <c r="AB81" s="7"/>
      <c r="AC81" s="7"/>
      <c r="AD81" s="7"/>
    </row>
    <row r="82" ht="15.75" customHeight="1">
      <c r="A82" s="7"/>
      <c r="B82" s="7"/>
      <c r="C82" s="7"/>
      <c r="D82" s="7"/>
      <c r="E82" s="7"/>
      <c r="F82" s="7"/>
      <c r="G82" s="7"/>
      <c r="H82" s="7"/>
      <c r="I82" s="7"/>
      <c r="J82" s="7"/>
      <c r="K82" s="7"/>
      <c r="L82" s="7"/>
      <c r="M82" s="7"/>
      <c r="N82" s="7"/>
      <c r="O82" s="7"/>
      <c r="P82" s="7"/>
      <c r="Q82" s="7"/>
      <c r="U82" s="7"/>
      <c r="V82" s="7"/>
      <c r="W82" s="7"/>
      <c r="X82" s="7"/>
      <c r="Y82" s="7"/>
      <c r="Z82" s="7"/>
      <c r="AA82" s="7"/>
      <c r="AB82" s="7"/>
      <c r="AC82" s="7"/>
      <c r="AD82" s="7"/>
    </row>
    <row r="83" ht="15.75" customHeight="1">
      <c r="A83" s="7"/>
      <c r="B83" s="7"/>
      <c r="C83" s="7"/>
      <c r="D83" s="7"/>
      <c r="E83" s="7"/>
      <c r="F83" s="7"/>
      <c r="G83" s="7"/>
      <c r="H83" s="7"/>
      <c r="I83" s="7"/>
      <c r="J83" s="7"/>
      <c r="K83" s="7"/>
      <c r="L83" s="7"/>
      <c r="M83" s="7"/>
      <c r="N83" s="7"/>
      <c r="O83" s="7"/>
      <c r="P83" s="7"/>
      <c r="Q83" s="7"/>
      <c r="U83" s="7"/>
      <c r="V83" s="7"/>
      <c r="W83" s="7"/>
      <c r="X83" s="7"/>
      <c r="Y83" s="7"/>
      <c r="Z83" s="7"/>
      <c r="AA83" s="7"/>
      <c r="AB83" s="7"/>
      <c r="AC83" s="7"/>
      <c r="AD83" s="7"/>
    </row>
    <row r="84" ht="15.75" customHeight="1">
      <c r="A84" s="7"/>
      <c r="B84" s="7"/>
      <c r="C84" s="7"/>
      <c r="D84" s="7"/>
      <c r="E84" s="7"/>
      <c r="F84" s="7"/>
      <c r="G84" s="7"/>
      <c r="H84" s="7"/>
      <c r="I84" s="7"/>
      <c r="J84" s="7"/>
      <c r="K84" s="7"/>
      <c r="L84" s="7"/>
      <c r="M84" s="7"/>
      <c r="N84" s="7"/>
      <c r="O84" s="7"/>
      <c r="P84" s="7"/>
      <c r="Q84" s="7"/>
      <c r="U84" s="7"/>
      <c r="V84" s="7"/>
      <c r="W84" s="7"/>
      <c r="X84" s="7"/>
      <c r="Y84" s="7"/>
      <c r="Z84" s="7"/>
      <c r="AA84" s="7"/>
      <c r="AB84" s="7"/>
      <c r="AC84" s="7"/>
      <c r="AD84" s="7"/>
    </row>
    <row r="85" ht="15.75" customHeight="1">
      <c r="A85" s="7"/>
      <c r="B85" s="7"/>
      <c r="C85" s="7"/>
      <c r="D85" s="7"/>
      <c r="E85" s="7"/>
      <c r="F85" s="7"/>
      <c r="G85" s="7"/>
      <c r="H85" s="7"/>
      <c r="I85" s="7"/>
      <c r="J85" s="7"/>
      <c r="K85" s="7"/>
      <c r="L85" s="7"/>
      <c r="M85" s="7"/>
      <c r="N85" s="7"/>
      <c r="O85" s="7"/>
      <c r="P85" s="7"/>
      <c r="Q85" s="7"/>
      <c r="U85" s="7"/>
      <c r="V85" s="7"/>
      <c r="W85" s="7"/>
      <c r="X85" s="7"/>
      <c r="Y85" s="7"/>
      <c r="Z85" s="7"/>
      <c r="AA85" s="7"/>
      <c r="AB85" s="7"/>
      <c r="AC85" s="7"/>
      <c r="AD85" s="7"/>
    </row>
    <row r="86" ht="15.75" customHeight="1">
      <c r="A86" s="7"/>
      <c r="B86" s="7"/>
      <c r="C86" s="7"/>
      <c r="D86" s="7"/>
      <c r="E86" s="7"/>
      <c r="F86" s="7"/>
      <c r="G86" s="7"/>
      <c r="H86" s="7"/>
      <c r="I86" s="7"/>
      <c r="J86" s="7"/>
      <c r="K86" s="7"/>
      <c r="L86" s="7"/>
      <c r="M86" s="7"/>
      <c r="N86" s="7"/>
      <c r="O86" s="7"/>
      <c r="P86" s="7"/>
      <c r="Q86" s="7"/>
      <c r="U86" s="7"/>
      <c r="V86" s="7"/>
      <c r="W86" s="7"/>
      <c r="X86" s="7"/>
      <c r="Y86" s="7"/>
      <c r="Z86" s="7"/>
      <c r="AA86" s="7"/>
      <c r="AB86" s="7"/>
      <c r="AC86" s="7"/>
      <c r="AD86" s="7"/>
    </row>
    <row r="87" ht="15.75" customHeight="1">
      <c r="A87" s="7"/>
      <c r="B87" s="7"/>
      <c r="C87" s="7"/>
      <c r="D87" s="7"/>
      <c r="E87" s="7"/>
      <c r="F87" s="7"/>
      <c r="G87" s="7"/>
      <c r="H87" s="7"/>
      <c r="I87" s="7"/>
      <c r="J87" s="7"/>
      <c r="K87" s="7"/>
      <c r="L87" s="7"/>
      <c r="M87" s="7"/>
      <c r="N87" s="7"/>
      <c r="O87" s="7"/>
      <c r="P87" s="7"/>
      <c r="Q87" s="7"/>
      <c r="U87" s="7"/>
      <c r="V87" s="7"/>
      <c r="W87" s="7"/>
      <c r="X87" s="7"/>
      <c r="Y87" s="7"/>
      <c r="Z87" s="7"/>
      <c r="AA87" s="7"/>
      <c r="AB87" s="7"/>
      <c r="AC87" s="7"/>
      <c r="AD87" s="7"/>
    </row>
    <row r="88" ht="15.75" customHeight="1">
      <c r="A88" s="7"/>
      <c r="B88" s="7"/>
      <c r="C88" s="7"/>
      <c r="D88" s="7"/>
      <c r="E88" s="7"/>
      <c r="F88" s="7"/>
      <c r="G88" s="7"/>
      <c r="H88" s="7"/>
      <c r="I88" s="7"/>
      <c r="J88" s="7"/>
      <c r="K88" s="7"/>
      <c r="L88" s="7"/>
      <c r="M88" s="7"/>
      <c r="N88" s="7"/>
      <c r="O88" s="7"/>
      <c r="P88" s="7"/>
      <c r="Q88" s="7"/>
      <c r="U88" s="7"/>
      <c r="V88" s="7"/>
      <c r="W88" s="7"/>
      <c r="X88" s="7"/>
      <c r="Y88" s="7"/>
      <c r="Z88" s="7"/>
      <c r="AA88" s="7"/>
      <c r="AB88" s="7"/>
      <c r="AC88" s="7"/>
      <c r="AD88" s="7"/>
    </row>
    <row r="89" ht="15.75" customHeight="1">
      <c r="A89" s="7"/>
      <c r="B89" s="7"/>
      <c r="C89" s="7"/>
      <c r="D89" s="7"/>
      <c r="E89" s="7"/>
      <c r="F89" s="7"/>
      <c r="G89" s="7"/>
      <c r="H89" s="7"/>
      <c r="I89" s="7"/>
      <c r="J89" s="7"/>
      <c r="K89" s="7"/>
      <c r="L89" s="7"/>
      <c r="M89" s="7"/>
      <c r="N89" s="7"/>
      <c r="O89" s="7"/>
      <c r="P89" s="7"/>
      <c r="Q89" s="7"/>
      <c r="U89" s="7"/>
      <c r="V89" s="7"/>
      <c r="W89" s="7"/>
      <c r="X89" s="7"/>
      <c r="Y89" s="7"/>
      <c r="Z89" s="7"/>
      <c r="AA89" s="7"/>
      <c r="AB89" s="7"/>
      <c r="AC89" s="7"/>
      <c r="AD89" s="7"/>
    </row>
    <row r="90" ht="15.75" customHeight="1">
      <c r="A90" s="7"/>
      <c r="B90" s="7"/>
      <c r="C90" s="7"/>
      <c r="D90" s="7"/>
      <c r="E90" s="7"/>
      <c r="F90" s="7"/>
      <c r="G90" s="7"/>
      <c r="H90" s="7"/>
      <c r="I90" s="7"/>
      <c r="J90" s="7"/>
      <c r="K90" s="7"/>
      <c r="L90" s="7"/>
      <c r="M90" s="7"/>
      <c r="N90" s="7"/>
      <c r="O90" s="7"/>
      <c r="P90" s="7"/>
      <c r="Q90" s="7"/>
      <c r="U90" s="7"/>
      <c r="V90" s="7"/>
      <c r="W90" s="7"/>
      <c r="X90" s="7"/>
      <c r="Y90" s="7"/>
      <c r="Z90" s="7"/>
      <c r="AA90" s="7"/>
      <c r="AB90" s="7"/>
      <c r="AC90" s="7"/>
      <c r="AD90" s="7"/>
    </row>
    <row r="91" ht="15.75" customHeight="1">
      <c r="A91" s="7"/>
      <c r="B91" s="7"/>
      <c r="C91" s="7"/>
      <c r="D91" s="7"/>
      <c r="E91" s="7"/>
      <c r="F91" s="7"/>
      <c r="G91" s="7"/>
      <c r="H91" s="7"/>
      <c r="I91" s="7"/>
      <c r="J91" s="7"/>
      <c r="K91" s="7"/>
      <c r="L91" s="7"/>
      <c r="M91" s="7"/>
      <c r="N91" s="7"/>
      <c r="O91" s="7"/>
      <c r="P91" s="7"/>
      <c r="Q91" s="7"/>
      <c r="U91" s="7"/>
      <c r="V91" s="7"/>
      <c r="W91" s="7"/>
      <c r="X91" s="7"/>
      <c r="Y91" s="7"/>
      <c r="Z91" s="7"/>
      <c r="AA91" s="7"/>
      <c r="AB91" s="7"/>
      <c r="AC91" s="7"/>
      <c r="AD91" s="7"/>
    </row>
    <row r="92" ht="15.75" customHeight="1">
      <c r="A92" s="7"/>
      <c r="B92" s="7"/>
      <c r="C92" s="7"/>
      <c r="D92" s="7"/>
      <c r="E92" s="7"/>
      <c r="F92" s="7"/>
      <c r="G92" s="7"/>
      <c r="H92" s="7"/>
      <c r="I92" s="7"/>
      <c r="J92" s="7"/>
      <c r="K92" s="7"/>
      <c r="L92" s="7"/>
      <c r="M92" s="7"/>
      <c r="N92" s="7"/>
      <c r="O92" s="7"/>
      <c r="P92" s="7"/>
      <c r="Q92" s="7"/>
      <c r="U92" s="7"/>
      <c r="V92" s="7"/>
      <c r="W92" s="7"/>
      <c r="X92" s="7"/>
      <c r="Y92" s="7"/>
      <c r="Z92" s="7"/>
      <c r="AA92" s="7"/>
      <c r="AB92" s="7"/>
      <c r="AC92" s="7"/>
      <c r="AD92" s="7"/>
    </row>
    <row r="93" ht="15.75" customHeight="1">
      <c r="A93" s="7"/>
      <c r="B93" s="7"/>
      <c r="C93" s="7"/>
      <c r="D93" s="7"/>
      <c r="E93" s="7"/>
      <c r="F93" s="7"/>
      <c r="G93" s="7"/>
      <c r="H93" s="7"/>
      <c r="I93" s="7"/>
      <c r="J93" s="7"/>
      <c r="K93" s="7"/>
      <c r="L93" s="7"/>
      <c r="M93" s="7"/>
      <c r="N93" s="7"/>
      <c r="O93" s="7"/>
      <c r="P93" s="7"/>
      <c r="Q93" s="7"/>
      <c r="U93" s="7"/>
      <c r="V93" s="7"/>
      <c r="W93" s="7"/>
      <c r="X93" s="7"/>
      <c r="Y93" s="7"/>
      <c r="Z93" s="7"/>
      <c r="AA93" s="7"/>
      <c r="AB93" s="7"/>
      <c r="AC93" s="7"/>
      <c r="AD93" s="7"/>
    </row>
    <row r="94" ht="15.75" customHeight="1">
      <c r="A94" s="7"/>
      <c r="B94" s="7"/>
      <c r="C94" s="7"/>
      <c r="D94" s="7"/>
      <c r="E94" s="7"/>
      <c r="F94" s="7"/>
      <c r="G94" s="7"/>
      <c r="H94" s="7"/>
      <c r="I94" s="7"/>
      <c r="J94" s="7"/>
      <c r="K94" s="7"/>
      <c r="L94" s="7"/>
      <c r="M94" s="7"/>
      <c r="N94" s="7"/>
      <c r="O94" s="7"/>
      <c r="P94" s="7"/>
      <c r="Q94" s="7"/>
      <c r="U94" s="7"/>
      <c r="V94" s="7"/>
      <c r="W94" s="7"/>
      <c r="X94" s="7"/>
      <c r="Y94" s="7"/>
      <c r="Z94" s="7"/>
      <c r="AA94" s="7"/>
      <c r="AB94" s="7"/>
      <c r="AC94" s="7"/>
      <c r="AD94" s="7"/>
    </row>
    <row r="95" ht="15.75" customHeight="1">
      <c r="A95" s="7"/>
      <c r="B95" s="7"/>
      <c r="C95" s="7"/>
      <c r="D95" s="7"/>
      <c r="E95" s="7"/>
      <c r="F95" s="7"/>
      <c r="G95" s="7"/>
      <c r="H95" s="7"/>
      <c r="I95" s="7"/>
      <c r="J95" s="7"/>
      <c r="K95" s="7"/>
      <c r="L95" s="7"/>
      <c r="M95" s="7"/>
      <c r="N95" s="7"/>
      <c r="O95" s="7"/>
      <c r="P95" s="7"/>
      <c r="Q95" s="7"/>
      <c r="U95" s="7"/>
      <c r="V95" s="7"/>
      <c r="W95" s="7"/>
      <c r="X95" s="7"/>
      <c r="Y95" s="7"/>
      <c r="Z95" s="7"/>
      <c r="AA95" s="7"/>
      <c r="AB95" s="7"/>
      <c r="AC95" s="7"/>
      <c r="AD95" s="7"/>
    </row>
    <row r="96" ht="15.75" customHeight="1">
      <c r="A96" s="7"/>
      <c r="B96" s="7"/>
      <c r="C96" s="7"/>
      <c r="D96" s="7"/>
      <c r="E96" s="7"/>
      <c r="F96" s="7"/>
      <c r="G96" s="7"/>
      <c r="H96" s="7"/>
      <c r="I96" s="7"/>
      <c r="J96" s="7"/>
      <c r="K96" s="7"/>
      <c r="L96" s="7"/>
      <c r="M96" s="7"/>
      <c r="N96" s="7"/>
      <c r="O96" s="7"/>
      <c r="P96" s="7"/>
      <c r="Q96" s="7"/>
      <c r="U96" s="7"/>
      <c r="V96" s="7"/>
      <c r="W96" s="7"/>
      <c r="X96" s="7"/>
      <c r="Y96" s="7"/>
      <c r="Z96" s="7"/>
      <c r="AA96" s="7"/>
      <c r="AB96" s="7"/>
      <c r="AC96" s="7"/>
      <c r="AD96" s="7"/>
    </row>
    <row r="97" ht="15.75" customHeight="1">
      <c r="A97" s="7"/>
      <c r="B97" s="7"/>
      <c r="C97" s="7"/>
      <c r="D97" s="7"/>
      <c r="E97" s="7"/>
      <c r="F97" s="7"/>
      <c r="G97" s="7"/>
      <c r="H97" s="7"/>
      <c r="I97" s="7"/>
      <c r="J97" s="7"/>
      <c r="K97" s="7"/>
      <c r="L97" s="7"/>
      <c r="M97" s="7"/>
      <c r="N97" s="7"/>
      <c r="O97" s="7"/>
      <c r="P97" s="7"/>
      <c r="Q97" s="7"/>
      <c r="U97" s="7"/>
      <c r="V97" s="7"/>
      <c r="W97" s="7"/>
      <c r="X97" s="7"/>
      <c r="Y97" s="7"/>
      <c r="Z97" s="7"/>
      <c r="AA97" s="7"/>
      <c r="AB97" s="7"/>
      <c r="AC97" s="7"/>
      <c r="AD97" s="7"/>
    </row>
    <row r="98" ht="15.75" customHeight="1">
      <c r="A98" s="7"/>
      <c r="B98" s="7"/>
      <c r="C98" s="7"/>
      <c r="D98" s="7"/>
      <c r="E98" s="7"/>
      <c r="F98" s="7"/>
      <c r="G98" s="7"/>
      <c r="H98" s="7"/>
      <c r="I98" s="7"/>
      <c r="J98" s="7"/>
      <c r="K98" s="7"/>
      <c r="L98" s="7"/>
      <c r="M98" s="7"/>
      <c r="N98" s="7"/>
      <c r="O98" s="7"/>
      <c r="P98" s="7"/>
      <c r="Q98" s="7"/>
      <c r="U98" s="7"/>
      <c r="V98" s="7"/>
      <c r="W98" s="7"/>
      <c r="X98" s="7"/>
      <c r="Y98" s="7"/>
      <c r="Z98" s="7"/>
      <c r="AA98" s="7"/>
      <c r="AB98" s="7"/>
      <c r="AC98" s="7"/>
      <c r="AD98" s="7"/>
    </row>
    <row r="99" ht="15.75" customHeight="1">
      <c r="A99" s="7"/>
      <c r="B99" s="7"/>
      <c r="C99" s="7"/>
      <c r="D99" s="7"/>
      <c r="E99" s="7"/>
      <c r="F99" s="7"/>
      <c r="G99" s="7"/>
      <c r="H99" s="7"/>
      <c r="I99" s="7"/>
      <c r="J99" s="7"/>
      <c r="K99" s="7"/>
      <c r="L99" s="7"/>
      <c r="M99" s="7"/>
      <c r="N99" s="7"/>
      <c r="O99" s="7"/>
      <c r="P99" s="7"/>
      <c r="Q99" s="7"/>
      <c r="U99" s="7"/>
      <c r="V99" s="7"/>
      <c r="W99" s="7"/>
      <c r="X99" s="7"/>
      <c r="Y99" s="7"/>
      <c r="Z99" s="7"/>
      <c r="AA99" s="7"/>
      <c r="AB99" s="7"/>
      <c r="AC99" s="7"/>
      <c r="AD99" s="7"/>
    </row>
    <row r="100" ht="15.75" customHeight="1">
      <c r="A100" s="7"/>
      <c r="B100" s="7"/>
      <c r="C100" s="7"/>
      <c r="D100" s="7"/>
      <c r="E100" s="7"/>
      <c r="F100" s="7"/>
      <c r="G100" s="7"/>
      <c r="H100" s="7"/>
      <c r="I100" s="7"/>
      <c r="J100" s="7"/>
      <c r="K100" s="7"/>
      <c r="L100" s="7"/>
      <c r="M100" s="7"/>
      <c r="N100" s="7"/>
      <c r="O100" s="7"/>
      <c r="P100" s="7"/>
      <c r="Q100" s="7"/>
      <c r="U100" s="7"/>
      <c r="V100" s="7"/>
      <c r="W100" s="7"/>
      <c r="X100" s="7"/>
      <c r="Y100" s="7"/>
      <c r="Z100" s="7"/>
      <c r="AA100" s="7"/>
      <c r="AB100" s="7"/>
      <c r="AC100" s="7"/>
      <c r="AD100" s="7"/>
    </row>
    <row r="101" ht="15.75" customHeight="1">
      <c r="A101" s="7"/>
      <c r="B101" s="7"/>
      <c r="C101" s="7"/>
      <c r="D101" s="7"/>
      <c r="E101" s="7"/>
      <c r="F101" s="7"/>
      <c r="G101" s="7"/>
      <c r="H101" s="7"/>
      <c r="I101" s="7"/>
      <c r="J101" s="7"/>
      <c r="K101" s="7"/>
      <c r="L101" s="7"/>
      <c r="M101" s="7"/>
      <c r="N101" s="7"/>
      <c r="O101" s="7"/>
      <c r="P101" s="7"/>
      <c r="Q101" s="7"/>
      <c r="U101" s="7"/>
      <c r="V101" s="7"/>
      <c r="W101" s="7"/>
      <c r="X101" s="7"/>
      <c r="Y101" s="7"/>
      <c r="Z101" s="7"/>
      <c r="AA101" s="7"/>
      <c r="AB101" s="7"/>
      <c r="AC101" s="7"/>
      <c r="AD101" s="7"/>
    </row>
    <row r="102" ht="15.75" customHeight="1">
      <c r="A102" s="7"/>
      <c r="B102" s="7"/>
      <c r="C102" s="7"/>
      <c r="D102" s="7"/>
      <c r="E102" s="7"/>
      <c r="F102" s="7"/>
      <c r="G102" s="7"/>
      <c r="H102" s="7"/>
      <c r="I102" s="7"/>
      <c r="J102" s="7"/>
      <c r="K102" s="7"/>
      <c r="L102" s="7"/>
      <c r="M102" s="7"/>
      <c r="N102" s="7"/>
      <c r="O102" s="7"/>
      <c r="P102" s="7"/>
      <c r="Q102" s="7"/>
      <c r="U102" s="7"/>
      <c r="V102" s="7"/>
      <c r="W102" s="7"/>
      <c r="X102" s="7"/>
      <c r="Y102" s="7"/>
      <c r="Z102" s="7"/>
      <c r="AA102" s="7"/>
      <c r="AB102" s="7"/>
      <c r="AC102" s="7"/>
      <c r="AD102" s="7"/>
    </row>
    <row r="103" ht="15.75" customHeight="1">
      <c r="A103" s="7"/>
      <c r="B103" s="7"/>
      <c r="C103" s="7"/>
      <c r="D103" s="7"/>
      <c r="E103" s="7"/>
      <c r="F103" s="7"/>
      <c r="G103" s="7"/>
      <c r="H103" s="7"/>
      <c r="I103" s="7"/>
      <c r="J103" s="7"/>
      <c r="K103" s="7"/>
      <c r="L103" s="7"/>
      <c r="M103" s="7"/>
      <c r="N103" s="7"/>
      <c r="O103" s="7"/>
      <c r="P103" s="7"/>
      <c r="Q103" s="7"/>
      <c r="U103" s="7"/>
      <c r="V103" s="7"/>
      <c r="W103" s="7"/>
      <c r="X103" s="7"/>
      <c r="Y103" s="7"/>
      <c r="Z103" s="7"/>
      <c r="AA103" s="7"/>
      <c r="AB103" s="7"/>
      <c r="AC103" s="7"/>
      <c r="AD103" s="7"/>
    </row>
    <row r="104" ht="15.75" customHeight="1">
      <c r="A104" s="7"/>
      <c r="B104" s="7"/>
      <c r="C104" s="7"/>
      <c r="D104" s="7"/>
      <c r="E104" s="7"/>
      <c r="F104" s="7"/>
      <c r="G104" s="7"/>
      <c r="H104" s="7"/>
      <c r="I104" s="7"/>
      <c r="J104" s="7"/>
      <c r="K104" s="7"/>
      <c r="L104" s="7"/>
      <c r="M104" s="7"/>
      <c r="N104" s="7"/>
      <c r="O104" s="7"/>
      <c r="P104" s="7"/>
      <c r="Q104" s="7"/>
      <c r="U104" s="7"/>
      <c r="V104" s="7"/>
      <c r="W104" s="7"/>
      <c r="X104" s="7"/>
      <c r="Y104" s="7"/>
      <c r="Z104" s="7"/>
      <c r="AA104" s="7"/>
      <c r="AB104" s="7"/>
      <c r="AC104" s="7"/>
      <c r="AD104" s="7"/>
    </row>
    <row r="105" ht="15.75" customHeight="1">
      <c r="A105" s="7"/>
      <c r="B105" s="7"/>
      <c r="C105" s="7"/>
      <c r="D105" s="7"/>
      <c r="E105" s="7"/>
      <c r="F105" s="7"/>
      <c r="G105" s="7"/>
      <c r="H105" s="7"/>
      <c r="I105" s="7"/>
      <c r="J105" s="7"/>
      <c r="K105" s="7"/>
      <c r="L105" s="7"/>
      <c r="M105" s="7"/>
      <c r="N105" s="7"/>
      <c r="O105" s="7"/>
      <c r="P105" s="7"/>
      <c r="Q105" s="7"/>
      <c r="U105" s="7"/>
      <c r="V105" s="7"/>
      <c r="W105" s="7"/>
      <c r="X105" s="7"/>
      <c r="Y105" s="7"/>
      <c r="Z105" s="7"/>
      <c r="AA105" s="7"/>
      <c r="AB105" s="7"/>
      <c r="AC105" s="7"/>
      <c r="AD105" s="7"/>
    </row>
    <row r="106" ht="15.75" customHeight="1">
      <c r="A106" s="7"/>
      <c r="B106" s="7"/>
      <c r="C106" s="7"/>
      <c r="D106" s="7"/>
      <c r="E106" s="7"/>
      <c r="F106" s="7"/>
      <c r="G106" s="7"/>
      <c r="H106" s="7"/>
      <c r="I106" s="7"/>
      <c r="J106" s="7"/>
      <c r="K106" s="7"/>
      <c r="L106" s="7"/>
      <c r="M106" s="7"/>
      <c r="N106" s="7"/>
      <c r="O106" s="7"/>
      <c r="P106" s="7"/>
      <c r="Q106" s="7"/>
      <c r="U106" s="7"/>
      <c r="V106" s="7"/>
      <c r="W106" s="7"/>
      <c r="X106" s="7"/>
      <c r="Y106" s="7"/>
      <c r="Z106" s="7"/>
      <c r="AA106" s="7"/>
      <c r="AB106" s="7"/>
      <c r="AC106" s="7"/>
      <c r="AD106" s="7"/>
    </row>
    <row r="107" ht="15.75" customHeight="1">
      <c r="A107" s="7"/>
      <c r="B107" s="7"/>
      <c r="C107" s="7"/>
      <c r="D107" s="7"/>
      <c r="E107" s="7"/>
      <c r="F107" s="7"/>
      <c r="G107" s="7"/>
      <c r="H107" s="7"/>
      <c r="I107" s="7"/>
      <c r="J107" s="7"/>
      <c r="K107" s="7"/>
      <c r="L107" s="7"/>
      <c r="M107" s="7"/>
      <c r="N107" s="7"/>
      <c r="O107" s="7"/>
      <c r="P107" s="7"/>
      <c r="Q107" s="7"/>
      <c r="U107" s="7"/>
      <c r="V107" s="7"/>
      <c r="W107" s="7"/>
      <c r="X107" s="7"/>
      <c r="Y107" s="7"/>
      <c r="Z107" s="7"/>
      <c r="AA107" s="7"/>
      <c r="AB107" s="7"/>
      <c r="AC107" s="7"/>
      <c r="AD107" s="7"/>
    </row>
    <row r="108" ht="15.75" customHeight="1">
      <c r="A108" s="7"/>
      <c r="B108" s="7"/>
      <c r="C108" s="7"/>
      <c r="D108" s="7"/>
      <c r="E108" s="7"/>
      <c r="F108" s="7"/>
      <c r="G108" s="7"/>
      <c r="H108" s="7"/>
      <c r="I108" s="7"/>
      <c r="J108" s="7"/>
      <c r="K108" s="7"/>
      <c r="L108" s="7"/>
      <c r="M108" s="7"/>
      <c r="N108" s="7"/>
      <c r="O108" s="7"/>
      <c r="P108" s="7"/>
      <c r="Q108" s="7"/>
      <c r="U108" s="7"/>
      <c r="V108" s="7"/>
      <c r="W108" s="7"/>
      <c r="X108" s="7"/>
      <c r="Y108" s="7"/>
      <c r="Z108" s="7"/>
      <c r="AA108" s="7"/>
      <c r="AB108" s="7"/>
      <c r="AC108" s="7"/>
      <c r="AD108" s="7"/>
    </row>
    <row r="109" ht="15.75" customHeight="1">
      <c r="A109" s="7"/>
      <c r="B109" s="7"/>
      <c r="C109" s="7"/>
      <c r="D109" s="7"/>
      <c r="E109" s="7"/>
      <c r="F109" s="7"/>
      <c r="G109" s="7"/>
      <c r="H109" s="7"/>
      <c r="I109" s="7"/>
      <c r="J109" s="7"/>
      <c r="K109" s="7"/>
      <c r="L109" s="7"/>
      <c r="M109" s="7"/>
      <c r="N109" s="7"/>
      <c r="O109" s="7"/>
      <c r="P109" s="7"/>
      <c r="Q109" s="7"/>
      <c r="U109" s="7"/>
      <c r="V109" s="7"/>
      <c r="W109" s="7"/>
      <c r="X109" s="7"/>
      <c r="Y109" s="7"/>
      <c r="Z109" s="7"/>
      <c r="AA109" s="7"/>
      <c r="AB109" s="7"/>
      <c r="AC109" s="7"/>
      <c r="AD109" s="7"/>
    </row>
    <row r="110" ht="15.75" customHeight="1">
      <c r="A110" s="7"/>
      <c r="B110" s="7"/>
      <c r="C110" s="7"/>
      <c r="D110" s="7"/>
      <c r="E110" s="7"/>
      <c r="F110" s="7"/>
      <c r="G110" s="7"/>
      <c r="H110" s="7"/>
      <c r="I110" s="7"/>
      <c r="J110" s="7"/>
      <c r="K110" s="7"/>
      <c r="L110" s="7"/>
      <c r="M110" s="7"/>
      <c r="N110" s="7"/>
      <c r="O110" s="7"/>
      <c r="P110" s="7"/>
      <c r="Q110" s="7"/>
      <c r="U110" s="7"/>
      <c r="V110" s="7"/>
      <c r="W110" s="7"/>
      <c r="X110" s="7"/>
      <c r="Y110" s="7"/>
      <c r="Z110" s="7"/>
      <c r="AA110" s="7"/>
      <c r="AB110" s="7"/>
      <c r="AC110" s="7"/>
      <c r="AD110" s="7"/>
    </row>
    <row r="111" ht="15.75" customHeight="1">
      <c r="A111" s="7"/>
      <c r="B111" s="7"/>
      <c r="C111" s="7"/>
      <c r="D111" s="7"/>
      <c r="E111" s="7"/>
      <c r="F111" s="7"/>
      <c r="G111" s="7"/>
      <c r="H111" s="7"/>
      <c r="I111" s="7"/>
      <c r="J111" s="7"/>
      <c r="K111" s="7"/>
      <c r="L111" s="7"/>
      <c r="M111" s="7"/>
      <c r="N111" s="7"/>
      <c r="O111" s="7"/>
      <c r="P111" s="7"/>
      <c r="Q111" s="7"/>
      <c r="U111" s="7"/>
      <c r="V111" s="7"/>
      <c r="W111" s="7"/>
      <c r="X111" s="7"/>
      <c r="Y111" s="7"/>
      <c r="Z111" s="7"/>
      <c r="AA111" s="7"/>
      <c r="AB111" s="7"/>
      <c r="AC111" s="7"/>
      <c r="AD111" s="7"/>
    </row>
    <row r="112" ht="15.75" customHeight="1">
      <c r="A112" s="7"/>
      <c r="B112" s="7"/>
      <c r="C112" s="7"/>
      <c r="D112" s="7"/>
      <c r="E112" s="7"/>
      <c r="F112" s="7"/>
      <c r="G112" s="7"/>
      <c r="H112" s="7"/>
      <c r="I112" s="7"/>
      <c r="J112" s="7"/>
      <c r="K112" s="7"/>
      <c r="L112" s="7"/>
      <c r="M112" s="7"/>
      <c r="N112" s="7"/>
      <c r="O112" s="7"/>
      <c r="P112" s="7"/>
      <c r="Q112" s="7"/>
      <c r="U112" s="7"/>
      <c r="V112" s="7"/>
      <c r="W112" s="7"/>
      <c r="X112" s="7"/>
      <c r="Y112" s="7"/>
      <c r="Z112" s="7"/>
      <c r="AA112" s="7"/>
      <c r="AB112" s="7"/>
      <c r="AC112" s="7"/>
      <c r="AD112" s="7"/>
    </row>
    <row r="113" ht="15.75" customHeight="1">
      <c r="A113" s="7"/>
      <c r="B113" s="7"/>
      <c r="C113" s="7"/>
      <c r="D113" s="7"/>
      <c r="E113" s="7"/>
      <c r="F113" s="7"/>
      <c r="G113" s="7"/>
      <c r="H113" s="7"/>
      <c r="I113" s="7"/>
      <c r="J113" s="7"/>
      <c r="K113" s="7"/>
      <c r="L113" s="7"/>
      <c r="M113" s="7"/>
      <c r="N113" s="7"/>
      <c r="O113" s="7"/>
      <c r="P113" s="7"/>
      <c r="Q113" s="7"/>
      <c r="U113" s="7"/>
      <c r="V113" s="7"/>
      <c r="W113" s="7"/>
      <c r="X113" s="7"/>
      <c r="Y113" s="7"/>
      <c r="Z113" s="7"/>
      <c r="AA113" s="7"/>
      <c r="AB113" s="7"/>
      <c r="AC113" s="7"/>
      <c r="AD113" s="7"/>
    </row>
    <row r="114" ht="15.75" customHeight="1">
      <c r="A114" s="7"/>
      <c r="B114" s="7"/>
      <c r="C114" s="7"/>
      <c r="D114" s="7"/>
      <c r="E114" s="7"/>
      <c r="F114" s="7"/>
      <c r="G114" s="7"/>
      <c r="H114" s="7"/>
      <c r="I114" s="7"/>
      <c r="J114" s="7"/>
      <c r="K114" s="7"/>
      <c r="L114" s="7"/>
      <c r="M114" s="7"/>
      <c r="N114" s="7"/>
      <c r="O114" s="7"/>
      <c r="P114" s="7"/>
      <c r="Q114" s="7"/>
      <c r="U114" s="7"/>
      <c r="V114" s="7"/>
      <c r="W114" s="7"/>
      <c r="X114" s="7"/>
      <c r="Y114" s="7"/>
      <c r="Z114" s="7"/>
      <c r="AA114" s="7"/>
      <c r="AB114" s="7"/>
      <c r="AC114" s="7"/>
      <c r="AD114" s="7"/>
    </row>
    <row r="115" ht="15.75" customHeight="1">
      <c r="A115" s="7"/>
      <c r="B115" s="7"/>
      <c r="C115" s="7"/>
      <c r="D115" s="7"/>
      <c r="E115" s="7"/>
      <c r="F115" s="7"/>
      <c r="G115" s="7"/>
      <c r="H115" s="7"/>
      <c r="I115" s="7"/>
      <c r="J115" s="7"/>
      <c r="K115" s="7"/>
      <c r="L115" s="7"/>
      <c r="M115" s="7"/>
      <c r="N115" s="7"/>
      <c r="O115" s="7"/>
      <c r="P115" s="7"/>
      <c r="Q115" s="7"/>
      <c r="U115" s="7"/>
      <c r="V115" s="7"/>
      <c r="W115" s="7"/>
      <c r="X115" s="7"/>
      <c r="Y115" s="7"/>
      <c r="Z115" s="7"/>
      <c r="AA115" s="7"/>
      <c r="AB115" s="7"/>
      <c r="AC115" s="7"/>
      <c r="AD115" s="7"/>
    </row>
    <row r="116" ht="15.75" customHeight="1">
      <c r="A116" s="7"/>
      <c r="B116" s="7"/>
      <c r="C116" s="7"/>
      <c r="D116" s="7"/>
      <c r="E116" s="7"/>
      <c r="F116" s="7"/>
      <c r="G116" s="7"/>
      <c r="H116" s="7"/>
      <c r="I116" s="7"/>
      <c r="J116" s="7"/>
      <c r="K116" s="7"/>
      <c r="L116" s="7"/>
      <c r="M116" s="7"/>
      <c r="N116" s="7"/>
      <c r="O116" s="7"/>
      <c r="P116" s="7"/>
      <c r="Q116" s="7"/>
      <c r="U116" s="7"/>
      <c r="V116" s="7"/>
      <c r="W116" s="7"/>
      <c r="X116" s="7"/>
      <c r="Y116" s="7"/>
      <c r="Z116" s="7"/>
      <c r="AA116" s="7"/>
      <c r="AB116" s="7"/>
      <c r="AC116" s="7"/>
      <c r="AD116" s="7"/>
    </row>
    <row r="117" ht="15.75" customHeight="1">
      <c r="A117" s="7"/>
      <c r="B117" s="7"/>
      <c r="C117" s="7"/>
      <c r="D117" s="7"/>
      <c r="E117" s="7"/>
      <c r="F117" s="7"/>
      <c r="G117" s="7"/>
      <c r="H117" s="7"/>
      <c r="I117" s="7"/>
      <c r="J117" s="7"/>
      <c r="K117" s="7"/>
      <c r="L117" s="7"/>
      <c r="M117" s="7"/>
      <c r="N117" s="7"/>
      <c r="O117" s="7"/>
      <c r="P117" s="7"/>
      <c r="Q117" s="7"/>
      <c r="U117" s="7"/>
      <c r="V117" s="7"/>
      <c r="W117" s="7"/>
      <c r="X117" s="7"/>
      <c r="Y117" s="7"/>
      <c r="Z117" s="7"/>
      <c r="AA117" s="7"/>
      <c r="AB117" s="7"/>
      <c r="AC117" s="7"/>
      <c r="AD117" s="7"/>
    </row>
    <row r="118" ht="15.75" customHeight="1">
      <c r="A118" s="7"/>
      <c r="B118" s="7"/>
      <c r="C118" s="7"/>
      <c r="D118" s="7"/>
      <c r="E118" s="7"/>
      <c r="F118" s="7"/>
      <c r="G118" s="7"/>
      <c r="H118" s="7"/>
      <c r="I118" s="7"/>
      <c r="J118" s="7"/>
      <c r="K118" s="7"/>
      <c r="L118" s="7"/>
      <c r="M118" s="7"/>
      <c r="N118" s="7"/>
      <c r="O118" s="7"/>
      <c r="P118" s="7"/>
      <c r="Q118" s="7"/>
      <c r="U118" s="7"/>
      <c r="V118" s="7"/>
      <c r="W118" s="7"/>
      <c r="X118" s="7"/>
      <c r="Y118" s="7"/>
      <c r="Z118" s="7"/>
      <c r="AA118" s="7"/>
      <c r="AB118" s="7"/>
      <c r="AC118" s="7"/>
      <c r="AD118" s="7"/>
    </row>
    <row r="119" ht="15.75" customHeight="1">
      <c r="A119" s="7"/>
      <c r="B119" s="7"/>
      <c r="C119" s="7"/>
      <c r="D119" s="7"/>
      <c r="E119" s="7"/>
      <c r="F119" s="7"/>
      <c r="G119" s="7"/>
      <c r="H119" s="7"/>
      <c r="I119" s="7"/>
      <c r="J119" s="7"/>
      <c r="K119" s="7"/>
      <c r="L119" s="7"/>
      <c r="M119" s="7"/>
      <c r="N119" s="7"/>
      <c r="O119" s="7"/>
      <c r="P119" s="7"/>
      <c r="Q119" s="7"/>
      <c r="U119" s="7"/>
      <c r="V119" s="7"/>
      <c r="W119" s="7"/>
      <c r="X119" s="7"/>
      <c r="Y119" s="7"/>
      <c r="Z119" s="7"/>
      <c r="AA119" s="7"/>
      <c r="AB119" s="7"/>
      <c r="AC119" s="7"/>
      <c r="AD119" s="7"/>
    </row>
    <row r="120" ht="15.75" customHeight="1">
      <c r="A120" s="7"/>
      <c r="B120" s="7"/>
      <c r="C120" s="7"/>
      <c r="D120" s="7"/>
      <c r="E120" s="7"/>
      <c r="F120" s="7"/>
      <c r="G120" s="7"/>
      <c r="H120" s="7"/>
      <c r="I120" s="7"/>
      <c r="J120" s="7"/>
      <c r="K120" s="7"/>
      <c r="L120" s="7"/>
      <c r="M120" s="7"/>
      <c r="N120" s="7"/>
      <c r="O120" s="7"/>
      <c r="P120" s="7"/>
      <c r="Q120" s="7"/>
      <c r="U120" s="7"/>
      <c r="V120" s="7"/>
      <c r="W120" s="7"/>
      <c r="X120" s="7"/>
      <c r="Y120" s="7"/>
      <c r="Z120" s="7"/>
      <c r="AA120" s="7"/>
      <c r="AB120" s="7"/>
      <c r="AC120" s="7"/>
      <c r="AD120" s="7"/>
    </row>
    <row r="121" ht="15.75" customHeight="1">
      <c r="A121" s="7"/>
      <c r="B121" s="7"/>
      <c r="C121" s="7"/>
      <c r="D121" s="7"/>
      <c r="E121" s="7"/>
      <c r="F121" s="7"/>
      <c r="G121" s="7"/>
      <c r="H121" s="7"/>
      <c r="I121" s="7"/>
      <c r="J121" s="7"/>
      <c r="K121" s="7"/>
      <c r="L121" s="7"/>
      <c r="M121" s="7"/>
      <c r="N121" s="7"/>
      <c r="O121" s="7"/>
      <c r="P121" s="7"/>
      <c r="Q121" s="7"/>
      <c r="U121" s="7"/>
      <c r="V121" s="7"/>
      <c r="W121" s="7"/>
      <c r="X121" s="7"/>
      <c r="Y121" s="7"/>
      <c r="Z121" s="7"/>
      <c r="AA121" s="7"/>
      <c r="AB121" s="7"/>
      <c r="AC121" s="7"/>
      <c r="AD121" s="7"/>
    </row>
    <row r="122" ht="15.75" customHeight="1">
      <c r="A122" s="7"/>
      <c r="B122" s="7"/>
      <c r="C122" s="7"/>
      <c r="D122" s="7"/>
      <c r="E122" s="7"/>
      <c r="F122" s="7"/>
      <c r="G122" s="7"/>
      <c r="H122" s="7"/>
      <c r="I122" s="7"/>
      <c r="J122" s="7"/>
      <c r="K122" s="7"/>
      <c r="L122" s="7"/>
      <c r="M122" s="7"/>
      <c r="N122" s="7"/>
      <c r="O122" s="7"/>
      <c r="P122" s="7"/>
      <c r="Q122" s="7"/>
      <c r="U122" s="7"/>
      <c r="V122" s="7"/>
      <c r="W122" s="7"/>
      <c r="X122" s="7"/>
      <c r="Y122" s="7"/>
      <c r="Z122" s="7"/>
      <c r="AA122" s="7"/>
      <c r="AB122" s="7"/>
      <c r="AC122" s="7"/>
      <c r="AD122" s="7"/>
    </row>
    <row r="123" ht="15.75" customHeight="1">
      <c r="A123" s="7"/>
      <c r="B123" s="7"/>
      <c r="C123" s="7"/>
      <c r="D123" s="7"/>
      <c r="E123" s="7"/>
      <c r="F123" s="7"/>
      <c r="G123" s="7"/>
      <c r="H123" s="7"/>
      <c r="I123" s="7"/>
      <c r="J123" s="7"/>
      <c r="K123" s="7"/>
      <c r="L123" s="7"/>
      <c r="M123" s="7"/>
      <c r="N123" s="7"/>
      <c r="O123" s="7"/>
      <c r="P123" s="7"/>
      <c r="Q123" s="7"/>
      <c r="U123" s="7"/>
      <c r="V123" s="7"/>
      <c r="W123" s="7"/>
      <c r="X123" s="7"/>
      <c r="Y123" s="7"/>
      <c r="Z123" s="7"/>
      <c r="AA123" s="7"/>
      <c r="AB123" s="7"/>
      <c r="AC123" s="7"/>
      <c r="AD123" s="7"/>
    </row>
    <row r="124" ht="15.75" customHeight="1">
      <c r="A124" s="7"/>
      <c r="B124" s="7"/>
      <c r="C124" s="7"/>
      <c r="D124" s="7"/>
      <c r="E124" s="7"/>
      <c r="F124" s="7"/>
      <c r="G124" s="7"/>
      <c r="H124" s="7"/>
      <c r="I124" s="7"/>
      <c r="J124" s="7"/>
      <c r="K124" s="7"/>
      <c r="L124" s="7"/>
      <c r="M124" s="7"/>
      <c r="N124" s="7"/>
      <c r="O124" s="7"/>
      <c r="P124" s="7"/>
      <c r="Q124" s="7"/>
      <c r="U124" s="7"/>
      <c r="V124" s="7"/>
      <c r="W124" s="7"/>
      <c r="X124" s="7"/>
      <c r="Y124" s="7"/>
      <c r="Z124" s="7"/>
      <c r="AA124" s="7"/>
      <c r="AB124" s="7"/>
      <c r="AC124" s="7"/>
      <c r="AD124" s="7"/>
    </row>
    <row r="125" ht="15.75" customHeight="1">
      <c r="A125" s="7"/>
      <c r="B125" s="7"/>
      <c r="C125" s="7"/>
      <c r="D125" s="7"/>
      <c r="E125" s="7"/>
      <c r="F125" s="7"/>
      <c r="G125" s="7"/>
      <c r="H125" s="7"/>
      <c r="I125" s="7"/>
      <c r="J125" s="7"/>
      <c r="K125" s="7"/>
      <c r="L125" s="7"/>
      <c r="M125" s="7"/>
      <c r="N125" s="7"/>
      <c r="O125" s="7"/>
      <c r="P125" s="7"/>
      <c r="Q125" s="7"/>
      <c r="U125" s="7"/>
      <c r="V125" s="7"/>
      <c r="W125" s="7"/>
      <c r="X125" s="7"/>
      <c r="Y125" s="7"/>
      <c r="Z125" s="7"/>
      <c r="AA125" s="7"/>
      <c r="AB125" s="7"/>
      <c r="AC125" s="7"/>
      <c r="AD125" s="7"/>
    </row>
    <row r="126" ht="15.75" customHeight="1">
      <c r="A126" s="7"/>
      <c r="B126" s="7"/>
      <c r="C126" s="7"/>
      <c r="D126" s="7"/>
      <c r="E126" s="7"/>
      <c r="F126" s="7"/>
      <c r="G126" s="7"/>
      <c r="H126" s="7"/>
      <c r="I126" s="7"/>
      <c r="J126" s="7"/>
      <c r="K126" s="7"/>
      <c r="L126" s="7"/>
      <c r="M126" s="7"/>
      <c r="N126" s="7"/>
      <c r="O126" s="7"/>
      <c r="P126" s="7"/>
      <c r="Q126" s="7"/>
      <c r="U126" s="7"/>
      <c r="V126" s="7"/>
      <c r="W126" s="7"/>
      <c r="X126" s="7"/>
      <c r="Y126" s="7"/>
      <c r="Z126" s="7"/>
      <c r="AA126" s="7"/>
      <c r="AB126" s="7"/>
      <c r="AC126" s="7"/>
      <c r="AD126" s="7"/>
    </row>
    <row r="127" ht="15.75" customHeight="1">
      <c r="A127" s="7"/>
      <c r="B127" s="7"/>
      <c r="C127" s="7"/>
      <c r="D127" s="7"/>
      <c r="E127" s="7"/>
      <c r="F127" s="7"/>
      <c r="G127" s="7"/>
      <c r="H127" s="7"/>
      <c r="I127" s="7"/>
      <c r="J127" s="7"/>
      <c r="K127" s="7"/>
      <c r="L127" s="7"/>
      <c r="M127" s="7"/>
      <c r="N127" s="7"/>
      <c r="O127" s="7"/>
      <c r="P127" s="7"/>
      <c r="Q127" s="7"/>
      <c r="U127" s="7"/>
      <c r="V127" s="7"/>
      <c r="W127" s="7"/>
      <c r="X127" s="7"/>
      <c r="Y127" s="7"/>
      <c r="Z127" s="7"/>
      <c r="AA127" s="7"/>
      <c r="AB127" s="7"/>
      <c r="AC127" s="7"/>
      <c r="AD127" s="7"/>
    </row>
    <row r="128" ht="15.75" customHeight="1">
      <c r="A128" s="7"/>
      <c r="B128" s="7"/>
      <c r="C128" s="7"/>
      <c r="D128" s="7"/>
      <c r="E128" s="7"/>
      <c r="F128" s="7"/>
      <c r="G128" s="7"/>
      <c r="H128" s="7"/>
      <c r="I128" s="7"/>
      <c r="J128" s="7"/>
      <c r="K128" s="7"/>
      <c r="L128" s="7"/>
      <c r="M128" s="7"/>
      <c r="N128" s="7"/>
      <c r="O128" s="7"/>
      <c r="P128" s="7"/>
      <c r="Q128" s="7"/>
      <c r="U128" s="7"/>
      <c r="V128" s="7"/>
      <c r="W128" s="7"/>
      <c r="X128" s="7"/>
      <c r="Y128" s="7"/>
      <c r="Z128" s="7"/>
      <c r="AA128" s="7"/>
      <c r="AB128" s="7"/>
      <c r="AC128" s="7"/>
      <c r="AD128" s="7"/>
    </row>
    <row r="129" ht="15.75" customHeight="1">
      <c r="A129" s="7"/>
      <c r="B129" s="7"/>
      <c r="C129" s="7"/>
      <c r="D129" s="7"/>
      <c r="E129" s="7"/>
      <c r="F129" s="7"/>
      <c r="G129" s="7"/>
      <c r="H129" s="7"/>
      <c r="I129" s="7"/>
      <c r="J129" s="7"/>
      <c r="K129" s="7"/>
      <c r="L129" s="7"/>
      <c r="M129" s="7"/>
      <c r="N129" s="7"/>
      <c r="O129" s="7"/>
      <c r="P129" s="7"/>
      <c r="Q129" s="7"/>
      <c r="U129" s="7"/>
      <c r="V129" s="7"/>
      <c r="W129" s="7"/>
      <c r="X129" s="7"/>
      <c r="Y129" s="7"/>
      <c r="Z129" s="7"/>
      <c r="AA129" s="7"/>
      <c r="AB129" s="7"/>
      <c r="AC129" s="7"/>
      <c r="AD129" s="7"/>
    </row>
    <row r="130" ht="15.75" customHeight="1">
      <c r="A130" s="7"/>
      <c r="B130" s="7"/>
      <c r="C130" s="7"/>
      <c r="D130" s="7"/>
      <c r="E130" s="7"/>
      <c r="F130" s="7"/>
      <c r="G130" s="7"/>
      <c r="H130" s="7"/>
      <c r="I130" s="7"/>
      <c r="J130" s="7"/>
      <c r="K130" s="7"/>
      <c r="L130" s="7"/>
      <c r="M130" s="7"/>
      <c r="N130" s="7"/>
      <c r="O130" s="7"/>
      <c r="P130" s="7"/>
      <c r="Q130" s="7"/>
      <c r="U130" s="7"/>
      <c r="V130" s="7"/>
      <c r="W130" s="7"/>
      <c r="X130" s="7"/>
      <c r="Y130" s="7"/>
      <c r="Z130" s="7"/>
      <c r="AA130" s="7"/>
      <c r="AB130" s="7"/>
      <c r="AC130" s="7"/>
      <c r="AD130" s="7"/>
    </row>
    <row r="131" ht="15.75" customHeight="1">
      <c r="A131" s="7"/>
      <c r="B131" s="7"/>
      <c r="C131" s="7"/>
      <c r="D131" s="7"/>
      <c r="E131" s="7"/>
      <c r="F131" s="7"/>
      <c r="G131" s="7"/>
      <c r="H131" s="7"/>
      <c r="I131" s="7"/>
      <c r="J131" s="7"/>
      <c r="K131" s="7"/>
      <c r="L131" s="7"/>
      <c r="M131" s="7"/>
      <c r="N131" s="7"/>
      <c r="O131" s="7"/>
      <c r="P131" s="7"/>
      <c r="Q131" s="7"/>
      <c r="U131" s="7"/>
      <c r="V131" s="7"/>
      <c r="W131" s="7"/>
      <c r="X131" s="7"/>
      <c r="Y131" s="7"/>
      <c r="Z131" s="7"/>
      <c r="AA131" s="7"/>
      <c r="AB131" s="7"/>
      <c r="AC131" s="7"/>
      <c r="AD131" s="7"/>
    </row>
    <row r="132" ht="15.75" customHeight="1">
      <c r="A132" s="7"/>
      <c r="B132" s="7"/>
      <c r="C132" s="7"/>
      <c r="D132" s="7"/>
      <c r="E132" s="7"/>
      <c r="F132" s="7"/>
      <c r="G132" s="7"/>
      <c r="H132" s="7"/>
      <c r="I132" s="7"/>
      <c r="J132" s="7"/>
      <c r="K132" s="7"/>
      <c r="L132" s="7"/>
      <c r="M132" s="7"/>
      <c r="N132" s="7"/>
      <c r="O132" s="7"/>
      <c r="P132" s="7"/>
      <c r="Q132" s="7"/>
      <c r="U132" s="7"/>
      <c r="V132" s="7"/>
      <c r="W132" s="7"/>
      <c r="X132" s="7"/>
      <c r="Y132" s="7"/>
      <c r="Z132" s="7"/>
      <c r="AA132" s="7"/>
      <c r="AB132" s="7"/>
      <c r="AC132" s="7"/>
      <c r="AD132" s="7"/>
    </row>
    <row r="133" ht="15.75" customHeight="1">
      <c r="A133" s="7"/>
      <c r="B133" s="7"/>
      <c r="C133" s="7"/>
      <c r="D133" s="7"/>
      <c r="E133" s="7"/>
      <c r="F133" s="7"/>
      <c r="G133" s="7"/>
      <c r="H133" s="7"/>
      <c r="I133" s="7"/>
      <c r="J133" s="7"/>
      <c r="K133" s="7"/>
      <c r="L133" s="7"/>
      <c r="M133" s="7"/>
      <c r="N133" s="7"/>
      <c r="O133" s="7"/>
      <c r="P133" s="7"/>
      <c r="Q133" s="7"/>
      <c r="U133" s="7"/>
      <c r="V133" s="7"/>
      <c r="W133" s="7"/>
      <c r="X133" s="7"/>
      <c r="Y133" s="7"/>
      <c r="Z133" s="7"/>
      <c r="AA133" s="7"/>
      <c r="AB133" s="7"/>
      <c r="AC133" s="7"/>
      <c r="AD133" s="7"/>
    </row>
    <row r="134" ht="15.75" customHeight="1">
      <c r="A134" s="7"/>
      <c r="B134" s="7"/>
      <c r="C134" s="7"/>
      <c r="D134" s="7"/>
      <c r="E134" s="7"/>
      <c r="F134" s="7"/>
      <c r="G134" s="7"/>
      <c r="H134" s="7"/>
      <c r="I134" s="7"/>
      <c r="J134" s="7"/>
      <c r="K134" s="7"/>
      <c r="L134" s="7"/>
      <c r="M134" s="7"/>
      <c r="N134" s="7"/>
      <c r="O134" s="7"/>
      <c r="P134" s="7"/>
      <c r="Q134" s="7"/>
      <c r="U134" s="7"/>
      <c r="V134" s="7"/>
      <c r="W134" s="7"/>
      <c r="X134" s="7"/>
      <c r="Y134" s="7"/>
      <c r="Z134" s="7"/>
      <c r="AA134" s="7"/>
      <c r="AB134" s="7"/>
      <c r="AC134" s="7"/>
      <c r="AD134" s="7"/>
    </row>
    <row r="135" ht="15.75" customHeight="1">
      <c r="A135" s="7"/>
      <c r="B135" s="7"/>
      <c r="C135" s="7"/>
      <c r="D135" s="7"/>
      <c r="E135" s="7"/>
      <c r="F135" s="7"/>
      <c r="G135" s="7"/>
      <c r="H135" s="7"/>
      <c r="I135" s="7"/>
      <c r="J135" s="7"/>
      <c r="K135" s="7"/>
      <c r="L135" s="7"/>
      <c r="M135" s="7"/>
      <c r="N135" s="7"/>
      <c r="O135" s="7"/>
      <c r="P135" s="7"/>
      <c r="Q135" s="7"/>
      <c r="U135" s="7"/>
      <c r="V135" s="7"/>
      <c r="W135" s="7"/>
      <c r="X135" s="7"/>
      <c r="Y135" s="7"/>
      <c r="Z135" s="7"/>
      <c r="AA135" s="7"/>
      <c r="AB135" s="7"/>
      <c r="AC135" s="7"/>
      <c r="AD135" s="7"/>
    </row>
    <row r="136" ht="15.75" customHeight="1">
      <c r="A136" s="7"/>
      <c r="B136" s="7"/>
      <c r="C136" s="7"/>
      <c r="D136" s="7"/>
      <c r="E136" s="7"/>
      <c r="F136" s="7"/>
      <c r="G136" s="7"/>
      <c r="H136" s="7"/>
      <c r="I136" s="7"/>
      <c r="J136" s="7"/>
      <c r="K136" s="7"/>
      <c r="L136" s="7"/>
      <c r="M136" s="7"/>
      <c r="N136" s="7"/>
      <c r="O136" s="7"/>
      <c r="P136" s="7"/>
      <c r="Q136" s="7"/>
      <c r="U136" s="7"/>
      <c r="V136" s="7"/>
      <c r="W136" s="7"/>
      <c r="X136" s="7"/>
      <c r="Y136" s="7"/>
      <c r="Z136" s="7"/>
      <c r="AA136" s="7"/>
      <c r="AB136" s="7"/>
      <c r="AC136" s="7"/>
      <c r="AD136" s="7"/>
    </row>
    <row r="137" ht="15.75" customHeight="1">
      <c r="A137" s="7"/>
      <c r="B137" s="7"/>
      <c r="C137" s="7"/>
      <c r="D137" s="7"/>
      <c r="E137" s="7"/>
      <c r="F137" s="7"/>
      <c r="G137" s="7"/>
      <c r="H137" s="7"/>
      <c r="I137" s="7"/>
      <c r="J137" s="7"/>
      <c r="K137" s="7"/>
      <c r="L137" s="7"/>
      <c r="M137" s="7"/>
      <c r="N137" s="7"/>
      <c r="O137" s="7"/>
      <c r="P137" s="7"/>
      <c r="Q137" s="7"/>
      <c r="U137" s="7"/>
      <c r="V137" s="7"/>
      <c r="W137" s="7"/>
      <c r="X137" s="7"/>
      <c r="Y137" s="7"/>
      <c r="Z137" s="7"/>
      <c r="AA137" s="7"/>
      <c r="AB137" s="7"/>
      <c r="AC137" s="7"/>
      <c r="AD137" s="7"/>
    </row>
    <row r="138" ht="15.75" customHeight="1">
      <c r="A138" s="7"/>
      <c r="B138" s="7"/>
      <c r="C138" s="7"/>
      <c r="D138" s="7"/>
      <c r="E138" s="7"/>
      <c r="F138" s="7"/>
      <c r="G138" s="7"/>
      <c r="H138" s="7"/>
      <c r="I138" s="7"/>
      <c r="J138" s="7"/>
      <c r="K138" s="7"/>
      <c r="L138" s="7"/>
      <c r="M138" s="7"/>
      <c r="N138" s="7"/>
      <c r="O138" s="7"/>
      <c r="P138" s="7"/>
      <c r="Q138" s="7"/>
      <c r="U138" s="7"/>
      <c r="V138" s="7"/>
      <c r="W138" s="7"/>
      <c r="X138" s="7"/>
      <c r="Y138" s="7"/>
      <c r="Z138" s="7"/>
      <c r="AA138" s="7"/>
      <c r="AB138" s="7"/>
      <c r="AC138" s="7"/>
      <c r="AD138" s="7"/>
    </row>
    <row r="139" ht="15.75" customHeight="1">
      <c r="A139" s="7"/>
      <c r="B139" s="7"/>
      <c r="C139" s="7"/>
      <c r="D139" s="7"/>
      <c r="E139" s="7"/>
      <c r="F139" s="7"/>
      <c r="G139" s="7"/>
      <c r="H139" s="7"/>
      <c r="I139" s="7"/>
      <c r="J139" s="7"/>
      <c r="K139" s="7"/>
      <c r="L139" s="7"/>
      <c r="M139" s="7"/>
      <c r="N139" s="7"/>
      <c r="O139" s="7"/>
      <c r="P139" s="7"/>
      <c r="Q139" s="7"/>
      <c r="U139" s="7"/>
      <c r="V139" s="7"/>
      <c r="W139" s="7"/>
      <c r="X139" s="7"/>
      <c r="Y139" s="7"/>
      <c r="Z139" s="7"/>
      <c r="AA139" s="7"/>
      <c r="AB139" s="7"/>
      <c r="AC139" s="7"/>
      <c r="AD139" s="7"/>
    </row>
    <row r="140" ht="15.75" customHeight="1">
      <c r="A140" s="7"/>
      <c r="B140" s="7"/>
      <c r="C140" s="7"/>
      <c r="D140" s="7"/>
      <c r="E140" s="7"/>
      <c r="F140" s="7"/>
      <c r="G140" s="7"/>
      <c r="H140" s="7"/>
      <c r="I140" s="7"/>
      <c r="J140" s="7"/>
      <c r="K140" s="7"/>
      <c r="L140" s="7"/>
      <c r="M140" s="7"/>
      <c r="N140" s="7"/>
      <c r="O140" s="7"/>
      <c r="P140" s="7"/>
      <c r="Q140" s="7"/>
      <c r="U140" s="7"/>
      <c r="V140" s="7"/>
      <c r="W140" s="7"/>
      <c r="X140" s="7"/>
      <c r="Y140" s="7"/>
      <c r="Z140" s="7"/>
      <c r="AA140" s="7"/>
      <c r="AB140" s="7"/>
      <c r="AC140" s="7"/>
      <c r="AD140" s="7"/>
    </row>
    <row r="141" ht="15.75" customHeight="1">
      <c r="A141" s="7"/>
      <c r="B141" s="7"/>
      <c r="C141" s="7"/>
      <c r="D141" s="7"/>
      <c r="E141" s="7"/>
      <c r="F141" s="7"/>
      <c r="G141" s="7"/>
      <c r="H141" s="7"/>
      <c r="I141" s="7"/>
      <c r="J141" s="7"/>
      <c r="K141" s="7"/>
      <c r="L141" s="7"/>
      <c r="M141" s="7"/>
      <c r="N141" s="7"/>
      <c r="O141" s="7"/>
      <c r="P141" s="7"/>
      <c r="Q141" s="7"/>
      <c r="U141" s="7"/>
      <c r="V141" s="7"/>
      <c r="W141" s="7"/>
      <c r="X141" s="7"/>
      <c r="Y141" s="7"/>
      <c r="Z141" s="7"/>
      <c r="AA141" s="7"/>
      <c r="AB141" s="7"/>
      <c r="AC141" s="7"/>
      <c r="AD141" s="7"/>
    </row>
    <row r="142" ht="15.75" customHeight="1">
      <c r="A142" s="7"/>
      <c r="B142" s="7"/>
      <c r="C142" s="7"/>
      <c r="D142" s="7"/>
      <c r="E142" s="7"/>
      <c r="F142" s="7"/>
      <c r="G142" s="7"/>
      <c r="H142" s="7"/>
      <c r="I142" s="7"/>
      <c r="J142" s="7"/>
      <c r="K142" s="7"/>
      <c r="L142" s="7"/>
      <c r="M142" s="7"/>
      <c r="N142" s="7"/>
      <c r="O142" s="7"/>
      <c r="P142" s="7"/>
      <c r="Q142" s="7"/>
      <c r="U142" s="7"/>
      <c r="V142" s="7"/>
      <c r="W142" s="7"/>
      <c r="X142" s="7"/>
      <c r="Y142" s="7"/>
      <c r="Z142" s="7"/>
      <c r="AA142" s="7"/>
      <c r="AB142" s="7"/>
      <c r="AC142" s="7"/>
      <c r="AD142" s="7"/>
    </row>
    <row r="143" ht="15.75" customHeight="1">
      <c r="A143" s="7"/>
      <c r="B143" s="7"/>
      <c r="C143" s="7"/>
      <c r="D143" s="7"/>
      <c r="E143" s="7"/>
      <c r="F143" s="7"/>
      <c r="G143" s="7"/>
      <c r="H143" s="7"/>
      <c r="I143" s="7"/>
      <c r="J143" s="7"/>
      <c r="K143" s="7"/>
      <c r="L143" s="7"/>
      <c r="M143" s="7"/>
      <c r="N143" s="7"/>
      <c r="O143" s="7"/>
      <c r="P143" s="7"/>
      <c r="Q143" s="7"/>
      <c r="U143" s="7"/>
      <c r="V143" s="7"/>
      <c r="W143" s="7"/>
      <c r="X143" s="7"/>
      <c r="Y143" s="7"/>
      <c r="Z143" s="7"/>
      <c r="AA143" s="7"/>
      <c r="AB143" s="7"/>
      <c r="AC143" s="7"/>
      <c r="AD143" s="7"/>
    </row>
    <row r="144" ht="15.75" customHeight="1">
      <c r="A144" s="7"/>
      <c r="B144" s="7"/>
      <c r="C144" s="7"/>
      <c r="D144" s="7"/>
      <c r="E144" s="7"/>
      <c r="F144" s="7"/>
      <c r="G144" s="7"/>
      <c r="H144" s="7"/>
      <c r="I144" s="7"/>
      <c r="J144" s="7"/>
      <c r="K144" s="7"/>
      <c r="L144" s="7"/>
      <c r="M144" s="7"/>
      <c r="N144" s="7"/>
      <c r="O144" s="7"/>
      <c r="P144" s="7"/>
      <c r="Q144" s="7"/>
      <c r="U144" s="7"/>
      <c r="V144" s="7"/>
      <c r="W144" s="7"/>
      <c r="X144" s="7"/>
      <c r="Y144" s="7"/>
      <c r="Z144" s="7"/>
      <c r="AA144" s="7"/>
      <c r="AB144" s="7"/>
      <c r="AC144" s="7"/>
      <c r="AD144" s="7"/>
    </row>
    <row r="145" ht="15.75" customHeight="1">
      <c r="A145" s="7"/>
      <c r="B145" s="7"/>
      <c r="C145" s="7"/>
      <c r="D145" s="7"/>
      <c r="E145" s="7"/>
      <c r="F145" s="7"/>
      <c r="G145" s="7"/>
      <c r="H145" s="7"/>
      <c r="I145" s="7"/>
      <c r="J145" s="7"/>
      <c r="K145" s="7"/>
      <c r="L145" s="7"/>
      <c r="M145" s="7"/>
      <c r="N145" s="7"/>
      <c r="O145" s="7"/>
      <c r="P145" s="7"/>
      <c r="Q145" s="7"/>
      <c r="U145" s="7"/>
      <c r="V145" s="7"/>
      <c r="W145" s="7"/>
      <c r="X145" s="7"/>
      <c r="Y145" s="7"/>
      <c r="Z145" s="7"/>
      <c r="AA145" s="7"/>
      <c r="AB145" s="7"/>
      <c r="AC145" s="7"/>
      <c r="AD145" s="7"/>
    </row>
    <row r="146" ht="15.75" customHeight="1">
      <c r="A146" s="7"/>
      <c r="B146" s="7"/>
      <c r="C146" s="7"/>
      <c r="D146" s="7"/>
      <c r="E146" s="7"/>
      <c r="F146" s="7"/>
      <c r="G146" s="7"/>
      <c r="H146" s="7"/>
      <c r="I146" s="7"/>
      <c r="J146" s="7"/>
      <c r="K146" s="7"/>
      <c r="L146" s="7"/>
      <c r="M146" s="7"/>
      <c r="N146" s="7"/>
      <c r="O146" s="7"/>
      <c r="P146" s="7"/>
      <c r="Q146" s="7"/>
      <c r="U146" s="7"/>
      <c r="V146" s="7"/>
      <c r="W146" s="7"/>
      <c r="X146" s="7"/>
      <c r="Y146" s="7"/>
      <c r="Z146" s="7"/>
      <c r="AA146" s="7"/>
      <c r="AB146" s="7"/>
      <c r="AC146" s="7"/>
      <c r="AD146" s="7"/>
    </row>
    <row r="147" ht="15.75" customHeight="1">
      <c r="A147" s="7"/>
      <c r="B147" s="7"/>
      <c r="C147" s="7"/>
      <c r="D147" s="7"/>
      <c r="E147" s="7"/>
      <c r="F147" s="7"/>
      <c r="G147" s="7"/>
      <c r="H147" s="7"/>
      <c r="I147" s="7"/>
      <c r="J147" s="7"/>
      <c r="K147" s="7"/>
      <c r="L147" s="7"/>
      <c r="M147" s="7"/>
      <c r="N147" s="7"/>
      <c r="O147" s="7"/>
      <c r="P147" s="7"/>
      <c r="Q147" s="7"/>
      <c r="U147" s="7"/>
      <c r="V147" s="7"/>
      <c r="W147" s="7"/>
      <c r="X147" s="7"/>
      <c r="Y147" s="7"/>
      <c r="Z147" s="7"/>
      <c r="AA147" s="7"/>
      <c r="AB147" s="7"/>
      <c r="AC147" s="7"/>
      <c r="AD147" s="7"/>
    </row>
    <row r="148" ht="15.75" customHeight="1">
      <c r="A148" s="7"/>
      <c r="B148" s="7"/>
      <c r="C148" s="7"/>
      <c r="D148" s="7"/>
      <c r="E148" s="7"/>
      <c r="F148" s="7"/>
      <c r="G148" s="7"/>
      <c r="H148" s="7"/>
      <c r="I148" s="7"/>
      <c r="J148" s="7"/>
      <c r="K148" s="7"/>
      <c r="L148" s="7"/>
      <c r="M148" s="7"/>
      <c r="N148" s="7"/>
      <c r="O148" s="7"/>
      <c r="P148" s="7"/>
      <c r="Q148" s="7"/>
      <c r="U148" s="7"/>
      <c r="V148" s="7"/>
      <c r="W148" s="7"/>
      <c r="X148" s="7"/>
      <c r="Y148" s="7"/>
      <c r="Z148" s="7"/>
      <c r="AA148" s="7"/>
      <c r="AB148" s="7"/>
      <c r="AC148" s="7"/>
      <c r="AD148" s="7"/>
    </row>
    <row r="149" ht="15.75" customHeight="1">
      <c r="A149" s="7"/>
      <c r="B149" s="7"/>
      <c r="C149" s="7"/>
      <c r="D149" s="7"/>
      <c r="E149" s="7"/>
      <c r="F149" s="7"/>
      <c r="G149" s="7"/>
      <c r="H149" s="7"/>
      <c r="I149" s="7"/>
      <c r="J149" s="7"/>
      <c r="K149" s="7"/>
      <c r="L149" s="7"/>
      <c r="M149" s="7"/>
      <c r="N149" s="7"/>
      <c r="O149" s="7"/>
      <c r="P149" s="7"/>
      <c r="Q149" s="7"/>
      <c r="U149" s="7"/>
      <c r="V149" s="7"/>
      <c r="W149" s="7"/>
      <c r="X149" s="7"/>
      <c r="Y149" s="7"/>
      <c r="Z149" s="7"/>
      <c r="AA149" s="7"/>
      <c r="AB149" s="7"/>
      <c r="AC149" s="7"/>
      <c r="AD149" s="7"/>
    </row>
    <row r="150" ht="15.75" customHeight="1">
      <c r="A150" s="7"/>
      <c r="B150" s="7"/>
      <c r="C150" s="7"/>
      <c r="D150" s="7"/>
      <c r="E150" s="7"/>
      <c r="F150" s="7"/>
      <c r="G150" s="7"/>
      <c r="H150" s="7"/>
      <c r="I150" s="7"/>
      <c r="J150" s="7"/>
      <c r="K150" s="7"/>
      <c r="L150" s="7"/>
      <c r="M150" s="7"/>
      <c r="N150" s="7"/>
      <c r="O150" s="7"/>
      <c r="P150" s="7"/>
      <c r="Q150" s="7"/>
      <c r="U150" s="7"/>
      <c r="V150" s="7"/>
      <c r="W150" s="7"/>
      <c r="X150" s="7"/>
      <c r="Y150" s="7"/>
      <c r="Z150" s="7"/>
      <c r="AA150" s="7"/>
      <c r="AB150" s="7"/>
      <c r="AC150" s="7"/>
      <c r="AD150" s="7"/>
    </row>
    <row r="151" ht="15.75" customHeight="1">
      <c r="A151" s="7"/>
      <c r="B151" s="7"/>
      <c r="C151" s="7"/>
      <c r="D151" s="7"/>
      <c r="E151" s="7"/>
      <c r="F151" s="7"/>
      <c r="G151" s="7"/>
      <c r="H151" s="7"/>
      <c r="I151" s="7"/>
      <c r="J151" s="7"/>
      <c r="K151" s="7"/>
      <c r="L151" s="7"/>
      <c r="M151" s="7"/>
      <c r="N151" s="7"/>
      <c r="O151" s="7"/>
      <c r="P151" s="7"/>
      <c r="Q151" s="7"/>
      <c r="U151" s="7"/>
      <c r="V151" s="7"/>
      <c r="W151" s="7"/>
      <c r="X151" s="7"/>
      <c r="Y151" s="7"/>
      <c r="Z151" s="7"/>
      <c r="AA151" s="7"/>
      <c r="AB151" s="7"/>
      <c r="AC151" s="7"/>
      <c r="AD151" s="7"/>
    </row>
    <row r="152" ht="15.75" customHeight="1">
      <c r="A152" s="7"/>
      <c r="B152" s="7"/>
      <c r="C152" s="7"/>
      <c r="D152" s="7"/>
      <c r="E152" s="7"/>
      <c r="F152" s="7"/>
      <c r="G152" s="7"/>
      <c r="H152" s="7"/>
      <c r="I152" s="7"/>
      <c r="J152" s="7"/>
      <c r="K152" s="7"/>
      <c r="L152" s="7"/>
      <c r="M152" s="7"/>
      <c r="N152" s="7"/>
      <c r="O152" s="7"/>
      <c r="P152" s="7"/>
      <c r="Q152" s="7"/>
      <c r="U152" s="7"/>
      <c r="V152" s="7"/>
      <c r="W152" s="7"/>
      <c r="X152" s="7"/>
      <c r="Y152" s="7"/>
      <c r="Z152" s="7"/>
      <c r="AA152" s="7"/>
      <c r="AB152" s="7"/>
      <c r="AC152" s="7"/>
      <c r="AD152" s="7"/>
    </row>
    <row r="153" ht="15.75" customHeight="1">
      <c r="A153" s="7"/>
      <c r="B153" s="7"/>
      <c r="C153" s="7"/>
      <c r="D153" s="7"/>
      <c r="E153" s="7"/>
      <c r="F153" s="7"/>
      <c r="G153" s="7"/>
      <c r="H153" s="7"/>
      <c r="I153" s="7"/>
      <c r="J153" s="7"/>
      <c r="K153" s="7"/>
      <c r="L153" s="7"/>
      <c r="M153" s="7"/>
      <c r="N153" s="7"/>
      <c r="O153" s="7"/>
      <c r="P153" s="7"/>
      <c r="Q153" s="7"/>
      <c r="U153" s="7"/>
      <c r="V153" s="7"/>
      <c r="W153" s="7"/>
      <c r="X153" s="7"/>
      <c r="Y153" s="7"/>
      <c r="Z153" s="7"/>
      <c r="AA153" s="7"/>
      <c r="AB153" s="7"/>
      <c r="AC153" s="7"/>
      <c r="AD153" s="7"/>
    </row>
    <row r="154" ht="15.75" customHeight="1">
      <c r="A154" s="7"/>
      <c r="B154" s="7"/>
      <c r="C154" s="7"/>
      <c r="D154" s="7"/>
      <c r="E154" s="7"/>
      <c r="F154" s="7"/>
      <c r="G154" s="7"/>
      <c r="H154" s="7"/>
      <c r="I154" s="7"/>
      <c r="J154" s="7"/>
      <c r="K154" s="7"/>
      <c r="L154" s="7"/>
      <c r="M154" s="7"/>
      <c r="N154" s="7"/>
      <c r="O154" s="7"/>
      <c r="P154" s="7"/>
      <c r="Q154" s="7"/>
      <c r="U154" s="7"/>
      <c r="V154" s="7"/>
      <c r="W154" s="7"/>
      <c r="X154" s="7"/>
      <c r="Y154" s="7"/>
      <c r="Z154" s="7"/>
      <c r="AA154" s="7"/>
      <c r="AB154" s="7"/>
      <c r="AC154" s="7"/>
      <c r="AD154" s="7"/>
    </row>
    <row r="155" ht="15.75" customHeight="1">
      <c r="A155" s="7"/>
      <c r="B155" s="7"/>
      <c r="C155" s="7"/>
      <c r="D155" s="7"/>
      <c r="E155" s="7"/>
      <c r="F155" s="7"/>
      <c r="G155" s="7"/>
      <c r="H155" s="7"/>
      <c r="I155" s="7"/>
      <c r="J155" s="7"/>
      <c r="K155" s="7"/>
      <c r="L155" s="7"/>
      <c r="M155" s="7"/>
      <c r="N155" s="7"/>
      <c r="O155" s="7"/>
      <c r="P155" s="7"/>
      <c r="Q155" s="7"/>
      <c r="U155" s="7"/>
      <c r="V155" s="7"/>
      <c r="W155" s="7"/>
      <c r="X155" s="7"/>
      <c r="Y155" s="7"/>
      <c r="Z155" s="7"/>
      <c r="AA155" s="7"/>
      <c r="AB155" s="7"/>
      <c r="AC155" s="7"/>
      <c r="AD155" s="7"/>
    </row>
    <row r="156" ht="15.75" customHeight="1">
      <c r="A156" s="7"/>
      <c r="B156" s="7"/>
      <c r="C156" s="7"/>
      <c r="D156" s="7"/>
      <c r="E156" s="7"/>
      <c r="F156" s="7"/>
      <c r="G156" s="7"/>
      <c r="H156" s="7"/>
      <c r="I156" s="7"/>
      <c r="J156" s="7"/>
      <c r="K156" s="7"/>
      <c r="L156" s="7"/>
      <c r="M156" s="7"/>
      <c r="N156" s="7"/>
      <c r="O156" s="7"/>
      <c r="P156" s="7"/>
      <c r="Q156" s="7"/>
      <c r="U156" s="7"/>
      <c r="V156" s="7"/>
      <c r="W156" s="7"/>
      <c r="X156" s="7"/>
      <c r="Y156" s="7"/>
      <c r="Z156" s="7"/>
      <c r="AA156" s="7"/>
      <c r="AB156" s="7"/>
      <c r="AC156" s="7"/>
      <c r="AD156" s="7"/>
    </row>
    <row r="157" ht="15.75" customHeight="1">
      <c r="A157" s="7"/>
      <c r="B157" s="7"/>
      <c r="C157" s="7"/>
      <c r="D157" s="7"/>
      <c r="E157" s="7"/>
      <c r="F157" s="7"/>
      <c r="G157" s="7"/>
      <c r="H157" s="7"/>
      <c r="I157" s="7"/>
      <c r="J157" s="7"/>
      <c r="K157" s="7"/>
      <c r="L157" s="7"/>
      <c r="M157" s="7"/>
      <c r="N157" s="7"/>
      <c r="O157" s="7"/>
      <c r="P157" s="7"/>
      <c r="Q157" s="7"/>
      <c r="U157" s="7"/>
      <c r="V157" s="7"/>
      <c r="W157" s="7"/>
      <c r="X157" s="7"/>
      <c r="Y157" s="7"/>
      <c r="Z157" s="7"/>
      <c r="AA157" s="7"/>
      <c r="AB157" s="7"/>
      <c r="AC157" s="7"/>
      <c r="AD157" s="7"/>
    </row>
    <row r="158" ht="15.75" customHeight="1">
      <c r="A158" s="7"/>
      <c r="B158" s="7"/>
      <c r="C158" s="7"/>
      <c r="D158" s="7"/>
      <c r="E158" s="7"/>
      <c r="F158" s="7"/>
      <c r="G158" s="7"/>
      <c r="H158" s="7"/>
      <c r="I158" s="7"/>
      <c r="J158" s="7"/>
      <c r="K158" s="7"/>
      <c r="L158" s="7"/>
      <c r="M158" s="7"/>
      <c r="N158" s="7"/>
      <c r="O158" s="7"/>
      <c r="P158" s="7"/>
      <c r="Q158" s="7"/>
      <c r="U158" s="7"/>
      <c r="V158" s="7"/>
      <c r="W158" s="7"/>
      <c r="X158" s="7"/>
      <c r="Y158" s="7"/>
      <c r="Z158" s="7"/>
      <c r="AA158" s="7"/>
      <c r="AB158" s="7"/>
      <c r="AC158" s="7"/>
      <c r="AD158" s="7"/>
    </row>
    <row r="159" ht="15.75" customHeight="1">
      <c r="A159" s="7"/>
      <c r="B159" s="7"/>
      <c r="C159" s="7"/>
      <c r="D159" s="7"/>
      <c r="E159" s="7"/>
      <c r="F159" s="7"/>
      <c r="G159" s="7"/>
      <c r="H159" s="7"/>
      <c r="I159" s="7"/>
      <c r="J159" s="7"/>
      <c r="K159" s="7"/>
      <c r="L159" s="7"/>
      <c r="M159" s="7"/>
      <c r="N159" s="7"/>
      <c r="O159" s="7"/>
      <c r="P159" s="7"/>
      <c r="Q159" s="7"/>
      <c r="U159" s="7"/>
      <c r="V159" s="7"/>
      <c r="W159" s="7"/>
      <c r="X159" s="7"/>
      <c r="Y159" s="7"/>
      <c r="Z159" s="7"/>
      <c r="AA159" s="7"/>
      <c r="AB159" s="7"/>
      <c r="AC159" s="7"/>
      <c r="AD159" s="7"/>
    </row>
    <row r="160" ht="15.75" customHeight="1">
      <c r="A160" s="7"/>
      <c r="B160" s="7"/>
      <c r="C160" s="7"/>
      <c r="D160" s="7"/>
      <c r="E160" s="7"/>
      <c r="F160" s="7"/>
      <c r="G160" s="7"/>
      <c r="H160" s="7"/>
      <c r="I160" s="7"/>
      <c r="J160" s="7"/>
      <c r="K160" s="7"/>
      <c r="L160" s="7"/>
      <c r="M160" s="7"/>
      <c r="N160" s="7"/>
      <c r="O160" s="7"/>
      <c r="P160" s="7"/>
      <c r="Q160" s="7"/>
      <c r="U160" s="7"/>
      <c r="V160" s="7"/>
      <c r="W160" s="7"/>
      <c r="X160" s="7"/>
      <c r="Y160" s="7"/>
      <c r="Z160" s="7"/>
      <c r="AA160" s="7"/>
      <c r="AB160" s="7"/>
      <c r="AC160" s="7"/>
      <c r="AD160" s="7"/>
    </row>
    <row r="161" ht="15.75" customHeight="1">
      <c r="A161" s="7"/>
      <c r="B161" s="7"/>
      <c r="C161" s="7"/>
      <c r="D161" s="7"/>
      <c r="E161" s="7"/>
      <c r="F161" s="7"/>
      <c r="G161" s="7"/>
      <c r="H161" s="7"/>
      <c r="I161" s="7"/>
      <c r="J161" s="7"/>
      <c r="K161" s="7"/>
      <c r="L161" s="7"/>
      <c r="M161" s="7"/>
      <c r="N161" s="7"/>
      <c r="O161" s="7"/>
      <c r="P161" s="7"/>
      <c r="Q161" s="7"/>
      <c r="U161" s="7"/>
      <c r="V161" s="7"/>
      <c r="W161" s="7"/>
      <c r="X161" s="7"/>
      <c r="Y161" s="7"/>
      <c r="Z161" s="7"/>
      <c r="AA161" s="7"/>
      <c r="AB161" s="7"/>
      <c r="AC161" s="7"/>
      <c r="AD161" s="7"/>
    </row>
    <row r="162" ht="15.75" customHeight="1">
      <c r="A162" s="7"/>
      <c r="B162" s="7"/>
      <c r="C162" s="7"/>
      <c r="D162" s="7"/>
      <c r="E162" s="7"/>
      <c r="F162" s="7"/>
      <c r="G162" s="7"/>
      <c r="H162" s="7"/>
      <c r="I162" s="7"/>
      <c r="J162" s="7"/>
      <c r="K162" s="7"/>
      <c r="L162" s="7"/>
      <c r="M162" s="7"/>
      <c r="N162" s="7"/>
      <c r="O162" s="7"/>
      <c r="P162" s="7"/>
      <c r="Q162" s="7"/>
      <c r="U162" s="7"/>
      <c r="V162" s="7"/>
      <c r="W162" s="7"/>
      <c r="X162" s="7"/>
      <c r="Y162" s="7"/>
      <c r="Z162" s="7"/>
      <c r="AA162" s="7"/>
      <c r="AB162" s="7"/>
      <c r="AC162" s="7"/>
      <c r="AD162" s="7"/>
    </row>
    <row r="163" ht="15.75" customHeight="1">
      <c r="A163" s="7"/>
      <c r="B163" s="7"/>
      <c r="C163" s="7"/>
      <c r="D163" s="7"/>
      <c r="E163" s="7"/>
      <c r="F163" s="7"/>
      <c r="G163" s="7"/>
      <c r="H163" s="7"/>
      <c r="I163" s="7"/>
      <c r="J163" s="7"/>
      <c r="K163" s="7"/>
      <c r="L163" s="7"/>
      <c r="M163" s="7"/>
      <c r="N163" s="7"/>
      <c r="O163" s="7"/>
      <c r="P163" s="7"/>
      <c r="Q163" s="7"/>
      <c r="U163" s="7"/>
      <c r="V163" s="7"/>
      <c r="W163" s="7"/>
      <c r="X163" s="7"/>
      <c r="Y163" s="7"/>
      <c r="Z163" s="7"/>
      <c r="AA163" s="7"/>
      <c r="AB163" s="7"/>
      <c r="AC163" s="7"/>
      <c r="AD163" s="7"/>
    </row>
    <row r="164" ht="15.75" customHeight="1">
      <c r="A164" s="7"/>
      <c r="B164" s="7"/>
      <c r="C164" s="7"/>
      <c r="D164" s="7"/>
      <c r="E164" s="7"/>
      <c r="F164" s="7"/>
      <c r="G164" s="7"/>
      <c r="H164" s="7"/>
      <c r="I164" s="7"/>
      <c r="J164" s="7"/>
      <c r="K164" s="7"/>
      <c r="L164" s="7"/>
      <c r="M164" s="7"/>
      <c r="N164" s="7"/>
      <c r="O164" s="7"/>
      <c r="P164" s="7"/>
      <c r="Q164" s="7"/>
      <c r="U164" s="7"/>
      <c r="V164" s="7"/>
      <c r="W164" s="7"/>
      <c r="X164" s="7"/>
      <c r="Y164" s="7"/>
      <c r="Z164" s="7"/>
      <c r="AA164" s="7"/>
      <c r="AB164" s="7"/>
      <c r="AC164" s="7"/>
      <c r="AD164" s="7"/>
    </row>
    <row r="165" ht="15.75" customHeight="1">
      <c r="A165" s="7"/>
      <c r="B165" s="7"/>
      <c r="C165" s="7"/>
      <c r="D165" s="7"/>
      <c r="E165" s="7"/>
      <c r="F165" s="7"/>
      <c r="G165" s="7"/>
      <c r="H165" s="7"/>
      <c r="I165" s="7"/>
      <c r="J165" s="7"/>
      <c r="K165" s="7"/>
      <c r="L165" s="7"/>
      <c r="M165" s="7"/>
      <c r="N165" s="7"/>
      <c r="O165" s="7"/>
      <c r="P165" s="7"/>
      <c r="Q165" s="7"/>
      <c r="U165" s="7"/>
      <c r="V165" s="7"/>
      <c r="W165" s="7"/>
      <c r="X165" s="7"/>
      <c r="Y165" s="7"/>
      <c r="Z165" s="7"/>
      <c r="AA165" s="7"/>
      <c r="AB165" s="7"/>
      <c r="AC165" s="7"/>
      <c r="AD165" s="7"/>
    </row>
    <row r="166" ht="15.75" customHeight="1">
      <c r="A166" s="7"/>
      <c r="B166" s="7"/>
      <c r="C166" s="7"/>
      <c r="D166" s="7"/>
      <c r="E166" s="7"/>
      <c r="F166" s="7"/>
      <c r="G166" s="7"/>
      <c r="H166" s="7"/>
      <c r="I166" s="7"/>
      <c r="J166" s="7"/>
      <c r="K166" s="7"/>
      <c r="L166" s="7"/>
      <c r="M166" s="7"/>
      <c r="N166" s="7"/>
      <c r="O166" s="7"/>
      <c r="P166" s="7"/>
      <c r="Q166" s="7"/>
      <c r="U166" s="7"/>
      <c r="V166" s="7"/>
      <c r="W166" s="7"/>
      <c r="X166" s="7"/>
      <c r="Y166" s="7"/>
      <c r="Z166" s="7"/>
      <c r="AA166" s="7"/>
      <c r="AB166" s="7"/>
      <c r="AC166" s="7"/>
      <c r="AD166" s="7"/>
    </row>
    <row r="167" ht="15.75" customHeight="1">
      <c r="A167" s="7"/>
      <c r="B167" s="7"/>
      <c r="C167" s="7"/>
      <c r="D167" s="7"/>
      <c r="E167" s="7"/>
      <c r="F167" s="7"/>
      <c r="G167" s="7"/>
      <c r="H167" s="7"/>
      <c r="I167" s="7"/>
      <c r="J167" s="7"/>
      <c r="K167" s="7"/>
      <c r="L167" s="7"/>
      <c r="M167" s="7"/>
      <c r="N167" s="7"/>
      <c r="O167" s="7"/>
      <c r="P167" s="7"/>
      <c r="Q167" s="7"/>
      <c r="U167" s="7"/>
      <c r="V167" s="7"/>
      <c r="W167" s="7"/>
      <c r="X167" s="7"/>
      <c r="Y167" s="7"/>
      <c r="Z167" s="7"/>
      <c r="AA167" s="7"/>
      <c r="AB167" s="7"/>
      <c r="AC167" s="7"/>
      <c r="AD167" s="7"/>
    </row>
    <row r="168" ht="15.75" customHeight="1">
      <c r="A168" s="7"/>
      <c r="B168" s="7"/>
      <c r="C168" s="7"/>
      <c r="D168" s="7"/>
      <c r="E168" s="7"/>
      <c r="F168" s="7"/>
      <c r="G168" s="7"/>
      <c r="H168" s="7"/>
      <c r="I168" s="7"/>
      <c r="J168" s="7"/>
      <c r="K168" s="7"/>
      <c r="L168" s="7"/>
      <c r="M168" s="7"/>
      <c r="N168" s="7"/>
      <c r="O168" s="7"/>
      <c r="P168" s="7"/>
      <c r="Q168" s="7"/>
      <c r="U168" s="7"/>
      <c r="V168" s="7"/>
      <c r="W168" s="7"/>
      <c r="X168" s="7"/>
      <c r="Y168" s="7"/>
      <c r="Z168" s="7"/>
      <c r="AA168" s="7"/>
      <c r="AB168" s="7"/>
      <c r="AC168" s="7"/>
      <c r="AD168" s="7"/>
    </row>
    <row r="169" ht="15.75" customHeight="1">
      <c r="A169" s="7"/>
      <c r="B169" s="7"/>
      <c r="C169" s="7"/>
      <c r="D169" s="7"/>
      <c r="E169" s="7"/>
      <c r="F169" s="7"/>
      <c r="G169" s="7"/>
      <c r="H169" s="7"/>
      <c r="I169" s="7"/>
      <c r="J169" s="7"/>
      <c r="K169" s="7"/>
      <c r="L169" s="7"/>
      <c r="M169" s="7"/>
      <c r="N169" s="7"/>
      <c r="O169" s="7"/>
      <c r="P169" s="7"/>
      <c r="Q169" s="7"/>
      <c r="U169" s="7"/>
      <c r="V169" s="7"/>
      <c r="W169" s="7"/>
      <c r="X169" s="7"/>
      <c r="Y169" s="7"/>
      <c r="Z169" s="7"/>
      <c r="AA169" s="7"/>
      <c r="AB169" s="7"/>
      <c r="AC169" s="7"/>
      <c r="AD169" s="7"/>
    </row>
    <row r="170" ht="15.75" customHeight="1">
      <c r="A170" s="7"/>
      <c r="B170" s="7"/>
      <c r="C170" s="7"/>
      <c r="D170" s="7"/>
      <c r="E170" s="7"/>
      <c r="F170" s="7"/>
      <c r="G170" s="7"/>
      <c r="H170" s="7"/>
      <c r="I170" s="7"/>
      <c r="J170" s="7"/>
      <c r="K170" s="7"/>
      <c r="L170" s="7"/>
      <c r="M170" s="7"/>
      <c r="N170" s="7"/>
      <c r="O170" s="7"/>
      <c r="P170" s="7"/>
      <c r="Q170" s="7"/>
      <c r="U170" s="7"/>
      <c r="V170" s="7"/>
      <c r="W170" s="7"/>
      <c r="X170" s="7"/>
      <c r="Y170" s="7"/>
      <c r="Z170" s="7"/>
      <c r="AA170" s="7"/>
      <c r="AB170" s="7"/>
      <c r="AC170" s="7"/>
      <c r="AD170" s="7"/>
    </row>
    <row r="171" ht="15.75" customHeight="1">
      <c r="A171" s="7"/>
      <c r="B171" s="7"/>
      <c r="C171" s="7"/>
      <c r="D171" s="7"/>
      <c r="E171" s="7"/>
      <c r="F171" s="7"/>
      <c r="G171" s="7"/>
      <c r="H171" s="7"/>
      <c r="I171" s="7"/>
      <c r="J171" s="7"/>
      <c r="K171" s="7"/>
      <c r="L171" s="7"/>
      <c r="M171" s="7"/>
      <c r="N171" s="7"/>
      <c r="O171" s="7"/>
      <c r="P171" s="7"/>
      <c r="Q171" s="7"/>
      <c r="U171" s="7"/>
      <c r="V171" s="7"/>
      <c r="W171" s="7"/>
      <c r="X171" s="7"/>
      <c r="Y171" s="7"/>
      <c r="Z171" s="7"/>
      <c r="AA171" s="7"/>
      <c r="AB171" s="7"/>
      <c r="AC171" s="7"/>
      <c r="AD171" s="7"/>
    </row>
    <row r="172" ht="15.75" customHeight="1">
      <c r="A172" s="7"/>
      <c r="B172" s="7"/>
      <c r="C172" s="7"/>
      <c r="D172" s="7"/>
      <c r="E172" s="7"/>
      <c r="F172" s="7"/>
      <c r="G172" s="7"/>
      <c r="H172" s="7"/>
      <c r="I172" s="7"/>
      <c r="J172" s="7"/>
      <c r="K172" s="7"/>
      <c r="L172" s="7"/>
      <c r="M172" s="7"/>
      <c r="N172" s="7"/>
      <c r="O172" s="7"/>
      <c r="P172" s="7"/>
      <c r="Q172" s="7"/>
      <c r="U172" s="7"/>
      <c r="V172" s="7"/>
      <c r="W172" s="7"/>
      <c r="X172" s="7"/>
      <c r="Y172" s="7"/>
      <c r="Z172" s="7"/>
      <c r="AA172" s="7"/>
      <c r="AB172" s="7"/>
      <c r="AC172" s="7"/>
      <c r="AD172" s="7"/>
    </row>
    <row r="173" ht="15.75" customHeight="1">
      <c r="A173" s="7"/>
      <c r="B173" s="7"/>
      <c r="C173" s="7"/>
      <c r="D173" s="7"/>
      <c r="E173" s="7"/>
      <c r="F173" s="7"/>
      <c r="G173" s="7"/>
      <c r="H173" s="7"/>
      <c r="I173" s="7"/>
      <c r="J173" s="7"/>
      <c r="K173" s="7"/>
      <c r="L173" s="7"/>
      <c r="M173" s="7"/>
      <c r="N173" s="7"/>
      <c r="O173" s="7"/>
      <c r="P173" s="7"/>
      <c r="Q173" s="7"/>
      <c r="U173" s="7"/>
      <c r="V173" s="7"/>
      <c r="W173" s="7"/>
      <c r="X173" s="7"/>
      <c r="Y173" s="7"/>
      <c r="Z173" s="7"/>
      <c r="AA173" s="7"/>
      <c r="AB173" s="7"/>
      <c r="AC173" s="7"/>
      <c r="AD173" s="7"/>
    </row>
    <row r="174" ht="15.75" customHeight="1">
      <c r="A174" s="7"/>
      <c r="B174" s="7"/>
      <c r="C174" s="7"/>
      <c r="D174" s="7"/>
      <c r="E174" s="7"/>
      <c r="F174" s="7"/>
      <c r="G174" s="7"/>
      <c r="H174" s="7"/>
      <c r="I174" s="7"/>
      <c r="J174" s="7"/>
      <c r="K174" s="7"/>
      <c r="L174" s="7"/>
      <c r="M174" s="7"/>
      <c r="N174" s="7"/>
      <c r="O174" s="7"/>
      <c r="P174" s="7"/>
      <c r="Q174" s="7"/>
      <c r="U174" s="7"/>
      <c r="V174" s="7"/>
      <c r="W174" s="7"/>
      <c r="X174" s="7"/>
      <c r="Y174" s="7"/>
      <c r="Z174" s="7"/>
      <c r="AA174" s="7"/>
      <c r="AB174" s="7"/>
      <c r="AC174" s="7"/>
      <c r="AD174" s="7"/>
    </row>
    <row r="175" ht="15.75" customHeight="1">
      <c r="A175" s="7"/>
      <c r="B175" s="7"/>
      <c r="C175" s="7"/>
      <c r="D175" s="7"/>
      <c r="E175" s="7"/>
      <c r="F175" s="7"/>
      <c r="G175" s="7"/>
      <c r="H175" s="7"/>
      <c r="I175" s="7"/>
      <c r="J175" s="7"/>
      <c r="K175" s="7"/>
      <c r="L175" s="7"/>
      <c r="M175" s="7"/>
      <c r="N175" s="7"/>
      <c r="O175" s="7"/>
      <c r="P175" s="7"/>
      <c r="Q175" s="7"/>
      <c r="U175" s="7"/>
      <c r="V175" s="7"/>
      <c r="W175" s="7"/>
      <c r="X175" s="7"/>
      <c r="Y175" s="7"/>
      <c r="Z175" s="7"/>
      <c r="AA175" s="7"/>
      <c r="AB175" s="7"/>
      <c r="AC175" s="7"/>
      <c r="AD175" s="7"/>
    </row>
    <row r="176" ht="15.75" customHeight="1">
      <c r="A176" s="7"/>
      <c r="B176" s="7"/>
      <c r="C176" s="7"/>
      <c r="D176" s="7"/>
      <c r="E176" s="7"/>
      <c r="F176" s="7"/>
      <c r="G176" s="7"/>
      <c r="H176" s="7"/>
      <c r="I176" s="7"/>
      <c r="J176" s="7"/>
      <c r="K176" s="7"/>
      <c r="L176" s="7"/>
      <c r="M176" s="7"/>
      <c r="N176" s="7"/>
      <c r="O176" s="7"/>
      <c r="P176" s="7"/>
      <c r="Q176" s="7"/>
      <c r="U176" s="7"/>
      <c r="V176" s="7"/>
      <c r="W176" s="7"/>
      <c r="X176" s="7"/>
      <c r="Y176" s="7"/>
      <c r="Z176" s="7"/>
      <c r="AA176" s="7"/>
      <c r="AB176" s="7"/>
      <c r="AC176" s="7"/>
      <c r="AD176" s="7"/>
    </row>
    <row r="177" ht="15.75" customHeight="1">
      <c r="A177" s="7"/>
      <c r="B177" s="7"/>
      <c r="C177" s="7"/>
      <c r="D177" s="7"/>
      <c r="E177" s="7"/>
      <c r="F177" s="7"/>
      <c r="G177" s="7"/>
      <c r="H177" s="7"/>
      <c r="I177" s="7"/>
      <c r="J177" s="7"/>
      <c r="K177" s="7"/>
      <c r="L177" s="7"/>
      <c r="M177" s="7"/>
      <c r="N177" s="7"/>
      <c r="O177" s="7"/>
      <c r="P177" s="7"/>
      <c r="Q177" s="7"/>
      <c r="U177" s="7"/>
      <c r="V177" s="7"/>
      <c r="W177" s="7"/>
      <c r="X177" s="7"/>
      <c r="Y177" s="7"/>
      <c r="Z177" s="7"/>
      <c r="AA177" s="7"/>
      <c r="AB177" s="7"/>
      <c r="AC177" s="7"/>
      <c r="AD177" s="7"/>
    </row>
    <row r="178" ht="15.75" customHeight="1">
      <c r="A178" s="7"/>
      <c r="B178" s="7"/>
      <c r="C178" s="7"/>
      <c r="D178" s="7"/>
      <c r="E178" s="7"/>
      <c r="F178" s="7"/>
      <c r="G178" s="7"/>
      <c r="H178" s="7"/>
      <c r="I178" s="7"/>
      <c r="J178" s="7"/>
      <c r="K178" s="7"/>
      <c r="L178" s="7"/>
      <c r="M178" s="7"/>
      <c r="N178" s="7"/>
      <c r="O178" s="7"/>
      <c r="P178" s="7"/>
      <c r="Q178" s="7"/>
      <c r="U178" s="7"/>
      <c r="V178" s="7"/>
      <c r="W178" s="7"/>
      <c r="X178" s="7"/>
      <c r="Y178" s="7"/>
      <c r="Z178" s="7"/>
      <c r="AA178" s="7"/>
      <c r="AB178" s="7"/>
      <c r="AC178" s="7"/>
      <c r="AD178" s="7"/>
    </row>
    <row r="179" ht="15.75" customHeight="1">
      <c r="A179" s="7"/>
      <c r="B179" s="7"/>
      <c r="C179" s="7"/>
      <c r="D179" s="7"/>
      <c r="E179" s="7"/>
      <c r="F179" s="7"/>
      <c r="G179" s="7"/>
      <c r="H179" s="7"/>
      <c r="I179" s="7"/>
      <c r="J179" s="7"/>
      <c r="K179" s="7"/>
      <c r="L179" s="7"/>
      <c r="M179" s="7"/>
      <c r="N179" s="7"/>
      <c r="O179" s="7"/>
      <c r="P179" s="7"/>
      <c r="Q179" s="7"/>
      <c r="U179" s="7"/>
      <c r="V179" s="7"/>
      <c r="W179" s="7"/>
      <c r="X179" s="7"/>
      <c r="Y179" s="7"/>
      <c r="Z179" s="7"/>
      <c r="AA179" s="7"/>
      <c r="AB179" s="7"/>
      <c r="AC179" s="7"/>
      <c r="AD179" s="7"/>
    </row>
    <row r="180" ht="15.75" customHeight="1">
      <c r="A180" s="7"/>
      <c r="B180" s="7"/>
      <c r="C180" s="7"/>
      <c r="D180" s="7"/>
      <c r="E180" s="7"/>
      <c r="F180" s="7"/>
      <c r="G180" s="7"/>
      <c r="H180" s="7"/>
      <c r="I180" s="7"/>
      <c r="J180" s="7"/>
      <c r="K180" s="7"/>
      <c r="L180" s="7"/>
      <c r="M180" s="7"/>
      <c r="N180" s="7"/>
      <c r="O180" s="7"/>
      <c r="P180" s="7"/>
      <c r="Q180" s="7"/>
      <c r="U180" s="7"/>
      <c r="V180" s="7"/>
      <c r="W180" s="7"/>
      <c r="X180" s="7"/>
      <c r="Y180" s="7"/>
      <c r="Z180" s="7"/>
      <c r="AA180" s="7"/>
      <c r="AB180" s="7"/>
      <c r="AC180" s="7"/>
      <c r="AD180" s="7"/>
    </row>
    <row r="181" ht="15.75" customHeight="1">
      <c r="A181" s="7"/>
      <c r="B181" s="7"/>
      <c r="C181" s="7"/>
      <c r="D181" s="7"/>
      <c r="E181" s="7"/>
      <c r="F181" s="7"/>
      <c r="G181" s="7"/>
      <c r="H181" s="7"/>
      <c r="I181" s="7"/>
      <c r="J181" s="7"/>
      <c r="K181" s="7"/>
      <c r="L181" s="7"/>
      <c r="M181" s="7"/>
      <c r="N181" s="7"/>
      <c r="O181" s="7"/>
      <c r="P181" s="7"/>
      <c r="Q181" s="7"/>
      <c r="U181" s="7"/>
      <c r="V181" s="7"/>
      <c r="W181" s="7"/>
      <c r="X181" s="7"/>
      <c r="Y181" s="7"/>
      <c r="Z181" s="7"/>
      <c r="AA181" s="7"/>
      <c r="AB181" s="7"/>
      <c r="AC181" s="7"/>
      <c r="AD181" s="7"/>
    </row>
    <row r="182" ht="15.75" customHeight="1">
      <c r="A182" s="7"/>
      <c r="B182" s="7"/>
      <c r="C182" s="7"/>
      <c r="D182" s="7"/>
      <c r="E182" s="7"/>
      <c r="F182" s="7"/>
      <c r="G182" s="7"/>
      <c r="H182" s="7"/>
      <c r="I182" s="7"/>
      <c r="J182" s="7"/>
      <c r="K182" s="7"/>
      <c r="L182" s="7"/>
      <c r="M182" s="7"/>
      <c r="N182" s="7"/>
      <c r="O182" s="7"/>
      <c r="P182" s="7"/>
      <c r="Q182" s="7"/>
      <c r="U182" s="7"/>
      <c r="V182" s="7"/>
      <c r="W182" s="7"/>
      <c r="X182" s="7"/>
      <c r="Y182" s="7"/>
      <c r="Z182" s="7"/>
      <c r="AA182" s="7"/>
      <c r="AB182" s="7"/>
      <c r="AC182" s="7"/>
      <c r="AD182" s="7"/>
    </row>
    <row r="183" ht="15.75" customHeight="1">
      <c r="A183" s="7"/>
      <c r="B183" s="7"/>
      <c r="C183" s="7"/>
      <c r="D183" s="7"/>
      <c r="E183" s="7"/>
      <c r="F183" s="7"/>
      <c r="G183" s="7"/>
      <c r="H183" s="7"/>
      <c r="I183" s="7"/>
      <c r="J183" s="7"/>
      <c r="K183" s="7"/>
      <c r="L183" s="7"/>
      <c r="M183" s="7"/>
      <c r="N183" s="7"/>
      <c r="O183" s="7"/>
      <c r="P183" s="7"/>
      <c r="Q183" s="7"/>
      <c r="U183" s="7"/>
      <c r="V183" s="7"/>
      <c r="W183" s="7"/>
      <c r="X183" s="7"/>
      <c r="Y183" s="7"/>
      <c r="Z183" s="7"/>
      <c r="AA183" s="7"/>
      <c r="AB183" s="7"/>
      <c r="AC183" s="7"/>
      <c r="AD183" s="7"/>
    </row>
    <row r="184" ht="15.75" customHeight="1">
      <c r="A184" s="7"/>
      <c r="B184" s="7"/>
      <c r="C184" s="7"/>
      <c r="D184" s="7"/>
      <c r="E184" s="7"/>
      <c r="F184" s="7"/>
      <c r="G184" s="7"/>
      <c r="H184" s="7"/>
      <c r="I184" s="7"/>
      <c r="J184" s="7"/>
      <c r="K184" s="7"/>
      <c r="L184" s="7"/>
      <c r="M184" s="7"/>
      <c r="N184" s="7"/>
      <c r="O184" s="7"/>
      <c r="P184" s="7"/>
      <c r="Q184" s="7"/>
      <c r="U184" s="7"/>
      <c r="V184" s="7"/>
      <c r="W184" s="7"/>
      <c r="X184" s="7"/>
      <c r="Y184" s="7"/>
      <c r="Z184" s="7"/>
      <c r="AA184" s="7"/>
      <c r="AB184" s="7"/>
      <c r="AC184" s="7"/>
      <c r="AD184" s="7"/>
    </row>
    <row r="185" ht="15.75" customHeight="1">
      <c r="A185" s="7"/>
      <c r="B185" s="7"/>
      <c r="C185" s="7"/>
      <c r="D185" s="7"/>
      <c r="E185" s="7"/>
      <c r="F185" s="7"/>
      <c r="G185" s="7"/>
      <c r="H185" s="7"/>
      <c r="I185" s="7"/>
      <c r="J185" s="7"/>
      <c r="K185" s="7"/>
      <c r="L185" s="7"/>
      <c r="M185" s="7"/>
      <c r="N185" s="7"/>
      <c r="O185" s="7"/>
      <c r="P185" s="7"/>
      <c r="Q185" s="7"/>
      <c r="U185" s="7"/>
      <c r="V185" s="7"/>
      <c r="W185" s="7"/>
      <c r="X185" s="7"/>
      <c r="Y185" s="7"/>
      <c r="Z185" s="7"/>
      <c r="AA185" s="7"/>
      <c r="AB185" s="7"/>
      <c r="AC185" s="7"/>
      <c r="AD185" s="7"/>
    </row>
    <row r="186" ht="15.75" customHeight="1">
      <c r="A186" s="7"/>
      <c r="B186" s="7"/>
      <c r="C186" s="7"/>
      <c r="D186" s="7"/>
      <c r="E186" s="7"/>
      <c r="F186" s="7"/>
      <c r="G186" s="7"/>
      <c r="H186" s="7"/>
      <c r="I186" s="7"/>
      <c r="J186" s="7"/>
      <c r="K186" s="7"/>
      <c r="L186" s="7"/>
      <c r="M186" s="7"/>
      <c r="N186" s="7"/>
      <c r="O186" s="7"/>
      <c r="P186" s="7"/>
      <c r="Q186" s="7"/>
      <c r="U186" s="7"/>
      <c r="V186" s="7"/>
      <c r="W186" s="7"/>
      <c r="X186" s="7"/>
      <c r="Y186" s="7"/>
      <c r="Z186" s="7"/>
      <c r="AA186" s="7"/>
      <c r="AB186" s="7"/>
      <c r="AC186" s="7"/>
      <c r="AD186" s="7"/>
    </row>
    <row r="187" ht="15.75" customHeight="1">
      <c r="A187" s="7"/>
      <c r="B187" s="7"/>
      <c r="C187" s="7"/>
      <c r="D187" s="7"/>
      <c r="E187" s="7"/>
      <c r="F187" s="7"/>
      <c r="G187" s="7"/>
      <c r="H187" s="7"/>
      <c r="I187" s="7"/>
      <c r="J187" s="7"/>
      <c r="K187" s="7"/>
      <c r="L187" s="7"/>
      <c r="M187" s="7"/>
      <c r="N187" s="7"/>
      <c r="O187" s="7"/>
      <c r="P187" s="7"/>
      <c r="Q187" s="7"/>
      <c r="U187" s="7"/>
      <c r="V187" s="7"/>
      <c r="W187" s="7"/>
      <c r="X187" s="7"/>
      <c r="Y187" s="7"/>
      <c r="Z187" s="7"/>
      <c r="AA187" s="7"/>
      <c r="AB187" s="7"/>
      <c r="AC187" s="7"/>
      <c r="AD187" s="7"/>
    </row>
    <row r="188" ht="15.75" customHeight="1">
      <c r="A188" s="7"/>
      <c r="B188" s="7"/>
      <c r="C188" s="7"/>
      <c r="D188" s="7"/>
      <c r="E188" s="7"/>
      <c r="F188" s="7"/>
      <c r="G188" s="7"/>
      <c r="H188" s="7"/>
      <c r="I188" s="7"/>
      <c r="J188" s="7"/>
      <c r="K188" s="7"/>
      <c r="L188" s="7"/>
      <c r="M188" s="7"/>
      <c r="N188" s="7"/>
      <c r="O188" s="7"/>
      <c r="P188" s="7"/>
      <c r="Q188" s="7"/>
      <c r="U188" s="7"/>
      <c r="V188" s="7"/>
      <c r="W188" s="7"/>
      <c r="X188" s="7"/>
      <c r="Y188" s="7"/>
      <c r="Z188" s="7"/>
      <c r="AA188" s="7"/>
      <c r="AB188" s="7"/>
      <c r="AC188" s="7"/>
      <c r="AD188" s="7"/>
    </row>
    <row r="189" ht="15.75" customHeight="1">
      <c r="A189" s="7"/>
      <c r="B189" s="7"/>
      <c r="C189" s="7"/>
      <c r="D189" s="7"/>
      <c r="E189" s="7"/>
      <c r="F189" s="7"/>
      <c r="G189" s="7"/>
      <c r="H189" s="7"/>
      <c r="I189" s="7"/>
      <c r="J189" s="7"/>
      <c r="K189" s="7"/>
      <c r="L189" s="7"/>
      <c r="M189" s="7"/>
      <c r="N189" s="7"/>
      <c r="O189" s="7"/>
      <c r="P189" s="7"/>
      <c r="Q189" s="7"/>
      <c r="U189" s="7"/>
      <c r="V189" s="7"/>
      <c r="W189" s="7"/>
      <c r="X189" s="7"/>
      <c r="Y189" s="7"/>
      <c r="Z189" s="7"/>
      <c r="AA189" s="7"/>
      <c r="AB189" s="7"/>
      <c r="AC189" s="7"/>
      <c r="AD189" s="7"/>
    </row>
    <row r="190" ht="15.75" customHeight="1">
      <c r="A190" s="7"/>
      <c r="B190" s="7"/>
      <c r="C190" s="7"/>
      <c r="D190" s="7"/>
      <c r="E190" s="7"/>
      <c r="F190" s="7"/>
      <c r="G190" s="7"/>
      <c r="H190" s="7"/>
      <c r="I190" s="7"/>
      <c r="J190" s="7"/>
      <c r="K190" s="7"/>
      <c r="L190" s="7"/>
      <c r="M190" s="7"/>
      <c r="N190" s="7"/>
      <c r="O190" s="7"/>
      <c r="P190" s="7"/>
      <c r="Q190" s="7"/>
      <c r="U190" s="7"/>
      <c r="V190" s="7"/>
      <c r="W190" s="7"/>
      <c r="X190" s="7"/>
      <c r="Y190" s="7"/>
      <c r="Z190" s="7"/>
      <c r="AA190" s="7"/>
      <c r="AB190" s="7"/>
      <c r="AC190" s="7"/>
      <c r="AD190" s="7"/>
    </row>
    <row r="191" ht="15.75" customHeight="1">
      <c r="A191" s="7"/>
      <c r="B191" s="7"/>
      <c r="C191" s="7"/>
      <c r="D191" s="7"/>
      <c r="E191" s="7"/>
      <c r="F191" s="7"/>
      <c r="G191" s="7"/>
      <c r="H191" s="7"/>
      <c r="I191" s="7"/>
      <c r="J191" s="7"/>
      <c r="K191" s="7"/>
      <c r="L191" s="7"/>
      <c r="M191" s="7"/>
      <c r="N191" s="7"/>
      <c r="O191" s="7"/>
      <c r="P191" s="7"/>
      <c r="Q191" s="7"/>
      <c r="U191" s="7"/>
      <c r="V191" s="7"/>
      <c r="W191" s="7"/>
      <c r="X191" s="7"/>
      <c r="Y191" s="7"/>
      <c r="Z191" s="7"/>
      <c r="AA191" s="7"/>
      <c r="AB191" s="7"/>
      <c r="AC191" s="7"/>
      <c r="AD191" s="7"/>
    </row>
    <row r="192" ht="15.75" customHeight="1">
      <c r="A192" s="7"/>
      <c r="B192" s="7"/>
      <c r="C192" s="7"/>
      <c r="D192" s="7"/>
      <c r="E192" s="7"/>
      <c r="F192" s="7"/>
      <c r="G192" s="7"/>
      <c r="H192" s="7"/>
      <c r="I192" s="7"/>
      <c r="J192" s="7"/>
      <c r="K192" s="7"/>
      <c r="L192" s="7"/>
      <c r="M192" s="7"/>
      <c r="N192" s="7"/>
      <c r="O192" s="7"/>
      <c r="P192" s="7"/>
      <c r="Q192" s="7"/>
      <c r="U192" s="7"/>
      <c r="V192" s="7"/>
      <c r="W192" s="7"/>
      <c r="X192" s="7"/>
      <c r="Y192" s="7"/>
      <c r="Z192" s="7"/>
      <c r="AA192" s="7"/>
      <c r="AB192" s="7"/>
      <c r="AC192" s="7"/>
      <c r="AD192" s="7"/>
    </row>
    <row r="193" ht="15.75" customHeight="1">
      <c r="A193" s="7"/>
      <c r="B193" s="7"/>
      <c r="C193" s="7"/>
      <c r="D193" s="7"/>
      <c r="E193" s="7"/>
      <c r="F193" s="7"/>
      <c r="G193" s="7"/>
      <c r="H193" s="7"/>
      <c r="I193" s="7"/>
      <c r="J193" s="7"/>
      <c r="K193" s="7"/>
      <c r="L193" s="7"/>
      <c r="M193" s="7"/>
      <c r="N193" s="7"/>
      <c r="O193" s="7"/>
      <c r="P193" s="7"/>
      <c r="Q193" s="7"/>
      <c r="U193" s="7"/>
      <c r="V193" s="7"/>
      <c r="W193" s="7"/>
      <c r="X193" s="7"/>
      <c r="Y193" s="7"/>
      <c r="Z193" s="7"/>
      <c r="AA193" s="7"/>
      <c r="AB193" s="7"/>
      <c r="AC193" s="7"/>
      <c r="AD193" s="7"/>
    </row>
    <row r="194" ht="15.75" customHeight="1">
      <c r="A194" s="7"/>
      <c r="B194" s="7"/>
      <c r="C194" s="7"/>
      <c r="D194" s="7"/>
      <c r="E194" s="7"/>
      <c r="F194" s="7"/>
      <c r="G194" s="7"/>
      <c r="H194" s="7"/>
      <c r="I194" s="7"/>
      <c r="J194" s="7"/>
      <c r="K194" s="7"/>
      <c r="L194" s="7"/>
      <c r="M194" s="7"/>
      <c r="N194" s="7"/>
      <c r="O194" s="7"/>
      <c r="P194" s="7"/>
      <c r="Q194" s="7"/>
      <c r="U194" s="7"/>
      <c r="V194" s="7"/>
      <c r="W194" s="7"/>
      <c r="X194" s="7"/>
      <c r="Y194" s="7"/>
      <c r="Z194" s="7"/>
      <c r="AA194" s="7"/>
      <c r="AB194" s="7"/>
      <c r="AC194" s="7"/>
      <c r="AD194" s="7"/>
    </row>
    <row r="195" ht="15.75" customHeight="1">
      <c r="A195" s="7"/>
      <c r="B195" s="7"/>
      <c r="C195" s="7"/>
      <c r="D195" s="7"/>
      <c r="E195" s="7"/>
      <c r="F195" s="7"/>
      <c r="G195" s="7"/>
      <c r="H195" s="7"/>
      <c r="I195" s="7"/>
      <c r="J195" s="7"/>
      <c r="K195" s="7"/>
      <c r="L195" s="7"/>
      <c r="M195" s="7"/>
      <c r="N195" s="7"/>
      <c r="O195" s="7"/>
      <c r="P195" s="7"/>
      <c r="Q195" s="7"/>
      <c r="U195" s="7"/>
      <c r="V195" s="7"/>
      <c r="W195" s="7"/>
      <c r="X195" s="7"/>
      <c r="Y195" s="7"/>
      <c r="Z195" s="7"/>
      <c r="AA195" s="7"/>
      <c r="AB195" s="7"/>
      <c r="AC195" s="7"/>
      <c r="AD195" s="7"/>
    </row>
    <row r="196" ht="15.75" customHeight="1">
      <c r="A196" s="7"/>
      <c r="B196" s="7"/>
      <c r="C196" s="7"/>
      <c r="D196" s="7"/>
      <c r="E196" s="7"/>
      <c r="F196" s="7"/>
      <c r="G196" s="7"/>
      <c r="H196" s="7"/>
      <c r="I196" s="7"/>
      <c r="J196" s="7"/>
      <c r="K196" s="7"/>
      <c r="L196" s="7"/>
      <c r="M196" s="7"/>
      <c r="N196" s="7"/>
      <c r="O196" s="7"/>
      <c r="P196" s="7"/>
      <c r="Q196" s="7"/>
      <c r="U196" s="7"/>
      <c r="V196" s="7"/>
      <c r="W196" s="7"/>
      <c r="X196" s="7"/>
      <c r="Y196" s="7"/>
      <c r="Z196" s="7"/>
      <c r="AA196" s="7"/>
      <c r="AB196" s="7"/>
      <c r="AC196" s="7"/>
      <c r="AD196" s="7"/>
    </row>
    <row r="197" ht="15.75" customHeight="1">
      <c r="A197" s="7"/>
      <c r="B197" s="7"/>
      <c r="C197" s="7"/>
      <c r="D197" s="7"/>
      <c r="E197" s="7"/>
      <c r="F197" s="7"/>
      <c r="G197" s="7"/>
      <c r="H197" s="7"/>
      <c r="I197" s="7"/>
      <c r="J197" s="7"/>
      <c r="K197" s="7"/>
      <c r="L197" s="7"/>
      <c r="M197" s="7"/>
      <c r="N197" s="7"/>
      <c r="O197" s="7"/>
      <c r="P197" s="7"/>
      <c r="Q197" s="7"/>
      <c r="U197" s="7"/>
      <c r="V197" s="7"/>
      <c r="W197" s="7"/>
      <c r="X197" s="7"/>
      <c r="Y197" s="7"/>
      <c r="Z197" s="7"/>
      <c r="AA197" s="7"/>
      <c r="AB197" s="7"/>
      <c r="AC197" s="7"/>
      <c r="AD197" s="7"/>
    </row>
    <row r="198" ht="15.75" customHeight="1">
      <c r="A198" s="7"/>
      <c r="B198" s="7"/>
      <c r="C198" s="7"/>
      <c r="D198" s="7"/>
      <c r="E198" s="7"/>
      <c r="F198" s="7"/>
      <c r="G198" s="7"/>
      <c r="H198" s="7"/>
      <c r="I198" s="7"/>
      <c r="J198" s="7"/>
      <c r="K198" s="7"/>
      <c r="L198" s="7"/>
      <c r="M198" s="7"/>
      <c r="N198" s="7"/>
      <c r="O198" s="7"/>
      <c r="P198" s="7"/>
      <c r="Q198" s="7"/>
      <c r="U198" s="7"/>
      <c r="V198" s="7"/>
      <c r="W198" s="7"/>
      <c r="X198" s="7"/>
      <c r="Y198" s="7"/>
      <c r="Z198" s="7"/>
      <c r="AA198" s="7"/>
      <c r="AB198" s="7"/>
      <c r="AC198" s="7"/>
      <c r="AD198" s="7"/>
    </row>
    <row r="199" ht="15.75" customHeight="1">
      <c r="A199" s="7"/>
      <c r="B199" s="7"/>
      <c r="C199" s="7"/>
      <c r="D199" s="7"/>
      <c r="E199" s="7"/>
      <c r="F199" s="7"/>
      <c r="G199" s="7"/>
      <c r="H199" s="7"/>
      <c r="I199" s="7"/>
      <c r="J199" s="7"/>
      <c r="K199" s="7"/>
      <c r="L199" s="7"/>
      <c r="M199" s="7"/>
      <c r="N199" s="7"/>
      <c r="O199" s="7"/>
      <c r="P199" s="7"/>
      <c r="Q199" s="7"/>
      <c r="U199" s="7"/>
      <c r="V199" s="7"/>
      <c r="W199" s="7"/>
      <c r="X199" s="7"/>
      <c r="Y199" s="7"/>
      <c r="Z199" s="7"/>
      <c r="AA199" s="7"/>
      <c r="AB199" s="7"/>
      <c r="AC199" s="7"/>
      <c r="AD199" s="7"/>
    </row>
    <row r="200" ht="15.75" customHeight="1">
      <c r="A200" s="7"/>
      <c r="B200" s="7"/>
      <c r="C200" s="7"/>
      <c r="D200" s="7"/>
      <c r="E200" s="7"/>
      <c r="F200" s="7"/>
      <c r="G200" s="7"/>
      <c r="H200" s="7"/>
      <c r="I200" s="7"/>
      <c r="J200" s="7"/>
      <c r="K200" s="7"/>
      <c r="L200" s="7"/>
      <c r="M200" s="7"/>
      <c r="N200" s="7"/>
      <c r="O200" s="7"/>
      <c r="P200" s="7"/>
      <c r="Q200" s="7"/>
      <c r="U200" s="7"/>
      <c r="V200" s="7"/>
      <c r="W200" s="7"/>
      <c r="X200" s="7"/>
      <c r="Y200" s="7"/>
      <c r="Z200" s="7"/>
      <c r="AA200" s="7"/>
      <c r="AB200" s="7"/>
      <c r="AC200" s="7"/>
      <c r="AD200" s="7"/>
    </row>
    <row r="201" ht="15.75" customHeight="1">
      <c r="A201" s="7"/>
      <c r="B201" s="7"/>
      <c r="C201" s="7"/>
      <c r="D201" s="7"/>
      <c r="E201" s="7"/>
      <c r="F201" s="7"/>
      <c r="G201" s="7"/>
      <c r="H201" s="7"/>
      <c r="I201" s="7"/>
      <c r="J201" s="7"/>
      <c r="K201" s="7"/>
      <c r="L201" s="7"/>
      <c r="M201" s="7"/>
      <c r="N201" s="7"/>
      <c r="O201" s="7"/>
      <c r="P201" s="7"/>
      <c r="Q201" s="7"/>
      <c r="U201" s="7"/>
      <c r="V201" s="7"/>
      <c r="W201" s="7"/>
      <c r="X201" s="7"/>
      <c r="Y201" s="7"/>
      <c r="Z201" s="7"/>
      <c r="AA201" s="7"/>
      <c r="AB201" s="7"/>
      <c r="AC201" s="7"/>
      <c r="AD201" s="7"/>
    </row>
    <row r="202" ht="15.75" customHeight="1">
      <c r="A202" s="7"/>
      <c r="B202" s="7"/>
      <c r="C202" s="7"/>
      <c r="D202" s="7"/>
      <c r="E202" s="7"/>
      <c r="F202" s="7"/>
      <c r="G202" s="7"/>
      <c r="H202" s="7"/>
      <c r="I202" s="7"/>
      <c r="J202" s="7"/>
      <c r="K202" s="7"/>
      <c r="L202" s="7"/>
      <c r="M202" s="7"/>
      <c r="N202" s="7"/>
      <c r="O202" s="7"/>
      <c r="P202" s="7"/>
      <c r="Q202" s="7"/>
      <c r="U202" s="7"/>
      <c r="V202" s="7"/>
      <c r="W202" s="7"/>
      <c r="X202" s="7"/>
      <c r="Y202" s="7"/>
      <c r="Z202" s="7"/>
      <c r="AA202" s="7"/>
      <c r="AB202" s="7"/>
      <c r="AC202" s="7"/>
      <c r="AD202" s="7"/>
    </row>
    <row r="203" ht="15.75" customHeight="1">
      <c r="A203" s="7"/>
      <c r="B203" s="7"/>
      <c r="C203" s="7"/>
      <c r="D203" s="7"/>
      <c r="E203" s="7"/>
      <c r="F203" s="7"/>
      <c r="G203" s="7"/>
      <c r="H203" s="7"/>
      <c r="I203" s="7"/>
      <c r="J203" s="7"/>
      <c r="K203" s="7"/>
      <c r="L203" s="7"/>
      <c r="M203" s="7"/>
      <c r="N203" s="7"/>
      <c r="O203" s="7"/>
      <c r="P203" s="7"/>
      <c r="Q203" s="7"/>
      <c r="U203" s="7"/>
      <c r="V203" s="7"/>
      <c r="W203" s="7"/>
      <c r="X203" s="7"/>
      <c r="Y203" s="7"/>
      <c r="Z203" s="7"/>
      <c r="AA203" s="7"/>
      <c r="AB203" s="7"/>
      <c r="AC203" s="7"/>
      <c r="AD203" s="7"/>
    </row>
    <row r="204" ht="15.75" customHeight="1">
      <c r="A204" s="7"/>
      <c r="B204" s="7"/>
      <c r="C204" s="7"/>
      <c r="D204" s="7"/>
      <c r="E204" s="7"/>
      <c r="F204" s="7"/>
      <c r="G204" s="7"/>
      <c r="H204" s="7"/>
      <c r="I204" s="7"/>
      <c r="J204" s="7"/>
      <c r="K204" s="7"/>
      <c r="L204" s="7"/>
      <c r="M204" s="7"/>
      <c r="N204" s="7"/>
      <c r="O204" s="7"/>
      <c r="P204" s="7"/>
      <c r="Q204" s="7"/>
      <c r="U204" s="7"/>
      <c r="V204" s="7"/>
      <c r="W204" s="7"/>
      <c r="X204" s="7"/>
      <c r="Y204" s="7"/>
      <c r="Z204" s="7"/>
      <c r="AA204" s="7"/>
      <c r="AB204" s="7"/>
      <c r="AC204" s="7"/>
      <c r="AD204" s="7"/>
    </row>
    <row r="205" ht="15.75" customHeight="1">
      <c r="A205" s="7"/>
      <c r="B205" s="7"/>
      <c r="C205" s="7"/>
      <c r="D205" s="7"/>
      <c r="E205" s="7"/>
      <c r="F205" s="7"/>
      <c r="G205" s="7"/>
      <c r="H205" s="7"/>
      <c r="I205" s="7"/>
      <c r="J205" s="7"/>
      <c r="K205" s="7"/>
      <c r="L205" s="7"/>
      <c r="M205" s="7"/>
      <c r="N205" s="7"/>
      <c r="O205" s="7"/>
      <c r="P205" s="7"/>
      <c r="Q205" s="7"/>
      <c r="U205" s="7"/>
      <c r="V205" s="7"/>
      <c r="W205" s="7"/>
      <c r="X205" s="7"/>
      <c r="Y205" s="7"/>
      <c r="Z205" s="7"/>
      <c r="AA205" s="7"/>
      <c r="AB205" s="7"/>
      <c r="AC205" s="7"/>
      <c r="AD205" s="7"/>
    </row>
    <row r="206" ht="15.75" customHeight="1">
      <c r="A206" s="7"/>
      <c r="B206" s="7"/>
      <c r="C206" s="7"/>
      <c r="D206" s="7"/>
      <c r="E206" s="7"/>
      <c r="F206" s="7"/>
      <c r="G206" s="7"/>
      <c r="H206" s="7"/>
      <c r="I206" s="7"/>
      <c r="J206" s="7"/>
      <c r="K206" s="7"/>
      <c r="L206" s="7"/>
      <c r="M206" s="7"/>
      <c r="N206" s="7"/>
      <c r="O206" s="7"/>
      <c r="P206" s="7"/>
      <c r="Q206" s="7"/>
      <c r="U206" s="7"/>
      <c r="V206" s="7"/>
      <c r="W206" s="7"/>
      <c r="X206" s="7"/>
      <c r="Y206" s="7"/>
      <c r="Z206" s="7"/>
      <c r="AA206" s="7"/>
      <c r="AB206" s="7"/>
      <c r="AC206" s="7"/>
      <c r="AD206" s="7"/>
    </row>
    <row r="207" ht="15.75" customHeight="1">
      <c r="A207" s="7"/>
      <c r="B207" s="7"/>
      <c r="C207" s="7"/>
      <c r="D207" s="7"/>
      <c r="E207" s="7"/>
      <c r="F207" s="7"/>
      <c r="G207" s="7"/>
      <c r="H207" s="7"/>
      <c r="I207" s="7"/>
      <c r="J207" s="7"/>
      <c r="K207" s="7"/>
      <c r="L207" s="7"/>
      <c r="M207" s="7"/>
      <c r="N207" s="7"/>
      <c r="O207" s="7"/>
      <c r="P207" s="7"/>
      <c r="Q207" s="7"/>
      <c r="U207" s="7"/>
      <c r="V207" s="7"/>
      <c r="W207" s="7"/>
      <c r="X207" s="7"/>
      <c r="Y207" s="7"/>
      <c r="Z207" s="7"/>
      <c r="AA207" s="7"/>
      <c r="AB207" s="7"/>
      <c r="AC207" s="7"/>
      <c r="AD207" s="7"/>
    </row>
    <row r="208" ht="15.75" customHeight="1">
      <c r="A208" s="7"/>
      <c r="B208" s="7"/>
      <c r="C208" s="7"/>
      <c r="D208" s="7"/>
      <c r="E208" s="7"/>
      <c r="F208" s="7"/>
      <c r="G208" s="7"/>
      <c r="H208" s="7"/>
      <c r="I208" s="7"/>
      <c r="J208" s="7"/>
      <c r="K208" s="7"/>
      <c r="L208" s="7"/>
      <c r="M208" s="7"/>
      <c r="N208" s="7"/>
      <c r="O208" s="7"/>
      <c r="P208" s="7"/>
      <c r="Q208" s="7"/>
      <c r="U208" s="7"/>
      <c r="V208" s="7"/>
      <c r="W208" s="7"/>
      <c r="X208" s="7"/>
      <c r="Y208" s="7"/>
      <c r="Z208" s="7"/>
      <c r="AA208" s="7"/>
      <c r="AB208" s="7"/>
      <c r="AC208" s="7"/>
      <c r="AD208" s="7"/>
    </row>
    <row r="209" ht="15.75" customHeight="1">
      <c r="A209" s="7"/>
      <c r="B209" s="7"/>
      <c r="C209" s="7"/>
      <c r="D209" s="7"/>
      <c r="E209" s="7"/>
      <c r="F209" s="7"/>
      <c r="G209" s="7"/>
      <c r="H209" s="7"/>
      <c r="I209" s="7"/>
      <c r="J209" s="7"/>
      <c r="K209" s="7"/>
      <c r="L209" s="7"/>
      <c r="M209" s="7"/>
      <c r="N209" s="7"/>
      <c r="O209" s="7"/>
      <c r="P209" s="7"/>
      <c r="Q209" s="7"/>
      <c r="U209" s="7"/>
      <c r="V209" s="7"/>
      <c r="W209" s="7"/>
      <c r="X209" s="7"/>
      <c r="Y209" s="7"/>
      <c r="Z209" s="7"/>
      <c r="AA209" s="7"/>
      <c r="AB209" s="7"/>
      <c r="AC209" s="7"/>
      <c r="AD209" s="7"/>
    </row>
    <row r="210" ht="15.75" customHeight="1">
      <c r="A210" s="7"/>
      <c r="B210" s="7"/>
      <c r="C210" s="7"/>
      <c r="D210" s="7"/>
      <c r="E210" s="7"/>
      <c r="F210" s="7"/>
      <c r="G210" s="7"/>
      <c r="H210" s="7"/>
      <c r="I210" s="7"/>
      <c r="J210" s="7"/>
      <c r="K210" s="7"/>
      <c r="L210" s="7"/>
      <c r="M210" s="7"/>
      <c r="N210" s="7"/>
      <c r="O210" s="7"/>
      <c r="P210" s="7"/>
      <c r="Q210" s="7"/>
      <c r="U210" s="7"/>
      <c r="V210" s="7"/>
      <c r="W210" s="7"/>
      <c r="X210" s="7"/>
      <c r="Y210" s="7"/>
      <c r="Z210" s="7"/>
      <c r="AA210" s="7"/>
      <c r="AB210" s="7"/>
      <c r="AC210" s="7"/>
      <c r="AD210" s="7"/>
    </row>
    <row r="211" ht="15.75" customHeight="1">
      <c r="A211" s="7"/>
      <c r="B211" s="7"/>
      <c r="C211" s="7"/>
      <c r="D211" s="7"/>
      <c r="E211" s="7"/>
      <c r="F211" s="7"/>
      <c r="G211" s="7"/>
      <c r="H211" s="7"/>
      <c r="I211" s="7"/>
      <c r="J211" s="7"/>
      <c r="K211" s="7"/>
      <c r="L211" s="7"/>
      <c r="M211" s="7"/>
      <c r="N211" s="7"/>
      <c r="O211" s="7"/>
      <c r="P211" s="7"/>
      <c r="Q211" s="7"/>
      <c r="U211" s="7"/>
      <c r="V211" s="7"/>
      <c r="W211" s="7"/>
      <c r="X211" s="7"/>
      <c r="Y211" s="7"/>
      <c r="Z211" s="7"/>
      <c r="AA211" s="7"/>
      <c r="AB211" s="7"/>
      <c r="AC211" s="7"/>
      <c r="AD211" s="7"/>
    </row>
    <row r="212" ht="15.75" customHeight="1">
      <c r="A212" s="7"/>
      <c r="B212" s="7"/>
      <c r="C212" s="7"/>
      <c r="D212" s="7"/>
      <c r="E212" s="7"/>
      <c r="F212" s="7"/>
      <c r="G212" s="7"/>
      <c r="H212" s="7"/>
      <c r="I212" s="7"/>
      <c r="J212" s="7"/>
      <c r="K212" s="7"/>
      <c r="L212" s="7"/>
      <c r="M212" s="7"/>
      <c r="N212" s="7"/>
      <c r="O212" s="7"/>
      <c r="P212" s="7"/>
      <c r="Q212" s="7"/>
      <c r="U212" s="7"/>
      <c r="V212" s="7"/>
      <c r="W212" s="7"/>
      <c r="X212" s="7"/>
      <c r="Y212" s="7"/>
      <c r="Z212" s="7"/>
      <c r="AA212" s="7"/>
      <c r="AB212" s="7"/>
      <c r="AC212" s="7"/>
      <c r="AD212" s="7"/>
    </row>
    <row r="213" ht="15.75" customHeight="1">
      <c r="A213" s="7"/>
      <c r="B213" s="7"/>
      <c r="C213" s="7"/>
      <c r="D213" s="7"/>
      <c r="E213" s="7"/>
      <c r="F213" s="7"/>
      <c r="G213" s="7"/>
      <c r="H213" s="7"/>
      <c r="I213" s="7"/>
      <c r="J213" s="7"/>
      <c r="K213" s="7"/>
      <c r="L213" s="7"/>
      <c r="M213" s="7"/>
      <c r="N213" s="7"/>
      <c r="O213" s="7"/>
      <c r="P213" s="7"/>
      <c r="Q213" s="7"/>
      <c r="U213" s="7"/>
      <c r="V213" s="7"/>
      <c r="W213" s="7"/>
      <c r="X213" s="7"/>
      <c r="Y213" s="7"/>
      <c r="Z213" s="7"/>
      <c r="AA213" s="7"/>
      <c r="AB213" s="7"/>
      <c r="AC213" s="7"/>
      <c r="AD213" s="7"/>
    </row>
    <row r="214" ht="15.75" customHeight="1">
      <c r="A214" s="7"/>
      <c r="B214" s="7"/>
      <c r="C214" s="7"/>
      <c r="D214" s="7"/>
      <c r="E214" s="7"/>
      <c r="F214" s="7"/>
      <c r="G214" s="7"/>
      <c r="H214" s="7"/>
      <c r="I214" s="7"/>
      <c r="J214" s="7"/>
      <c r="K214" s="7"/>
      <c r="L214" s="7"/>
      <c r="M214" s="7"/>
      <c r="N214" s="7"/>
      <c r="O214" s="7"/>
      <c r="P214" s="7"/>
      <c r="Q214" s="7"/>
      <c r="U214" s="7"/>
      <c r="V214" s="7"/>
      <c r="W214" s="7"/>
      <c r="X214" s="7"/>
      <c r="Y214" s="7"/>
      <c r="Z214" s="7"/>
      <c r="AA214" s="7"/>
      <c r="AB214" s="7"/>
      <c r="AC214" s="7"/>
      <c r="AD214" s="7"/>
    </row>
    <row r="215" ht="15.75" customHeight="1">
      <c r="A215" s="7"/>
      <c r="B215" s="7"/>
      <c r="C215" s="7"/>
      <c r="D215" s="7"/>
      <c r="E215" s="7"/>
      <c r="F215" s="7"/>
      <c r="G215" s="7"/>
      <c r="H215" s="7"/>
      <c r="I215" s="7"/>
      <c r="J215" s="7"/>
      <c r="K215" s="7"/>
      <c r="L215" s="7"/>
      <c r="M215" s="7"/>
      <c r="N215" s="7"/>
      <c r="O215" s="7"/>
      <c r="P215" s="7"/>
      <c r="Q215" s="7"/>
      <c r="U215" s="7"/>
      <c r="V215" s="7"/>
      <c r="W215" s="7"/>
      <c r="X215" s="7"/>
      <c r="Y215" s="7"/>
      <c r="Z215" s="7"/>
      <c r="AA215" s="7"/>
      <c r="AB215" s="7"/>
      <c r="AC215" s="7"/>
      <c r="AD215" s="7"/>
    </row>
    <row r="216" ht="15.75" customHeight="1">
      <c r="A216" s="7"/>
      <c r="B216" s="7"/>
      <c r="C216" s="7"/>
      <c r="D216" s="7"/>
      <c r="E216" s="7"/>
      <c r="F216" s="7"/>
      <c r="G216" s="7"/>
      <c r="H216" s="7"/>
      <c r="I216" s="7"/>
      <c r="J216" s="7"/>
      <c r="K216" s="7"/>
      <c r="L216" s="7"/>
      <c r="M216" s="7"/>
      <c r="N216" s="7"/>
      <c r="O216" s="7"/>
      <c r="P216" s="7"/>
      <c r="Q216" s="7"/>
      <c r="U216" s="7"/>
      <c r="V216" s="7"/>
      <c r="W216" s="7"/>
      <c r="X216" s="7"/>
      <c r="Y216" s="7"/>
      <c r="Z216" s="7"/>
      <c r="AA216" s="7"/>
      <c r="AB216" s="7"/>
      <c r="AC216" s="7"/>
      <c r="AD216" s="7"/>
    </row>
    <row r="217" ht="15.75" customHeight="1">
      <c r="A217" s="7"/>
      <c r="B217" s="7"/>
      <c r="C217" s="7"/>
      <c r="D217" s="7"/>
      <c r="E217" s="7"/>
      <c r="F217" s="7"/>
      <c r="G217" s="7"/>
      <c r="H217" s="7"/>
      <c r="I217" s="7"/>
      <c r="J217" s="7"/>
      <c r="K217" s="7"/>
      <c r="L217" s="7"/>
      <c r="M217" s="7"/>
      <c r="N217" s="7"/>
      <c r="O217" s="7"/>
      <c r="P217" s="7"/>
      <c r="Q217" s="7"/>
      <c r="U217" s="7"/>
      <c r="V217" s="7"/>
      <c r="W217" s="7"/>
      <c r="X217" s="7"/>
      <c r="Y217" s="7"/>
      <c r="Z217" s="7"/>
      <c r="AA217" s="7"/>
      <c r="AB217" s="7"/>
      <c r="AC217" s="7"/>
      <c r="AD217" s="7"/>
    </row>
    <row r="218" ht="15.75" customHeight="1">
      <c r="A218" s="7"/>
      <c r="B218" s="7"/>
      <c r="C218" s="7"/>
      <c r="D218" s="7"/>
      <c r="E218" s="7"/>
      <c r="F218" s="7"/>
      <c r="G218" s="7"/>
      <c r="H218" s="7"/>
      <c r="I218" s="7"/>
      <c r="J218" s="7"/>
      <c r="K218" s="7"/>
      <c r="L218" s="7"/>
      <c r="M218" s="7"/>
      <c r="N218" s="7"/>
      <c r="O218" s="7"/>
      <c r="P218" s="7"/>
      <c r="Q218" s="7"/>
      <c r="U218" s="7"/>
      <c r="V218" s="7"/>
      <c r="W218" s="7"/>
      <c r="X218" s="7"/>
      <c r="Y218" s="7"/>
      <c r="Z218" s="7"/>
      <c r="AA218" s="7"/>
      <c r="AB218" s="7"/>
      <c r="AC218" s="7"/>
      <c r="AD218" s="7"/>
    </row>
    <row r="219" ht="15.75" customHeight="1">
      <c r="A219" s="7"/>
      <c r="B219" s="7"/>
      <c r="C219" s="7"/>
      <c r="D219" s="7"/>
      <c r="E219" s="7"/>
      <c r="F219" s="7"/>
      <c r="G219" s="7"/>
      <c r="H219" s="7"/>
      <c r="I219" s="7"/>
      <c r="J219" s="7"/>
      <c r="K219" s="7"/>
      <c r="L219" s="7"/>
      <c r="M219" s="7"/>
      <c r="N219" s="7"/>
      <c r="O219" s="7"/>
      <c r="P219" s="7"/>
      <c r="Q219" s="7"/>
      <c r="U219" s="7"/>
      <c r="V219" s="7"/>
      <c r="W219" s="7"/>
      <c r="X219" s="7"/>
      <c r="Y219" s="7"/>
      <c r="Z219" s="7"/>
      <c r="AA219" s="7"/>
      <c r="AB219" s="7"/>
      <c r="AC219" s="7"/>
      <c r="AD219" s="7"/>
    </row>
    <row r="220" ht="15.75" customHeight="1">
      <c r="A220" s="7"/>
      <c r="B220" s="7"/>
      <c r="C220" s="7"/>
      <c r="D220" s="7"/>
      <c r="E220" s="7"/>
      <c r="F220" s="7"/>
      <c r="G220" s="7"/>
      <c r="H220" s="7"/>
      <c r="I220" s="7"/>
      <c r="J220" s="7"/>
      <c r="K220" s="7"/>
      <c r="L220" s="7"/>
      <c r="M220" s="7"/>
      <c r="N220" s="7"/>
      <c r="O220" s="7"/>
      <c r="P220" s="7"/>
      <c r="Q220" s="7"/>
      <c r="U220" s="7"/>
      <c r="V220" s="7"/>
      <c r="W220" s="7"/>
      <c r="X220" s="7"/>
      <c r="Y220" s="7"/>
      <c r="Z220" s="7"/>
      <c r="AA220" s="7"/>
      <c r="AB220" s="7"/>
      <c r="AC220" s="7"/>
      <c r="AD220" s="7"/>
    </row>
    <row r="221" ht="15.75" customHeight="1">
      <c r="A221" s="7"/>
      <c r="B221" s="7"/>
      <c r="C221" s="7"/>
      <c r="D221" s="7"/>
      <c r="E221" s="7"/>
      <c r="F221" s="7"/>
      <c r="G221" s="7"/>
      <c r="H221" s="7"/>
      <c r="I221" s="7"/>
      <c r="J221" s="7"/>
      <c r="K221" s="7"/>
      <c r="L221" s="7"/>
      <c r="M221" s="7"/>
      <c r="N221" s="7"/>
      <c r="O221" s="7"/>
      <c r="P221" s="7"/>
      <c r="Q221" s="7"/>
      <c r="U221" s="7"/>
      <c r="V221" s="7"/>
      <c r="W221" s="7"/>
      <c r="X221" s="7"/>
      <c r="Y221" s="7"/>
      <c r="Z221" s="7"/>
      <c r="AA221" s="7"/>
      <c r="AB221" s="7"/>
      <c r="AC221" s="7"/>
      <c r="AD221" s="7"/>
    </row>
    <row r="222" ht="15.75" customHeight="1">
      <c r="A222" s="7"/>
      <c r="B222" s="7"/>
      <c r="C222" s="7"/>
      <c r="D222" s="7"/>
      <c r="E222" s="7"/>
      <c r="F222" s="7"/>
      <c r="G222" s="7"/>
      <c r="H222" s="7"/>
      <c r="I222" s="7"/>
      <c r="J222" s="7"/>
      <c r="K222" s="7"/>
      <c r="L222" s="7"/>
      <c r="M222" s="7"/>
      <c r="N222" s="7"/>
      <c r="O222" s="7"/>
      <c r="P222" s="7"/>
      <c r="Q222" s="7"/>
      <c r="U222" s="7"/>
      <c r="V222" s="7"/>
      <c r="W222" s="7"/>
      <c r="X222" s="7"/>
      <c r="Y222" s="7"/>
      <c r="Z222" s="7"/>
      <c r="AA222" s="7"/>
      <c r="AB222" s="7"/>
      <c r="AC222" s="7"/>
      <c r="AD222" s="7"/>
    </row>
    <row r="223" ht="15.75" customHeight="1">
      <c r="A223" s="7"/>
      <c r="B223" s="7"/>
      <c r="C223" s="7"/>
      <c r="D223" s="7"/>
      <c r="E223" s="7"/>
      <c r="F223" s="7"/>
      <c r="G223" s="7"/>
      <c r="H223" s="7"/>
      <c r="I223" s="7"/>
      <c r="J223" s="7"/>
      <c r="K223" s="7"/>
      <c r="L223" s="7"/>
      <c r="M223" s="7"/>
      <c r="N223" s="7"/>
      <c r="O223" s="7"/>
      <c r="P223" s="7"/>
      <c r="Q223" s="7"/>
      <c r="U223" s="7"/>
      <c r="V223" s="7"/>
      <c r="W223" s="7"/>
      <c r="X223" s="7"/>
      <c r="Y223" s="7"/>
      <c r="Z223" s="7"/>
      <c r="AA223" s="7"/>
      <c r="AB223" s="7"/>
      <c r="AC223" s="7"/>
      <c r="AD223" s="7"/>
    </row>
    <row r="224" ht="15.75" customHeight="1">
      <c r="A224" s="7"/>
      <c r="B224" s="7"/>
      <c r="C224" s="7"/>
      <c r="D224" s="7"/>
      <c r="E224" s="7"/>
      <c r="F224" s="7"/>
      <c r="G224" s="7"/>
      <c r="H224" s="7"/>
      <c r="I224" s="7"/>
      <c r="J224" s="7"/>
      <c r="K224" s="7"/>
      <c r="L224" s="7"/>
      <c r="M224" s="7"/>
      <c r="N224" s="7"/>
      <c r="O224" s="7"/>
      <c r="P224" s="7"/>
      <c r="Q224" s="7"/>
      <c r="U224" s="7"/>
      <c r="V224" s="7"/>
      <c r="W224" s="7"/>
      <c r="X224" s="7"/>
      <c r="Y224" s="7"/>
      <c r="Z224" s="7"/>
      <c r="AA224" s="7"/>
      <c r="AB224" s="7"/>
      <c r="AC224" s="7"/>
      <c r="AD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38.5"/>
    <col customWidth="1" min="3" max="6" width="10.63"/>
  </cols>
  <sheetData>
    <row r="1" ht="14.25" customHeight="1">
      <c r="A1" s="7"/>
      <c r="B1" s="7"/>
      <c r="C1" s="7"/>
      <c r="D1" s="7"/>
      <c r="E1" s="7"/>
      <c r="F1" s="7"/>
    </row>
    <row r="2" ht="14.25" customHeight="1">
      <c r="A2" s="7">
        <v>5111.0</v>
      </c>
      <c r="B2" s="7" t="s">
        <v>1400</v>
      </c>
      <c r="C2" s="7"/>
      <c r="D2" s="7"/>
      <c r="E2" s="7"/>
      <c r="F2" s="7"/>
    </row>
    <row r="3" ht="14.25" customHeight="1">
      <c r="A3" s="7">
        <v>5121.0</v>
      </c>
      <c r="B3" s="7" t="s">
        <v>1401</v>
      </c>
      <c r="C3" s="7"/>
      <c r="D3" s="7"/>
      <c r="E3" s="7"/>
      <c r="F3" s="7"/>
    </row>
    <row r="4" ht="14.25" customHeight="1">
      <c r="A4" s="7">
        <v>5122.0</v>
      </c>
      <c r="B4" s="7" t="s">
        <v>1402</v>
      </c>
      <c r="C4" s="7"/>
      <c r="D4" s="7"/>
      <c r="E4" s="7"/>
      <c r="F4" s="7"/>
    </row>
    <row r="5" ht="14.25" customHeight="1">
      <c r="A5" s="7">
        <v>5123.0</v>
      </c>
      <c r="B5" s="7" t="s">
        <v>1403</v>
      </c>
      <c r="C5" s="7"/>
      <c r="D5" s="7"/>
      <c r="E5" s="7"/>
      <c r="F5" s="7"/>
    </row>
    <row r="6" ht="14.25" customHeight="1">
      <c r="A6" s="7">
        <v>5125.0</v>
      </c>
      <c r="B6" s="7" t="s">
        <v>1404</v>
      </c>
      <c r="C6" s="7"/>
      <c r="D6" s="7"/>
      <c r="E6" s="7"/>
      <c r="F6" s="7"/>
    </row>
    <row r="7" ht="14.25" customHeight="1">
      <c r="A7" s="7">
        <v>5126.0</v>
      </c>
      <c r="B7" s="7" t="s">
        <v>1405</v>
      </c>
      <c r="C7" s="7"/>
      <c r="D7" s="7"/>
      <c r="E7" s="7"/>
      <c r="F7" s="7"/>
    </row>
    <row r="8" ht="14.25" customHeight="1">
      <c r="A8" s="7">
        <v>5211.0</v>
      </c>
      <c r="B8" s="7" t="s">
        <v>131</v>
      </c>
      <c r="C8" s="7"/>
      <c r="D8" s="7"/>
      <c r="E8" s="7"/>
      <c r="F8" s="7"/>
    </row>
    <row r="9" ht="14.25" customHeight="1">
      <c r="A9" s="7">
        <v>5212.0</v>
      </c>
      <c r="B9" s="7" t="s">
        <v>1406</v>
      </c>
      <c r="C9" s="7"/>
      <c r="D9" s="7"/>
      <c r="E9" s="7"/>
      <c r="F9" s="7"/>
    </row>
    <row r="10" ht="14.25" customHeight="1">
      <c r="A10" s="7">
        <v>5213.0</v>
      </c>
      <c r="B10" s="7" t="s">
        <v>1407</v>
      </c>
      <c r="C10" s="7"/>
      <c r="D10" s="7"/>
      <c r="E10" s="7"/>
      <c r="F10" s="7"/>
    </row>
    <row r="11" ht="14.25" customHeight="1">
      <c r="A11" s="7">
        <v>5214.0</v>
      </c>
      <c r="B11" s="7" t="s">
        <v>1408</v>
      </c>
      <c r="C11" s="7"/>
      <c r="D11" s="7"/>
      <c r="E11" s="7"/>
      <c r="F11" s="7"/>
    </row>
    <row r="12" ht="14.25" customHeight="1">
      <c r="A12" s="7">
        <v>5215.0</v>
      </c>
      <c r="B12" s="7" t="s">
        <v>1409</v>
      </c>
      <c r="C12" s="7"/>
      <c r="D12" s="7"/>
      <c r="E12" s="7"/>
      <c r="F12" s="7"/>
    </row>
    <row r="13" ht="14.25" customHeight="1">
      <c r="A13" s="7">
        <v>5216.0</v>
      </c>
      <c r="B13" s="7" t="s">
        <v>1410</v>
      </c>
      <c r="C13" s="7"/>
      <c r="D13" s="7"/>
      <c r="E13" s="7"/>
      <c r="F13" s="7"/>
    </row>
    <row r="14" ht="14.25" customHeight="1">
      <c r="A14" s="7">
        <v>5217.0</v>
      </c>
      <c r="B14" s="7" t="s">
        <v>1411</v>
      </c>
      <c r="C14" s="7"/>
      <c r="D14" s="7"/>
      <c r="E14" s="7"/>
      <c r="F14" s="7"/>
    </row>
    <row r="15" ht="14.25" customHeight="1">
      <c r="A15" s="7">
        <v>5218.0</v>
      </c>
      <c r="B15" s="7" t="s">
        <v>1412</v>
      </c>
      <c r="C15" s="7"/>
      <c r="D15" s="7"/>
      <c r="E15" s="7"/>
      <c r="F15" s="7"/>
    </row>
    <row r="16" ht="14.25" customHeight="1">
      <c r="A16" s="7">
        <v>5219.0</v>
      </c>
      <c r="B16" s="7" t="s">
        <v>1413</v>
      </c>
      <c r="C16" s="7"/>
      <c r="D16" s="7"/>
      <c r="E16" s="7"/>
      <c r="F16" s="7"/>
    </row>
    <row r="17" ht="14.25" customHeight="1">
      <c r="A17" s="7">
        <v>5311.0</v>
      </c>
      <c r="B17" s="7" t="s">
        <v>1414</v>
      </c>
      <c r="C17" s="7"/>
      <c r="D17" s="7"/>
      <c r="E17" s="7"/>
      <c r="F17" s="7"/>
    </row>
    <row r="18" ht="14.25" customHeight="1">
      <c r="A18" s="7">
        <v>5312.0</v>
      </c>
      <c r="B18" s="7" t="s">
        <v>1415</v>
      </c>
      <c r="C18" s="7"/>
      <c r="D18" s="7"/>
      <c r="E18" s="7"/>
      <c r="F18" s="7"/>
    </row>
    <row r="19" ht="14.25" customHeight="1">
      <c r="A19" s="7">
        <v>5314.0</v>
      </c>
      <c r="B19" s="7" t="s">
        <v>1416</v>
      </c>
      <c r="C19" s="7"/>
      <c r="D19" s="7"/>
      <c r="E19" s="7"/>
      <c r="F19" s="7"/>
    </row>
    <row r="20" ht="14.25" customHeight="1">
      <c r="A20" s="7">
        <v>5315.0</v>
      </c>
      <c r="B20" s="7" t="s">
        <v>1417</v>
      </c>
      <c r="C20" s="7"/>
      <c r="D20" s="7"/>
      <c r="E20" s="7"/>
      <c r="F20" s="7"/>
    </row>
    <row r="21" ht="14.25" customHeight="1">
      <c r="A21" s="7">
        <v>5316.0</v>
      </c>
      <c r="B21" s="7" t="s">
        <v>1418</v>
      </c>
      <c r="C21" s="7"/>
      <c r="D21" s="7"/>
      <c r="E21" s="7"/>
      <c r="F21" s="7"/>
    </row>
    <row r="22" ht="14.25" customHeight="1">
      <c r="A22" s="7">
        <v>5411.0</v>
      </c>
      <c r="B22" s="7" t="s">
        <v>1419</v>
      </c>
      <c r="C22" s="7"/>
      <c r="D22" s="7"/>
      <c r="E22" s="7"/>
      <c r="F22" s="7"/>
    </row>
    <row r="23" ht="14.25" customHeight="1">
      <c r="A23" s="7">
        <v>5412.0</v>
      </c>
      <c r="B23" s="7" t="s">
        <v>1420</v>
      </c>
      <c r="C23" s="7"/>
      <c r="D23" s="7"/>
      <c r="E23" s="7"/>
      <c r="F23" s="7"/>
    </row>
    <row r="24" ht="14.25" customHeight="1">
      <c r="A24" s="7">
        <v>5415.0</v>
      </c>
      <c r="B24" s="7" t="s">
        <v>1421</v>
      </c>
      <c r="C24" s="7"/>
      <c r="D24" s="7"/>
      <c r="E24" s="7"/>
      <c r="F24" s="7"/>
    </row>
    <row r="25" ht="14.25" customHeight="1">
      <c r="A25" s="7">
        <v>5417.0</v>
      </c>
      <c r="B25" s="7" t="s">
        <v>1422</v>
      </c>
      <c r="C25" s="7"/>
      <c r="D25" s="7"/>
      <c r="E25" s="7"/>
      <c r="F25" s="7"/>
    </row>
    <row r="26" ht="14.25" customHeight="1">
      <c r="A26" s="7">
        <v>5418.0</v>
      </c>
      <c r="B26" s="7" t="s">
        <v>1423</v>
      </c>
      <c r="C26" s="7"/>
      <c r="D26" s="7"/>
      <c r="E26" s="7"/>
      <c r="F26" s="7"/>
    </row>
    <row r="27" ht="14.25" customHeight="1">
      <c r="A27" s="7">
        <v>5419.0</v>
      </c>
      <c r="B27" s="7" t="s">
        <v>1424</v>
      </c>
      <c r="C27" s="7"/>
      <c r="D27" s="7"/>
      <c r="E27" s="7"/>
      <c r="F27" s="7"/>
    </row>
    <row r="28" ht="14.25" customHeight="1">
      <c r="A28" s="7">
        <v>5420.0</v>
      </c>
      <c r="B28" s="7" t="s">
        <v>1425</v>
      </c>
      <c r="C28" s="7"/>
      <c r="D28" s="7"/>
      <c r="E28" s="7"/>
      <c r="F28" s="7"/>
    </row>
    <row r="29" ht="14.25" customHeight="1">
      <c r="A29" s="7">
        <v>5421.0</v>
      </c>
      <c r="B29" s="7" t="s">
        <v>1426</v>
      </c>
      <c r="C29" s="7"/>
      <c r="D29" s="7"/>
      <c r="E29" s="7"/>
      <c r="F29" s="7"/>
    </row>
    <row r="30" ht="14.25" customHeight="1">
      <c r="A30" s="7">
        <v>5422.0</v>
      </c>
      <c r="B30" s="7" t="s">
        <v>1427</v>
      </c>
      <c r="C30" s="7"/>
      <c r="D30" s="7"/>
      <c r="E30" s="7"/>
      <c r="F30" s="7"/>
    </row>
    <row r="31" ht="14.25" customHeight="1">
      <c r="A31" s="7">
        <v>5423.0</v>
      </c>
      <c r="B31" s="7" t="s">
        <v>1428</v>
      </c>
      <c r="C31" s="7"/>
      <c r="D31" s="7"/>
      <c r="E31" s="7"/>
      <c r="F31" s="7"/>
    </row>
    <row r="32" ht="14.25" customHeight="1">
      <c r="A32" s="7">
        <v>5425.0</v>
      </c>
      <c r="B32" s="7" t="s">
        <v>1429</v>
      </c>
      <c r="C32" s="7"/>
      <c r="D32" s="7"/>
      <c r="E32" s="7"/>
      <c r="F32" s="7"/>
    </row>
    <row r="33" ht="14.25" customHeight="1">
      <c r="A33" s="7">
        <v>5426.0</v>
      </c>
      <c r="B33" s="7" t="s">
        <v>1430</v>
      </c>
      <c r="C33" s="7"/>
      <c r="D33" s="7"/>
      <c r="E33" s="7"/>
      <c r="F33" s="7"/>
    </row>
    <row r="34" ht="14.25" customHeight="1">
      <c r="A34" s="7">
        <v>5511.0</v>
      </c>
      <c r="B34" s="7" t="s">
        <v>1431</v>
      </c>
      <c r="C34" s="7"/>
      <c r="D34" s="7"/>
      <c r="E34" s="7"/>
      <c r="F34" s="7"/>
    </row>
    <row r="35" ht="14.25" customHeight="1">
      <c r="A35" s="7">
        <v>5514.0</v>
      </c>
      <c r="B35" s="7" t="s">
        <v>1432</v>
      </c>
      <c r="C35" s="7"/>
      <c r="D35" s="7"/>
      <c r="E35" s="7"/>
      <c r="F35" s="7"/>
    </row>
    <row r="36" ht="14.25" customHeight="1">
      <c r="A36" s="7">
        <v>5515.0</v>
      </c>
      <c r="B36" s="7" t="s">
        <v>1433</v>
      </c>
      <c r="C36" s="7"/>
      <c r="D36" s="7"/>
      <c r="E36" s="7"/>
      <c r="F36" s="7"/>
    </row>
    <row r="37" ht="14.25" customHeight="1">
      <c r="A37" s="7">
        <v>5516.0</v>
      </c>
      <c r="B37" s="7" t="s">
        <v>1434</v>
      </c>
      <c r="C37" s="7"/>
      <c r="D37" s="7"/>
      <c r="E37" s="7"/>
      <c r="F37" s="7"/>
    </row>
    <row r="38" ht="14.25" customHeight="1">
      <c r="A38" s="7">
        <v>5611.0</v>
      </c>
      <c r="B38" s="7" t="s">
        <v>1435</v>
      </c>
      <c r="C38" s="7"/>
      <c r="D38" s="7"/>
      <c r="E38" s="7"/>
      <c r="F38" s="7"/>
    </row>
    <row r="39" ht="14.25" customHeight="1">
      <c r="A39" s="7">
        <v>5612.0</v>
      </c>
      <c r="B39" s="7" t="s">
        <v>1436</v>
      </c>
      <c r="C39" s="7"/>
      <c r="D39" s="7"/>
      <c r="E39" s="7"/>
      <c r="F39" s="7"/>
    </row>
    <row r="40" ht="14.25" customHeight="1">
      <c r="A40" s="7">
        <v>5613.0</v>
      </c>
      <c r="B40" s="7" t="s">
        <v>1437</v>
      </c>
      <c r="C40" s="7"/>
      <c r="D40" s="7"/>
      <c r="E40" s="7"/>
      <c r="F40" s="7"/>
    </row>
    <row r="41" ht="14.25" customHeight="1">
      <c r="A41" s="7">
        <v>5616.0</v>
      </c>
      <c r="B41" s="7" t="s">
        <v>1438</v>
      </c>
      <c r="C41" s="7"/>
      <c r="D41" s="7"/>
      <c r="E41" s="7"/>
      <c r="F41" s="7"/>
    </row>
    <row r="42" ht="14.25" customHeight="1">
      <c r="A42" s="7">
        <v>5617.0</v>
      </c>
      <c r="B42" s="7" t="s">
        <v>1439</v>
      </c>
      <c r="C42" s="7"/>
      <c r="D42" s="7"/>
      <c r="E42" s="7"/>
      <c r="F42" s="7"/>
    </row>
    <row r="43" ht="14.25" customHeight="1">
      <c r="A43" s="7">
        <v>5618.0</v>
      </c>
      <c r="B43" s="7" t="s">
        <v>1440</v>
      </c>
      <c r="C43" s="7"/>
      <c r="D43" s="7"/>
      <c r="E43" s="7"/>
      <c r="F43" s="7"/>
    </row>
    <row r="44" ht="14.25" customHeight="1">
      <c r="A44" s="7">
        <v>5711.0</v>
      </c>
      <c r="B44" s="7" t="s">
        <v>1441</v>
      </c>
      <c r="C44" s="7"/>
      <c r="D44" s="7"/>
      <c r="E44" s="7"/>
      <c r="F44" s="7"/>
    </row>
    <row r="45" ht="14.25" customHeight="1">
      <c r="A45" s="7"/>
      <c r="B45" s="7"/>
      <c r="C45" s="7"/>
      <c r="D45" s="7"/>
      <c r="E45" s="7"/>
      <c r="F45" s="7"/>
    </row>
    <row r="46" ht="14.25" customHeight="1">
      <c r="A46" s="7"/>
      <c r="B46" s="7"/>
      <c r="C46" s="7"/>
      <c r="D46" s="7"/>
      <c r="E46" s="7"/>
      <c r="F46" s="7"/>
    </row>
    <row r="47" ht="14.25" customHeight="1">
      <c r="A47" s="7"/>
      <c r="B47" s="7"/>
      <c r="C47" s="7"/>
      <c r="D47" s="7"/>
      <c r="E47" s="7"/>
      <c r="F47" s="7"/>
    </row>
    <row r="48" ht="14.25" customHeight="1">
      <c r="A48" s="7"/>
      <c r="B48" s="7"/>
      <c r="C48" s="7"/>
      <c r="D48" s="7"/>
      <c r="E48" s="7"/>
      <c r="F48" s="7"/>
    </row>
    <row r="49" ht="14.25" customHeight="1">
      <c r="A49" s="7"/>
      <c r="B49" s="7"/>
      <c r="C49" s="7"/>
      <c r="D49" s="7"/>
      <c r="E49" s="7"/>
      <c r="F49" s="7"/>
    </row>
    <row r="50" ht="14.25" customHeight="1">
      <c r="A50" s="7"/>
      <c r="B50" s="7"/>
      <c r="C50" s="7"/>
      <c r="D50" s="7"/>
      <c r="E50" s="7"/>
      <c r="F50" s="7"/>
    </row>
    <row r="51" ht="14.25" customHeight="1">
      <c r="A51" s="7"/>
      <c r="B51" s="7"/>
      <c r="C51" s="7"/>
      <c r="D51" s="7"/>
      <c r="E51" s="7"/>
      <c r="F51" s="7"/>
    </row>
    <row r="52" ht="14.25" customHeight="1">
      <c r="A52" s="7"/>
      <c r="B52" s="7"/>
      <c r="C52" s="7"/>
      <c r="D52" s="7"/>
      <c r="E52" s="7"/>
      <c r="F52" s="7"/>
    </row>
    <row r="53" ht="14.25" customHeight="1">
      <c r="A53" s="7"/>
      <c r="B53" s="7"/>
      <c r="C53" s="7"/>
      <c r="D53" s="7"/>
      <c r="E53" s="7"/>
      <c r="F53" s="7"/>
    </row>
    <row r="54" ht="14.25" customHeight="1">
      <c r="A54" s="7"/>
      <c r="B54" s="7"/>
      <c r="C54" s="7"/>
      <c r="D54" s="7"/>
      <c r="E54" s="7"/>
      <c r="F54" s="7"/>
    </row>
    <row r="55" ht="14.25" customHeight="1">
      <c r="A55" s="7"/>
      <c r="B55" s="7"/>
      <c r="C55" s="7"/>
      <c r="D55" s="7"/>
      <c r="E55" s="7"/>
      <c r="F55" s="7"/>
    </row>
    <row r="56" ht="14.25" customHeight="1">
      <c r="A56" s="7"/>
      <c r="B56" s="7"/>
      <c r="C56" s="7"/>
      <c r="D56" s="7"/>
      <c r="E56" s="7"/>
      <c r="F56" s="7"/>
    </row>
    <row r="57" ht="14.25" customHeight="1">
      <c r="A57" s="7"/>
      <c r="B57" s="7"/>
      <c r="C57" s="7"/>
      <c r="D57" s="7"/>
      <c r="E57" s="7"/>
      <c r="F57" s="7"/>
    </row>
    <row r="58" ht="14.25" customHeight="1">
      <c r="A58" s="7"/>
      <c r="B58" s="7"/>
      <c r="C58" s="7"/>
      <c r="D58" s="7"/>
      <c r="E58" s="7"/>
      <c r="F58" s="7"/>
    </row>
    <row r="59" ht="14.25" customHeight="1">
      <c r="A59" s="7"/>
      <c r="B59" s="7"/>
      <c r="C59" s="7"/>
      <c r="D59" s="7"/>
      <c r="E59" s="7"/>
      <c r="F59" s="7"/>
    </row>
    <row r="60" ht="14.25" customHeight="1">
      <c r="A60" s="7"/>
      <c r="B60" s="7"/>
      <c r="C60" s="7"/>
      <c r="D60" s="7"/>
      <c r="E60" s="7"/>
      <c r="F60" s="7"/>
    </row>
    <row r="61" ht="14.25" customHeight="1">
      <c r="A61" s="7"/>
      <c r="B61" s="7"/>
      <c r="C61" s="7"/>
      <c r="D61" s="7"/>
      <c r="E61" s="7"/>
      <c r="F61" s="7"/>
    </row>
    <row r="62" ht="14.25" customHeight="1">
      <c r="A62" s="7"/>
      <c r="B62" s="7"/>
      <c r="C62" s="7"/>
      <c r="D62" s="7"/>
      <c r="E62" s="7"/>
      <c r="F62" s="7"/>
    </row>
    <row r="63" ht="14.25" customHeight="1">
      <c r="A63" s="7"/>
      <c r="B63" s="7"/>
      <c r="C63" s="7"/>
      <c r="D63" s="7"/>
      <c r="E63" s="7"/>
      <c r="F63" s="7"/>
    </row>
    <row r="64" ht="14.25" customHeight="1">
      <c r="A64" s="7"/>
      <c r="B64" s="7"/>
      <c r="C64" s="7"/>
      <c r="D64" s="7"/>
      <c r="E64" s="7"/>
      <c r="F64" s="7"/>
    </row>
    <row r="65" ht="14.25" customHeight="1">
      <c r="A65" s="7"/>
      <c r="B65" s="7"/>
      <c r="C65" s="7"/>
      <c r="D65" s="7"/>
      <c r="E65" s="7"/>
      <c r="F65" s="7"/>
    </row>
    <row r="66" ht="14.25" customHeight="1">
      <c r="A66" s="7"/>
      <c r="B66" s="7"/>
      <c r="C66" s="7"/>
      <c r="D66" s="7"/>
      <c r="E66" s="7"/>
      <c r="F66" s="7"/>
    </row>
    <row r="67" ht="14.25" customHeight="1">
      <c r="A67" s="7"/>
      <c r="B67" s="7"/>
      <c r="C67" s="7"/>
      <c r="D67" s="7"/>
      <c r="E67" s="7"/>
      <c r="F67" s="7"/>
    </row>
    <row r="68" ht="14.25" customHeight="1">
      <c r="A68" s="7"/>
      <c r="B68" s="7"/>
      <c r="C68" s="7"/>
      <c r="D68" s="7"/>
      <c r="E68" s="7"/>
      <c r="F68" s="7"/>
    </row>
    <row r="69" ht="14.25" customHeight="1">
      <c r="A69" s="7"/>
      <c r="B69" s="7"/>
      <c r="C69" s="7"/>
      <c r="D69" s="7"/>
      <c r="E69" s="7"/>
      <c r="F69" s="7"/>
    </row>
    <row r="70" ht="14.25" customHeight="1">
      <c r="A70" s="7"/>
      <c r="B70" s="7"/>
      <c r="C70" s="7"/>
      <c r="D70" s="7"/>
      <c r="E70" s="7"/>
      <c r="F70" s="7"/>
    </row>
    <row r="71" ht="14.25" customHeight="1">
      <c r="A71" s="7"/>
      <c r="B71" s="7"/>
      <c r="C71" s="7"/>
      <c r="D71" s="7"/>
      <c r="E71" s="7"/>
      <c r="F71" s="7"/>
    </row>
    <row r="72" ht="14.25" customHeight="1">
      <c r="A72" s="7"/>
      <c r="B72" s="7"/>
      <c r="C72" s="7"/>
      <c r="D72" s="7"/>
      <c r="E72" s="7"/>
      <c r="F72" s="7"/>
    </row>
    <row r="73" ht="14.25" customHeight="1">
      <c r="A73" s="7"/>
      <c r="B73" s="7"/>
      <c r="C73" s="7"/>
      <c r="D73" s="7"/>
      <c r="E73" s="7"/>
      <c r="F73" s="7"/>
    </row>
    <row r="74" ht="14.25" customHeight="1">
      <c r="A74" s="7"/>
      <c r="B74" s="7"/>
      <c r="C74" s="7"/>
      <c r="D74" s="7"/>
      <c r="E74" s="7"/>
      <c r="F74" s="7"/>
    </row>
    <row r="75" ht="14.25" customHeight="1">
      <c r="A75" s="7"/>
      <c r="B75" s="7"/>
      <c r="C75" s="7"/>
      <c r="D75" s="7"/>
      <c r="E75" s="7"/>
      <c r="F75" s="7"/>
    </row>
    <row r="76" ht="14.25" customHeight="1">
      <c r="A76" s="7"/>
      <c r="B76" s="7"/>
      <c r="C76" s="7"/>
      <c r="D76" s="7"/>
      <c r="E76" s="7"/>
      <c r="F76" s="7"/>
    </row>
    <row r="77" ht="14.25" customHeight="1">
      <c r="A77" s="7"/>
      <c r="B77" s="7"/>
      <c r="C77" s="7"/>
      <c r="D77" s="7"/>
      <c r="E77" s="7"/>
      <c r="F77" s="7"/>
    </row>
    <row r="78" ht="14.25" customHeight="1">
      <c r="A78" s="7"/>
      <c r="B78" s="7"/>
      <c r="C78" s="7"/>
      <c r="D78" s="7"/>
      <c r="E78" s="7"/>
      <c r="F78" s="7"/>
    </row>
    <row r="79" ht="14.25" customHeight="1">
      <c r="A79" s="7"/>
      <c r="B79" s="7"/>
      <c r="C79" s="7"/>
      <c r="D79" s="7"/>
      <c r="E79" s="7"/>
      <c r="F79" s="7"/>
    </row>
    <row r="80" ht="14.25" customHeight="1">
      <c r="A80" s="7"/>
      <c r="B80" s="7"/>
      <c r="C80" s="7"/>
      <c r="D80" s="7"/>
      <c r="E80" s="7"/>
      <c r="F80" s="7"/>
    </row>
    <row r="81" ht="14.25" customHeight="1">
      <c r="A81" s="7"/>
      <c r="B81" s="7"/>
      <c r="C81" s="7"/>
      <c r="D81" s="7"/>
      <c r="E81" s="7"/>
      <c r="F81" s="7"/>
    </row>
    <row r="82" ht="14.25" customHeight="1">
      <c r="A82" s="7"/>
      <c r="B82" s="7"/>
      <c r="C82" s="7"/>
      <c r="D82" s="7"/>
      <c r="E82" s="7"/>
      <c r="F82" s="7"/>
    </row>
    <row r="83" ht="14.25" customHeight="1">
      <c r="A83" s="7"/>
      <c r="B83" s="7"/>
      <c r="C83" s="7"/>
      <c r="D83" s="7"/>
      <c r="E83" s="7"/>
      <c r="F83" s="7"/>
    </row>
    <row r="84" ht="14.25" customHeight="1">
      <c r="A84" s="7"/>
      <c r="B84" s="7"/>
      <c r="C84" s="7"/>
      <c r="D84" s="7"/>
      <c r="E84" s="7"/>
      <c r="F84" s="7"/>
    </row>
    <row r="85" ht="14.25" customHeight="1">
      <c r="A85" s="7"/>
      <c r="B85" s="7"/>
      <c r="C85" s="7"/>
      <c r="D85" s="7"/>
      <c r="E85" s="7"/>
      <c r="F85" s="7"/>
    </row>
    <row r="86" ht="14.25" customHeight="1">
      <c r="A86" s="7"/>
      <c r="B86" s="7"/>
      <c r="C86" s="7"/>
      <c r="D86" s="7"/>
      <c r="E86" s="7"/>
      <c r="F86" s="7"/>
    </row>
    <row r="87" ht="14.25" customHeight="1">
      <c r="A87" s="7"/>
      <c r="B87" s="7"/>
      <c r="C87" s="7"/>
      <c r="D87" s="7"/>
      <c r="E87" s="7"/>
      <c r="F87" s="7"/>
    </row>
    <row r="88" ht="14.25" customHeight="1">
      <c r="A88" s="7"/>
      <c r="B88" s="7"/>
      <c r="C88" s="7"/>
      <c r="D88" s="7"/>
      <c r="E88" s="7"/>
      <c r="F88" s="7"/>
    </row>
    <row r="89" ht="14.25" customHeight="1">
      <c r="A89" s="7"/>
      <c r="B89" s="7"/>
      <c r="C89" s="7"/>
      <c r="D89" s="7"/>
      <c r="E89" s="7"/>
      <c r="F89" s="7"/>
    </row>
    <row r="90" ht="14.25" customHeight="1">
      <c r="A90" s="7"/>
      <c r="B90" s="7"/>
      <c r="C90" s="7"/>
      <c r="D90" s="7"/>
      <c r="E90" s="7"/>
      <c r="F90" s="7"/>
    </row>
    <row r="91" ht="14.25" customHeight="1">
      <c r="A91" s="7"/>
      <c r="B91" s="7"/>
      <c r="C91" s="7"/>
      <c r="D91" s="7"/>
      <c r="E91" s="7"/>
      <c r="F91" s="7"/>
    </row>
    <row r="92" ht="14.25" customHeight="1">
      <c r="A92" s="7"/>
      <c r="B92" s="7"/>
      <c r="C92" s="7"/>
      <c r="D92" s="7"/>
      <c r="E92" s="7"/>
      <c r="F92" s="7"/>
    </row>
    <row r="93" ht="14.25" customHeight="1">
      <c r="A93" s="7"/>
      <c r="B93" s="7"/>
      <c r="C93" s="7"/>
      <c r="D93" s="7"/>
      <c r="E93" s="7"/>
      <c r="F93" s="7"/>
    </row>
    <row r="94" ht="14.25" customHeight="1">
      <c r="A94" s="7"/>
      <c r="B94" s="7"/>
      <c r="C94" s="7"/>
      <c r="D94" s="7"/>
      <c r="E94" s="7"/>
      <c r="F94" s="7"/>
    </row>
    <row r="95" ht="14.25" customHeight="1">
      <c r="A95" s="7"/>
      <c r="B95" s="7"/>
      <c r="C95" s="7"/>
      <c r="D95" s="7"/>
      <c r="E95" s="7"/>
      <c r="F95" s="7"/>
    </row>
    <row r="96" ht="14.25" customHeight="1">
      <c r="A96" s="7"/>
      <c r="B96" s="7"/>
      <c r="C96" s="7"/>
      <c r="D96" s="7"/>
      <c r="E96" s="7"/>
      <c r="F96" s="7"/>
    </row>
    <row r="97" ht="14.25" customHeight="1">
      <c r="A97" s="7"/>
      <c r="B97" s="7"/>
      <c r="C97" s="7"/>
      <c r="D97" s="7"/>
      <c r="E97" s="7"/>
      <c r="F97" s="7"/>
    </row>
    <row r="98" ht="14.25" customHeight="1">
      <c r="A98" s="7"/>
      <c r="B98" s="7"/>
      <c r="C98" s="7"/>
      <c r="D98" s="7"/>
      <c r="E98" s="7"/>
      <c r="F98" s="7"/>
    </row>
    <row r="99" ht="14.25" customHeight="1">
      <c r="A99" s="7"/>
      <c r="B99" s="7"/>
      <c r="C99" s="7"/>
      <c r="D99" s="7"/>
      <c r="E99" s="7"/>
      <c r="F99" s="7"/>
    </row>
    <row r="100" ht="14.25" customHeight="1">
      <c r="A100" s="7"/>
      <c r="B100" s="7"/>
      <c r="C100" s="7"/>
      <c r="D100" s="7"/>
      <c r="E100" s="7"/>
      <c r="F100" s="7"/>
    </row>
    <row r="101" ht="14.25" customHeight="1">
      <c r="A101" s="7"/>
      <c r="B101" s="7"/>
      <c r="C101" s="7"/>
      <c r="D101" s="7"/>
      <c r="E101" s="7"/>
      <c r="F101" s="7"/>
    </row>
    <row r="102" ht="14.25" customHeight="1">
      <c r="A102" s="7"/>
      <c r="B102" s="7"/>
      <c r="C102" s="7"/>
      <c r="D102" s="7"/>
      <c r="E102" s="7"/>
      <c r="F102" s="7"/>
    </row>
    <row r="103" ht="14.25" customHeight="1">
      <c r="A103" s="7"/>
      <c r="B103" s="7"/>
      <c r="C103" s="7"/>
      <c r="D103" s="7"/>
      <c r="E103" s="7"/>
      <c r="F103" s="7"/>
    </row>
    <row r="104" ht="14.25" customHeight="1">
      <c r="A104" s="7"/>
      <c r="B104" s="7"/>
      <c r="C104" s="7"/>
      <c r="D104" s="7"/>
      <c r="E104" s="7"/>
      <c r="F104" s="7"/>
    </row>
    <row r="105" ht="14.25" customHeight="1">
      <c r="A105" s="7"/>
      <c r="B105" s="7"/>
      <c r="C105" s="7"/>
      <c r="D105" s="7"/>
      <c r="E105" s="7"/>
      <c r="F105" s="7"/>
    </row>
    <row r="106" ht="14.25" customHeight="1">
      <c r="A106" s="7"/>
      <c r="B106" s="7"/>
      <c r="C106" s="7"/>
      <c r="D106" s="7"/>
      <c r="E106" s="7"/>
      <c r="F106" s="7"/>
    </row>
    <row r="107" ht="14.25" customHeight="1">
      <c r="A107" s="7"/>
      <c r="B107" s="7"/>
      <c r="C107" s="7"/>
      <c r="D107" s="7"/>
      <c r="E107" s="7"/>
      <c r="F107" s="7"/>
    </row>
    <row r="108" ht="14.25" customHeight="1">
      <c r="A108" s="7"/>
      <c r="B108" s="7"/>
      <c r="C108" s="7"/>
      <c r="D108" s="7"/>
      <c r="E108" s="7"/>
      <c r="F108" s="7"/>
    </row>
    <row r="109" ht="14.25" customHeight="1">
      <c r="A109" s="7"/>
      <c r="B109" s="7"/>
      <c r="C109" s="7"/>
      <c r="D109" s="7"/>
      <c r="E109" s="7"/>
      <c r="F109" s="7"/>
    </row>
    <row r="110" ht="14.25" customHeight="1">
      <c r="A110" s="7"/>
      <c r="B110" s="7"/>
      <c r="C110" s="7"/>
      <c r="D110" s="7"/>
      <c r="E110" s="7"/>
      <c r="F110" s="7"/>
    </row>
    <row r="111" ht="14.25" customHeight="1">
      <c r="A111" s="7"/>
      <c r="B111" s="7"/>
      <c r="C111" s="7"/>
      <c r="D111" s="7"/>
      <c r="E111" s="7"/>
      <c r="F111" s="7"/>
    </row>
    <row r="112" ht="14.25" customHeight="1">
      <c r="A112" s="7"/>
      <c r="B112" s="7"/>
      <c r="C112" s="7"/>
      <c r="D112" s="7"/>
      <c r="E112" s="7"/>
      <c r="F112" s="7"/>
    </row>
    <row r="113" ht="14.25" customHeight="1">
      <c r="A113" s="7"/>
      <c r="B113" s="7"/>
      <c r="C113" s="7"/>
      <c r="D113" s="7"/>
      <c r="E113" s="7"/>
      <c r="F113" s="7"/>
    </row>
    <row r="114" ht="14.25" customHeight="1">
      <c r="A114" s="7"/>
      <c r="B114" s="7"/>
      <c r="C114" s="7"/>
      <c r="D114" s="7"/>
      <c r="E114" s="7"/>
      <c r="F114" s="7"/>
    </row>
    <row r="115" ht="14.25" customHeight="1">
      <c r="A115" s="7"/>
      <c r="B115" s="7"/>
      <c r="C115" s="7"/>
      <c r="D115" s="7"/>
      <c r="E115" s="7"/>
      <c r="F115" s="7"/>
    </row>
    <row r="116" ht="14.25" customHeight="1">
      <c r="A116" s="7"/>
      <c r="B116" s="7"/>
      <c r="C116" s="7"/>
      <c r="D116" s="7"/>
      <c r="E116" s="7"/>
      <c r="F116" s="7"/>
    </row>
    <row r="117" ht="14.25" customHeight="1">
      <c r="A117" s="7"/>
      <c r="B117" s="7"/>
      <c r="C117" s="7"/>
      <c r="D117" s="7"/>
      <c r="E117" s="7"/>
      <c r="F117" s="7"/>
    </row>
    <row r="118" ht="14.25" customHeight="1">
      <c r="A118" s="7"/>
      <c r="B118" s="7"/>
      <c r="C118" s="7"/>
      <c r="D118" s="7"/>
      <c r="E118" s="7"/>
      <c r="F118" s="7"/>
    </row>
    <row r="119" ht="14.25" customHeight="1">
      <c r="A119" s="7"/>
      <c r="B119" s="7"/>
      <c r="C119" s="7"/>
      <c r="D119" s="7"/>
      <c r="E119" s="7"/>
      <c r="F119" s="7"/>
    </row>
    <row r="120" ht="14.25" customHeight="1">
      <c r="A120" s="7"/>
      <c r="B120" s="7"/>
      <c r="C120" s="7"/>
      <c r="D120" s="7"/>
      <c r="E120" s="7"/>
      <c r="F120" s="7"/>
    </row>
    <row r="121" ht="14.25" customHeight="1">
      <c r="A121" s="7"/>
      <c r="B121" s="7"/>
      <c r="C121" s="7"/>
      <c r="D121" s="7"/>
      <c r="E121" s="7"/>
      <c r="F121" s="7"/>
    </row>
    <row r="122" ht="14.25" customHeight="1">
      <c r="A122" s="7"/>
      <c r="B122" s="7"/>
      <c r="C122" s="7"/>
      <c r="D122" s="7"/>
      <c r="E122" s="7"/>
      <c r="F122" s="7"/>
    </row>
    <row r="123" ht="14.25" customHeight="1">
      <c r="A123" s="7"/>
      <c r="B123" s="7"/>
      <c r="C123" s="7"/>
      <c r="D123" s="7"/>
      <c r="E123" s="7"/>
      <c r="F123" s="7"/>
    </row>
    <row r="124" ht="14.25" customHeight="1">
      <c r="A124" s="7"/>
      <c r="B124" s="7"/>
      <c r="C124" s="7"/>
      <c r="D124" s="7"/>
      <c r="E124" s="7"/>
      <c r="F124" s="7"/>
    </row>
    <row r="125" ht="14.25" customHeight="1">
      <c r="A125" s="7"/>
      <c r="B125" s="7"/>
      <c r="C125" s="7"/>
      <c r="D125" s="7"/>
      <c r="E125" s="7"/>
      <c r="F125" s="7"/>
    </row>
    <row r="126" ht="14.25" customHeight="1">
      <c r="A126" s="7"/>
      <c r="B126" s="7"/>
      <c r="C126" s="7"/>
      <c r="D126" s="7"/>
      <c r="E126" s="7"/>
      <c r="F126" s="7"/>
    </row>
    <row r="127" ht="14.25" customHeight="1">
      <c r="A127" s="7"/>
      <c r="B127" s="7"/>
      <c r="C127" s="7"/>
      <c r="D127" s="7"/>
      <c r="E127" s="7"/>
      <c r="F127" s="7"/>
    </row>
    <row r="128" ht="14.25" customHeight="1">
      <c r="A128" s="7"/>
      <c r="B128" s="7"/>
      <c r="C128" s="7"/>
      <c r="D128" s="7"/>
      <c r="E128" s="7"/>
      <c r="F128" s="7"/>
    </row>
    <row r="129" ht="14.25" customHeight="1">
      <c r="A129" s="7"/>
      <c r="B129" s="7"/>
      <c r="C129" s="7"/>
      <c r="D129" s="7"/>
      <c r="E129" s="7"/>
      <c r="F129" s="7"/>
    </row>
    <row r="130" ht="14.25" customHeight="1">
      <c r="A130" s="7"/>
      <c r="B130" s="7"/>
      <c r="C130" s="7"/>
      <c r="D130" s="7"/>
      <c r="E130" s="7"/>
      <c r="F130" s="7"/>
    </row>
    <row r="131" ht="14.25" customHeight="1">
      <c r="A131" s="7"/>
      <c r="B131" s="7"/>
      <c r="C131" s="7"/>
      <c r="D131" s="7"/>
      <c r="E131" s="7"/>
      <c r="F131" s="7"/>
    </row>
    <row r="132" ht="14.25" customHeight="1">
      <c r="A132" s="7"/>
      <c r="B132" s="7"/>
      <c r="C132" s="7"/>
      <c r="D132" s="7"/>
      <c r="E132" s="7"/>
      <c r="F132" s="7"/>
    </row>
    <row r="133" ht="14.25" customHeight="1">
      <c r="A133" s="7"/>
      <c r="B133" s="7"/>
      <c r="C133" s="7"/>
      <c r="D133" s="7"/>
      <c r="E133" s="7"/>
      <c r="F133" s="7"/>
    </row>
    <row r="134" ht="14.25" customHeight="1">
      <c r="A134" s="7"/>
      <c r="B134" s="7"/>
      <c r="C134" s="7"/>
      <c r="D134" s="7"/>
      <c r="E134" s="7"/>
      <c r="F134" s="7"/>
    </row>
    <row r="135" ht="14.25" customHeight="1">
      <c r="A135" s="7"/>
      <c r="B135" s="7"/>
      <c r="C135" s="7"/>
      <c r="D135" s="7"/>
      <c r="E135" s="7"/>
      <c r="F135" s="7"/>
    </row>
    <row r="136" ht="14.25" customHeight="1">
      <c r="A136" s="7"/>
      <c r="B136" s="7"/>
      <c r="C136" s="7"/>
      <c r="D136" s="7"/>
      <c r="E136" s="7"/>
      <c r="F136" s="7"/>
    </row>
    <row r="137" ht="14.25" customHeight="1">
      <c r="A137" s="7"/>
      <c r="B137" s="7"/>
      <c r="C137" s="7"/>
      <c r="D137" s="7"/>
      <c r="E137" s="7"/>
      <c r="F137" s="7"/>
    </row>
    <row r="138" ht="14.25" customHeight="1">
      <c r="A138" s="7"/>
      <c r="B138" s="7"/>
      <c r="C138" s="7"/>
      <c r="D138" s="7"/>
      <c r="E138" s="7"/>
      <c r="F138" s="7"/>
    </row>
    <row r="139" ht="14.25" customHeight="1">
      <c r="A139" s="7"/>
      <c r="B139" s="7"/>
      <c r="C139" s="7"/>
      <c r="D139" s="7"/>
      <c r="E139" s="7"/>
      <c r="F139" s="7"/>
    </row>
    <row r="140" ht="14.25" customHeight="1">
      <c r="A140" s="7"/>
      <c r="B140" s="7"/>
      <c r="C140" s="7"/>
      <c r="D140" s="7"/>
      <c r="E140" s="7"/>
      <c r="F140" s="7"/>
    </row>
    <row r="141" ht="14.25" customHeight="1">
      <c r="A141" s="7"/>
      <c r="B141" s="7"/>
      <c r="C141" s="7"/>
      <c r="D141" s="7"/>
      <c r="E141" s="7"/>
      <c r="F141" s="7"/>
    </row>
    <row r="142" ht="14.25" customHeight="1">
      <c r="A142" s="7"/>
      <c r="B142" s="7"/>
      <c r="C142" s="7"/>
      <c r="D142" s="7"/>
      <c r="E142" s="7"/>
      <c r="F142" s="7"/>
    </row>
    <row r="143" ht="14.25" customHeight="1">
      <c r="A143" s="7"/>
      <c r="B143" s="7"/>
      <c r="C143" s="7"/>
      <c r="D143" s="7"/>
      <c r="E143" s="7"/>
      <c r="F143" s="7"/>
    </row>
    <row r="144" ht="14.25" customHeight="1">
      <c r="A144" s="7"/>
      <c r="B144" s="7"/>
      <c r="C144" s="7"/>
      <c r="D144" s="7"/>
      <c r="E144" s="7"/>
      <c r="F144" s="7"/>
    </row>
    <row r="145" ht="14.25" customHeight="1">
      <c r="A145" s="7"/>
      <c r="B145" s="7"/>
      <c r="C145" s="7"/>
      <c r="D145" s="7"/>
      <c r="E145" s="7"/>
      <c r="F145" s="7"/>
    </row>
    <row r="146" ht="14.25" customHeight="1">
      <c r="A146" s="7"/>
      <c r="B146" s="7"/>
      <c r="C146" s="7"/>
      <c r="D146" s="7"/>
      <c r="E146" s="7"/>
      <c r="F146" s="7"/>
    </row>
    <row r="147" ht="14.25" customHeight="1">
      <c r="A147" s="7"/>
      <c r="B147" s="7"/>
      <c r="C147" s="7"/>
      <c r="D147" s="7"/>
      <c r="E147" s="7"/>
      <c r="F147" s="7"/>
    </row>
    <row r="148" ht="14.25" customHeight="1">
      <c r="A148" s="7"/>
      <c r="B148" s="7"/>
      <c r="C148" s="7"/>
      <c r="D148" s="7"/>
      <c r="E148" s="7"/>
      <c r="F148" s="7"/>
    </row>
    <row r="149" ht="14.25" customHeight="1">
      <c r="A149" s="7"/>
      <c r="B149" s="7"/>
      <c r="C149" s="7"/>
      <c r="D149" s="7"/>
      <c r="E149" s="7"/>
      <c r="F149" s="7"/>
    </row>
    <row r="150" ht="14.25" customHeight="1">
      <c r="A150" s="7"/>
      <c r="B150" s="7"/>
      <c r="C150" s="7"/>
      <c r="D150" s="7"/>
      <c r="E150" s="7"/>
      <c r="F150" s="7"/>
    </row>
    <row r="151" ht="14.25" customHeight="1">
      <c r="A151" s="7"/>
      <c r="B151" s="7"/>
      <c r="C151" s="7"/>
      <c r="D151" s="7"/>
      <c r="E151" s="7"/>
      <c r="F151" s="7"/>
    </row>
    <row r="152" ht="14.25" customHeight="1">
      <c r="A152" s="7"/>
      <c r="B152" s="7"/>
      <c r="C152" s="7"/>
      <c r="D152" s="7"/>
      <c r="E152" s="7"/>
      <c r="F152" s="7"/>
    </row>
    <row r="153" ht="14.25" customHeight="1">
      <c r="A153" s="7"/>
      <c r="B153" s="7"/>
      <c r="C153" s="7"/>
      <c r="D153" s="7"/>
      <c r="E153" s="7"/>
      <c r="F153" s="7"/>
    </row>
    <row r="154" ht="14.25" customHeight="1">
      <c r="A154" s="7"/>
      <c r="B154" s="7"/>
      <c r="C154" s="7"/>
      <c r="D154" s="7"/>
      <c r="E154" s="7"/>
      <c r="F154" s="7"/>
    </row>
    <row r="155" ht="14.25" customHeight="1">
      <c r="A155" s="7"/>
      <c r="B155" s="7"/>
      <c r="C155" s="7"/>
      <c r="D155" s="7"/>
      <c r="E155" s="7"/>
      <c r="F155" s="7"/>
    </row>
    <row r="156" ht="14.25" customHeight="1">
      <c r="A156" s="7"/>
      <c r="B156" s="7"/>
      <c r="C156" s="7"/>
      <c r="D156" s="7"/>
      <c r="E156" s="7"/>
      <c r="F156" s="7"/>
    </row>
    <row r="157" ht="14.25" customHeight="1">
      <c r="A157" s="7"/>
      <c r="B157" s="7"/>
      <c r="C157" s="7"/>
      <c r="D157" s="7"/>
      <c r="E157" s="7"/>
      <c r="F157" s="7"/>
    </row>
    <row r="158" ht="14.25" customHeight="1">
      <c r="A158" s="7"/>
      <c r="B158" s="7"/>
      <c r="C158" s="7"/>
      <c r="D158" s="7"/>
      <c r="E158" s="7"/>
      <c r="F158" s="7"/>
    </row>
    <row r="159" ht="14.25" customHeight="1">
      <c r="A159" s="7"/>
      <c r="B159" s="7"/>
      <c r="C159" s="7"/>
      <c r="D159" s="7"/>
      <c r="E159" s="7"/>
      <c r="F159" s="7"/>
    </row>
    <row r="160" ht="14.25" customHeight="1">
      <c r="A160" s="7"/>
      <c r="B160" s="7"/>
      <c r="C160" s="7"/>
      <c r="D160" s="7"/>
      <c r="E160" s="7"/>
      <c r="F160" s="7"/>
    </row>
    <row r="161" ht="14.25" customHeight="1">
      <c r="A161" s="7"/>
      <c r="B161" s="7"/>
      <c r="C161" s="7"/>
      <c r="D161" s="7"/>
      <c r="E161" s="7"/>
      <c r="F161" s="7"/>
    </row>
    <row r="162" ht="14.25" customHeight="1">
      <c r="A162" s="7"/>
      <c r="B162" s="7"/>
      <c r="C162" s="7"/>
      <c r="D162" s="7"/>
      <c r="E162" s="7"/>
      <c r="F162" s="7"/>
    </row>
    <row r="163" ht="14.25" customHeight="1">
      <c r="A163" s="7"/>
      <c r="B163" s="7"/>
      <c r="C163" s="7"/>
      <c r="D163" s="7"/>
      <c r="E163" s="7"/>
      <c r="F163" s="7"/>
    </row>
    <row r="164" ht="14.25" customHeight="1">
      <c r="A164" s="7"/>
      <c r="B164" s="7"/>
      <c r="C164" s="7"/>
      <c r="D164" s="7"/>
      <c r="E164" s="7"/>
      <c r="F164" s="7"/>
    </row>
    <row r="165" ht="14.25" customHeight="1">
      <c r="A165" s="7"/>
      <c r="B165" s="7"/>
      <c r="C165" s="7"/>
      <c r="D165" s="7"/>
      <c r="E165" s="7"/>
      <c r="F165" s="7"/>
    </row>
    <row r="166" ht="14.25" customHeight="1">
      <c r="A166" s="7"/>
      <c r="B166" s="7"/>
      <c r="C166" s="7"/>
      <c r="D166" s="7"/>
      <c r="E166" s="7"/>
      <c r="F166" s="7"/>
    </row>
    <row r="167" ht="14.25" customHeight="1">
      <c r="A167" s="7"/>
      <c r="B167" s="7"/>
      <c r="C167" s="7"/>
      <c r="D167" s="7"/>
      <c r="E167" s="7"/>
      <c r="F167" s="7"/>
    </row>
    <row r="168" ht="14.25" customHeight="1">
      <c r="A168" s="7"/>
      <c r="B168" s="7"/>
      <c r="C168" s="7"/>
      <c r="D168" s="7"/>
      <c r="E168" s="7"/>
      <c r="F168" s="7"/>
    </row>
    <row r="169" ht="14.25" customHeight="1">
      <c r="A169" s="7"/>
      <c r="B169" s="7"/>
      <c r="C169" s="7"/>
      <c r="D169" s="7"/>
      <c r="E169" s="7"/>
      <c r="F169" s="7"/>
    </row>
    <row r="170" ht="14.25" customHeight="1">
      <c r="A170" s="7"/>
      <c r="B170" s="7"/>
      <c r="C170" s="7"/>
      <c r="D170" s="7"/>
      <c r="E170" s="7"/>
      <c r="F170" s="7"/>
    </row>
    <row r="171" ht="14.25" customHeight="1">
      <c r="A171" s="7"/>
      <c r="B171" s="7"/>
      <c r="C171" s="7"/>
      <c r="D171" s="7"/>
      <c r="E171" s="7"/>
      <c r="F171" s="7"/>
    </row>
    <row r="172" ht="14.25" customHeight="1">
      <c r="A172" s="7"/>
      <c r="B172" s="7"/>
      <c r="C172" s="7"/>
      <c r="D172" s="7"/>
      <c r="E172" s="7"/>
      <c r="F172" s="7"/>
    </row>
    <row r="173" ht="14.25" customHeight="1">
      <c r="A173" s="7"/>
      <c r="B173" s="7"/>
      <c r="C173" s="7"/>
      <c r="D173" s="7"/>
      <c r="E173" s="7"/>
      <c r="F173" s="7"/>
    </row>
    <row r="174" ht="14.25" customHeight="1">
      <c r="A174" s="7"/>
      <c r="B174" s="7"/>
      <c r="C174" s="7"/>
      <c r="D174" s="7"/>
      <c r="E174" s="7"/>
      <c r="F174" s="7"/>
    </row>
    <row r="175" ht="14.25" customHeight="1">
      <c r="A175" s="7"/>
      <c r="B175" s="7"/>
      <c r="C175" s="7"/>
      <c r="D175" s="7"/>
      <c r="E175" s="7"/>
      <c r="F175" s="7"/>
    </row>
    <row r="176" ht="14.25" customHeight="1">
      <c r="A176" s="7"/>
      <c r="B176" s="7"/>
      <c r="C176" s="7"/>
      <c r="D176" s="7"/>
      <c r="E176" s="7"/>
      <c r="F176" s="7"/>
    </row>
    <row r="177" ht="14.25" customHeight="1">
      <c r="A177" s="7"/>
      <c r="B177" s="7"/>
      <c r="C177" s="7"/>
      <c r="D177" s="7"/>
      <c r="E177" s="7"/>
      <c r="F177" s="7"/>
    </row>
    <row r="178" ht="14.25" customHeight="1">
      <c r="A178" s="7"/>
      <c r="B178" s="7"/>
      <c r="C178" s="7"/>
      <c r="D178" s="7"/>
      <c r="E178" s="7"/>
      <c r="F178" s="7"/>
    </row>
    <row r="179" ht="14.25" customHeight="1">
      <c r="A179" s="7"/>
      <c r="B179" s="7"/>
      <c r="C179" s="7"/>
      <c r="D179" s="7"/>
      <c r="E179" s="7"/>
      <c r="F179" s="7"/>
    </row>
    <row r="180" ht="14.25" customHeight="1">
      <c r="A180" s="7"/>
      <c r="B180" s="7"/>
      <c r="C180" s="7"/>
      <c r="D180" s="7"/>
      <c r="E180" s="7"/>
      <c r="F180" s="7"/>
    </row>
    <row r="181" ht="14.25" customHeight="1">
      <c r="A181" s="7"/>
      <c r="B181" s="7"/>
      <c r="C181" s="7"/>
      <c r="D181" s="7"/>
      <c r="E181" s="7"/>
      <c r="F181" s="7"/>
    </row>
    <row r="182" ht="14.25" customHeight="1">
      <c r="A182" s="7"/>
      <c r="B182" s="7"/>
      <c r="C182" s="7"/>
      <c r="D182" s="7"/>
      <c r="E182" s="7"/>
      <c r="F182" s="7"/>
    </row>
    <row r="183" ht="14.25" customHeight="1">
      <c r="A183" s="7"/>
      <c r="B183" s="7"/>
      <c r="C183" s="7"/>
      <c r="D183" s="7"/>
      <c r="E183" s="7"/>
      <c r="F183" s="7"/>
    </row>
    <row r="184" ht="14.25" customHeight="1">
      <c r="A184" s="7"/>
      <c r="B184" s="7"/>
      <c r="C184" s="7"/>
      <c r="D184" s="7"/>
      <c r="E184" s="7"/>
      <c r="F184" s="7"/>
    </row>
    <row r="185" ht="14.25" customHeight="1">
      <c r="A185" s="7"/>
      <c r="B185" s="7"/>
      <c r="C185" s="7"/>
      <c r="D185" s="7"/>
      <c r="E185" s="7"/>
      <c r="F185" s="7"/>
    </row>
    <row r="186" ht="14.25" customHeight="1">
      <c r="A186" s="7"/>
      <c r="B186" s="7"/>
      <c r="C186" s="7"/>
      <c r="D186" s="7"/>
      <c r="E186" s="7"/>
      <c r="F186" s="7"/>
    </row>
    <row r="187" ht="14.25" customHeight="1">
      <c r="A187" s="7"/>
      <c r="B187" s="7"/>
      <c r="C187" s="7"/>
      <c r="D187" s="7"/>
      <c r="E187" s="7"/>
      <c r="F187" s="7"/>
    </row>
    <row r="188" ht="14.25" customHeight="1">
      <c r="A188" s="7"/>
      <c r="B188" s="7"/>
      <c r="C188" s="7"/>
      <c r="D188" s="7"/>
      <c r="E188" s="7"/>
      <c r="F188" s="7"/>
    </row>
    <row r="189" ht="14.25" customHeight="1">
      <c r="A189" s="7"/>
      <c r="B189" s="7"/>
      <c r="C189" s="7"/>
      <c r="D189" s="7"/>
      <c r="E189" s="7"/>
      <c r="F189" s="7"/>
    </row>
    <row r="190" ht="14.25" customHeight="1">
      <c r="A190" s="7"/>
      <c r="B190" s="7"/>
      <c r="C190" s="7"/>
      <c r="D190" s="7"/>
      <c r="E190" s="7"/>
      <c r="F190" s="7"/>
    </row>
    <row r="191" ht="14.25" customHeight="1">
      <c r="A191" s="7"/>
      <c r="B191" s="7"/>
      <c r="C191" s="7"/>
      <c r="D191" s="7"/>
      <c r="E191" s="7"/>
      <c r="F191" s="7"/>
    </row>
    <row r="192" ht="14.25" customHeight="1">
      <c r="A192" s="7"/>
      <c r="B192" s="7"/>
      <c r="C192" s="7"/>
      <c r="D192" s="7"/>
      <c r="E192" s="7"/>
      <c r="F192" s="7"/>
    </row>
    <row r="193" ht="14.25" customHeight="1">
      <c r="A193" s="7"/>
      <c r="B193" s="7"/>
      <c r="C193" s="7"/>
      <c r="D193" s="7"/>
      <c r="E193" s="7"/>
      <c r="F193" s="7"/>
    </row>
    <row r="194" ht="14.25" customHeight="1">
      <c r="A194" s="7"/>
      <c r="B194" s="7"/>
      <c r="C194" s="7"/>
      <c r="D194" s="7"/>
      <c r="E194" s="7"/>
      <c r="F194" s="7"/>
    </row>
    <row r="195" ht="14.25" customHeight="1">
      <c r="A195" s="7"/>
      <c r="B195" s="7"/>
      <c r="C195" s="7"/>
      <c r="D195" s="7"/>
      <c r="E195" s="7"/>
      <c r="F195" s="7"/>
    </row>
    <row r="196" ht="14.25" customHeight="1">
      <c r="A196" s="7"/>
      <c r="B196" s="7"/>
      <c r="C196" s="7"/>
      <c r="D196" s="7"/>
      <c r="E196" s="7"/>
      <c r="F196" s="7"/>
    </row>
    <row r="197" ht="14.25" customHeight="1">
      <c r="A197" s="7"/>
      <c r="B197" s="7"/>
      <c r="C197" s="7"/>
      <c r="D197" s="7"/>
      <c r="E197" s="7"/>
      <c r="F197" s="7"/>
    </row>
    <row r="198" ht="14.25" customHeight="1">
      <c r="A198" s="7"/>
      <c r="B198" s="7"/>
      <c r="C198" s="7"/>
      <c r="D198" s="7"/>
      <c r="E198" s="7"/>
      <c r="F198" s="7"/>
    </row>
    <row r="199" ht="14.25" customHeight="1">
      <c r="A199" s="7"/>
      <c r="B199" s="7"/>
      <c r="C199" s="7"/>
      <c r="D199" s="7"/>
      <c r="E199" s="7"/>
      <c r="F199" s="7"/>
    </row>
    <row r="200" ht="14.25" customHeight="1">
      <c r="A200" s="7"/>
      <c r="B200" s="7"/>
      <c r="C200" s="7"/>
      <c r="D200" s="7"/>
      <c r="E200" s="7"/>
      <c r="F200" s="7"/>
    </row>
    <row r="201" ht="14.25" customHeight="1">
      <c r="A201" s="7"/>
      <c r="B201" s="7"/>
      <c r="C201" s="7"/>
      <c r="D201" s="7"/>
      <c r="E201" s="7"/>
      <c r="F201" s="7"/>
    </row>
    <row r="202" ht="14.25" customHeight="1">
      <c r="A202" s="7"/>
      <c r="B202" s="7"/>
      <c r="C202" s="7"/>
      <c r="D202" s="7"/>
      <c r="E202" s="7"/>
      <c r="F202" s="7"/>
    </row>
    <row r="203" ht="14.25" customHeight="1">
      <c r="A203" s="7"/>
      <c r="B203" s="7"/>
      <c r="C203" s="7"/>
      <c r="D203" s="7"/>
      <c r="E203" s="7"/>
      <c r="F203" s="7"/>
    </row>
    <row r="204" ht="14.25" customHeight="1">
      <c r="A204" s="7"/>
      <c r="B204" s="7"/>
      <c r="C204" s="7"/>
      <c r="D204" s="7"/>
      <c r="E204" s="7"/>
      <c r="F204" s="7"/>
    </row>
    <row r="205" ht="14.25" customHeight="1">
      <c r="A205" s="7"/>
      <c r="B205" s="7"/>
      <c r="C205" s="7"/>
      <c r="D205" s="7"/>
      <c r="E205" s="7"/>
      <c r="F205" s="7"/>
    </row>
    <row r="206" ht="14.25" customHeight="1">
      <c r="A206" s="7"/>
      <c r="B206" s="7"/>
      <c r="C206" s="7"/>
      <c r="D206" s="7"/>
      <c r="E206" s="7"/>
      <c r="F206" s="7"/>
    </row>
    <row r="207" ht="14.25" customHeight="1">
      <c r="A207" s="7"/>
      <c r="B207" s="7"/>
      <c r="C207" s="7"/>
      <c r="D207" s="7"/>
      <c r="E207" s="7"/>
      <c r="F207" s="7"/>
    </row>
    <row r="208" ht="14.25" customHeight="1">
      <c r="A208" s="7"/>
      <c r="B208" s="7"/>
      <c r="C208" s="7"/>
      <c r="D208" s="7"/>
      <c r="E208" s="7"/>
      <c r="F208" s="7"/>
    </row>
    <row r="209" ht="14.25" customHeight="1">
      <c r="A209" s="7"/>
      <c r="B209" s="7"/>
      <c r="C209" s="7"/>
      <c r="D209" s="7"/>
      <c r="E209" s="7"/>
      <c r="F209" s="7"/>
    </row>
    <row r="210" ht="14.25" customHeight="1">
      <c r="A210" s="7"/>
      <c r="B210" s="7"/>
      <c r="C210" s="7"/>
      <c r="D210" s="7"/>
      <c r="E210" s="7"/>
      <c r="F210" s="7"/>
    </row>
    <row r="211" ht="14.25" customHeight="1">
      <c r="A211" s="7"/>
      <c r="B211" s="7"/>
      <c r="C211" s="7"/>
      <c r="D211" s="7"/>
      <c r="E211" s="7"/>
      <c r="F211" s="7"/>
    </row>
    <row r="212" ht="14.25" customHeight="1">
      <c r="A212" s="7"/>
      <c r="B212" s="7"/>
      <c r="C212" s="7"/>
      <c r="D212" s="7"/>
      <c r="E212" s="7"/>
      <c r="F212" s="7"/>
    </row>
    <row r="213" ht="14.25" customHeight="1">
      <c r="A213" s="7"/>
      <c r="B213" s="7"/>
      <c r="C213" s="7"/>
      <c r="D213" s="7"/>
      <c r="E213" s="7"/>
      <c r="F213" s="7"/>
    </row>
    <row r="214" ht="14.25" customHeight="1">
      <c r="A214" s="7"/>
      <c r="B214" s="7"/>
      <c r="C214" s="7"/>
      <c r="D214" s="7"/>
      <c r="E214" s="7"/>
      <c r="F214" s="7"/>
    </row>
    <row r="215" ht="14.25" customHeight="1">
      <c r="A215" s="7"/>
      <c r="B215" s="7"/>
      <c r="C215" s="7"/>
      <c r="D215" s="7"/>
      <c r="E215" s="7"/>
      <c r="F215" s="7"/>
    </row>
    <row r="216" ht="14.25" customHeight="1">
      <c r="A216" s="7"/>
      <c r="B216" s="7"/>
      <c r="C216" s="7"/>
      <c r="D216" s="7"/>
      <c r="E216" s="7"/>
      <c r="F216" s="7"/>
    </row>
    <row r="217" ht="14.25" customHeight="1">
      <c r="A217" s="7"/>
      <c r="B217" s="7"/>
      <c r="C217" s="7"/>
      <c r="D217" s="7"/>
      <c r="E217" s="7"/>
      <c r="F217" s="7"/>
    </row>
    <row r="218" ht="14.25" customHeight="1">
      <c r="A218" s="7"/>
      <c r="B218" s="7"/>
      <c r="C218" s="7"/>
      <c r="D218" s="7"/>
      <c r="E218" s="7"/>
      <c r="F218" s="7"/>
    </row>
    <row r="219" ht="14.25" customHeight="1">
      <c r="A219" s="7"/>
      <c r="B219" s="7"/>
      <c r="C219" s="7"/>
      <c r="D219" s="7"/>
      <c r="E219" s="7"/>
      <c r="F219" s="7"/>
    </row>
    <row r="220" ht="14.25" customHeight="1">
      <c r="A220" s="7"/>
      <c r="B220" s="7"/>
      <c r="C220" s="7"/>
      <c r="D220" s="7"/>
      <c r="E220" s="7"/>
      <c r="F220" s="7"/>
    </row>
    <row r="221" ht="14.25" customHeight="1">
      <c r="A221" s="7"/>
      <c r="B221" s="7"/>
      <c r="C221" s="7"/>
      <c r="D221" s="7"/>
      <c r="E221" s="7"/>
      <c r="F221" s="7"/>
    </row>
    <row r="222" ht="14.25" customHeight="1">
      <c r="A222" s="7"/>
      <c r="B222" s="7"/>
      <c r="C222" s="7"/>
      <c r="D222" s="7"/>
      <c r="E222" s="7"/>
      <c r="F222" s="7"/>
    </row>
    <row r="223" ht="14.25" customHeight="1">
      <c r="A223" s="7"/>
      <c r="B223" s="7"/>
      <c r="C223" s="7"/>
      <c r="D223" s="7"/>
      <c r="E223" s="7"/>
      <c r="F223" s="7"/>
    </row>
    <row r="224" ht="14.25" customHeight="1">
      <c r="A224" s="7"/>
      <c r="B224" s="7"/>
      <c r="C224" s="7"/>
      <c r="D224" s="7"/>
      <c r="E224" s="7"/>
      <c r="F224" s="7"/>
    </row>
    <row r="225" ht="14.25" customHeight="1">
      <c r="A225" s="7"/>
      <c r="B225" s="7"/>
      <c r="C225" s="7"/>
      <c r="D225" s="7"/>
      <c r="E225" s="7"/>
      <c r="F225" s="7"/>
    </row>
    <row r="226" ht="14.25" customHeight="1">
      <c r="A226" s="7"/>
      <c r="B226" s="7"/>
      <c r="C226" s="7"/>
      <c r="D226" s="7"/>
      <c r="E226" s="7"/>
      <c r="F226" s="7"/>
    </row>
    <row r="227" ht="14.25" customHeight="1">
      <c r="A227" s="7"/>
      <c r="B227" s="7"/>
      <c r="C227" s="7"/>
      <c r="D227" s="7"/>
      <c r="E227" s="7"/>
      <c r="F227" s="7"/>
    </row>
    <row r="228" ht="14.25" customHeight="1">
      <c r="A228" s="7"/>
      <c r="B228" s="7"/>
      <c r="C228" s="7"/>
      <c r="D228" s="7"/>
      <c r="E228" s="7"/>
      <c r="F228" s="7"/>
    </row>
    <row r="229" ht="14.25" customHeight="1">
      <c r="A229" s="7"/>
      <c r="B229" s="7"/>
      <c r="C229" s="7"/>
      <c r="D229" s="7"/>
      <c r="E229" s="7"/>
      <c r="F229" s="7"/>
    </row>
    <row r="230" ht="14.25" customHeight="1">
      <c r="A230" s="7"/>
      <c r="B230" s="7"/>
      <c r="C230" s="7"/>
      <c r="D230" s="7"/>
      <c r="E230" s="7"/>
      <c r="F230" s="7"/>
    </row>
    <row r="231" ht="14.25" customHeight="1">
      <c r="A231" s="7"/>
      <c r="B231" s="7"/>
      <c r="C231" s="7"/>
      <c r="D231" s="7"/>
      <c r="E231" s="7"/>
      <c r="F231" s="7"/>
    </row>
    <row r="232" ht="14.25" customHeight="1">
      <c r="A232" s="7"/>
      <c r="B232" s="7"/>
      <c r="C232" s="7"/>
      <c r="D232" s="7"/>
      <c r="E232" s="7"/>
      <c r="F232" s="7"/>
    </row>
    <row r="233" ht="14.25" customHeight="1">
      <c r="A233" s="7"/>
      <c r="B233" s="7"/>
      <c r="C233" s="7"/>
      <c r="D233" s="7"/>
      <c r="E233" s="7"/>
      <c r="F233" s="7"/>
    </row>
    <row r="234" ht="14.25" customHeight="1">
      <c r="A234" s="7"/>
      <c r="B234" s="7"/>
      <c r="C234" s="7"/>
      <c r="D234" s="7"/>
      <c r="E234" s="7"/>
      <c r="F234" s="7"/>
    </row>
    <row r="235" ht="14.25" customHeight="1">
      <c r="A235" s="7"/>
      <c r="B235" s="7"/>
      <c r="C235" s="7"/>
      <c r="D235" s="7"/>
      <c r="E235" s="7"/>
      <c r="F235" s="7"/>
    </row>
    <row r="236" ht="14.25" customHeight="1">
      <c r="A236" s="7"/>
      <c r="B236" s="7"/>
      <c r="C236" s="7"/>
      <c r="D236" s="7"/>
      <c r="E236" s="7"/>
      <c r="F236" s="7"/>
    </row>
    <row r="237" ht="14.25" customHeight="1">
      <c r="A237" s="7"/>
      <c r="B237" s="7"/>
      <c r="C237" s="7"/>
      <c r="D237" s="7"/>
      <c r="E237" s="7"/>
      <c r="F237" s="7"/>
    </row>
    <row r="238" ht="14.25" customHeight="1">
      <c r="A238" s="7"/>
      <c r="B238" s="7"/>
      <c r="C238" s="7"/>
      <c r="D238" s="7"/>
      <c r="E238" s="7"/>
      <c r="F238" s="7"/>
    </row>
    <row r="239" ht="14.25" customHeight="1">
      <c r="A239" s="7"/>
      <c r="B239" s="7"/>
      <c r="C239" s="7"/>
      <c r="D239" s="7"/>
      <c r="E239" s="7"/>
      <c r="F239" s="7"/>
    </row>
    <row r="240" ht="14.25" customHeight="1">
      <c r="A240" s="7"/>
      <c r="B240" s="7"/>
      <c r="C240" s="7"/>
      <c r="D240" s="7"/>
      <c r="E240" s="7"/>
      <c r="F240" s="7"/>
    </row>
    <row r="241" ht="14.25" customHeight="1">
      <c r="A241" s="7"/>
      <c r="B241" s="7"/>
      <c r="C241" s="7"/>
      <c r="D241" s="7"/>
      <c r="E241" s="7"/>
      <c r="F241" s="7"/>
    </row>
    <row r="242" ht="14.25" customHeight="1">
      <c r="A242" s="7"/>
      <c r="B242" s="7"/>
      <c r="C242" s="7"/>
      <c r="D242" s="7"/>
      <c r="E242" s="7"/>
      <c r="F242" s="7"/>
    </row>
    <row r="243" ht="14.25" customHeight="1">
      <c r="A243" s="7"/>
      <c r="B243" s="7"/>
      <c r="C243" s="7"/>
      <c r="D243" s="7"/>
      <c r="E243" s="7"/>
      <c r="F243" s="7"/>
    </row>
    <row r="244" ht="14.25" customHeight="1">
      <c r="A244" s="7"/>
      <c r="B244" s="7"/>
      <c r="C244" s="7"/>
      <c r="D244" s="7"/>
      <c r="E244" s="7"/>
      <c r="F244" s="7"/>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2.63" defaultRowHeight="15.0"/>
  <cols>
    <col customWidth="1" min="1" max="1" width="5.88"/>
    <col customWidth="1" min="2" max="2" width="8.63"/>
    <col customWidth="1" min="3" max="3" width="16.38"/>
    <col customWidth="1" min="4" max="4" width="15.5"/>
    <col customWidth="1" min="5" max="5" width="19.13"/>
    <col customWidth="1" min="6" max="6" width="15.0"/>
    <col customWidth="1" min="7" max="10" width="14.88"/>
    <col customWidth="1" min="11" max="11" width="12.0"/>
    <col customWidth="1" min="12" max="26" width="10.63"/>
  </cols>
  <sheetData>
    <row r="1" ht="14.25" customHeight="1">
      <c r="A1" s="303"/>
      <c r="B1" s="346" t="s">
        <v>1442</v>
      </c>
      <c r="C1" s="347"/>
      <c r="D1" s="347"/>
      <c r="E1" s="348"/>
      <c r="F1" s="348"/>
      <c r="G1" s="305"/>
      <c r="H1" s="348" t="s">
        <v>1443</v>
      </c>
      <c r="I1" s="305"/>
      <c r="J1" s="305"/>
      <c r="K1" s="305"/>
      <c r="L1" s="305"/>
      <c r="M1" s="305"/>
      <c r="N1" s="303"/>
      <c r="O1" s="303"/>
      <c r="P1" s="303"/>
      <c r="Q1" s="303"/>
      <c r="R1" s="303"/>
      <c r="S1" s="303"/>
      <c r="T1" s="303"/>
      <c r="U1" s="303"/>
      <c r="V1" s="303"/>
      <c r="W1" s="303"/>
      <c r="X1" s="303"/>
      <c r="Y1" s="303"/>
      <c r="Z1" s="303"/>
    </row>
    <row r="2" ht="14.25" customHeight="1">
      <c r="A2" s="303"/>
      <c r="B2" s="349"/>
      <c r="C2" s="349"/>
      <c r="D2" s="349"/>
      <c r="E2" s="349"/>
      <c r="F2" s="349"/>
      <c r="G2" s="350">
        <v>1.0</v>
      </c>
      <c r="H2" s="348">
        <v>1.0</v>
      </c>
      <c r="I2" s="349"/>
      <c r="J2" s="349"/>
      <c r="K2" s="305"/>
      <c r="L2" s="305"/>
      <c r="M2" s="305"/>
      <c r="N2" s="303"/>
      <c r="O2" s="303"/>
      <c r="P2" s="303"/>
      <c r="Q2" s="303"/>
      <c r="R2" s="303"/>
      <c r="S2" s="303"/>
      <c r="T2" s="303"/>
      <c r="U2" s="303"/>
      <c r="V2" s="303"/>
      <c r="W2" s="303"/>
      <c r="X2" s="303"/>
      <c r="Y2" s="303"/>
      <c r="Z2" s="303"/>
    </row>
    <row r="3" ht="14.25" customHeight="1">
      <c r="A3" s="303"/>
      <c r="B3" s="351" t="s">
        <v>1444</v>
      </c>
      <c r="C3" s="348"/>
      <c r="D3" s="352"/>
      <c r="E3" s="352"/>
      <c r="F3" s="348"/>
      <c r="G3" s="350">
        <f t="shared" ref="G3:G5" si="1">+G2*H3</f>
        <v>1.023</v>
      </c>
      <c r="H3" s="348">
        <v>1.023</v>
      </c>
      <c r="I3" s="353">
        <v>45955.0</v>
      </c>
      <c r="J3" s="354"/>
      <c r="K3" s="305"/>
      <c r="L3" s="305"/>
      <c r="M3" s="305"/>
      <c r="N3" s="303"/>
      <c r="O3" s="303"/>
      <c r="P3" s="303"/>
      <c r="Q3" s="303"/>
      <c r="R3" s="303"/>
      <c r="S3" s="303"/>
      <c r="T3" s="303"/>
      <c r="U3" s="303"/>
      <c r="V3" s="303"/>
      <c r="W3" s="303"/>
      <c r="X3" s="303"/>
      <c r="Y3" s="303"/>
      <c r="Z3" s="303"/>
    </row>
    <row r="4" ht="14.25" customHeight="1">
      <c r="A4" s="303"/>
      <c r="B4" s="348">
        <v>2.0</v>
      </c>
      <c r="C4" s="355" t="s">
        <v>1445</v>
      </c>
      <c r="D4" s="352" t="s">
        <v>1446</v>
      </c>
      <c r="E4" s="352"/>
      <c r="F4" s="348"/>
      <c r="G4" s="350">
        <f t="shared" si="1"/>
        <v>1.04346</v>
      </c>
      <c r="H4" s="356">
        <v>1.02</v>
      </c>
      <c r="I4" s="353">
        <v>45986.0</v>
      </c>
      <c r="J4" s="354"/>
      <c r="K4" s="305"/>
      <c r="L4" s="305"/>
      <c r="M4" s="305"/>
      <c r="N4" s="303"/>
      <c r="O4" s="303"/>
      <c r="P4" s="303"/>
      <c r="Q4" s="303"/>
      <c r="R4" s="303"/>
      <c r="S4" s="303"/>
      <c r="T4" s="303"/>
      <c r="U4" s="303"/>
      <c r="V4" s="303"/>
      <c r="W4" s="303"/>
      <c r="X4" s="303"/>
      <c r="Y4" s="303"/>
      <c r="Z4" s="303"/>
    </row>
    <row r="5" ht="14.25" customHeight="1">
      <c r="A5" s="303"/>
      <c r="B5" s="348">
        <v>1.0</v>
      </c>
      <c r="C5" s="355" t="s">
        <v>1447</v>
      </c>
      <c r="D5" s="352" t="s">
        <v>1448</v>
      </c>
      <c r="E5" s="352"/>
      <c r="F5" s="348"/>
      <c r="G5" s="350">
        <f t="shared" si="1"/>
        <v>1.0643292</v>
      </c>
      <c r="H5" s="356">
        <v>1.02</v>
      </c>
      <c r="I5" s="353" t="s">
        <v>1449</v>
      </c>
      <c r="J5" s="354"/>
      <c r="K5" s="305"/>
      <c r="L5" s="305"/>
      <c r="M5" s="305"/>
      <c r="N5" s="303"/>
      <c r="O5" s="303"/>
      <c r="P5" s="303"/>
      <c r="Q5" s="303"/>
      <c r="R5" s="303"/>
      <c r="S5" s="303"/>
      <c r="T5" s="303"/>
      <c r="U5" s="303"/>
      <c r="V5" s="303"/>
      <c r="W5" s="303"/>
      <c r="X5" s="303"/>
      <c r="Y5" s="303"/>
      <c r="Z5" s="303"/>
    </row>
    <row r="6" ht="14.25" customHeight="1">
      <c r="A6" s="303"/>
      <c r="B6" s="303"/>
      <c r="C6" s="303"/>
      <c r="D6" s="303"/>
      <c r="E6" s="303"/>
      <c r="F6" s="303"/>
      <c r="G6" s="354"/>
      <c r="H6" s="348"/>
      <c r="I6" s="357"/>
      <c r="J6" s="354"/>
      <c r="K6" s="305"/>
      <c r="L6" s="305"/>
      <c r="M6" s="305"/>
      <c r="N6" s="303"/>
      <c r="O6" s="303"/>
      <c r="P6" s="303"/>
      <c r="Q6" s="303"/>
      <c r="R6" s="303"/>
      <c r="S6" s="303"/>
      <c r="T6" s="303"/>
      <c r="U6" s="303"/>
      <c r="V6" s="303"/>
      <c r="W6" s="303"/>
      <c r="X6" s="303"/>
      <c r="Y6" s="303"/>
      <c r="Z6" s="303"/>
    </row>
    <row r="7" ht="14.25" customHeight="1">
      <c r="A7" s="303"/>
      <c r="B7" s="358" t="s">
        <v>1450</v>
      </c>
      <c r="C7" s="359"/>
      <c r="D7" s="359"/>
      <c r="E7" s="360"/>
      <c r="F7" s="359"/>
      <c r="G7" s="354"/>
      <c r="H7" s="348"/>
      <c r="I7" s="357"/>
      <c r="J7" s="354"/>
      <c r="K7" s="305"/>
      <c r="L7" s="305"/>
      <c r="M7" s="305"/>
      <c r="N7" s="303"/>
      <c r="O7" s="303"/>
      <c r="P7" s="303"/>
      <c r="Q7" s="303"/>
      <c r="R7" s="303"/>
      <c r="S7" s="303"/>
      <c r="T7" s="303"/>
      <c r="U7" s="303"/>
      <c r="V7" s="303"/>
      <c r="W7" s="303"/>
      <c r="X7" s="303"/>
      <c r="Y7" s="303"/>
      <c r="Z7" s="303"/>
    </row>
    <row r="8" ht="14.25" customHeight="1">
      <c r="A8" s="305"/>
      <c r="B8" s="355"/>
      <c r="C8" s="348"/>
      <c r="D8" s="348"/>
      <c r="E8" s="352"/>
      <c r="F8" s="348"/>
      <c r="G8" s="354"/>
      <c r="H8" s="348"/>
      <c r="I8" s="357"/>
      <c r="J8" s="354"/>
      <c r="K8" s="305"/>
      <c r="L8" s="305"/>
      <c r="M8" s="305"/>
      <c r="N8" s="305"/>
      <c r="O8" s="305"/>
      <c r="P8" s="305"/>
      <c r="Q8" s="305"/>
      <c r="R8" s="305"/>
      <c r="S8" s="305"/>
      <c r="T8" s="305"/>
      <c r="U8" s="305"/>
      <c r="V8" s="305"/>
      <c r="W8" s="305"/>
      <c r="X8" s="305"/>
      <c r="Y8" s="305"/>
      <c r="Z8" s="305"/>
    </row>
    <row r="9" ht="14.25" customHeight="1">
      <c r="A9" s="303"/>
      <c r="B9" s="348"/>
      <c r="C9" s="348"/>
      <c r="D9" s="352"/>
      <c r="E9" s="352"/>
      <c r="F9" s="348"/>
      <c r="G9" s="354"/>
      <c r="H9" s="348"/>
      <c r="I9" s="357"/>
      <c r="J9" s="354"/>
      <c r="K9" s="305"/>
      <c r="L9" s="305"/>
      <c r="M9" s="305"/>
      <c r="N9" s="303"/>
      <c r="O9" s="303"/>
      <c r="P9" s="303"/>
      <c r="Q9" s="303"/>
      <c r="R9" s="303"/>
      <c r="S9" s="303"/>
      <c r="T9" s="303"/>
      <c r="U9" s="303"/>
      <c r="V9" s="303"/>
      <c r="W9" s="303"/>
      <c r="X9" s="303"/>
      <c r="Y9" s="303"/>
      <c r="Z9" s="303"/>
    </row>
    <row r="10" ht="14.25" customHeight="1">
      <c r="A10" s="303"/>
      <c r="B10" s="361" t="s">
        <v>1451</v>
      </c>
      <c r="C10" s="362"/>
      <c r="D10" s="362"/>
      <c r="E10" s="303"/>
      <c r="F10" s="303"/>
      <c r="G10" s="305"/>
      <c r="H10" s="305"/>
      <c r="I10" s="305"/>
      <c r="J10" s="363" t="s">
        <v>1452</v>
      </c>
      <c r="K10" s="364" t="s">
        <v>1453</v>
      </c>
      <c r="L10" s="305"/>
      <c r="M10" s="305"/>
      <c r="N10" s="303"/>
      <c r="O10" s="303"/>
      <c r="P10" s="303"/>
      <c r="Q10" s="303"/>
      <c r="R10" s="303"/>
      <c r="S10" s="303"/>
      <c r="T10" s="303"/>
      <c r="U10" s="303"/>
      <c r="V10" s="303"/>
      <c r="W10" s="303"/>
      <c r="X10" s="303"/>
      <c r="Y10" s="303"/>
      <c r="Z10" s="303"/>
    </row>
    <row r="11" ht="14.25" customHeight="1">
      <c r="A11" s="303"/>
      <c r="B11" s="303"/>
      <c r="C11" s="303"/>
      <c r="D11" s="303"/>
      <c r="E11" s="303"/>
      <c r="F11" s="303"/>
      <c r="G11" s="365" t="s">
        <v>1454</v>
      </c>
      <c r="H11" s="305"/>
      <c r="I11" s="305"/>
      <c r="J11" s="366"/>
      <c r="K11" s="367" t="s">
        <v>1455</v>
      </c>
      <c r="L11" s="305"/>
      <c r="M11" s="305"/>
      <c r="N11" s="303"/>
      <c r="O11" s="303"/>
      <c r="P11" s="303"/>
      <c r="Q11" s="303"/>
      <c r="R11" s="303"/>
      <c r="S11" s="303"/>
      <c r="T11" s="303"/>
      <c r="U11" s="303"/>
      <c r="V11" s="303"/>
      <c r="W11" s="303"/>
      <c r="X11" s="303"/>
      <c r="Y11" s="303"/>
      <c r="Z11" s="303"/>
    </row>
    <row r="12" ht="14.25" customHeight="1">
      <c r="A12" s="303"/>
      <c r="B12" s="305"/>
      <c r="C12" s="305"/>
      <c r="D12" s="305"/>
      <c r="E12" s="305"/>
      <c r="F12" s="368" t="s">
        <v>1456</v>
      </c>
      <c r="G12" s="369">
        <f>+G5</f>
        <v>1.0643292</v>
      </c>
      <c r="H12" s="370">
        <f>+'REAL-BDGT2026'!L196</f>
        <v>1.094841594</v>
      </c>
      <c r="I12" s="370">
        <f>+'REAL-BDGT2026'!O196</f>
        <v>1.086370866</v>
      </c>
      <c r="J12" s="371">
        <f>+'REAL-BDGT2026'!R196</f>
        <v>1.089547389</v>
      </c>
      <c r="K12" s="372"/>
      <c r="L12" s="305"/>
      <c r="M12" s="305"/>
      <c r="N12" s="303"/>
      <c r="O12" s="303"/>
      <c r="P12" s="303"/>
      <c r="Q12" s="303"/>
      <c r="R12" s="303"/>
      <c r="S12" s="303"/>
      <c r="T12" s="303"/>
      <c r="U12" s="303"/>
      <c r="V12" s="303"/>
      <c r="W12" s="303"/>
      <c r="X12" s="303"/>
      <c r="Y12" s="303"/>
      <c r="Z12" s="303"/>
    </row>
    <row r="13" ht="14.25" customHeight="1">
      <c r="A13" s="303"/>
      <c r="B13" s="305"/>
      <c r="C13" s="373" t="s">
        <v>1457</v>
      </c>
      <c r="D13" s="305"/>
      <c r="E13" s="305"/>
      <c r="F13" s="305"/>
      <c r="G13" s="374" t="s">
        <v>4</v>
      </c>
      <c r="H13" s="374" t="s">
        <v>1458</v>
      </c>
      <c r="I13" s="374">
        <v>46228.0</v>
      </c>
      <c r="J13" s="375">
        <v>46320.0</v>
      </c>
      <c r="K13" s="372"/>
      <c r="L13" s="305"/>
      <c r="M13" s="305"/>
      <c r="N13" s="303"/>
      <c r="O13" s="303"/>
      <c r="P13" s="303"/>
      <c r="Q13" s="303"/>
      <c r="R13" s="303"/>
      <c r="S13" s="303"/>
      <c r="T13" s="303"/>
      <c r="U13" s="303"/>
      <c r="V13" s="303"/>
      <c r="W13" s="303"/>
      <c r="X13" s="303"/>
      <c r="Y13" s="303"/>
      <c r="Z13" s="303"/>
    </row>
    <row r="14" ht="14.25" customHeight="1">
      <c r="A14" s="303"/>
      <c r="B14" s="305"/>
      <c r="C14" s="305"/>
      <c r="D14" s="305"/>
      <c r="E14" s="305"/>
      <c r="F14" s="305"/>
      <c r="G14" s="305"/>
      <c r="H14" s="305"/>
      <c r="I14" s="305"/>
      <c r="J14" s="372"/>
      <c r="K14" s="372"/>
      <c r="L14" s="305"/>
      <c r="M14" s="305"/>
      <c r="N14" s="303"/>
      <c r="O14" s="303"/>
      <c r="P14" s="303"/>
      <c r="Q14" s="303"/>
      <c r="R14" s="303"/>
      <c r="S14" s="303"/>
      <c r="T14" s="303"/>
      <c r="U14" s="303"/>
      <c r="V14" s="303"/>
      <c r="W14" s="303"/>
      <c r="X14" s="303"/>
      <c r="Y14" s="303"/>
      <c r="Z14" s="303"/>
    </row>
    <row r="15" ht="14.25" customHeight="1">
      <c r="A15" s="303"/>
      <c r="B15" s="303"/>
      <c r="C15" s="305" t="s">
        <v>1459</v>
      </c>
      <c r="D15" s="376"/>
      <c r="E15" s="305" t="s">
        <v>1460</v>
      </c>
      <c r="F15" s="377">
        <v>4.79226006E7</v>
      </c>
      <c r="G15" s="378">
        <f t="shared" ref="G15:G16" si="2">+F15*$G$12</f>
        <v>51005423.16</v>
      </c>
      <c r="H15" s="378">
        <f t="shared" ref="H15:H16" si="3">+G15*$H$12</f>
        <v>55842858.79</v>
      </c>
      <c r="I15" s="378">
        <f t="shared" ref="I15:I16" si="4">+H15*$I$12</f>
        <v>60666054.87</v>
      </c>
      <c r="J15" s="379">
        <f t="shared" ref="J15:J16" si="5">+I15*$J$12</f>
        <v>66098541.68</v>
      </c>
      <c r="K15" s="372"/>
      <c r="L15" s="305"/>
      <c r="M15" s="305"/>
      <c r="N15" s="303"/>
      <c r="O15" s="303"/>
      <c r="P15" s="303"/>
      <c r="Q15" s="303"/>
      <c r="R15" s="303"/>
      <c r="S15" s="303"/>
      <c r="T15" s="303"/>
      <c r="U15" s="303"/>
      <c r="V15" s="303"/>
      <c r="W15" s="303"/>
      <c r="X15" s="303"/>
      <c r="Y15" s="303"/>
      <c r="Z15" s="303"/>
    </row>
    <row r="16" ht="14.25" customHeight="1">
      <c r="A16" s="303"/>
      <c r="B16" s="303"/>
      <c r="C16" s="305" t="s">
        <v>1461</v>
      </c>
      <c r="D16" s="376"/>
      <c r="E16" s="305"/>
      <c r="F16" s="377">
        <v>1.150142414E7</v>
      </c>
      <c r="G16" s="378">
        <f t="shared" si="2"/>
        <v>12241301.55</v>
      </c>
      <c r="H16" s="378">
        <f t="shared" si="3"/>
        <v>13402286.11</v>
      </c>
      <c r="I16" s="378">
        <f t="shared" si="4"/>
        <v>14559853.16</v>
      </c>
      <c r="J16" s="379">
        <f t="shared" si="5"/>
        <v>15863650</v>
      </c>
      <c r="K16" s="372"/>
      <c r="L16" s="305"/>
      <c r="M16" s="305"/>
      <c r="N16" s="303"/>
      <c r="O16" s="303"/>
      <c r="P16" s="303"/>
      <c r="Q16" s="303"/>
      <c r="R16" s="303"/>
      <c r="S16" s="303"/>
      <c r="T16" s="303"/>
      <c r="U16" s="303"/>
      <c r="V16" s="303"/>
      <c r="W16" s="303"/>
      <c r="X16" s="303"/>
      <c r="Y16" s="303"/>
      <c r="Z16" s="303"/>
    </row>
    <row r="17" ht="14.25" customHeight="1">
      <c r="A17" s="305"/>
      <c r="B17" s="305"/>
      <c r="C17" s="380" t="s">
        <v>1462</v>
      </c>
      <c r="D17" s="381"/>
      <c r="E17" s="380"/>
      <c r="F17" s="382">
        <f t="shared" ref="F17:J17" si="6">SUM(F15:F16)</f>
        <v>59424024.74</v>
      </c>
      <c r="G17" s="383">
        <f t="shared" si="6"/>
        <v>63246724.71</v>
      </c>
      <c r="H17" s="383">
        <f t="shared" si="6"/>
        <v>69245144.9</v>
      </c>
      <c r="I17" s="383">
        <f t="shared" si="6"/>
        <v>75225908.03</v>
      </c>
      <c r="J17" s="384">
        <f t="shared" si="6"/>
        <v>81962191.68</v>
      </c>
      <c r="K17" s="385">
        <f>+J17/12</f>
        <v>6830182.64</v>
      </c>
      <c r="L17" s="305" t="str">
        <f>+C15</f>
        <v>Prov. Vacaciones</v>
      </c>
      <c r="M17" s="305"/>
      <c r="N17" s="305"/>
      <c r="O17" s="305"/>
      <c r="P17" s="305"/>
      <c r="Q17" s="305"/>
      <c r="R17" s="305"/>
      <c r="S17" s="305"/>
      <c r="T17" s="305"/>
      <c r="U17" s="305"/>
      <c r="V17" s="305"/>
      <c r="W17" s="305"/>
      <c r="X17" s="305"/>
      <c r="Y17" s="305"/>
      <c r="Z17" s="305"/>
    </row>
    <row r="18" ht="14.25" customHeight="1">
      <c r="A18" s="305"/>
      <c r="B18" s="305"/>
      <c r="C18" s="305"/>
      <c r="D18" s="386"/>
      <c r="E18" s="305"/>
      <c r="F18" s="387"/>
      <c r="G18" s="386"/>
      <c r="H18" s="305"/>
      <c r="I18" s="305"/>
      <c r="J18" s="372"/>
      <c r="K18" s="372"/>
      <c r="L18" s="305"/>
      <c r="M18" s="305"/>
      <c r="N18" s="305"/>
      <c r="O18" s="305"/>
      <c r="P18" s="305"/>
      <c r="Q18" s="305"/>
      <c r="R18" s="305"/>
      <c r="S18" s="305"/>
      <c r="T18" s="305"/>
      <c r="U18" s="305"/>
      <c r="V18" s="305"/>
      <c r="W18" s="305"/>
      <c r="X18" s="305"/>
      <c r="Y18" s="305"/>
      <c r="Z18" s="305"/>
    </row>
    <row r="19" ht="14.25" customHeight="1">
      <c r="A19" s="303"/>
      <c r="B19" s="305"/>
      <c r="C19" s="305" t="s">
        <v>1463</v>
      </c>
      <c r="D19" s="305"/>
      <c r="E19" s="305" t="s">
        <v>1460</v>
      </c>
      <c r="F19" s="377">
        <v>1.3202458999E8</v>
      </c>
      <c r="G19" s="378">
        <f t="shared" ref="G19:G20" si="7">+F19*$G$12</f>
        <v>140517626.2</v>
      </c>
      <c r="H19" s="378">
        <f t="shared" ref="H19:H20" si="8">+G19*$H$12</f>
        <v>153844541.9</v>
      </c>
      <c r="I19" s="378">
        <f t="shared" ref="I19:I20" si="9">+H19*$I$12</f>
        <v>167132228.2</v>
      </c>
      <c r="J19" s="379">
        <f t="shared" ref="J19:J20" si="10">+I19*$J$12</f>
        <v>182098482.9</v>
      </c>
      <c r="K19" s="372"/>
      <c r="L19" s="305"/>
      <c r="M19" s="305"/>
      <c r="N19" s="303"/>
      <c r="O19" s="303"/>
      <c r="P19" s="303"/>
      <c r="Q19" s="303"/>
      <c r="R19" s="303"/>
      <c r="S19" s="303"/>
      <c r="T19" s="303"/>
      <c r="U19" s="303"/>
      <c r="V19" s="303"/>
      <c r="W19" s="303"/>
      <c r="X19" s="303"/>
      <c r="Y19" s="303"/>
      <c r="Z19" s="303"/>
    </row>
    <row r="20" ht="14.25" customHeight="1">
      <c r="A20" s="303"/>
      <c r="B20" s="305"/>
      <c r="C20" s="305" t="s">
        <v>1464</v>
      </c>
      <c r="D20" s="305"/>
      <c r="E20" s="305"/>
      <c r="F20" s="377">
        <v>3.16859016E7</v>
      </c>
      <c r="G20" s="378">
        <f t="shared" si="7"/>
        <v>33724230.3</v>
      </c>
      <c r="H20" s="378">
        <f t="shared" si="8"/>
        <v>36922690.06</v>
      </c>
      <c r="I20" s="378">
        <f t="shared" si="9"/>
        <v>40111734.77</v>
      </c>
      <c r="J20" s="379">
        <f t="shared" si="10"/>
        <v>43703635.89</v>
      </c>
      <c r="K20" s="372"/>
      <c r="L20" s="305"/>
      <c r="M20" s="305"/>
      <c r="N20" s="303"/>
      <c r="O20" s="303"/>
      <c r="P20" s="303"/>
      <c r="Q20" s="303"/>
      <c r="R20" s="303"/>
      <c r="S20" s="303"/>
      <c r="T20" s="303"/>
      <c r="U20" s="303"/>
      <c r="V20" s="303"/>
      <c r="W20" s="303"/>
      <c r="X20" s="303"/>
      <c r="Y20" s="303"/>
      <c r="Z20" s="303"/>
    </row>
    <row r="21" ht="14.25" customHeight="1">
      <c r="A21" s="303"/>
      <c r="B21" s="305"/>
      <c r="C21" s="380" t="s">
        <v>1465</v>
      </c>
      <c r="D21" s="380"/>
      <c r="E21" s="380"/>
      <c r="F21" s="382">
        <f t="shared" ref="F21:J21" si="11">SUM(F19:F20)</f>
        <v>163710491.6</v>
      </c>
      <c r="G21" s="382">
        <f t="shared" si="11"/>
        <v>174241856.5</v>
      </c>
      <c r="H21" s="382">
        <f t="shared" si="11"/>
        <v>190767232</v>
      </c>
      <c r="I21" s="382">
        <f t="shared" si="11"/>
        <v>207243963</v>
      </c>
      <c r="J21" s="388">
        <f t="shared" si="11"/>
        <v>225802118.8</v>
      </c>
      <c r="K21" s="389">
        <f>+J21/12</f>
        <v>18816843.23</v>
      </c>
      <c r="L21" s="305" t="str">
        <f>+C19</f>
        <v>Prov. Bono 75%</v>
      </c>
      <c r="M21" s="305"/>
      <c r="N21" s="303"/>
      <c r="O21" s="303"/>
      <c r="P21" s="303"/>
      <c r="Q21" s="303"/>
      <c r="R21" s="303"/>
      <c r="S21" s="303"/>
      <c r="T21" s="303"/>
      <c r="U21" s="303"/>
      <c r="V21" s="303"/>
      <c r="W21" s="303"/>
      <c r="X21" s="303"/>
      <c r="Y21" s="303"/>
      <c r="Z21" s="303"/>
    </row>
    <row r="22" ht="14.25" customHeight="1">
      <c r="A22" s="303"/>
      <c r="B22" s="305"/>
      <c r="C22" s="305"/>
      <c r="D22" s="305"/>
      <c r="E22" s="305"/>
      <c r="F22" s="305"/>
      <c r="G22" s="305"/>
      <c r="H22" s="305"/>
      <c r="I22" s="305"/>
      <c r="J22" s="305"/>
      <c r="K22" s="305"/>
      <c r="L22" s="305"/>
      <c r="M22" s="305"/>
      <c r="N22" s="303"/>
      <c r="O22" s="303"/>
      <c r="P22" s="303"/>
      <c r="Q22" s="303"/>
      <c r="R22" s="303"/>
      <c r="S22" s="303"/>
      <c r="T22" s="303"/>
      <c r="U22" s="303"/>
      <c r="V22" s="303"/>
      <c r="W22" s="303"/>
      <c r="X22" s="303"/>
      <c r="Y22" s="303"/>
      <c r="Z22" s="303"/>
    </row>
    <row r="23" ht="14.25" customHeight="1">
      <c r="A23" s="303"/>
      <c r="B23" s="305"/>
      <c r="C23" s="390" t="s">
        <v>1466</v>
      </c>
      <c r="D23" s="391"/>
      <c r="E23" s="391"/>
      <c r="F23" s="392">
        <v>1.26</v>
      </c>
      <c r="G23" s="305"/>
      <c r="H23" s="305"/>
      <c r="I23" s="305"/>
      <c r="J23" s="305"/>
      <c r="K23" s="305"/>
      <c r="L23" s="305"/>
      <c r="M23" s="305"/>
      <c r="N23" s="303"/>
      <c r="O23" s="303"/>
      <c r="P23" s="303"/>
      <c r="Q23" s="303"/>
      <c r="R23" s="303"/>
      <c r="S23" s="303"/>
      <c r="T23" s="303"/>
      <c r="U23" s="303"/>
      <c r="V23" s="303"/>
      <c r="W23" s="303"/>
      <c r="X23" s="303"/>
      <c r="Y23" s="303"/>
      <c r="Z23" s="303"/>
    </row>
    <row r="24" ht="14.25" customHeight="1">
      <c r="A24" s="303"/>
      <c r="B24" s="305"/>
      <c r="C24" s="305"/>
      <c r="D24" s="305"/>
      <c r="E24" s="305"/>
      <c r="F24" s="305"/>
      <c r="G24" s="305"/>
      <c r="H24" s="305"/>
      <c r="I24" s="305"/>
      <c r="J24" s="305"/>
      <c r="K24" s="305"/>
      <c r="L24" s="305"/>
      <c r="M24" s="305"/>
      <c r="N24" s="303"/>
      <c r="O24" s="303"/>
      <c r="P24" s="303"/>
      <c r="Q24" s="303"/>
      <c r="R24" s="303"/>
      <c r="S24" s="303"/>
      <c r="T24" s="303"/>
      <c r="U24" s="303"/>
      <c r="V24" s="303"/>
      <c r="W24" s="303"/>
      <c r="X24" s="303"/>
      <c r="Y24" s="303"/>
      <c r="Z24" s="303"/>
    </row>
    <row r="25" ht="14.25" customHeight="1">
      <c r="A25" s="303"/>
      <c r="B25" s="305"/>
      <c r="C25" s="305"/>
      <c r="D25" s="305"/>
      <c r="E25" s="305"/>
      <c r="F25" s="305"/>
      <c r="G25" s="305"/>
      <c r="H25" s="305"/>
      <c r="I25" s="305"/>
      <c r="J25" s="305"/>
      <c r="K25" s="305"/>
      <c r="L25" s="305"/>
      <c r="M25" s="305"/>
      <c r="N25" s="303"/>
      <c r="O25" s="303"/>
      <c r="P25" s="303"/>
      <c r="Q25" s="303"/>
      <c r="R25" s="303"/>
      <c r="S25" s="303"/>
      <c r="T25" s="303"/>
      <c r="U25" s="303"/>
      <c r="V25" s="303"/>
      <c r="W25" s="303"/>
      <c r="X25" s="303"/>
      <c r="Y25" s="303"/>
      <c r="Z25" s="303"/>
    </row>
    <row r="26" ht="14.25" customHeight="1">
      <c r="A26" s="303"/>
      <c r="B26" s="305"/>
      <c r="C26" s="305"/>
      <c r="D26" s="305"/>
      <c r="E26" s="305"/>
      <c r="F26" s="305"/>
      <c r="G26" s="305"/>
      <c r="H26" s="305"/>
      <c r="I26" s="305"/>
      <c r="J26" s="305"/>
      <c r="K26" s="305"/>
      <c r="L26" s="305"/>
      <c r="M26" s="305"/>
      <c r="N26" s="303"/>
      <c r="O26" s="303"/>
      <c r="P26" s="303"/>
      <c r="Q26" s="303"/>
      <c r="R26" s="303"/>
      <c r="S26" s="303"/>
      <c r="T26" s="303"/>
      <c r="U26" s="303"/>
      <c r="V26" s="303"/>
      <c r="W26" s="303"/>
      <c r="X26" s="303"/>
      <c r="Y26" s="303"/>
      <c r="Z26" s="303"/>
    </row>
    <row r="27" ht="14.25" customHeight="1">
      <c r="A27" s="303"/>
      <c r="B27" s="305"/>
      <c r="C27" s="305"/>
      <c r="D27" s="305"/>
      <c r="E27" s="305"/>
      <c r="F27" s="305"/>
      <c r="G27" s="305"/>
      <c r="H27" s="305"/>
      <c r="I27" s="305"/>
      <c r="J27" s="305"/>
      <c r="K27" s="305"/>
      <c r="L27" s="305"/>
      <c r="M27" s="305"/>
      <c r="N27" s="303"/>
      <c r="O27" s="303"/>
      <c r="P27" s="303"/>
      <c r="Q27" s="303"/>
      <c r="R27" s="303"/>
      <c r="S27" s="303"/>
      <c r="T27" s="303"/>
      <c r="U27" s="303"/>
      <c r="V27" s="303"/>
      <c r="W27" s="303"/>
      <c r="X27" s="303"/>
      <c r="Y27" s="303"/>
      <c r="Z27" s="303"/>
    </row>
    <row r="28" ht="14.25" customHeight="1">
      <c r="A28" s="303"/>
      <c r="B28" s="305"/>
      <c r="C28" s="305"/>
      <c r="D28" s="305"/>
      <c r="E28" s="305"/>
      <c r="F28" s="305"/>
      <c r="G28" s="305"/>
      <c r="H28" s="305"/>
      <c r="I28" s="305"/>
      <c r="J28" s="305"/>
      <c r="K28" s="305"/>
      <c r="L28" s="305"/>
      <c r="M28" s="305"/>
      <c r="N28" s="303"/>
      <c r="O28" s="303"/>
      <c r="P28" s="303"/>
      <c r="Q28" s="303"/>
      <c r="R28" s="303"/>
      <c r="S28" s="303"/>
      <c r="T28" s="303"/>
      <c r="U28" s="303"/>
      <c r="V28" s="303"/>
      <c r="W28" s="303"/>
      <c r="X28" s="303"/>
      <c r="Y28" s="303"/>
      <c r="Z28" s="303"/>
    </row>
    <row r="29" ht="14.25" customHeight="1">
      <c r="A29" s="303"/>
      <c r="B29" s="305"/>
      <c r="C29" s="305"/>
      <c r="D29" s="305"/>
      <c r="E29" s="305"/>
      <c r="F29" s="305"/>
      <c r="G29" s="305"/>
      <c r="H29" s="305"/>
      <c r="I29" s="305"/>
      <c r="J29" s="305"/>
      <c r="K29" s="305"/>
      <c r="L29" s="305"/>
      <c r="M29" s="305"/>
      <c r="N29" s="303"/>
      <c r="O29" s="303"/>
      <c r="P29" s="303"/>
      <c r="Q29" s="303"/>
      <c r="R29" s="303"/>
      <c r="S29" s="303"/>
      <c r="T29" s="303"/>
      <c r="U29" s="303"/>
      <c r="V29" s="303"/>
      <c r="W29" s="303"/>
      <c r="X29" s="303"/>
      <c r="Y29" s="303"/>
      <c r="Z29" s="303"/>
    </row>
    <row r="30" ht="14.25" customHeight="1">
      <c r="A30" s="303"/>
      <c r="B30" s="305"/>
      <c r="C30" s="305"/>
      <c r="D30" s="305"/>
      <c r="E30" s="305"/>
      <c r="F30" s="305"/>
      <c r="G30" s="305"/>
      <c r="H30" s="305"/>
      <c r="I30" s="305"/>
      <c r="J30" s="305"/>
      <c r="K30" s="305"/>
      <c r="L30" s="305"/>
      <c r="M30" s="305"/>
      <c r="N30" s="303"/>
      <c r="O30" s="303"/>
      <c r="P30" s="303"/>
      <c r="Q30" s="303"/>
      <c r="R30" s="303"/>
      <c r="S30" s="303"/>
      <c r="T30" s="303"/>
      <c r="U30" s="303"/>
      <c r="V30" s="303"/>
      <c r="W30" s="303"/>
      <c r="X30" s="303"/>
      <c r="Y30" s="303"/>
      <c r="Z30" s="303"/>
    </row>
    <row r="31" ht="14.25" customHeight="1">
      <c r="A31" s="303"/>
      <c r="B31" s="305"/>
      <c r="C31" s="305"/>
      <c r="D31" s="305"/>
      <c r="E31" s="305"/>
      <c r="F31" s="305"/>
      <c r="G31" s="305"/>
      <c r="H31" s="305"/>
      <c r="I31" s="305"/>
      <c r="J31" s="305"/>
      <c r="K31" s="305"/>
      <c r="L31" s="305"/>
      <c r="M31" s="305"/>
      <c r="N31" s="303"/>
      <c r="O31" s="303"/>
      <c r="P31" s="303"/>
      <c r="Q31" s="303"/>
      <c r="R31" s="303"/>
      <c r="S31" s="303"/>
      <c r="T31" s="303"/>
      <c r="U31" s="303"/>
      <c r="V31" s="303"/>
      <c r="W31" s="303"/>
      <c r="X31" s="303"/>
      <c r="Y31" s="303"/>
      <c r="Z31" s="303"/>
    </row>
    <row r="32" ht="14.25" customHeight="1">
      <c r="A32" s="303"/>
      <c r="B32" s="305"/>
      <c r="C32" s="305"/>
      <c r="D32" s="305"/>
      <c r="E32" s="305"/>
      <c r="F32" s="305"/>
      <c r="G32" s="305"/>
      <c r="H32" s="305"/>
      <c r="I32" s="305"/>
      <c r="J32" s="305"/>
      <c r="K32" s="305"/>
      <c r="L32" s="305"/>
      <c r="M32" s="305"/>
      <c r="N32" s="303"/>
      <c r="O32" s="303"/>
      <c r="P32" s="303"/>
      <c r="Q32" s="303"/>
      <c r="R32" s="303"/>
      <c r="S32" s="303"/>
      <c r="T32" s="303"/>
      <c r="U32" s="303"/>
      <c r="V32" s="303"/>
      <c r="W32" s="303"/>
      <c r="X32" s="303"/>
      <c r="Y32" s="303"/>
      <c r="Z32" s="303"/>
    </row>
    <row r="33" ht="14.25" customHeight="1">
      <c r="A33" s="303"/>
      <c r="B33" s="305"/>
      <c r="C33" s="305"/>
      <c r="D33" s="305"/>
      <c r="E33" s="305"/>
      <c r="F33" s="305"/>
      <c r="G33" s="305"/>
      <c r="H33" s="305"/>
      <c r="I33" s="305"/>
      <c r="J33" s="305"/>
      <c r="K33" s="305"/>
      <c r="L33" s="305"/>
      <c r="M33" s="305"/>
      <c r="N33" s="303"/>
      <c r="O33" s="303"/>
      <c r="P33" s="303"/>
      <c r="Q33" s="303"/>
      <c r="R33" s="303"/>
      <c r="S33" s="303"/>
      <c r="T33" s="303"/>
      <c r="U33" s="303"/>
      <c r="V33" s="303"/>
      <c r="W33" s="303"/>
      <c r="X33" s="303"/>
      <c r="Y33" s="303"/>
      <c r="Z33" s="303"/>
    </row>
    <row r="34" ht="14.25" customHeight="1">
      <c r="A34" s="303"/>
      <c r="B34" s="305"/>
      <c r="C34" s="305"/>
      <c r="D34" s="305"/>
      <c r="E34" s="305"/>
      <c r="F34" s="305"/>
      <c r="G34" s="305"/>
      <c r="H34" s="305"/>
      <c r="I34" s="305"/>
      <c r="J34" s="305"/>
      <c r="K34" s="305"/>
      <c r="L34" s="305"/>
      <c r="M34" s="305"/>
      <c r="N34" s="303"/>
      <c r="O34" s="303"/>
      <c r="P34" s="303"/>
      <c r="Q34" s="303"/>
      <c r="R34" s="303"/>
      <c r="S34" s="303"/>
      <c r="T34" s="303"/>
      <c r="U34" s="303"/>
      <c r="V34" s="303"/>
      <c r="W34" s="303"/>
      <c r="X34" s="303"/>
      <c r="Y34" s="303"/>
      <c r="Z34" s="303"/>
    </row>
    <row r="35" ht="14.25" customHeight="1">
      <c r="A35" s="303"/>
      <c r="B35" s="305"/>
      <c r="C35" s="305"/>
      <c r="D35" s="305"/>
      <c r="E35" s="305"/>
      <c r="F35" s="305"/>
      <c r="G35" s="305"/>
      <c r="H35" s="305"/>
      <c r="I35" s="305"/>
      <c r="J35" s="305"/>
      <c r="K35" s="305"/>
      <c r="L35" s="305"/>
      <c r="M35" s="305"/>
      <c r="N35" s="303"/>
      <c r="O35" s="303"/>
      <c r="P35" s="303"/>
      <c r="Q35" s="303"/>
      <c r="R35" s="303"/>
      <c r="S35" s="303"/>
      <c r="T35" s="303"/>
      <c r="U35" s="303"/>
      <c r="V35" s="303"/>
      <c r="W35" s="303"/>
      <c r="X35" s="303"/>
      <c r="Y35" s="303"/>
      <c r="Z35" s="303"/>
    </row>
    <row r="36" ht="14.25" customHeight="1">
      <c r="A36" s="303"/>
      <c r="B36" s="305"/>
      <c r="C36" s="305"/>
      <c r="D36" s="305"/>
      <c r="E36" s="305"/>
      <c r="F36" s="305"/>
      <c r="G36" s="305"/>
      <c r="H36" s="305"/>
      <c r="I36" s="305"/>
      <c r="J36" s="305"/>
      <c r="K36" s="305"/>
      <c r="L36" s="305"/>
      <c r="M36" s="305"/>
      <c r="N36" s="303"/>
      <c r="O36" s="303"/>
      <c r="P36" s="303"/>
      <c r="Q36" s="303"/>
      <c r="R36" s="303"/>
      <c r="S36" s="303"/>
      <c r="T36" s="303"/>
      <c r="U36" s="303"/>
      <c r="V36" s="303"/>
      <c r="W36" s="303"/>
      <c r="X36" s="303"/>
      <c r="Y36" s="303"/>
      <c r="Z36" s="303"/>
    </row>
    <row r="37" ht="14.25" customHeight="1">
      <c r="A37" s="303"/>
      <c r="B37" s="305"/>
      <c r="C37" s="305"/>
      <c r="D37" s="305"/>
      <c r="E37" s="305"/>
      <c r="F37" s="305"/>
      <c r="G37" s="305"/>
      <c r="H37" s="305"/>
      <c r="I37" s="305"/>
      <c r="J37" s="305"/>
      <c r="K37" s="305"/>
      <c r="L37" s="305"/>
      <c r="M37" s="305"/>
      <c r="N37" s="303"/>
      <c r="O37" s="303"/>
      <c r="P37" s="303"/>
      <c r="Q37" s="303"/>
      <c r="R37" s="303"/>
      <c r="S37" s="303"/>
      <c r="T37" s="303"/>
      <c r="U37" s="303"/>
      <c r="V37" s="303"/>
      <c r="W37" s="303"/>
      <c r="X37" s="303"/>
      <c r="Y37" s="303"/>
      <c r="Z37" s="303"/>
    </row>
    <row r="38" ht="14.25" customHeight="1">
      <c r="A38" s="303"/>
      <c r="B38" s="305"/>
      <c r="C38" s="305"/>
      <c r="D38" s="305"/>
      <c r="E38" s="305"/>
      <c r="F38" s="305"/>
      <c r="G38" s="305"/>
      <c r="H38" s="305"/>
      <c r="I38" s="305"/>
      <c r="J38" s="305"/>
      <c r="K38" s="305"/>
      <c r="L38" s="305"/>
      <c r="M38" s="305"/>
      <c r="N38" s="303"/>
      <c r="O38" s="303"/>
      <c r="P38" s="303"/>
      <c r="Q38" s="303"/>
      <c r="R38" s="303"/>
      <c r="S38" s="303"/>
      <c r="T38" s="303"/>
      <c r="U38" s="303"/>
      <c r="V38" s="303"/>
      <c r="W38" s="303"/>
      <c r="X38" s="303"/>
      <c r="Y38" s="303"/>
      <c r="Z38" s="303"/>
    </row>
    <row r="39" ht="14.25" customHeight="1">
      <c r="A39" s="303"/>
      <c r="B39" s="305"/>
      <c r="C39" s="305"/>
      <c r="D39" s="305"/>
      <c r="E39" s="305"/>
      <c r="F39" s="305"/>
      <c r="G39" s="305"/>
      <c r="H39" s="305"/>
      <c r="I39" s="305"/>
      <c r="J39" s="305"/>
      <c r="K39" s="305"/>
      <c r="L39" s="305"/>
      <c r="M39" s="305"/>
      <c r="N39" s="303"/>
      <c r="O39" s="303"/>
      <c r="P39" s="303"/>
      <c r="Q39" s="303"/>
      <c r="R39" s="303"/>
      <c r="S39" s="303"/>
      <c r="T39" s="303"/>
      <c r="U39" s="303"/>
      <c r="V39" s="303"/>
      <c r="W39" s="303"/>
      <c r="X39" s="303"/>
      <c r="Y39" s="303"/>
      <c r="Z39" s="303"/>
    </row>
    <row r="40" ht="14.25" customHeight="1">
      <c r="A40" s="303"/>
      <c r="B40" s="305"/>
      <c r="C40" s="305"/>
      <c r="D40" s="305"/>
      <c r="E40" s="305"/>
      <c r="F40" s="305"/>
      <c r="G40" s="305"/>
      <c r="H40" s="305"/>
      <c r="I40" s="305"/>
      <c r="J40" s="305"/>
      <c r="K40" s="305"/>
      <c r="L40" s="305"/>
      <c r="M40" s="305"/>
      <c r="N40" s="303"/>
      <c r="O40" s="303"/>
      <c r="P40" s="303"/>
      <c r="Q40" s="303"/>
      <c r="R40" s="303"/>
      <c r="S40" s="303"/>
      <c r="T40" s="303"/>
      <c r="U40" s="303"/>
      <c r="V40" s="303"/>
      <c r="W40" s="303"/>
      <c r="X40" s="303"/>
      <c r="Y40" s="303"/>
      <c r="Z40" s="303"/>
    </row>
    <row r="41" ht="14.25" customHeight="1">
      <c r="A41" s="303"/>
      <c r="B41" s="305"/>
      <c r="C41" s="305"/>
      <c r="D41" s="305"/>
      <c r="E41" s="305"/>
      <c r="F41" s="305"/>
      <c r="G41" s="305"/>
      <c r="H41" s="305"/>
      <c r="I41" s="305"/>
      <c r="J41" s="305"/>
      <c r="K41" s="305"/>
      <c r="L41" s="305"/>
      <c r="M41" s="305"/>
      <c r="N41" s="303"/>
      <c r="O41" s="303"/>
      <c r="P41" s="303"/>
      <c r="Q41" s="303"/>
      <c r="R41" s="303"/>
      <c r="S41" s="303"/>
      <c r="T41" s="303"/>
      <c r="U41" s="303"/>
      <c r="V41" s="303"/>
      <c r="W41" s="303"/>
      <c r="X41" s="303"/>
      <c r="Y41" s="303"/>
      <c r="Z41" s="303"/>
    </row>
    <row r="42" ht="14.25" customHeight="1">
      <c r="A42" s="303"/>
      <c r="B42" s="305"/>
      <c r="C42" s="305"/>
      <c r="D42" s="305"/>
      <c r="E42" s="305"/>
      <c r="F42" s="305"/>
      <c r="G42" s="305"/>
      <c r="H42" s="305"/>
      <c r="I42" s="305"/>
      <c r="J42" s="305"/>
      <c r="K42" s="305"/>
      <c r="L42" s="305"/>
      <c r="M42" s="305"/>
      <c r="N42" s="303"/>
      <c r="O42" s="303"/>
      <c r="P42" s="303"/>
      <c r="Q42" s="303"/>
      <c r="R42" s="303"/>
      <c r="S42" s="303"/>
      <c r="T42" s="303"/>
      <c r="U42" s="303"/>
      <c r="V42" s="303"/>
      <c r="W42" s="303"/>
      <c r="X42" s="303"/>
      <c r="Y42" s="303"/>
      <c r="Z42" s="303"/>
    </row>
    <row r="43" ht="14.25" customHeight="1">
      <c r="A43" s="303"/>
      <c r="B43" s="305"/>
      <c r="C43" s="305"/>
      <c r="D43" s="305"/>
      <c r="E43" s="305"/>
      <c r="F43" s="305"/>
      <c r="G43" s="305"/>
      <c r="H43" s="305"/>
      <c r="I43" s="305"/>
      <c r="J43" s="305"/>
      <c r="K43" s="305"/>
      <c r="L43" s="305"/>
      <c r="M43" s="305"/>
      <c r="N43" s="303"/>
      <c r="O43" s="303"/>
      <c r="P43" s="303"/>
      <c r="Q43" s="303"/>
      <c r="R43" s="303"/>
      <c r="S43" s="303"/>
      <c r="T43" s="303"/>
      <c r="U43" s="303"/>
      <c r="V43" s="303"/>
      <c r="W43" s="303"/>
      <c r="X43" s="303"/>
      <c r="Y43" s="303"/>
      <c r="Z43" s="303"/>
    </row>
    <row r="44" ht="14.25" customHeight="1">
      <c r="A44" s="303"/>
      <c r="B44" s="305"/>
      <c r="C44" s="305"/>
      <c r="D44" s="305"/>
      <c r="E44" s="305"/>
      <c r="F44" s="305"/>
      <c r="G44" s="305"/>
      <c r="H44" s="305"/>
      <c r="I44" s="305"/>
      <c r="J44" s="305"/>
      <c r="K44" s="305"/>
      <c r="L44" s="305"/>
      <c r="M44" s="305"/>
      <c r="N44" s="303"/>
      <c r="O44" s="303"/>
      <c r="P44" s="303"/>
      <c r="Q44" s="303"/>
      <c r="R44" s="303"/>
      <c r="S44" s="303"/>
      <c r="T44" s="303"/>
      <c r="U44" s="303"/>
      <c r="V44" s="303"/>
      <c r="W44" s="303"/>
      <c r="X44" s="303"/>
      <c r="Y44" s="303"/>
      <c r="Z44" s="303"/>
    </row>
    <row r="45" ht="14.25" customHeight="1">
      <c r="A45" s="303"/>
      <c r="B45" s="305"/>
      <c r="C45" s="305"/>
      <c r="D45" s="305"/>
      <c r="E45" s="305"/>
      <c r="F45" s="305"/>
      <c r="G45" s="305"/>
      <c r="H45" s="305"/>
      <c r="I45" s="305"/>
      <c r="J45" s="305"/>
      <c r="K45" s="305"/>
      <c r="L45" s="305"/>
      <c r="M45" s="305"/>
      <c r="N45" s="303"/>
      <c r="O45" s="303"/>
      <c r="P45" s="303"/>
      <c r="Q45" s="303"/>
      <c r="R45" s="303"/>
      <c r="S45" s="303"/>
      <c r="T45" s="303"/>
      <c r="U45" s="303"/>
      <c r="V45" s="303"/>
      <c r="W45" s="303"/>
      <c r="X45" s="303"/>
      <c r="Y45" s="303"/>
      <c r="Z45" s="303"/>
    </row>
    <row r="46" ht="14.25" customHeight="1">
      <c r="A46" s="303"/>
      <c r="B46" s="305"/>
      <c r="C46" s="305"/>
      <c r="D46" s="305"/>
      <c r="E46" s="305"/>
      <c r="F46" s="305"/>
      <c r="G46" s="305"/>
      <c r="H46" s="305"/>
      <c r="I46" s="305"/>
      <c r="J46" s="305"/>
      <c r="K46" s="305"/>
      <c r="L46" s="305"/>
      <c r="M46" s="305"/>
      <c r="N46" s="303"/>
      <c r="O46" s="303"/>
      <c r="P46" s="303"/>
      <c r="Q46" s="303"/>
      <c r="R46" s="303"/>
      <c r="S46" s="303"/>
      <c r="T46" s="303"/>
      <c r="U46" s="303"/>
      <c r="V46" s="303"/>
      <c r="W46" s="303"/>
      <c r="X46" s="303"/>
      <c r="Y46" s="303"/>
      <c r="Z46" s="303"/>
    </row>
    <row r="47" ht="14.25" customHeight="1">
      <c r="A47" s="303"/>
      <c r="B47" s="305"/>
      <c r="C47" s="305"/>
      <c r="D47" s="305"/>
      <c r="E47" s="305"/>
      <c r="F47" s="305"/>
      <c r="G47" s="305"/>
      <c r="H47" s="305"/>
      <c r="I47" s="305"/>
      <c r="J47" s="305"/>
      <c r="K47" s="305"/>
      <c r="L47" s="305"/>
      <c r="M47" s="305"/>
      <c r="N47" s="303"/>
      <c r="O47" s="303"/>
      <c r="P47" s="303"/>
      <c r="Q47" s="303"/>
      <c r="R47" s="303"/>
      <c r="S47" s="303"/>
      <c r="T47" s="303"/>
      <c r="U47" s="303"/>
      <c r="V47" s="303"/>
      <c r="W47" s="303"/>
      <c r="X47" s="303"/>
      <c r="Y47" s="303"/>
      <c r="Z47" s="303"/>
    </row>
    <row r="48" ht="14.25" customHeight="1">
      <c r="A48" s="303"/>
      <c r="B48" s="305"/>
      <c r="C48" s="305"/>
      <c r="D48" s="305"/>
      <c r="E48" s="305"/>
      <c r="F48" s="305"/>
      <c r="G48" s="305"/>
      <c r="H48" s="305"/>
      <c r="I48" s="305"/>
      <c r="J48" s="305"/>
      <c r="K48" s="305"/>
      <c r="L48" s="305"/>
      <c r="M48" s="305"/>
      <c r="N48" s="303"/>
      <c r="O48" s="303"/>
      <c r="P48" s="303"/>
      <c r="Q48" s="303"/>
      <c r="R48" s="303"/>
      <c r="S48" s="303"/>
      <c r="T48" s="303"/>
      <c r="U48" s="303"/>
      <c r="V48" s="303"/>
      <c r="W48" s="303"/>
      <c r="X48" s="303"/>
      <c r="Y48" s="303"/>
      <c r="Z48" s="303"/>
    </row>
    <row r="49" ht="14.25" customHeight="1">
      <c r="A49" s="303"/>
      <c r="B49" s="305"/>
      <c r="C49" s="305"/>
      <c r="D49" s="305"/>
      <c r="E49" s="305"/>
      <c r="F49" s="305"/>
      <c r="G49" s="305"/>
      <c r="H49" s="305"/>
      <c r="I49" s="305"/>
      <c r="J49" s="305"/>
      <c r="K49" s="305"/>
      <c r="L49" s="305"/>
      <c r="M49" s="305"/>
      <c r="N49" s="303"/>
      <c r="O49" s="303"/>
      <c r="P49" s="303"/>
      <c r="Q49" s="303"/>
      <c r="R49" s="303"/>
      <c r="S49" s="303"/>
      <c r="T49" s="303"/>
      <c r="U49" s="303"/>
      <c r="V49" s="303"/>
      <c r="W49" s="303"/>
      <c r="X49" s="303"/>
      <c r="Y49" s="303"/>
      <c r="Z49" s="303"/>
    </row>
    <row r="50" ht="14.25" customHeight="1">
      <c r="A50" s="303"/>
      <c r="B50" s="305"/>
      <c r="C50" s="305"/>
      <c r="D50" s="305"/>
      <c r="E50" s="305"/>
      <c r="F50" s="305"/>
      <c r="G50" s="305"/>
      <c r="H50" s="305"/>
      <c r="I50" s="305"/>
      <c r="J50" s="305"/>
      <c r="K50" s="305"/>
      <c r="L50" s="305"/>
      <c r="M50" s="305"/>
      <c r="N50" s="303"/>
      <c r="O50" s="303"/>
      <c r="P50" s="303"/>
      <c r="Q50" s="303"/>
      <c r="R50" s="303"/>
      <c r="S50" s="303"/>
      <c r="T50" s="303"/>
      <c r="U50" s="303"/>
      <c r="V50" s="303"/>
      <c r="W50" s="303"/>
      <c r="X50" s="303"/>
      <c r="Y50" s="303"/>
      <c r="Z50" s="303"/>
    </row>
    <row r="51" ht="14.25" customHeight="1">
      <c r="A51" s="303"/>
      <c r="B51" s="305"/>
      <c r="C51" s="305"/>
      <c r="D51" s="305"/>
      <c r="E51" s="305"/>
      <c r="F51" s="305"/>
      <c r="G51" s="305"/>
      <c r="H51" s="305"/>
      <c r="I51" s="305"/>
      <c r="J51" s="305"/>
      <c r="K51" s="305"/>
      <c r="L51" s="305"/>
      <c r="M51" s="305"/>
      <c r="N51" s="303"/>
      <c r="O51" s="303"/>
      <c r="P51" s="303"/>
      <c r="Q51" s="303"/>
      <c r="R51" s="303"/>
      <c r="S51" s="303"/>
      <c r="T51" s="303"/>
      <c r="U51" s="303"/>
      <c r="V51" s="303"/>
      <c r="W51" s="303"/>
      <c r="X51" s="303"/>
      <c r="Y51" s="303"/>
      <c r="Z51" s="303"/>
    </row>
    <row r="52" ht="14.25" customHeight="1">
      <c r="A52" s="303"/>
      <c r="B52" s="305"/>
      <c r="C52" s="305"/>
      <c r="D52" s="305"/>
      <c r="E52" s="305"/>
      <c r="F52" s="305"/>
      <c r="G52" s="305"/>
      <c r="H52" s="305"/>
      <c r="I52" s="305"/>
      <c r="J52" s="305"/>
      <c r="K52" s="305"/>
      <c r="L52" s="305"/>
      <c r="M52" s="305"/>
      <c r="N52" s="303"/>
      <c r="O52" s="303"/>
      <c r="P52" s="303"/>
      <c r="Q52" s="303"/>
      <c r="R52" s="303"/>
      <c r="S52" s="303"/>
      <c r="T52" s="303"/>
      <c r="U52" s="303"/>
      <c r="V52" s="303"/>
      <c r="W52" s="303"/>
      <c r="X52" s="303"/>
      <c r="Y52" s="303"/>
      <c r="Z52" s="303"/>
    </row>
    <row r="53" ht="14.25" customHeight="1">
      <c r="A53" s="303"/>
      <c r="B53" s="305"/>
      <c r="C53" s="305"/>
      <c r="D53" s="305"/>
      <c r="E53" s="305"/>
      <c r="F53" s="305"/>
      <c r="G53" s="305"/>
      <c r="H53" s="305"/>
      <c r="I53" s="305"/>
      <c r="J53" s="305"/>
      <c r="K53" s="305"/>
      <c r="L53" s="305"/>
      <c r="M53" s="305"/>
      <c r="N53" s="303"/>
      <c r="O53" s="303"/>
      <c r="P53" s="303"/>
      <c r="Q53" s="303"/>
      <c r="R53" s="303"/>
      <c r="S53" s="303"/>
      <c r="T53" s="303"/>
      <c r="U53" s="303"/>
      <c r="V53" s="303"/>
      <c r="W53" s="303"/>
      <c r="X53" s="303"/>
      <c r="Y53" s="303"/>
      <c r="Z53" s="303"/>
    </row>
    <row r="54" ht="14.25" customHeight="1">
      <c r="A54" s="303"/>
      <c r="B54" s="305"/>
      <c r="C54" s="305"/>
      <c r="D54" s="305"/>
      <c r="E54" s="305"/>
      <c r="F54" s="305"/>
      <c r="G54" s="305"/>
      <c r="H54" s="305"/>
      <c r="I54" s="305"/>
      <c r="J54" s="305"/>
      <c r="K54" s="305"/>
      <c r="L54" s="305"/>
      <c r="M54" s="305"/>
      <c r="N54" s="303"/>
      <c r="O54" s="303"/>
      <c r="P54" s="303"/>
      <c r="Q54" s="303"/>
      <c r="R54" s="303"/>
      <c r="S54" s="303"/>
      <c r="T54" s="303"/>
      <c r="U54" s="303"/>
      <c r="V54" s="303"/>
      <c r="W54" s="303"/>
      <c r="X54" s="303"/>
      <c r="Y54" s="303"/>
      <c r="Z54" s="303"/>
    </row>
    <row r="55" ht="14.25" customHeight="1">
      <c r="A55" s="303"/>
      <c r="B55" s="305"/>
      <c r="C55" s="305"/>
      <c r="D55" s="305"/>
      <c r="E55" s="305"/>
      <c r="F55" s="305"/>
      <c r="G55" s="305"/>
      <c r="H55" s="305"/>
      <c r="I55" s="305"/>
      <c r="J55" s="305"/>
      <c r="K55" s="305"/>
      <c r="L55" s="305"/>
      <c r="M55" s="305"/>
      <c r="N55" s="303"/>
      <c r="O55" s="303"/>
      <c r="P55" s="303"/>
      <c r="Q55" s="303"/>
      <c r="R55" s="303"/>
      <c r="S55" s="303"/>
      <c r="T55" s="303"/>
      <c r="U55" s="303"/>
      <c r="V55" s="303"/>
      <c r="W55" s="303"/>
      <c r="X55" s="303"/>
      <c r="Y55" s="303"/>
      <c r="Z55" s="303"/>
    </row>
    <row r="56" ht="14.25" customHeight="1">
      <c r="A56" s="303"/>
      <c r="B56" s="305"/>
      <c r="C56" s="305"/>
      <c r="D56" s="305"/>
      <c r="E56" s="305"/>
      <c r="F56" s="305"/>
      <c r="G56" s="305"/>
      <c r="H56" s="305"/>
      <c r="I56" s="305"/>
      <c r="J56" s="305"/>
      <c r="K56" s="305"/>
      <c r="L56" s="305"/>
      <c r="M56" s="305"/>
      <c r="N56" s="303"/>
      <c r="O56" s="303"/>
      <c r="P56" s="303"/>
      <c r="Q56" s="303"/>
      <c r="R56" s="303"/>
      <c r="S56" s="303"/>
      <c r="T56" s="303"/>
      <c r="U56" s="303"/>
      <c r="V56" s="303"/>
      <c r="W56" s="303"/>
      <c r="X56" s="303"/>
      <c r="Y56" s="303"/>
      <c r="Z56" s="303"/>
    </row>
    <row r="57" ht="14.25" customHeight="1">
      <c r="A57" s="303"/>
      <c r="B57" s="305"/>
      <c r="C57" s="305"/>
      <c r="D57" s="305"/>
      <c r="E57" s="305"/>
      <c r="F57" s="305"/>
      <c r="G57" s="305"/>
      <c r="H57" s="305"/>
      <c r="I57" s="305"/>
      <c r="J57" s="305"/>
      <c r="K57" s="305"/>
      <c r="L57" s="305"/>
      <c r="M57" s="305"/>
      <c r="N57" s="303"/>
      <c r="O57" s="303"/>
      <c r="P57" s="303"/>
      <c r="Q57" s="303"/>
      <c r="R57" s="303"/>
      <c r="S57" s="303"/>
      <c r="T57" s="303"/>
      <c r="U57" s="303"/>
      <c r="V57" s="303"/>
      <c r="W57" s="303"/>
      <c r="X57" s="303"/>
      <c r="Y57" s="303"/>
      <c r="Z57" s="303"/>
    </row>
    <row r="58" ht="14.25" customHeight="1">
      <c r="A58" s="303"/>
      <c r="B58" s="305"/>
      <c r="C58" s="305"/>
      <c r="D58" s="305"/>
      <c r="E58" s="305"/>
      <c r="F58" s="305"/>
      <c r="G58" s="305"/>
      <c r="H58" s="305"/>
      <c r="I58" s="305"/>
      <c r="J58" s="305"/>
      <c r="K58" s="305"/>
      <c r="L58" s="305"/>
      <c r="M58" s="305"/>
      <c r="N58" s="303"/>
      <c r="O58" s="303"/>
      <c r="P58" s="303"/>
      <c r="Q58" s="303"/>
      <c r="R58" s="303"/>
      <c r="S58" s="303"/>
      <c r="T58" s="303"/>
      <c r="U58" s="303"/>
      <c r="V58" s="303"/>
      <c r="W58" s="303"/>
      <c r="X58" s="303"/>
      <c r="Y58" s="303"/>
      <c r="Z58" s="303"/>
    </row>
    <row r="59" ht="14.25" customHeight="1">
      <c r="A59" s="303"/>
      <c r="B59" s="305"/>
      <c r="C59" s="305"/>
      <c r="D59" s="305"/>
      <c r="E59" s="305"/>
      <c r="F59" s="305"/>
      <c r="G59" s="305"/>
      <c r="H59" s="305"/>
      <c r="I59" s="305"/>
      <c r="J59" s="305"/>
      <c r="K59" s="305"/>
      <c r="L59" s="305"/>
      <c r="M59" s="305"/>
      <c r="N59" s="303"/>
      <c r="O59" s="303"/>
      <c r="P59" s="303"/>
      <c r="Q59" s="303"/>
      <c r="R59" s="303"/>
      <c r="S59" s="303"/>
      <c r="T59" s="303"/>
      <c r="U59" s="303"/>
      <c r="V59" s="303"/>
      <c r="W59" s="303"/>
      <c r="X59" s="303"/>
      <c r="Y59" s="303"/>
      <c r="Z59" s="303"/>
    </row>
    <row r="60" ht="14.25" customHeight="1">
      <c r="A60" s="303"/>
      <c r="B60" s="305"/>
      <c r="C60" s="305"/>
      <c r="D60" s="305"/>
      <c r="E60" s="305"/>
      <c r="F60" s="305"/>
      <c r="G60" s="305"/>
      <c r="H60" s="305"/>
      <c r="I60" s="305"/>
      <c r="J60" s="305"/>
      <c r="K60" s="305"/>
      <c r="L60" s="305"/>
      <c r="M60" s="305"/>
      <c r="N60" s="303"/>
      <c r="O60" s="303"/>
      <c r="P60" s="303"/>
      <c r="Q60" s="303"/>
      <c r="R60" s="303"/>
      <c r="S60" s="303"/>
      <c r="T60" s="303"/>
      <c r="U60" s="303"/>
      <c r="V60" s="303"/>
      <c r="W60" s="303"/>
      <c r="X60" s="303"/>
      <c r="Y60" s="303"/>
      <c r="Z60" s="303"/>
    </row>
    <row r="61" ht="14.25" customHeight="1">
      <c r="A61" s="303"/>
      <c r="B61" s="305"/>
      <c r="C61" s="305"/>
      <c r="D61" s="305"/>
      <c r="E61" s="305"/>
      <c r="F61" s="305"/>
      <c r="G61" s="305"/>
      <c r="H61" s="305"/>
      <c r="I61" s="305"/>
      <c r="J61" s="305"/>
      <c r="K61" s="305"/>
      <c r="L61" s="305"/>
      <c r="M61" s="305"/>
      <c r="N61" s="303"/>
      <c r="O61" s="303"/>
      <c r="P61" s="303"/>
      <c r="Q61" s="303"/>
      <c r="R61" s="303"/>
      <c r="S61" s="303"/>
      <c r="T61" s="303"/>
      <c r="U61" s="303"/>
      <c r="V61" s="303"/>
      <c r="W61" s="303"/>
      <c r="X61" s="303"/>
      <c r="Y61" s="303"/>
      <c r="Z61" s="303"/>
    </row>
    <row r="62" ht="14.25" customHeight="1">
      <c r="A62" s="303"/>
      <c r="B62" s="305"/>
      <c r="C62" s="305"/>
      <c r="D62" s="305"/>
      <c r="E62" s="305"/>
      <c r="F62" s="305"/>
      <c r="G62" s="305"/>
      <c r="H62" s="305"/>
      <c r="I62" s="305"/>
      <c r="J62" s="305"/>
      <c r="K62" s="305"/>
      <c r="L62" s="305"/>
      <c r="M62" s="305"/>
      <c r="N62" s="303"/>
      <c r="O62" s="303"/>
      <c r="P62" s="303"/>
      <c r="Q62" s="303"/>
      <c r="R62" s="303"/>
      <c r="S62" s="303"/>
      <c r="T62" s="303"/>
      <c r="U62" s="303"/>
      <c r="V62" s="303"/>
      <c r="W62" s="303"/>
      <c r="X62" s="303"/>
      <c r="Y62" s="303"/>
      <c r="Z62" s="303"/>
    </row>
    <row r="63" ht="14.25" customHeight="1">
      <c r="A63" s="303"/>
      <c r="B63" s="305"/>
      <c r="C63" s="305"/>
      <c r="D63" s="305"/>
      <c r="E63" s="305"/>
      <c r="F63" s="305"/>
      <c r="G63" s="305"/>
      <c r="H63" s="305"/>
      <c r="I63" s="305"/>
      <c r="J63" s="305"/>
      <c r="K63" s="305"/>
      <c r="L63" s="305"/>
      <c r="M63" s="305"/>
      <c r="N63" s="303"/>
      <c r="O63" s="303"/>
      <c r="P63" s="303"/>
      <c r="Q63" s="303"/>
      <c r="R63" s="303"/>
      <c r="S63" s="303"/>
      <c r="T63" s="303"/>
      <c r="U63" s="303"/>
      <c r="V63" s="303"/>
      <c r="W63" s="303"/>
      <c r="X63" s="303"/>
      <c r="Y63" s="303"/>
      <c r="Z63" s="303"/>
    </row>
    <row r="64" ht="14.25" customHeight="1">
      <c r="A64" s="303"/>
      <c r="B64" s="305"/>
      <c r="C64" s="305"/>
      <c r="D64" s="305"/>
      <c r="E64" s="305"/>
      <c r="F64" s="305"/>
      <c r="G64" s="305"/>
      <c r="H64" s="305"/>
      <c r="I64" s="305"/>
      <c r="J64" s="305"/>
      <c r="K64" s="305"/>
      <c r="L64" s="305"/>
      <c r="M64" s="305"/>
      <c r="N64" s="303"/>
      <c r="O64" s="303"/>
      <c r="P64" s="303"/>
      <c r="Q64" s="303"/>
      <c r="R64" s="303"/>
      <c r="S64" s="303"/>
      <c r="T64" s="303"/>
      <c r="U64" s="303"/>
      <c r="V64" s="303"/>
      <c r="W64" s="303"/>
      <c r="X64" s="303"/>
      <c r="Y64" s="303"/>
      <c r="Z64" s="303"/>
    </row>
    <row r="65" ht="14.25" customHeight="1">
      <c r="A65" s="303"/>
      <c r="B65" s="305"/>
      <c r="C65" s="305"/>
      <c r="D65" s="305"/>
      <c r="E65" s="305"/>
      <c r="F65" s="305"/>
      <c r="G65" s="305"/>
      <c r="H65" s="305"/>
      <c r="I65" s="305"/>
      <c r="J65" s="305"/>
      <c r="K65" s="305"/>
      <c r="L65" s="305"/>
      <c r="M65" s="305"/>
      <c r="N65" s="303"/>
      <c r="O65" s="303"/>
      <c r="P65" s="303"/>
      <c r="Q65" s="303"/>
      <c r="R65" s="303"/>
      <c r="S65" s="303"/>
      <c r="T65" s="303"/>
      <c r="U65" s="303"/>
      <c r="V65" s="303"/>
      <c r="W65" s="303"/>
      <c r="X65" s="303"/>
      <c r="Y65" s="303"/>
      <c r="Z65" s="303"/>
    </row>
    <row r="66" ht="14.25" customHeight="1">
      <c r="A66" s="303"/>
      <c r="B66" s="305"/>
      <c r="C66" s="305"/>
      <c r="D66" s="305"/>
      <c r="E66" s="305"/>
      <c r="F66" s="305"/>
      <c r="G66" s="305"/>
      <c r="H66" s="305"/>
      <c r="I66" s="305"/>
      <c r="J66" s="305"/>
      <c r="K66" s="305"/>
      <c r="L66" s="305"/>
      <c r="M66" s="305"/>
      <c r="N66" s="303"/>
      <c r="O66" s="303"/>
      <c r="P66" s="303"/>
      <c r="Q66" s="303"/>
      <c r="R66" s="303"/>
      <c r="S66" s="303"/>
      <c r="T66" s="303"/>
      <c r="U66" s="303"/>
      <c r="V66" s="303"/>
      <c r="W66" s="303"/>
      <c r="X66" s="303"/>
      <c r="Y66" s="303"/>
      <c r="Z66" s="303"/>
    </row>
    <row r="67" ht="14.25" customHeight="1">
      <c r="A67" s="303"/>
      <c r="B67" s="305"/>
      <c r="C67" s="305"/>
      <c r="D67" s="305"/>
      <c r="E67" s="305"/>
      <c r="F67" s="305"/>
      <c r="G67" s="305"/>
      <c r="H67" s="305"/>
      <c r="I67" s="305"/>
      <c r="J67" s="305"/>
      <c r="K67" s="305"/>
      <c r="L67" s="305"/>
      <c r="M67" s="305"/>
      <c r="N67" s="303"/>
      <c r="O67" s="303"/>
      <c r="P67" s="303"/>
      <c r="Q67" s="303"/>
      <c r="R67" s="303"/>
      <c r="S67" s="303"/>
      <c r="T67" s="303"/>
      <c r="U67" s="303"/>
      <c r="V67" s="303"/>
      <c r="W67" s="303"/>
      <c r="X67" s="303"/>
      <c r="Y67" s="303"/>
      <c r="Z67" s="303"/>
    </row>
    <row r="68" ht="14.25" customHeight="1">
      <c r="A68" s="303"/>
      <c r="B68" s="305"/>
      <c r="C68" s="305"/>
      <c r="D68" s="305"/>
      <c r="E68" s="305"/>
      <c r="F68" s="305"/>
      <c r="G68" s="305"/>
      <c r="H68" s="305"/>
      <c r="I68" s="305"/>
      <c r="J68" s="305"/>
      <c r="K68" s="305"/>
      <c r="L68" s="305"/>
      <c r="M68" s="305"/>
      <c r="N68" s="303"/>
      <c r="O68" s="303"/>
      <c r="P68" s="303"/>
      <c r="Q68" s="303"/>
      <c r="R68" s="303"/>
      <c r="S68" s="303"/>
      <c r="T68" s="303"/>
      <c r="U68" s="303"/>
      <c r="V68" s="303"/>
      <c r="W68" s="303"/>
      <c r="X68" s="303"/>
      <c r="Y68" s="303"/>
      <c r="Z68" s="303"/>
    </row>
    <row r="69" ht="14.25" customHeight="1">
      <c r="A69" s="303"/>
      <c r="B69" s="305"/>
      <c r="C69" s="305"/>
      <c r="D69" s="305"/>
      <c r="E69" s="305"/>
      <c r="F69" s="305"/>
      <c r="G69" s="305"/>
      <c r="H69" s="305"/>
      <c r="I69" s="305"/>
      <c r="J69" s="305"/>
      <c r="K69" s="305"/>
      <c r="L69" s="305"/>
      <c r="M69" s="305"/>
      <c r="N69" s="303"/>
      <c r="O69" s="303"/>
      <c r="P69" s="303"/>
      <c r="Q69" s="303"/>
      <c r="R69" s="303"/>
      <c r="S69" s="303"/>
      <c r="T69" s="303"/>
      <c r="U69" s="303"/>
      <c r="V69" s="303"/>
      <c r="W69" s="303"/>
      <c r="X69" s="303"/>
      <c r="Y69" s="303"/>
      <c r="Z69" s="303"/>
    </row>
    <row r="70" ht="14.25" customHeight="1">
      <c r="A70" s="303"/>
      <c r="B70" s="305"/>
      <c r="C70" s="305"/>
      <c r="D70" s="305"/>
      <c r="E70" s="305"/>
      <c r="F70" s="305"/>
      <c r="G70" s="305"/>
      <c r="H70" s="305"/>
      <c r="I70" s="305"/>
      <c r="J70" s="305"/>
      <c r="K70" s="305"/>
      <c r="L70" s="305"/>
      <c r="M70" s="305"/>
      <c r="N70" s="303"/>
      <c r="O70" s="303"/>
      <c r="P70" s="303"/>
      <c r="Q70" s="303"/>
      <c r="R70" s="303"/>
      <c r="S70" s="303"/>
      <c r="T70" s="303"/>
      <c r="U70" s="303"/>
      <c r="V70" s="303"/>
      <c r="W70" s="303"/>
      <c r="X70" s="303"/>
      <c r="Y70" s="303"/>
      <c r="Z70" s="303"/>
    </row>
    <row r="71" ht="14.25" customHeight="1">
      <c r="A71" s="303"/>
      <c r="B71" s="305"/>
      <c r="C71" s="305"/>
      <c r="D71" s="305"/>
      <c r="E71" s="305"/>
      <c r="F71" s="305"/>
      <c r="G71" s="305"/>
      <c r="H71" s="305"/>
      <c r="I71" s="305"/>
      <c r="J71" s="305"/>
      <c r="K71" s="305"/>
      <c r="L71" s="305"/>
      <c r="M71" s="305"/>
      <c r="N71" s="303"/>
      <c r="O71" s="303"/>
      <c r="P71" s="303"/>
      <c r="Q71" s="303"/>
      <c r="R71" s="303"/>
      <c r="S71" s="303"/>
      <c r="T71" s="303"/>
      <c r="U71" s="303"/>
      <c r="V71" s="303"/>
      <c r="W71" s="303"/>
      <c r="X71" s="303"/>
      <c r="Y71" s="303"/>
      <c r="Z71" s="303"/>
    </row>
    <row r="72" ht="14.25" customHeight="1">
      <c r="A72" s="303"/>
      <c r="B72" s="305"/>
      <c r="C72" s="305"/>
      <c r="D72" s="305"/>
      <c r="E72" s="305"/>
      <c r="F72" s="305"/>
      <c r="G72" s="305"/>
      <c r="H72" s="305"/>
      <c r="I72" s="305"/>
      <c r="J72" s="305"/>
      <c r="K72" s="305"/>
      <c r="L72" s="305"/>
      <c r="M72" s="305"/>
      <c r="N72" s="303"/>
      <c r="O72" s="303"/>
      <c r="P72" s="303"/>
      <c r="Q72" s="303"/>
      <c r="R72" s="303"/>
      <c r="S72" s="303"/>
      <c r="T72" s="303"/>
      <c r="U72" s="303"/>
      <c r="V72" s="303"/>
      <c r="W72" s="303"/>
      <c r="X72" s="303"/>
      <c r="Y72" s="303"/>
      <c r="Z72" s="303"/>
    </row>
    <row r="73" ht="14.25" customHeight="1">
      <c r="A73" s="303"/>
      <c r="B73" s="305"/>
      <c r="C73" s="305"/>
      <c r="D73" s="305"/>
      <c r="E73" s="305"/>
      <c r="F73" s="305"/>
      <c r="G73" s="305"/>
      <c r="H73" s="305"/>
      <c r="I73" s="305"/>
      <c r="J73" s="305"/>
      <c r="K73" s="305"/>
      <c r="L73" s="305"/>
      <c r="M73" s="305"/>
      <c r="N73" s="303"/>
      <c r="O73" s="303"/>
      <c r="P73" s="303"/>
      <c r="Q73" s="303"/>
      <c r="R73" s="303"/>
      <c r="S73" s="303"/>
      <c r="T73" s="303"/>
      <c r="U73" s="303"/>
      <c r="V73" s="303"/>
      <c r="W73" s="303"/>
      <c r="X73" s="303"/>
      <c r="Y73" s="303"/>
      <c r="Z73" s="303"/>
    </row>
    <row r="74" ht="14.25" customHeight="1">
      <c r="A74" s="303"/>
      <c r="B74" s="305"/>
      <c r="C74" s="305"/>
      <c r="D74" s="305"/>
      <c r="E74" s="305"/>
      <c r="F74" s="305"/>
      <c r="G74" s="305"/>
      <c r="H74" s="305"/>
      <c r="I74" s="305"/>
      <c r="J74" s="305"/>
      <c r="K74" s="305"/>
      <c r="L74" s="305"/>
      <c r="M74" s="305"/>
      <c r="N74" s="303"/>
      <c r="O74" s="303"/>
      <c r="P74" s="303"/>
      <c r="Q74" s="303"/>
      <c r="R74" s="303"/>
      <c r="S74" s="303"/>
      <c r="T74" s="303"/>
      <c r="U74" s="303"/>
      <c r="V74" s="303"/>
      <c r="W74" s="303"/>
      <c r="X74" s="303"/>
      <c r="Y74" s="303"/>
      <c r="Z74" s="303"/>
    </row>
    <row r="75" ht="14.25" customHeight="1">
      <c r="A75" s="303"/>
      <c r="B75" s="305"/>
      <c r="C75" s="305"/>
      <c r="D75" s="305"/>
      <c r="E75" s="305"/>
      <c r="F75" s="305"/>
      <c r="G75" s="305"/>
      <c r="H75" s="305"/>
      <c r="I75" s="305"/>
      <c r="J75" s="305"/>
      <c r="K75" s="305"/>
      <c r="L75" s="305"/>
      <c r="M75" s="305"/>
      <c r="N75" s="303"/>
      <c r="O75" s="303"/>
      <c r="P75" s="303"/>
      <c r="Q75" s="303"/>
      <c r="R75" s="303"/>
      <c r="S75" s="303"/>
      <c r="T75" s="303"/>
      <c r="U75" s="303"/>
      <c r="V75" s="303"/>
      <c r="W75" s="303"/>
      <c r="X75" s="303"/>
      <c r="Y75" s="303"/>
      <c r="Z75" s="303"/>
    </row>
    <row r="76" ht="14.25" customHeight="1">
      <c r="A76" s="303"/>
      <c r="B76" s="305"/>
      <c r="C76" s="305"/>
      <c r="D76" s="305"/>
      <c r="E76" s="305"/>
      <c r="F76" s="305"/>
      <c r="G76" s="305"/>
      <c r="H76" s="305"/>
      <c r="I76" s="305"/>
      <c r="J76" s="305"/>
      <c r="K76" s="305"/>
      <c r="L76" s="305"/>
      <c r="M76" s="305"/>
      <c r="N76" s="303"/>
      <c r="O76" s="303"/>
      <c r="P76" s="303"/>
      <c r="Q76" s="303"/>
      <c r="R76" s="303"/>
      <c r="S76" s="303"/>
      <c r="T76" s="303"/>
      <c r="U76" s="303"/>
      <c r="V76" s="303"/>
      <c r="W76" s="303"/>
      <c r="X76" s="303"/>
      <c r="Y76" s="303"/>
      <c r="Z76" s="303"/>
    </row>
    <row r="77" ht="14.25" customHeight="1">
      <c r="A77" s="303"/>
      <c r="B77" s="305"/>
      <c r="C77" s="305"/>
      <c r="D77" s="305"/>
      <c r="E77" s="305"/>
      <c r="F77" s="305"/>
      <c r="G77" s="305"/>
      <c r="H77" s="305"/>
      <c r="I77" s="305"/>
      <c r="J77" s="305"/>
      <c r="K77" s="305"/>
      <c r="L77" s="305"/>
      <c r="M77" s="305"/>
      <c r="N77" s="303"/>
      <c r="O77" s="303"/>
      <c r="P77" s="303"/>
      <c r="Q77" s="303"/>
      <c r="R77" s="303"/>
      <c r="S77" s="303"/>
      <c r="T77" s="303"/>
      <c r="U77" s="303"/>
      <c r="V77" s="303"/>
      <c r="W77" s="303"/>
      <c r="X77" s="303"/>
      <c r="Y77" s="303"/>
      <c r="Z77" s="303"/>
    </row>
    <row r="78" ht="14.25" customHeight="1">
      <c r="A78" s="303"/>
      <c r="B78" s="305"/>
      <c r="C78" s="305"/>
      <c r="D78" s="305"/>
      <c r="E78" s="305"/>
      <c r="F78" s="305"/>
      <c r="G78" s="305"/>
      <c r="H78" s="305"/>
      <c r="I78" s="305"/>
      <c r="J78" s="305"/>
      <c r="K78" s="305"/>
      <c r="L78" s="305"/>
      <c r="M78" s="305"/>
      <c r="N78" s="303"/>
      <c r="O78" s="303"/>
      <c r="P78" s="303"/>
      <c r="Q78" s="303"/>
      <c r="R78" s="303"/>
      <c r="S78" s="303"/>
      <c r="T78" s="303"/>
      <c r="U78" s="303"/>
      <c r="V78" s="303"/>
      <c r="W78" s="303"/>
      <c r="X78" s="303"/>
      <c r="Y78" s="303"/>
      <c r="Z78" s="303"/>
    </row>
    <row r="79" ht="14.25" customHeight="1">
      <c r="A79" s="303"/>
      <c r="B79" s="305"/>
      <c r="C79" s="305"/>
      <c r="D79" s="305"/>
      <c r="E79" s="305"/>
      <c r="F79" s="305"/>
      <c r="G79" s="305"/>
      <c r="H79" s="305"/>
      <c r="I79" s="305"/>
      <c r="J79" s="305"/>
      <c r="K79" s="305"/>
      <c r="L79" s="305"/>
      <c r="M79" s="305"/>
      <c r="N79" s="303"/>
      <c r="O79" s="303"/>
      <c r="P79" s="303"/>
      <c r="Q79" s="303"/>
      <c r="R79" s="303"/>
      <c r="S79" s="303"/>
      <c r="T79" s="303"/>
      <c r="U79" s="303"/>
      <c r="V79" s="303"/>
      <c r="W79" s="303"/>
      <c r="X79" s="303"/>
      <c r="Y79" s="303"/>
      <c r="Z79" s="303"/>
    </row>
    <row r="80" ht="14.25" customHeight="1">
      <c r="A80" s="303"/>
      <c r="B80" s="305"/>
      <c r="C80" s="305"/>
      <c r="D80" s="305"/>
      <c r="E80" s="305"/>
      <c r="F80" s="305"/>
      <c r="G80" s="305"/>
      <c r="H80" s="305"/>
      <c r="I80" s="305"/>
      <c r="J80" s="305"/>
      <c r="K80" s="305"/>
      <c r="L80" s="305"/>
      <c r="M80" s="305"/>
      <c r="N80" s="303"/>
      <c r="O80" s="303"/>
      <c r="P80" s="303"/>
      <c r="Q80" s="303"/>
      <c r="R80" s="303"/>
      <c r="S80" s="303"/>
      <c r="T80" s="303"/>
      <c r="U80" s="303"/>
      <c r="V80" s="303"/>
      <c r="W80" s="303"/>
      <c r="X80" s="303"/>
      <c r="Y80" s="303"/>
      <c r="Z80" s="303"/>
    </row>
    <row r="81" ht="14.25" customHeight="1">
      <c r="A81" s="303"/>
      <c r="B81" s="305"/>
      <c r="C81" s="305"/>
      <c r="D81" s="305"/>
      <c r="E81" s="305"/>
      <c r="F81" s="305"/>
      <c r="G81" s="305"/>
      <c r="H81" s="305"/>
      <c r="I81" s="305"/>
      <c r="J81" s="305"/>
      <c r="K81" s="305"/>
      <c r="L81" s="305"/>
      <c r="M81" s="305"/>
      <c r="N81" s="303"/>
      <c r="O81" s="303"/>
      <c r="P81" s="303"/>
      <c r="Q81" s="303"/>
      <c r="R81" s="303"/>
      <c r="S81" s="303"/>
      <c r="T81" s="303"/>
      <c r="U81" s="303"/>
      <c r="V81" s="303"/>
      <c r="W81" s="303"/>
      <c r="X81" s="303"/>
      <c r="Y81" s="303"/>
      <c r="Z81" s="303"/>
    </row>
    <row r="82" ht="14.25" customHeight="1">
      <c r="A82" s="303"/>
      <c r="B82" s="305"/>
      <c r="C82" s="305"/>
      <c r="D82" s="305"/>
      <c r="E82" s="305"/>
      <c r="F82" s="305"/>
      <c r="G82" s="305"/>
      <c r="H82" s="305"/>
      <c r="I82" s="305"/>
      <c r="J82" s="305"/>
      <c r="K82" s="305"/>
      <c r="L82" s="305"/>
      <c r="M82" s="305"/>
      <c r="N82" s="303"/>
      <c r="O82" s="303"/>
      <c r="P82" s="303"/>
      <c r="Q82" s="303"/>
      <c r="R82" s="303"/>
      <c r="S82" s="303"/>
      <c r="T82" s="303"/>
      <c r="U82" s="303"/>
      <c r="V82" s="303"/>
      <c r="W82" s="303"/>
      <c r="X82" s="303"/>
      <c r="Y82" s="303"/>
      <c r="Z82" s="303"/>
    </row>
    <row r="83" ht="14.25" customHeight="1">
      <c r="A83" s="303"/>
      <c r="B83" s="305"/>
      <c r="C83" s="305"/>
      <c r="D83" s="305"/>
      <c r="E83" s="305"/>
      <c r="F83" s="305"/>
      <c r="G83" s="305"/>
      <c r="H83" s="305"/>
      <c r="I83" s="305"/>
      <c r="J83" s="305"/>
      <c r="K83" s="305"/>
      <c r="L83" s="305"/>
      <c r="M83" s="305"/>
      <c r="N83" s="303"/>
      <c r="O83" s="303"/>
      <c r="P83" s="303"/>
      <c r="Q83" s="303"/>
      <c r="R83" s="303"/>
      <c r="S83" s="303"/>
      <c r="T83" s="303"/>
      <c r="U83" s="303"/>
      <c r="V83" s="303"/>
      <c r="W83" s="303"/>
      <c r="X83" s="303"/>
      <c r="Y83" s="303"/>
      <c r="Z83" s="303"/>
    </row>
    <row r="84" ht="14.25" customHeight="1">
      <c r="A84" s="303"/>
      <c r="B84" s="305"/>
      <c r="C84" s="305"/>
      <c r="D84" s="305"/>
      <c r="E84" s="305"/>
      <c r="F84" s="305"/>
      <c r="G84" s="305"/>
      <c r="H84" s="305"/>
      <c r="I84" s="305"/>
      <c r="J84" s="305"/>
      <c r="K84" s="305"/>
      <c r="L84" s="305"/>
      <c r="M84" s="305"/>
      <c r="N84" s="303"/>
      <c r="O84" s="303"/>
      <c r="P84" s="303"/>
      <c r="Q84" s="303"/>
      <c r="R84" s="303"/>
      <c r="S84" s="303"/>
      <c r="T84" s="303"/>
      <c r="U84" s="303"/>
      <c r="V84" s="303"/>
      <c r="W84" s="303"/>
      <c r="X84" s="303"/>
      <c r="Y84" s="303"/>
      <c r="Z84" s="303"/>
    </row>
    <row r="85" ht="14.25" customHeight="1">
      <c r="A85" s="303"/>
      <c r="B85" s="305"/>
      <c r="C85" s="305"/>
      <c r="D85" s="305"/>
      <c r="E85" s="305"/>
      <c r="F85" s="305"/>
      <c r="G85" s="305"/>
      <c r="H85" s="305"/>
      <c r="I85" s="305"/>
      <c r="J85" s="305"/>
      <c r="K85" s="305"/>
      <c r="L85" s="305"/>
      <c r="M85" s="305"/>
      <c r="N85" s="303"/>
      <c r="O85" s="303"/>
      <c r="P85" s="303"/>
      <c r="Q85" s="303"/>
      <c r="R85" s="303"/>
      <c r="S85" s="303"/>
      <c r="T85" s="303"/>
      <c r="U85" s="303"/>
      <c r="V85" s="303"/>
      <c r="W85" s="303"/>
      <c r="X85" s="303"/>
      <c r="Y85" s="303"/>
      <c r="Z85" s="303"/>
    </row>
    <row r="86" ht="14.25" customHeight="1">
      <c r="A86" s="303"/>
      <c r="B86" s="305"/>
      <c r="C86" s="305"/>
      <c r="D86" s="305"/>
      <c r="E86" s="305"/>
      <c r="F86" s="305"/>
      <c r="G86" s="305"/>
      <c r="H86" s="305"/>
      <c r="I86" s="305"/>
      <c r="J86" s="305"/>
      <c r="K86" s="305"/>
      <c r="L86" s="305"/>
      <c r="M86" s="305"/>
      <c r="N86" s="303"/>
      <c r="O86" s="303"/>
      <c r="P86" s="303"/>
      <c r="Q86" s="303"/>
      <c r="R86" s="303"/>
      <c r="S86" s="303"/>
      <c r="T86" s="303"/>
      <c r="U86" s="303"/>
      <c r="V86" s="303"/>
      <c r="W86" s="303"/>
      <c r="X86" s="303"/>
      <c r="Y86" s="303"/>
      <c r="Z86" s="303"/>
    </row>
    <row r="87" ht="14.25" customHeight="1">
      <c r="A87" s="303"/>
      <c r="B87" s="305"/>
      <c r="C87" s="305"/>
      <c r="D87" s="305"/>
      <c r="E87" s="305"/>
      <c r="F87" s="305"/>
      <c r="G87" s="305"/>
      <c r="H87" s="305"/>
      <c r="I87" s="305"/>
      <c r="J87" s="305"/>
      <c r="K87" s="305"/>
      <c r="L87" s="305"/>
      <c r="M87" s="305"/>
      <c r="N87" s="303"/>
      <c r="O87" s="303"/>
      <c r="P87" s="303"/>
      <c r="Q87" s="303"/>
      <c r="R87" s="303"/>
      <c r="S87" s="303"/>
      <c r="T87" s="303"/>
      <c r="U87" s="303"/>
      <c r="V87" s="303"/>
      <c r="W87" s="303"/>
      <c r="X87" s="303"/>
      <c r="Y87" s="303"/>
      <c r="Z87" s="303"/>
    </row>
    <row r="88" ht="14.25" customHeight="1">
      <c r="A88" s="303"/>
      <c r="B88" s="305"/>
      <c r="C88" s="305"/>
      <c r="D88" s="305"/>
      <c r="E88" s="305"/>
      <c r="F88" s="305"/>
      <c r="G88" s="305"/>
      <c r="H88" s="305"/>
      <c r="I88" s="305"/>
      <c r="J88" s="305"/>
      <c r="K88" s="305"/>
      <c r="L88" s="305"/>
      <c r="M88" s="305"/>
      <c r="N88" s="303"/>
      <c r="O88" s="303"/>
      <c r="P88" s="303"/>
      <c r="Q88" s="303"/>
      <c r="R88" s="303"/>
      <c r="S88" s="303"/>
      <c r="T88" s="303"/>
      <c r="U88" s="303"/>
      <c r="V88" s="303"/>
      <c r="W88" s="303"/>
      <c r="X88" s="303"/>
      <c r="Y88" s="303"/>
      <c r="Z88" s="303"/>
    </row>
    <row r="89" ht="14.25" customHeight="1">
      <c r="A89" s="303"/>
      <c r="B89" s="305"/>
      <c r="C89" s="305"/>
      <c r="D89" s="305"/>
      <c r="E89" s="305"/>
      <c r="F89" s="305"/>
      <c r="G89" s="305"/>
      <c r="H89" s="305"/>
      <c r="I89" s="305"/>
      <c r="J89" s="305"/>
      <c r="K89" s="305"/>
      <c r="L89" s="305"/>
      <c r="M89" s="305"/>
      <c r="N89" s="303"/>
      <c r="O89" s="303"/>
      <c r="P89" s="303"/>
      <c r="Q89" s="303"/>
      <c r="R89" s="303"/>
      <c r="S89" s="303"/>
      <c r="T89" s="303"/>
      <c r="U89" s="303"/>
      <c r="V89" s="303"/>
      <c r="W89" s="303"/>
      <c r="X89" s="303"/>
      <c r="Y89" s="303"/>
      <c r="Z89" s="303"/>
    </row>
    <row r="90" ht="14.25" customHeight="1">
      <c r="A90" s="303"/>
      <c r="B90" s="305"/>
      <c r="C90" s="305"/>
      <c r="D90" s="305"/>
      <c r="E90" s="305"/>
      <c r="F90" s="305"/>
      <c r="G90" s="305"/>
      <c r="H90" s="305"/>
      <c r="I90" s="305"/>
      <c r="J90" s="305"/>
      <c r="K90" s="305"/>
      <c r="L90" s="305"/>
      <c r="M90" s="305"/>
      <c r="N90" s="303"/>
      <c r="O90" s="303"/>
      <c r="P90" s="303"/>
      <c r="Q90" s="303"/>
      <c r="R90" s="303"/>
      <c r="S90" s="303"/>
      <c r="T90" s="303"/>
      <c r="U90" s="303"/>
      <c r="V90" s="303"/>
      <c r="W90" s="303"/>
      <c r="X90" s="303"/>
      <c r="Y90" s="303"/>
      <c r="Z90" s="303"/>
    </row>
    <row r="91" ht="14.25" customHeight="1">
      <c r="A91" s="303"/>
      <c r="B91" s="305"/>
      <c r="C91" s="305"/>
      <c r="D91" s="305"/>
      <c r="E91" s="305"/>
      <c r="F91" s="305"/>
      <c r="G91" s="305"/>
      <c r="H91" s="305"/>
      <c r="I91" s="305"/>
      <c r="J91" s="305"/>
      <c r="K91" s="305"/>
      <c r="L91" s="305"/>
      <c r="M91" s="305"/>
      <c r="N91" s="303"/>
      <c r="O91" s="303"/>
      <c r="P91" s="303"/>
      <c r="Q91" s="303"/>
      <c r="R91" s="303"/>
      <c r="S91" s="303"/>
      <c r="T91" s="303"/>
      <c r="U91" s="303"/>
      <c r="V91" s="303"/>
      <c r="W91" s="303"/>
      <c r="X91" s="303"/>
      <c r="Y91" s="303"/>
      <c r="Z91" s="303"/>
    </row>
    <row r="92" ht="14.25" customHeight="1">
      <c r="A92" s="303"/>
      <c r="B92" s="305"/>
      <c r="C92" s="305"/>
      <c r="D92" s="305"/>
      <c r="E92" s="305"/>
      <c r="F92" s="305"/>
      <c r="G92" s="305"/>
      <c r="H92" s="305"/>
      <c r="I92" s="305"/>
      <c r="J92" s="305"/>
      <c r="K92" s="305"/>
      <c r="L92" s="305"/>
      <c r="M92" s="305"/>
      <c r="N92" s="303"/>
      <c r="O92" s="303"/>
      <c r="P92" s="303"/>
      <c r="Q92" s="303"/>
      <c r="R92" s="303"/>
      <c r="S92" s="303"/>
      <c r="T92" s="303"/>
      <c r="U92" s="303"/>
      <c r="V92" s="303"/>
      <c r="W92" s="303"/>
      <c r="X92" s="303"/>
      <c r="Y92" s="303"/>
      <c r="Z92" s="303"/>
    </row>
    <row r="93" ht="14.25" customHeight="1">
      <c r="A93" s="303"/>
      <c r="B93" s="305"/>
      <c r="C93" s="305"/>
      <c r="D93" s="305"/>
      <c r="E93" s="305"/>
      <c r="F93" s="305"/>
      <c r="G93" s="305"/>
      <c r="H93" s="305"/>
      <c r="I93" s="305"/>
      <c r="J93" s="305"/>
      <c r="K93" s="305"/>
      <c r="L93" s="305"/>
      <c r="M93" s="305"/>
      <c r="N93" s="303"/>
      <c r="O93" s="303"/>
      <c r="P93" s="303"/>
      <c r="Q93" s="303"/>
      <c r="R93" s="303"/>
      <c r="S93" s="303"/>
      <c r="T93" s="303"/>
      <c r="U93" s="303"/>
      <c r="V93" s="303"/>
      <c r="W93" s="303"/>
      <c r="X93" s="303"/>
      <c r="Y93" s="303"/>
      <c r="Z93" s="303"/>
    </row>
    <row r="94" ht="14.25" customHeight="1">
      <c r="A94" s="303"/>
      <c r="B94" s="305"/>
      <c r="C94" s="305"/>
      <c r="D94" s="305"/>
      <c r="E94" s="305"/>
      <c r="F94" s="305"/>
      <c r="G94" s="305"/>
      <c r="H94" s="305"/>
      <c r="I94" s="305"/>
      <c r="J94" s="305"/>
      <c r="K94" s="305"/>
      <c r="L94" s="305"/>
      <c r="M94" s="305"/>
      <c r="N94" s="303"/>
      <c r="O94" s="303"/>
      <c r="P94" s="303"/>
      <c r="Q94" s="303"/>
      <c r="R94" s="303"/>
      <c r="S94" s="303"/>
      <c r="T94" s="303"/>
      <c r="U94" s="303"/>
      <c r="V94" s="303"/>
      <c r="W94" s="303"/>
      <c r="X94" s="303"/>
      <c r="Y94" s="303"/>
      <c r="Z94" s="303"/>
    </row>
    <row r="95" ht="14.25" customHeight="1">
      <c r="A95" s="303"/>
      <c r="B95" s="305"/>
      <c r="C95" s="305"/>
      <c r="D95" s="305"/>
      <c r="E95" s="305"/>
      <c r="F95" s="305"/>
      <c r="G95" s="305"/>
      <c r="H95" s="305"/>
      <c r="I95" s="305"/>
      <c r="J95" s="305"/>
      <c r="K95" s="305"/>
      <c r="L95" s="305"/>
      <c r="M95" s="305"/>
      <c r="N95" s="303"/>
      <c r="O95" s="303"/>
      <c r="P95" s="303"/>
      <c r="Q95" s="303"/>
      <c r="R95" s="303"/>
      <c r="S95" s="303"/>
      <c r="T95" s="303"/>
      <c r="U95" s="303"/>
      <c r="V95" s="303"/>
      <c r="W95" s="303"/>
      <c r="X95" s="303"/>
      <c r="Y95" s="303"/>
      <c r="Z95" s="303"/>
    </row>
    <row r="96" ht="14.25" customHeight="1">
      <c r="A96" s="303"/>
      <c r="B96" s="305"/>
      <c r="C96" s="305"/>
      <c r="D96" s="305"/>
      <c r="E96" s="305"/>
      <c r="F96" s="305"/>
      <c r="G96" s="305"/>
      <c r="H96" s="305"/>
      <c r="I96" s="305"/>
      <c r="J96" s="305"/>
      <c r="K96" s="305"/>
      <c r="L96" s="305"/>
      <c r="M96" s="305"/>
      <c r="N96" s="303"/>
      <c r="O96" s="303"/>
      <c r="P96" s="303"/>
      <c r="Q96" s="303"/>
      <c r="R96" s="303"/>
      <c r="S96" s="303"/>
      <c r="T96" s="303"/>
      <c r="U96" s="303"/>
      <c r="V96" s="303"/>
      <c r="W96" s="303"/>
      <c r="X96" s="303"/>
      <c r="Y96" s="303"/>
      <c r="Z96" s="303"/>
    </row>
    <row r="97" ht="14.25" customHeight="1">
      <c r="A97" s="303"/>
      <c r="B97" s="305"/>
      <c r="C97" s="305"/>
      <c r="D97" s="305"/>
      <c r="E97" s="305"/>
      <c r="F97" s="305"/>
      <c r="G97" s="305"/>
      <c r="H97" s="305"/>
      <c r="I97" s="305"/>
      <c r="J97" s="305"/>
      <c r="K97" s="305"/>
      <c r="L97" s="305"/>
      <c r="M97" s="305"/>
      <c r="N97" s="303"/>
      <c r="O97" s="303"/>
      <c r="P97" s="303"/>
      <c r="Q97" s="303"/>
      <c r="R97" s="303"/>
      <c r="S97" s="303"/>
      <c r="T97" s="303"/>
      <c r="U97" s="303"/>
      <c r="V97" s="303"/>
      <c r="W97" s="303"/>
      <c r="X97" s="303"/>
      <c r="Y97" s="303"/>
      <c r="Z97" s="303"/>
    </row>
    <row r="98" ht="14.25" customHeight="1">
      <c r="A98" s="303"/>
      <c r="B98" s="305"/>
      <c r="C98" s="305"/>
      <c r="D98" s="305"/>
      <c r="E98" s="305"/>
      <c r="F98" s="305"/>
      <c r="G98" s="305"/>
      <c r="H98" s="305"/>
      <c r="I98" s="305"/>
      <c r="J98" s="305"/>
      <c r="K98" s="305"/>
      <c r="L98" s="305"/>
      <c r="M98" s="305"/>
      <c r="N98" s="303"/>
      <c r="O98" s="303"/>
      <c r="P98" s="303"/>
      <c r="Q98" s="303"/>
      <c r="R98" s="303"/>
      <c r="S98" s="303"/>
      <c r="T98" s="303"/>
      <c r="U98" s="303"/>
      <c r="V98" s="303"/>
      <c r="W98" s="303"/>
      <c r="X98" s="303"/>
      <c r="Y98" s="303"/>
      <c r="Z98" s="303"/>
    </row>
    <row r="99" ht="14.25" customHeight="1">
      <c r="A99" s="303"/>
      <c r="B99" s="305"/>
      <c r="C99" s="305"/>
      <c r="D99" s="305"/>
      <c r="E99" s="305"/>
      <c r="F99" s="305"/>
      <c r="G99" s="305"/>
      <c r="H99" s="305"/>
      <c r="I99" s="305"/>
      <c r="J99" s="305"/>
      <c r="K99" s="305"/>
      <c r="L99" s="305"/>
      <c r="M99" s="305"/>
      <c r="N99" s="303"/>
      <c r="O99" s="303"/>
      <c r="P99" s="303"/>
      <c r="Q99" s="303"/>
      <c r="R99" s="303"/>
      <c r="S99" s="303"/>
      <c r="T99" s="303"/>
      <c r="U99" s="303"/>
      <c r="V99" s="303"/>
      <c r="W99" s="303"/>
      <c r="X99" s="303"/>
      <c r="Y99" s="303"/>
      <c r="Z99" s="303"/>
    </row>
    <row r="100" ht="14.25" customHeight="1">
      <c r="A100" s="303"/>
      <c r="B100" s="305"/>
      <c r="C100" s="305"/>
      <c r="D100" s="305"/>
      <c r="E100" s="305"/>
      <c r="F100" s="305"/>
      <c r="G100" s="305"/>
      <c r="H100" s="305"/>
      <c r="I100" s="305"/>
      <c r="J100" s="305"/>
      <c r="K100" s="305"/>
      <c r="L100" s="305"/>
      <c r="M100" s="305"/>
      <c r="N100" s="303"/>
      <c r="O100" s="303"/>
      <c r="P100" s="303"/>
      <c r="Q100" s="303"/>
      <c r="R100" s="303"/>
      <c r="S100" s="303"/>
      <c r="T100" s="303"/>
      <c r="U100" s="303"/>
      <c r="V100" s="303"/>
      <c r="W100" s="303"/>
      <c r="X100" s="303"/>
      <c r="Y100" s="303"/>
      <c r="Z100" s="303"/>
    </row>
    <row r="101" ht="14.25" customHeight="1">
      <c r="A101" s="303"/>
      <c r="B101" s="305"/>
      <c r="C101" s="305"/>
      <c r="D101" s="305"/>
      <c r="E101" s="305"/>
      <c r="F101" s="305"/>
      <c r="G101" s="305"/>
      <c r="H101" s="305"/>
      <c r="I101" s="305"/>
      <c r="J101" s="305"/>
      <c r="K101" s="305"/>
      <c r="L101" s="305"/>
      <c r="M101" s="305"/>
      <c r="N101" s="303"/>
      <c r="O101" s="303"/>
      <c r="P101" s="303"/>
      <c r="Q101" s="303"/>
      <c r="R101" s="303"/>
      <c r="S101" s="303"/>
      <c r="T101" s="303"/>
      <c r="U101" s="303"/>
      <c r="V101" s="303"/>
      <c r="W101" s="303"/>
      <c r="X101" s="303"/>
      <c r="Y101" s="303"/>
      <c r="Z101" s="303"/>
    </row>
    <row r="102" ht="14.25" customHeight="1">
      <c r="A102" s="303"/>
      <c r="B102" s="305"/>
      <c r="C102" s="305"/>
      <c r="D102" s="305"/>
      <c r="E102" s="305"/>
      <c r="F102" s="305"/>
      <c r="G102" s="305"/>
      <c r="H102" s="305"/>
      <c r="I102" s="305"/>
      <c r="J102" s="305"/>
      <c r="K102" s="305"/>
      <c r="L102" s="305"/>
      <c r="M102" s="305"/>
      <c r="N102" s="303"/>
      <c r="O102" s="303"/>
      <c r="P102" s="303"/>
      <c r="Q102" s="303"/>
      <c r="R102" s="303"/>
      <c r="S102" s="303"/>
      <c r="T102" s="303"/>
      <c r="U102" s="303"/>
      <c r="V102" s="303"/>
      <c r="W102" s="303"/>
      <c r="X102" s="303"/>
      <c r="Y102" s="303"/>
      <c r="Z102" s="303"/>
    </row>
    <row r="103" ht="14.25" customHeight="1">
      <c r="A103" s="303"/>
      <c r="B103" s="305"/>
      <c r="C103" s="305"/>
      <c r="D103" s="305"/>
      <c r="E103" s="305"/>
      <c r="F103" s="305"/>
      <c r="G103" s="305"/>
      <c r="H103" s="305"/>
      <c r="I103" s="305"/>
      <c r="J103" s="305"/>
      <c r="K103" s="305"/>
      <c r="L103" s="305"/>
      <c r="M103" s="305"/>
      <c r="N103" s="303"/>
      <c r="O103" s="303"/>
      <c r="P103" s="303"/>
      <c r="Q103" s="303"/>
      <c r="R103" s="303"/>
      <c r="S103" s="303"/>
      <c r="T103" s="303"/>
      <c r="U103" s="303"/>
      <c r="V103" s="303"/>
      <c r="W103" s="303"/>
      <c r="X103" s="303"/>
      <c r="Y103" s="303"/>
      <c r="Z103" s="303"/>
    </row>
    <row r="104" ht="14.25" customHeight="1">
      <c r="A104" s="303"/>
      <c r="B104" s="305"/>
      <c r="C104" s="305"/>
      <c r="D104" s="305"/>
      <c r="E104" s="305"/>
      <c r="F104" s="305"/>
      <c r="G104" s="305"/>
      <c r="H104" s="305"/>
      <c r="I104" s="305"/>
      <c r="J104" s="305"/>
      <c r="K104" s="305"/>
      <c r="L104" s="305"/>
      <c r="M104" s="305"/>
      <c r="N104" s="303"/>
      <c r="O104" s="303"/>
      <c r="P104" s="303"/>
      <c r="Q104" s="303"/>
      <c r="R104" s="303"/>
      <c r="S104" s="303"/>
      <c r="T104" s="303"/>
      <c r="U104" s="303"/>
      <c r="V104" s="303"/>
      <c r="W104" s="303"/>
      <c r="X104" s="303"/>
      <c r="Y104" s="303"/>
      <c r="Z104" s="303"/>
    </row>
    <row r="105" ht="14.25" customHeight="1">
      <c r="A105" s="303"/>
      <c r="B105" s="305"/>
      <c r="C105" s="305"/>
      <c r="D105" s="305"/>
      <c r="E105" s="305"/>
      <c r="F105" s="305"/>
      <c r="G105" s="305"/>
      <c r="H105" s="305"/>
      <c r="I105" s="305"/>
      <c r="J105" s="305"/>
      <c r="K105" s="305"/>
      <c r="L105" s="305"/>
      <c r="M105" s="305"/>
      <c r="N105" s="303"/>
      <c r="O105" s="303"/>
      <c r="P105" s="303"/>
      <c r="Q105" s="303"/>
      <c r="R105" s="303"/>
      <c r="S105" s="303"/>
      <c r="T105" s="303"/>
      <c r="U105" s="303"/>
      <c r="V105" s="303"/>
      <c r="W105" s="303"/>
      <c r="X105" s="303"/>
      <c r="Y105" s="303"/>
      <c r="Z105" s="303"/>
    </row>
    <row r="106" ht="14.25" customHeight="1">
      <c r="A106" s="303"/>
      <c r="B106" s="305"/>
      <c r="C106" s="305"/>
      <c r="D106" s="305"/>
      <c r="E106" s="305"/>
      <c r="F106" s="305"/>
      <c r="G106" s="305"/>
      <c r="H106" s="305"/>
      <c r="I106" s="305"/>
      <c r="J106" s="305"/>
      <c r="K106" s="305"/>
      <c r="L106" s="305"/>
      <c r="M106" s="305"/>
      <c r="N106" s="303"/>
      <c r="O106" s="303"/>
      <c r="P106" s="303"/>
      <c r="Q106" s="303"/>
      <c r="R106" s="303"/>
      <c r="S106" s="303"/>
      <c r="T106" s="303"/>
      <c r="U106" s="303"/>
      <c r="V106" s="303"/>
      <c r="W106" s="303"/>
      <c r="X106" s="303"/>
      <c r="Y106" s="303"/>
      <c r="Z106" s="303"/>
    </row>
    <row r="107" ht="14.25" customHeight="1">
      <c r="A107" s="303"/>
      <c r="B107" s="305"/>
      <c r="C107" s="305"/>
      <c r="D107" s="305"/>
      <c r="E107" s="305"/>
      <c r="F107" s="305"/>
      <c r="G107" s="305"/>
      <c r="H107" s="305"/>
      <c r="I107" s="305"/>
      <c r="J107" s="305"/>
      <c r="K107" s="305"/>
      <c r="L107" s="305"/>
      <c r="M107" s="305"/>
      <c r="N107" s="303"/>
      <c r="O107" s="303"/>
      <c r="P107" s="303"/>
      <c r="Q107" s="303"/>
      <c r="R107" s="303"/>
      <c r="S107" s="303"/>
      <c r="T107" s="303"/>
      <c r="U107" s="303"/>
      <c r="V107" s="303"/>
      <c r="W107" s="303"/>
      <c r="X107" s="303"/>
      <c r="Y107" s="303"/>
      <c r="Z107" s="303"/>
    </row>
    <row r="108" ht="14.25" customHeight="1">
      <c r="A108" s="303"/>
      <c r="B108" s="305"/>
      <c r="C108" s="305"/>
      <c r="D108" s="305"/>
      <c r="E108" s="305"/>
      <c r="F108" s="305"/>
      <c r="G108" s="305"/>
      <c r="H108" s="305"/>
      <c r="I108" s="305"/>
      <c r="J108" s="305"/>
      <c r="K108" s="305"/>
      <c r="L108" s="305"/>
      <c r="M108" s="305"/>
      <c r="N108" s="303"/>
      <c r="O108" s="303"/>
      <c r="P108" s="303"/>
      <c r="Q108" s="303"/>
      <c r="R108" s="303"/>
      <c r="S108" s="303"/>
      <c r="T108" s="303"/>
      <c r="U108" s="303"/>
      <c r="V108" s="303"/>
      <c r="W108" s="303"/>
      <c r="X108" s="303"/>
      <c r="Y108" s="303"/>
      <c r="Z108" s="303"/>
    </row>
    <row r="109" ht="14.25" customHeight="1">
      <c r="A109" s="303"/>
      <c r="B109" s="305"/>
      <c r="C109" s="305"/>
      <c r="D109" s="305"/>
      <c r="E109" s="305"/>
      <c r="F109" s="305"/>
      <c r="G109" s="305"/>
      <c r="H109" s="305"/>
      <c r="I109" s="305"/>
      <c r="J109" s="305"/>
      <c r="K109" s="305"/>
      <c r="L109" s="305"/>
      <c r="M109" s="305"/>
      <c r="N109" s="303"/>
      <c r="O109" s="303"/>
      <c r="P109" s="303"/>
      <c r="Q109" s="303"/>
      <c r="R109" s="303"/>
      <c r="S109" s="303"/>
      <c r="T109" s="303"/>
      <c r="U109" s="303"/>
      <c r="V109" s="303"/>
      <c r="W109" s="303"/>
      <c r="X109" s="303"/>
      <c r="Y109" s="303"/>
      <c r="Z109" s="303"/>
    </row>
    <row r="110" ht="14.25" customHeight="1">
      <c r="A110" s="303"/>
      <c r="B110" s="305"/>
      <c r="C110" s="305"/>
      <c r="D110" s="305"/>
      <c r="E110" s="305"/>
      <c r="F110" s="305"/>
      <c r="G110" s="305"/>
      <c r="H110" s="305"/>
      <c r="I110" s="305"/>
      <c r="J110" s="305"/>
      <c r="K110" s="305"/>
      <c r="L110" s="305"/>
      <c r="M110" s="305"/>
      <c r="N110" s="303"/>
      <c r="O110" s="303"/>
      <c r="P110" s="303"/>
      <c r="Q110" s="303"/>
      <c r="R110" s="303"/>
      <c r="S110" s="303"/>
      <c r="T110" s="303"/>
      <c r="U110" s="303"/>
      <c r="V110" s="303"/>
      <c r="W110" s="303"/>
      <c r="X110" s="303"/>
      <c r="Y110" s="303"/>
      <c r="Z110" s="303"/>
    </row>
    <row r="111" ht="14.25" customHeight="1">
      <c r="A111" s="303"/>
      <c r="B111" s="305"/>
      <c r="C111" s="305"/>
      <c r="D111" s="305"/>
      <c r="E111" s="305"/>
      <c r="F111" s="305"/>
      <c r="G111" s="305"/>
      <c r="H111" s="305"/>
      <c r="I111" s="305"/>
      <c r="J111" s="305"/>
      <c r="K111" s="305"/>
      <c r="L111" s="305"/>
      <c r="M111" s="305"/>
      <c r="N111" s="303"/>
      <c r="O111" s="303"/>
      <c r="P111" s="303"/>
      <c r="Q111" s="303"/>
      <c r="R111" s="303"/>
      <c r="S111" s="303"/>
      <c r="T111" s="303"/>
      <c r="U111" s="303"/>
      <c r="V111" s="303"/>
      <c r="W111" s="303"/>
      <c r="X111" s="303"/>
      <c r="Y111" s="303"/>
      <c r="Z111" s="303"/>
    </row>
    <row r="112" ht="14.25" customHeight="1">
      <c r="A112" s="303"/>
      <c r="B112" s="305"/>
      <c r="C112" s="305"/>
      <c r="D112" s="305"/>
      <c r="E112" s="305"/>
      <c r="F112" s="305"/>
      <c r="G112" s="305"/>
      <c r="H112" s="305"/>
      <c r="I112" s="305"/>
      <c r="J112" s="305"/>
      <c r="K112" s="305"/>
      <c r="L112" s="305"/>
      <c r="M112" s="305"/>
      <c r="N112" s="303"/>
      <c r="O112" s="303"/>
      <c r="P112" s="303"/>
      <c r="Q112" s="303"/>
      <c r="R112" s="303"/>
      <c r="S112" s="303"/>
      <c r="T112" s="303"/>
      <c r="U112" s="303"/>
      <c r="V112" s="303"/>
      <c r="W112" s="303"/>
      <c r="X112" s="303"/>
      <c r="Y112" s="303"/>
      <c r="Z112" s="303"/>
    </row>
    <row r="113" ht="14.25" customHeight="1">
      <c r="A113" s="303"/>
      <c r="B113" s="305"/>
      <c r="C113" s="305"/>
      <c r="D113" s="305"/>
      <c r="E113" s="305"/>
      <c r="F113" s="305"/>
      <c r="G113" s="305"/>
      <c r="H113" s="305"/>
      <c r="I113" s="305"/>
      <c r="J113" s="305"/>
      <c r="K113" s="305"/>
      <c r="L113" s="305"/>
      <c r="M113" s="305"/>
      <c r="N113" s="303"/>
      <c r="O113" s="303"/>
      <c r="P113" s="303"/>
      <c r="Q113" s="303"/>
      <c r="R113" s="303"/>
      <c r="S113" s="303"/>
      <c r="T113" s="303"/>
      <c r="U113" s="303"/>
      <c r="V113" s="303"/>
      <c r="W113" s="303"/>
      <c r="X113" s="303"/>
      <c r="Y113" s="303"/>
      <c r="Z113" s="303"/>
    </row>
    <row r="114" ht="14.25" customHeight="1">
      <c r="A114" s="303"/>
      <c r="B114" s="305"/>
      <c r="C114" s="305"/>
      <c r="D114" s="305"/>
      <c r="E114" s="305"/>
      <c r="F114" s="305"/>
      <c r="G114" s="305"/>
      <c r="H114" s="305"/>
      <c r="I114" s="305"/>
      <c r="J114" s="305"/>
      <c r="K114" s="305"/>
      <c r="L114" s="305"/>
      <c r="M114" s="305"/>
      <c r="N114" s="303"/>
      <c r="O114" s="303"/>
      <c r="P114" s="303"/>
      <c r="Q114" s="303"/>
      <c r="R114" s="303"/>
      <c r="S114" s="303"/>
      <c r="T114" s="303"/>
      <c r="U114" s="303"/>
      <c r="V114" s="303"/>
      <c r="W114" s="303"/>
      <c r="X114" s="303"/>
      <c r="Y114" s="303"/>
      <c r="Z114" s="303"/>
    </row>
    <row r="115" ht="14.25" customHeight="1">
      <c r="A115" s="303"/>
      <c r="B115" s="305"/>
      <c r="C115" s="305"/>
      <c r="D115" s="305"/>
      <c r="E115" s="305"/>
      <c r="F115" s="305"/>
      <c r="G115" s="305"/>
      <c r="H115" s="305"/>
      <c r="I115" s="305"/>
      <c r="J115" s="305"/>
      <c r="K115" s="305"/>
      <c r="L115" s="305"/>
      <c r="M115" s="305"/>
      <c r="N115" s="303"/>
      <c r="O115" s="303"/>
      <c r="P115" s="303"/>
      <c r="Q115" s="303"/>
      <c r="R115" s="303"/>
      <c r="S115" s="303"/>
      <c r="T115" s="303"/>
      <c r="U115" s="303"/>
      <c r="V115" s="303"/>
      <c r="W115" s="303"/>
      <c r="X115" s="303"/>
      <c r="Y115" s="303"/>
      <c r="Z115" s="303"/>
    </row>
    <row r="116" ht="14.25" customHeight="1">
      <c r="A116" s="303"/>
      <c r="B116" s="305"/>
      <c r="C116" s="305"/>
      <c r="D116" s="305"/>
      <c r="E116" s="305"/>
      <c r="F116" s="305"/>
      <c r="G116" s="305"/>
      <c r="H116" s="305"/>
      <c r="I116" s="305"/>
      <c r="J116" s="305"/>
      <c r="K116" s="305"/>
      <c r="L116" s="305"/>
      <c r="M116" s="305"/>
      <c r="N116" s="303"/>
      <c r="O116" s="303"/>
      <c r="P116" s="303"/>
      <c r="Q116" s="303"/>
      <c r="R116" s="303"/>
      <c r="S116" s="303"/>
      <c r="T116" s="303"/>
      <c r="U116" s="303"/>
      <c r="V116" s="303"/>
      <c r="W116" s="303"/>
      <c r="X116" s="303"/>
      <c r="Y116" s="303"/>
      <c r="Z116" s="303"/>
    </row>
    <row r="117" ht="14.25" customHeight="1">
      <c r="A117" s="303"/>
      <c r="B117" s="305"/>
      <c r="C117" s="305"/>
      <c r="D117" s="305"/>
      <c r="E117" s="305"/>
      <c r="F117" s="305"/>
      <c r="G117" s="305"/>
      <c r="H117" s="305"/>
      <c r="I117" s="305"/>
      <c r="J117" s="305"/>
      <c r="K117" s="305"/>
      <c r="L117" s="305"/>
      <c r="M117" s="305"/>
      <c r="N117" s="303"/>
      <c r="O117" s="303"/>
      <c r="P117" s="303"/>
      <c r="Q117" s="303"/>
      <c r="R117" s="303"/>
      <c r="S117" s="303"/>
      <c r="T117" s="303"/>
      <c r="U117" s="303"/>
      <c r="V117" s="303"/>
      <c r="W117" s="303"/>
      <c r="X117" s="303"/>
      <c r="Y117" s="303"/>
      <c r="Z117" s="303"/>
    </row>
    <row r="118" ht="14.25" customHeight="1">
      <c r="A118" s="303"/>
      <c r="B118" s="305"/>
      <c r="C118" s="305"/>
      <c r="D118" s="305"/>
      <c r="E118" s="305"/>
      <c r="F118" s="305"/>
      <c r="G118" s="305"/>
      <c r="H118" s="305"/>
      <c r="I118" s="305"/>
      <c r="J118" s="305"/>
      <c r="K118" s="305"/>
      <c r="L118" s="305"/>
      <c r="M118" s="305"/>
      <c r="N118" s="303"/>
      <c r="O118" s="303"/>
      <c r="P118" s="303"/>
      <c r="Q118" s="303"/>
      <c r="R118" s="303"/>
      <c r="S118" s="303"/>
      <c r="T118" s="303"/>
      <c r="U118" s="303"/>
      <c r="V118" s="303"/>
      <c r="W118" s="303"/>
      <c r="X118" s="303"/>
      <c r="Y118" s="303"/>
      <c r="Z118" s="303"/>
    </row>
    <row r="119" ht="14.25" customHeight="1">
      <c r="A119" s="303"/>
      <c r="B119" s="305"/>
      <c r="C119" s="305"/>
      <c r="D119" s="305"/>
      <c r="E119" s="305"/>
      <c r="F119" s="305"/>
      <c r="G119" s="305"/>
      <c r="H119" s="305"/>
      <c r="I119" s="305"/>
      <c r="J119" s="305"/>
      <c r="K119" s="305"/>
      <c r="L119" s="305"/>
      <c r="M119" s="305"/>
      <c r="N119" s="303"/>
      <c r="O119" s="303"/>
      <c r="P119" s="303"/>
      <c r="Q119" s="303"/>
      <c r="R119" s="303"/>
      <c r="S119" s="303"/>
      <c r="T119" s="303"/>
      <c r="U119" s="303"/>
      <c r="V119" s="303"/>
      <c r="W119" s="303"/>
      <c r="X119" s="303"/>
      <c r="Y119" s="303"/>
      <c r="Z119" s="303"/>
    </row>
    <row r="120" ht="14.25" customHeight="1">
      <c r="A120" s="303"/>
      <c r="B120" s="305"/>
      <c r="C120" s="305"/>
      <c r="D120" s="305"/>
      <c r="E120" s="305"/>
      <c r="F120" s="305"/>
      <c r="G120" s="305"/>
      <c r="H120" s="305"/>
      <c r="I120" s="305"/>
      <c r="J120" s="305"/>
      <c r="K120" s="305"/>
      <c r="L120" s="305"/>
      <c r="M120" s="305"/>
      <c r="N120" s="303"/>
      <c r="O120" s="303"/>
      <c r="P120" s="303"/>
      <c r="Q120" s="303"/>
      <c r="R120" s="303"/>
      <c r="S120" s="303"/>
      <c r="T120" s="303"/>
      <c r="U120" s="303"/>
      <c r="V120" s="303"/>
      <c r="W120" s="303"/>
      <c r="X120" s="303"/>
      <c r="Y120" s="303"/>
      <c r="Z120" s="303"/>
    </row>
    <row r="121" ht="14.25" customHeight="1">
      <c r="A121" s="303"/>
      <c r="B121" s="305"/>
      <c r="C121" s="305"/>
      <c r="D121" s="305"/>
      <c r="E121" s="305"/>
      <c r="F121" s="305"/>
      <c r="G121" s="305"/>
      <c r="H121" s="305"/>
      <c r="I121" s="305"/>
      <c r="J121" s="305"/>
      <c r="K121" s="305"/>
      <c r="L121" s="305"/>
      <c r="M121" s="305"/>
      <c r="N121" s="303"/>
      <c r="O121" s="303"/>
      <c r="P121" s="303"/>
      <c r="Q121" s="303"/>
      <c r="R121" s="303"/>
      <c r="S121" s="303"/>
      <c r="T121" s="303"/>
      <c r="U121" s="303"/>
      <c r="V121" s="303"/>
      <c r="W121" s="303"/>
      <c r="X121" s="303"/>
      <c r="Y121" s="303"/>
      <c r="Z121" s="303"/>
    </row>
    <row r="122" ht="14.25" customHeight="1">
      <c r="A122" s="303"/>
      <c r="B122" s="305"/>
      <c r="C122" s="305"/>
      <c r="D122" s="305"/>
      <c r="E122" s="305"/>
      <c r="F122" s="305"/>
      <c r="G122" s="305"/>
      <c r="H122" s="305"/>
      <c r="I122" s="305"/>
      <c r="J122" s="305"/>
      <c r="K122" s="305"/>
      <c r="L122" s="305"/>
      <c r="M122" s="305"/>
      <c r="N122" s="303"/>
      <c r="O122" s="303"/>
      <c r="P122" s="303"/>
      <c r="Q122" s="303"/>
      <c r="R122" s="303"/>
      <c r="S122" s="303"/>
      <c r="T122" s="303"/>
      <c r="U122" s="303"/>
      <c r="V122" s="303"/>
      <c r="W122" s="303"/>
      <c r="X122" s="303"/>
      <c r="Y122" s="303"/>
      <c r="Z122" s="303"/>
    </row>
    <row r="123" ht="14.25" customHeight="1">
      <c r="A123" s="303"/>
      <c r="B123" s="305"/>
      <c r="C123" s="305"/>
      <c r="D123" s="305"/>
      <c r="E123" s="305"/>
      <c r="F123" s="305"/>
      <c r="G123" s="305"/>
      <c r="H123" s="305"/>
      <c r="I123" s="305"/>
      <c r="J123" s="305"/>
      <c r="K123" s="305"/>
      <c r="L123" s="305"/>
      <c r="M123" s="305"/>
      <c r="N123" s="303"/>
      <c r="O123" s="303"/>
      <c r="P123" s="303"/>
      <c r="Q123" s="303"/>
      <c r="R123" s="303"/>
      <c r="S123" s="303"/>
      <c r="T123" s="303"/>
      <c r="U123" s="303"/>
      <c r="V123" s="303"/>
      <c r="W123" s="303"/>
      <c r="X123" s="303"/>
      <c r="Y123" s="303"/>
      <c r="Z123" s="303"/>
    </row>
    <row r="124" ht="14.25" customHeight="1">
      <c r="A124" s="303"/>
      <c r="B124" s="305"/>
      <c r="C124" s="305"/>
      <c r="D124" s="305"/>
      <c r="E124" s="305"/>
      <c r="F124" s="305"/>
      <c r="G124" s="305"/>
      <c r="H124" s="305"/>
      <c r="I124" s="305"/>
      <c r="J124" s="305"/>
      <c r="K124" s="305"/>
      <c r="L124" s="305"/>
      <c r="M124" s="305"/>
      <c r="N124" s="303"/>
      <c r="O124" s="303"/>
      <c r="P124" s="303"/>
      <c r="Q124" s="303"/>
      <c r="R124" s="303"/>
      <c r="S124" s="303"/>
      <c r="T124" s="303"/>
      <c r="U124" s="303"/>
      <c r="V124" s="303"/>
      <c r="W124" s="303"/>
      <c r="X124" s="303"/>
      <c r="Y124" s="303"/>
      <c r="Z124" s="303"/>
    </row>
    <row r="125" ht="14.25" customHeight="1">
      <c r="A125" s="303"/>
      <c r="B125" s="305"/>
      <c r="C125" s="305"/>
      <c r="D125" s="305"/>
      <c r="E125" s="305"/>
      <c r="F125" s="305"/>
      <c r="G125" s="305"/>
      <c r="H125" s="305"/>
      <c r="I125" s="305"/>
      <c r="J125" s="305"/>
      <c r="K125" s="305"/>
      <c r="L125" s="305"/>
      <c r="M125" s="305"/>
      <c r="N125" s="303"/>
      <c r="O125" s="303"/>
      <c r="P125" s="303"/>
      <c r="Q125" s="303"/>
      <c r="R125" s="303"/>
      <c r="S125" s="303"/>
      <c r="T125" s="303"/>
      <c r="U125" s="303"/>
      <c r="V125" s="303"/>
      <c r="W125" s="303"/>
      <c r="X125" s="303"/>
      <c r="Y125" s="303"/>
      <c r="Z125" s="303"/>
    </row>
    <row r="126" ht="14.25" customHeight="1">
      <c r="A126" s="303"/>
      <c r="B126" s="305"/>
      <c r="C126" s="305"/>
      <c r="D126" s="305"/>
      <c r="E126" s="305"/>
      <c r="F126" s="305"/>
      <c r="G126" s="305"/>
      <c r="H126" s="305"/>
      <c r="I126" s="305"/>
      <c r="J126" s="305"/>
      <c r="K126" s="305"/>
      <c r="L126" s="305"/>
      <c r="M126" s="305"/>
      <c r="N126" s="303"/>
      <c r="O126" s="303"/>
      <c r="P126" s="303"/>
      <c r="Q126" s="303"/>
      <c r="R126" s="303"/>
      <c r="S126" s="303"/>
      <c r="T126" s="303"/>
      <c r="U126" s="303"/>
      <c r="V126" s="303"/>
      <c r="W126" s="303"/>
      <c r="X126" s="303"/>
      <c r="Y126" s="303"/>
      <c r="Z126" s="303"/>
    </row>
    <row r="127" ht="14.25" customHeight="1">
      <c r="A127" s="303"/>
      <c r="B127" s="305"/>
      <c r="C127" s="305"/>
      <c r="D127" s="305"/>
      <c r="E127" s="305"/>
      <c r="F127" s="305"/>
      <c r="G127" s="305"/>
      <c r="H127" s="305"/>
      <c r="I127" s="305"/>
      <c r="J127" s="305"/>
      <c r="K127" s="305"/>
      <c r="L127" s="305"/>
      <c r="M127" s="305"/>
      <c r="N127" s="303"/>
      <c r="O127" s="303"/>
      <c r="P127" s="303"/>
      <c r="Q127" s="303"/>
      <c r="R127" s="303"/>
      <c r="S127" s="303"/>
      <c r="T127" s="303"/>
      <c r="U127" s="303"/>
      <c r="V127" s="303"/>
      <c r="W127" s="303"/>
      <c r="X127" s="303"/>
      <c r="Y127" s="303"/>
      <c r="Z127" s="303"/>
    </row>
    <row r="128" ht="14.25" customHeight="1">
      <c r="A128" s="303"/>
      <c r="B128" s="305"/>
      <c r="C128" s="305"/>
      <c r="D128" s="305"/>
      <c r="E128" s="305"/>
      <c r="F128" s="305"/>
      <c r="G128" s="305"/>
      <c r="H128" s="305"/>
      <c r="I128" s="305"/>
      <c r="J128" s="305"/>
      <c r="K128" s="305"/>
      <c r="L128" s="305"/>
      <c r="M128" s="305"/>
      <c r="N128" s="303"/>
      <c r="O128" s="303"/>
      <c r="P128" s="303"/>
      <c r="Q128" s="303"/>
      <c r="R128" s="303"/>
      <c r="S128" s="303"/>
      <c r="T128" s="303"/>
      <c r="U128" s="303"/>
      <c r="V128" s="303"/>
      <c r="W128" s="303"/>
      <c r="X128" s="303"/>
      <c r="Y128" s="303"/>
      <c r="Z128" s="303"/>
    </row>
    <row r="129" ht="14.25" customHeight="1">
      <c r="A129" s="303"/>
      <c r="B129" s="305"/>
      <c r="C129" s="305"/>
      <c r="D129" s="305"/>
      <c r="E129" s="305"/>
      <c r="F129" s="305"/>
      <c r="G129" s="305"/>
      <c r="H129" s="305"/>
      <c r="I129" s="305"/>
      <c r="J129" s="305"/>
      <c r="K129" s="305"/>
      <c r="L129" s="305"/>
      <c r="M129" s="305"/>
      <c r="N129" s="303"/>
      <c r="O129" s="303"/>
      <c r="P129" s="303"/>
      <c r="Q129" s="303"/>
      <c r="R129" s="303"/>
      <c r="S129" s="303"/>
      <c r="T129" s="303"/>
      <c r="U129" s="303"/>
      <c r="V129" s="303"/>
      <c r="W129" s="303"/>
      <c r="X129" s="303"/>
      <c r="Y129" s="303"/>
      <c r="Z129" s="303"/>
    </row>
    <row r="130" ht="14.25" customHeight="1">
      <c r="A130" s="303"/>
      <c r="B130" s="305"/>
      <c r="C130" s="305"/>
      <c r="D130" s="305"/>
      <c r="E130" s="305"/>
      <c r="F130" s="305"/>
      <c r="G130" s="305"/>
      <c r="H130" s="305"/>
      <c r="I130" s="305"/>
      <c r="J130" s="305"/>
      <c r="K130" s="305"/>
      <c r="L130" s="305"/>
      <c r="M130" s="305"/>
      <c r="N130" s="303"/>
      <c r="O130" s="303"/>
      <c r="P130" s="303"/>
      <c r="Q130" s="303"/>
      <c r="R130" s="303"/>
      <c r="S130" s="303"/>
      <c r="T130" s="303"/>
      <c r="U130" s="303"/>
      <c r="V130" s="303"/>
      <c r="W130" s="303"/>
      <c r="X130" s="303"/>
      <c r="Y130" s="303"/>
      <c r="Z130" s="303"/>
    </row>
    <row r="131" ht="14.25" customHeight="1">
      <c r="A131" s="303"/>
      <c r="B131" s="305"/>
      <c r="C131" s="305"/>
      <c r="D131" s="305"/>
      <c r="E131" s="305"/>
      <c r="F131" s="305"/>
      <c r="G131" s="305"/>
      <c r="H131" s="305"/>
      <c r="I131" s="305"/>
      <c r="J131" s="305"/>
      <c r="K131" s="305"/>
      <c r="L131" s="305"/>
      <c r="M131" s="305"/>
      <c r="N131" s="303"/>
      <c r="O131" s="303"/>
      <c r="P131" s="303"/>
      <c r="Q131" s="303"/>
      <c r="R131" s="303"/>
      <c r="S131" s="303"/>
      <c r="T131" s="303"/>
      <c r="U131" s="303"/>
      <c r="V131" s="303"/>
      <c r="W131" s="303"/>
      <c r="X131" s="303"/>
      <c r="Y131" s="303"/>
      <c r="Z131" s="303"/>
    </row>
    <row r="132" ht="14.25" customHeight="1">
      <c r="A132" s="303"/>
      <c r="B132" s="305"/>
      <c r="C132" s="305"/>
      <c r="D132" s="305"/>
      <c r="E132" s="305"/>
      <c r="F132" s="305"/>
      <c r="G132" s="305"/>
      <c r="H132" s="305"/>
      <c r="I132" s="305"/>
      <c r="J132" s="305"/>
      <c r="K132" s="305"/>
      <c r="L132" s="305"/>
      <c r="M132" s="305"/>
      <c r="N132" s="303"/>
      <c r="O132" s="303"/>
      <c r="P132" s="303"/>
      <c r="Q132" s="303"/>
      <c r="R132" s="303"/>
      <c r="S132" s="303"/>
      <c r="T132" s="303"/>
      <c r="U132" s="303"/>
      <c r="V132" s="303"/>
      <c r="W132" s="303"/>
      <c r="X132" s="303"/>
      <c r="Y132" s="303"/>
      <c r="Z132" s="303"/>
    </row>
    <row r="133" ht="14.25" customHeight="1">
      <c r="A133" s="303"/>
      <c r="B133" s="305"/>
      <c r="C133" s="305"/>
      <c r="D133" s="305"/>
      <c r="E133" s="305"/>
      <c r="F133" s="305"/>
      <c r="G133" s="305"/>
      <c r="H133" s="305"/>
      <c r="I133" s="305"/>
      <c r="J133" s="305"/>
      <c r="K133" s="305"/>
      <c r="L133" s="305"/>
      <c r="M133" s="305"/>
      <c r="N133" s="303"/>
      <c r="O133" s="303"/>
      <c r="P133" s="303"/>
      <c r="Q133" s="303"/>
      <c r="R133" s="303"/>
      <c r="S133" s="303"/>
      <c r="T133" s="303"/>
      <c r="U133" s="303"/>
      <c r="V133" s="303"/>
      <c r="W133" s="303"/>
      <c r="X133" s="303"/>
      <c r="Y133" s="303"/>
      <c r="Z133" s="303"/>
    </row>
    <row r="134" ht="14.25" customHeight="1">
      <c r="A134" s="303"/>
      <c r="B134" s="305"/>
      <c r="C134" s="305"/>
      <c r="D134" s="305"/>
      <c r="E134" s="305"/>
      <c r="F134" s="305"/>
      <c r="G134" s="305"/>
      <c r="H134" s="305"/>
      <c r="I134" s="305"/>
      <c r="J134" s="305"/>
      <c r="K134" s="305"/>
      <c r="L134" s="305"/>
      <c r="M134" s="305"/>
      <c r="N134" s="303"/>
      <c r="O134" s="303"/>
      <c r="P134" s="303"/>
      <c r="Q134" s="303"/>
      <c r="R134" s="303"/>
      <c r="S134" s="303"/>
      <c r="T134" s="303"/>
      <c r="U134" s="303"/>
      <c r="V134" s="303"/>
      <c r="W134" s="303"/>
      <c r="X134" s="303"/>
      <c r="Y134" s="303"/>
      <c r="Z134" s="303"/>
    </row>
    <row r="135" ht="14.25" customHeight="1">
      <c r="A135" s="303"/>
      <c r="B135" s="305"/>
      <c r="C135" s="305"/>
      <c r="D135" s="305"/>
      <c r="E135" s="305"/>
      <c r="F135" s="305"/>
      <c r="G135" s="305"/>
      <c r="H135" s="305"/>
      <c r="I135" s="305"/>
      <c r="J135" s="305"/>
      <c r="K135" s="305"/>
      <c r="L135" s="305"/>
      <c r="M135" s="305"/>
      <c r="N135" s="303"/>
      <c r="O135" s="303"/>
      <c r="P135" s="303"/>
      <c r="Q135" s="303"/>
      <c r="R135" s="303"/>
      <c r="S135" s="303"/>
      <c r="T135" s="303"/>
      <c r="U135" s="303"/>
      <c r="V135" s="303"/>
      <c r="W135" s="303"/>
      <c r="X135" s="303"/>
      <c r="Y135" s="303"/>
      <c r="Z135" s="303"/>
    </row>
    <row r="136" ht="14.25" customHeight="1">
      <c r="A136" s="303"/>
      <c r="B136" s="305"/>
      <c r="C136" s="305"/>
      <c r="D136" s="305"/>
      <c r="E136" s="305"/>
      <c r="F136" s="305"/>
      <c r="G136" s="305"/>
      <c r="H136" s="305"/>
      <c r="I136" s="305"/>
      <c r="J136" s="305"/>
      <c r="K136" s="305"/>
      <c r="L136" s="305"/>
      <c r="M136" s="305"/>
      <c r="N136" s="303"/>
      <c r="O136" s="303"/>
      <c r="P136" s="303"/>
      <c r="Q136" s="303"/>
      <c r="R136" s="303"/>
      <c r="S136" s="303"/>
      <c r="T136" s="303"/>
      <c r="U136" s="303"/>
      <c r="V136" s="303"/>
      <c r="W136" s="303"/>
      <c r="X136" s="303"/>
      <c r="Y136" s="303"/>
      <c r="Z136" s="303"/>
    </row>
    <row r="137" ht="14.25" customHeight="1">
      <c r="A137" s="303"/>
      <c r="B137" s="305"/>
      <c r="C137" s="305"/>
      <c r="D137" s="305"/>
      <c r="E137" s="305"/>
      <c r="F137" s="305"/>
      <c r="G137" s="305"/>
      <c r="H137" s="305"/>
      <c r="I137" s="305"/>
      <c r="J137" s="305"/>
      <c r="K137" s="305"/>
      <c r="L137" s="305"/>
      <c r="M137" s="305"/>
      <c r="N137" s="303"/>
      <c r="O137" s="303"/>
      <c r="P137" s="303"/>
      <c r="Q137" s="303"/>
      <c r="R137" s="303"/>
      <c r="S137" s="303"/>
      <c r="T137" s="303"/>
      <c r="U137" s="303"/>
      <c r="V137" s="303"/>
      <c r="W137" s="303"/>
      <c r="X137" s="303"/>
      <c r="Y137" s="303"/>
      <c r="Z137" s="303"/>
    </row>
    <row r="138" ht="14.25" customHeight="1">
      <c r="A138" s="303"/>
      <c r="B138" s="305"/>
      <c r="C138" s="305"/>
      <c r="D138" s="305"/>
      <c r="E138" s="305"/>
      <c r="F138" s="305"/>
      <c r="G138" s="305"/>
      <c r="H138" s="305"/>
      <c r="I138" s="305"/>
      <c r="J138" s="305"/>
      <c r="K138" s="305"/>
      <c r="L138" s="305"/>
      <c r="M138" s="305"/>
      <c r="N138" s="303"/>
      <c r="O138" s="303"/>
      <c r="P138" s="303"/>
      <c r="Q138" s="303"/>
      <c r="R138" s="303"/>
      <c r="S138" s="303"/>
      <c r="T138" s="303"/>
      <c r="U138" s="303"/>
      <c r="V138" s="303"/>
      <c r="W138" s="303"/>
      <c r="X138" s="303"/>
      <c r="Y138" s="303"/>
      <c r="Z138" s="303"/>
    </row>
    <row r="139" ht="14.25" customHeight="1">
      <c r="A139" s="303"/>
      <c r="B139" s="305"/>
      <c r="C139" s="305"/>
      <c r="D139" s="305"/>
      <c r="E139" s="305"/>
      <c r="F139" s="305"/>
      <c r="G139" s="305"/>
      <c r="H139" s="305"/>
      <c r="I139" s="305"/>
      <c r="J139" s="305"/>
      <c r="K139" s="305"/>
      <c r="L139" s="305"/>
      <c r="M139" s="305"/>
      <c r="N139" s="303"/>
      <c r="O139" s="303"/>
      <c r="P139" s="303"/>
      <c r="Q139" s="303"/>
      <c r="R139" s="303"/>
      <c r="S139" s="303"/>
      <c r="T139" s="303"/>
      <c r="U139" s="303"/>
      <c r="V139" s="303"/>
      <c r="W139" s="303"/>
      <c r="X139" s="303"/>
      <c r="Y139" s="303"/>
      <c r="Z139" s="303"/>
    </row>
    <row r="140" ht="14.25" customHeight="1">
      <c r="A140" s="303"/>
      <c r="B140" s="305"/>
      <c r="C140" s="305"/>
      <c r="D140" s="305"/>
      <c r="E140" s="305"/>
      <c r="F140" s="305"/>
      <c r="G140" s="305"/>
      <c r="H140" s="305"/>
      <c r="I140" s="305"/>
      <c r="J140" s="305"/>
      <c r="K140" s="305"/>
      <c r="L140" s="305"/>
      <c r="M140" s="305"/>
      <c r="N140" s="303"/>
      <c r="O140" s="303"/>
      <c r="P140" s="303"/>
      <c r="Q140" s="303"/>
      <c r="R140" s="303"/>
      <c r="S140" s="303"/>
      <c r="T140" s="303"/>
      <c r="U140" s="303"/>
      <c r="V140" s="303"/>
      <c r="W140" s="303"/>
      <c r="X140" s="303"/>
      <c r="Y140" s="303"/>
      <c r="Z140" s="303"/>
    </row>
    <row r="141" ht="14.25" customHeight="1">
      <c r="A141" s="303"/>
      <c r="B141" s="305"/>
      <c r="C141" s="305"/>
      <c r="D141" s="305"/>
      <c r="E141" s="305"/>
      <c r="F141" s="305"/>
      <c r="G141" s="305"/>
      <c r="H141" s="305"/>
      <c r="I141" s="305"/>
      <c r="J141" s="305"/>
      <c r="K141" s="305"/>
      <c r="L141" s="305"/>
      <c r="M141" s="305"/>
      <c r="N141" s="303"/>
      <c r="O141" s="303"/>
      <c r="P141" s="303"/>
      <c r="Q141" s="303"/>
      <c r="R141" s="303"/>
      <c r="S141" s="303"/>
      <c r="T141" s="303"/>
      <c r="U141" s="303"/>
      <c r="V141" s="303"/>
      <c r="W141" s="303"/>
      <c r="X141" s="303"/>
      <c r="Y141" s="303"/>
      <c r="Z141" s="303"/>
    </row>
    <row r="142" ht="14.25" customHeight="1">
      <c r="A142" s="303"/>
      <c r="B142" s="305"/>
      <c r="C142" s="305"/>
      <c r="D142" s="305"/>
      <c r="E142" s="305"/>
      <c r="F142" s="305"/>
      <c r="G142" s="305"/>
      <c r="H142" s="305"/>
      <c r="I142" s="305"/>
      <c r="J142" s="305"/>
      <c r="K142" s="305"/>
      <c r="L142" s="305"/>
      <c r="M142" s="305"/>
      <c r="N142" s="303"/>
      <c r="O142" s="303"/>
      <c r="P142" s="303"/>
      <c r="Q142" s="303"/>
      <c r="R142" s="303"/>
      <c r="S142" s="303"/>
      <c r="T142" s="303"/>
      <c r="U142" s="303"/>
      <c r="V142" s="303"/>
      <c r="W142" s="303"/>
      <c r="X142" s="303"/>
      <c r="Y142" s="303"/>
      <c r="Z142" s="303"/>
    </row>
    <row r="143" ht="14.25" customHeight="1">
      <c r="A143" s="303"/>
      <c r="B143" s="305"/>
      <c r="C143" s="305"/>
      <c r="D143" s="305"/>
      <c r="E143" s="305"/>
      <c r="F143" s="305"/>
      <c r="G143" s="305"/>
      <c r="H143" s="305"/>
      <c r="I143" s="305"/>
      <c r="J143" s="305"/>
      <c r="K143" s="305"/>
      <c r="L143" s="305"/>
      <c r="M143" s="305"/>
      <c r="N143" s="303"/>
      <c r="O143" s="303"/>
      <c r="P143" s="303"/>
      <c r="Q143" s="303"/>
      <c r="R143" s="303"/>
      <c r="S143" s="303"/>
      <c r="T143" s="303"/>
      <c r="U143" s="303"/>
      <c r="V143" s="303"/>
      <c r="W143" s="303"/>
      <c r="X143" s="303"/>
      <c r="Y143" s="303"/>
      <c r="Z143" s="303"/>
    </row>
    <row r="144" ht="14.25" customHeight="1">
      <c r="A144" s="303"/>
      <c r="B144" s="305"/>
      <c r="C144" s="305"/>
      <c r="D144" s="305"/>
      <c r="E144" s="305"/>
      <c r="F144" s="305"/>
      <c r="G144" s="305"/>
      <c r="H144" s="305"/>
      <c r="I144" s="305"/>
      <c r="J144" s="305"/>
      <c r="K144" s="305"/>
      <c r="L144" s="305"/>
      <c r="M144" s="305"/>
      <c r="N144" s="303"/>
      <c r="O144" s="303"/>
      <c r="P144" s="303"/>
      <c r="Q144" s="303"/>
      <c r="R144" s="303"/>
      <c r="S144" s="303"/>
      <c r="T144" s="303"/>
      <c r="U144" s="303"/>
      <c r="V144" s="303"/>
      <c r="W144" s="303"/>
      <c r="X144" s="303"/>
      <c r="Y144" s="303"/>
      <c r="Z144" s="303"/>
    </row>
    <row r="145" ht="14.25" customHeight="1">
      <c r="A145" s="303"/>
      <c r="B145" s="305"/>
      <c r="C145" s="305"/>
      <c r="D145" s="305"/>
      <c r="E145" s="305"/>
      <c r="F145" s="305"/>
      <c r="G145" s="305"/>
      <c r="H145" s="305"/>
      <c r="I145" s="305"/>
      <c r="J145" s="305"/>
      <c r="K145" s="305"/>
      <c r="L145" s="305"/>
      <c r="M145" s="305"/>
      <c r="N145" s="303"/>
      <c r="O145" s="303"/>
      <c r="P145" s="303"/>
      <c r="Q145" s="303"/>
      <c r="R145" s="303"/>
      <c r="S145" s="303"/>
      <c r="T145" s="303"/>
      <c r="U145" s="303"/>
      <c r="V145" s="303"/>
      <c r="W145" s="303"/>
      <c r="X145" s="303"/>
      <c r="Y145" s="303"/>
      <c r="Z145" s="303"/>
    </row>
    <row r="146" ht="14.25" customHeight="1">
      <c r="A146" s="303"/>
      <c r="B146" s="305"/>
      <c r="C146" s="305"/>
      <c r="D146" s="305"/>
      <c r="E146" s="305"/>
      <c r="F146" s="305"/>
      <c r="G146" s="305"/>
      <c r="H146" s="305"/>
      <c r="I146" s="305"/>
      <c r="J146" s="305"/>
      <c r="K146" s="305"/>
      <c r="L146" s="305"/>
      <c r="M146" s="305"/>
      <c r="N146" s="303"/>
      <c r="O146" s="303"/>
      <c r="P146" s="303"/>
      <c r="Q146" s="303"/>
      <c r="R146" s="303"/>
      <c r="S146" s="303"/>
      <c r="T146" s="303"/>
      <c r="U146" s="303"/>
      <c r="V146" s="303"/>
      <c r="W146" s="303"/>
      <c r="X146" s="303"/>
      <c r="Y146" s="303"/>
      <c r="Z146" s="303"/>
    </row>
    <row r="147" ht="14.25" customHeight="1">
      <c r="A147" s="303"/>
      <c r="B147" s="305"/>
      <c r="C147" s="305"/>
      <c r="D147" s="305"/>
      <c r="E147" s="305"/>
      <c r="F147" s="305"/>
      <c r="G147" s="305"/>
      <c r="H147" s="305"/>
      <c r="I147" s="305"/>
      <c r="J147" s="305"/>
      <c r="K147" s="305"/>
      <c r="L147" s="305"/>
      <c r="M147" s="305"/>
      <c r="N147" s="303"/>
      <c r="O147" s="303"/>
      <c r="P147" s="303"/>
      <c r="Q147" s="303"/>
      <c r="R147" s="303"/>
      <c r="S147" s="303"/>
      <c r="T147" s="303"/>
      <c r="U147" s="303"/>
      <c r="V147" s="303"/>
      <c r="W147" s="303"/>
      <c r="X147" s="303"/>
      <c r="Y147" s="303"/>
      <c r="Z147" s="303"/>
    </row>
    <row r="148" ht="14.25" customHeight="1">
      <c r="A148" s="303"/>
      <c r="B148" s="305"/>
      <c r="C148" s="305"/>
      <c r="D148" s="305"/>
      <c r="E148" s="305"/>
      <c r="F148" s="305"/>
      <c r="G148" s="305"/>
      <c r="H148" s="305"/>
      <c r="I148" s="305"/>
      <c r="J148" s="305"/>
      <c r="K148" s="305"/>
      <c r="L148" s="305"/>
      <c r="M148" s="305"/>
      <c r="N148" s="303"/>
      <c r="O148" s="303"/>
      <c r="P148" s="303"/>
      <c r="Q148" s="303"/>
      <c r="R148" s="303"/>
      <c r="S148" s="303"/>
      <c r="T148" s="303"/>
      <c r="U148" s="303"/>
      <c r="V148" s="303"/>
      <c r="W148" s="303"/>
      <c r="X148" s="303"/>
      <c r="Y148" s="303"/>
      <c r="Z148" s="303"/>
    </row>
    <row r="149" ht="14.25" customHeight="1">
      <c r="A149" s="303"/>
      <c r="B149" s="305"/>
      <c r="C149" s="305"/>
      <c r="D149" s="305"/>
      <c r="E149" s="305"/>
      <c r="F149" s="305"/>
      <c r="G149" s="305"/>
      <c r="H149" s="305"/>
      <c r="I149" s="305"/>
      <c r="J149" s="305"/>
      <c r="K149" s="305"/>
      <c r="L149" s="305"/>
      <c r="M149" s="305"/>
      <c r="N149" s="303"/>
      <c r="O149" s="303"/>
      <c r="P149" s="303"/>
      <c r="Q149" s="303"/>
      <c r="R149" s="303"/>
      <c r="S149" s="303"/>
      <c r="T149" s="303"/>
      <c r="U149" s="303"/>
      <c r="V149" s="303"/>
      <c r="W149" s="303"/>
      <c r="X149" s="303"/>
      <c r="Y149" s="303"/>
      <c r="Z149" s="303"/>
    </row>
    <row r="150" ht="14.25" customHeight="1">
      <c r="A150" s="303"/>
      <c r="B150" s="305"/>
      <c r="C150" s="305"/>
      <c r="D150" s="305"/>
      <c r="E150" s="305"/>
      <c r="F150" s="305"/>
      <c r="G150" s="305"/>
      <c r="H150" s="305"/>
      <c r="I150" s="305"/>
      <c r="J150" s="305"/>
      <c r="K150" s="305"/>
      <c r="L150" s="305"/>
      <c r="M150" s="305"/>
      <c r="N150" s="303"/>
      <c r="O150" s="303"/>
      <c r="P150" s="303"/>
      <c r="Q150" s="303"/>
      <c r="R150" s="303"/>
      <c r="S150" s="303"/>
      <c r="T150" s="303"/>
      <c r="U150" s="303"/>
      <c r="V150" s="303"/>
      <c r="W150" s="303"/>
      <c r="X150" s="303"/>
      <c r="Y150" s="303"/>
      <c r="Z150" s="303"/>
    </row>
    <row r="151" ht="14.25" customHeight="1">
      <c r="A151" s="303"/>
      <c r="B151" s="305"/>
      <c r="C151" s="305"/>
      <c r="D151" s="305"/>
      <c r="E151" s="305"/>
      <c r="F151" s="305"/>
      <c r="G151" s="305"/>
      <c r="H151" s="305"/>
      <c r="I151" s="305"/>
      <c r="J151" s="305"/>
      <c r="K151" s="305"/>
      <c r="L151" s="305"/>
      <c r="M151" s="305"/>
      <c r="N151" s="303"/>
      <c r="O151" s="303"/>
      <c r="P151" s="303"/>
      <c r="Q151" s="303"/>
      <c r="R151" s="303"/>
      <c r="S151" s="303"/>
      <c r="T151" s="303"/>
      <c r="U151" s="303"/>
      <c r="V151" s="303"/>
      <c r="W151" s="303"/>
      <c r="X151" s="303"/>
      <c r="Y151" s="303"/>
      <c r="Z151" s="303"/>
    </row>
    <row r="152" ht="14.25" customHeight="1">
      <c r="A152" s="303"/>
      <c r="B152" s="305"/>
      <c r="C152" s="305"/>
      <c r="D152" s="305"/>
      <c r="E152" s="305"/>
      <c r="F152" s="305"/>
      <c r="G152" s="305"/>
      <c r="H152" s="305"/>
      <c r="I152" s="305"/>
      <c r="J152" s="305"/>
      <c r="K152" s="305"/>
      <c r="L152" s="305"/>
      <c r="M152" s="305"/>
      <c r="N152" s="303"/>
      <c r="O152" s="303"/>
      <c r="P152" s="303"/>
      <c r="Q152" s="303"/>
      <c r="R152" s="303"/>
      <c r="S152" s="303"/>
      <c r="T152" s="303"/>
      <c r="U152" s="303"/>
      <c r="V152" s="303"/>
      <c r="W152" s="303"/>
      <c r="X152" s="303"/>
      <c r="Y152" s="303"/>
      <c r="Z152" s="303"/>
    </row>
    <row r="153" ht="14.25" customHeight="1">
      <c r="A153" s="303"/>
      <c r="B153" s="305"/>
      <c r="C153" s="305"/>
      <c r="D153" s="305"/>
      <c r="E153" s="305"/>
      <c r="F153" s="305"/>
      <c r="G153" s="305"/>
      <c r="H153" s="305"/>
      <c r="I153" s="305"/>
      <c r="J153" s="305"/>
      <c r="K153" s="305"/>
      <c r="L153" s="305"/>
      <c r="M153" s="305"/>
      <c r="N153" s="303"/>
      <c r="O153" s="303"/>
      <c r="P153" s="303"/>
      <c r="Q153" s="303"/>
      <c r="R153" s="303"/>
      <c r="S153" s="303"/>
      <c r="T153" s="303"/>
      <c r="U153" s="303"/>
      <c r="V153" s="303"/>
      <c r="W153" s="303"/>
      <c r="X153" s="303"/>
      <c r="Y153" s="303"/>
      <c r="Z153" s="303"/>
    </row>
    <row r="154" ht="14.25" customHeight="1">
      <c r="A154" s="303"/>
      <c r="B154" s="305"/>
      <c r="C154" s="305"/>
      <c r="D154" s="305"/>
      <c r="E154" s="305"/>
      <c r="F154" s="305"/>
      <c r="G154" s="305"/>
      <c r="H154" s="305"/>
      <c r="I154" s="305"/>
      <c r="J154" s="305"/>
      <c r="K154" s="305"/>
      <c r="L154" s="305"/>
      <c r="M154" s="305"/>
      <c r="N154" s="303"/>
      <c r="O154" s="303"/>
      <c r="P154" s="303"/>
      <c r="Q154" s="303"/>
      <c r="R154" s="303"/>
      <c r="S154" s="303"/>
      <c r="T154" s="303"/>
      <c r="U154" s="303"/>
      <c r="V154" s="303"/>
      <c r="W154" s="303"/>
      <c r="X154" s="303"/>
      <c r="Y154" s="303"/>
      <c r="Z154" s="303"/>
    </row>
    <row r="155" ht="14.25" customHeight="1">
      <c r="A155" s="303"/>
      <c r="B155" s="305"/>
      <c r="C155" s="305"/>
      <c r="D155" s="305"/>
      <c r="E155" s="305"/>
      <c r="F155" s="305"/>
      <c r="G155" s="305"/>
      <c r="H155" s="305"/>
      <c r="I155" s="305"/>
      <c r="J155" s="305"/>
      <c r="K155" s="305"/>
      <c r="L155" s="305"/>
      <c r="M155" s="305"/>
      <c r="N155" s="303"/>
      <c r="O155" s="303"/>
      <c r="P155" s="303"/>
      <c r="Q155" s="303"/>
      <c r="R155" s="303"/>
      <c r="S155" s="303"/>
      <c r="T155" s="303"/>
      <c r="U155" s="303"/>
      <c r="V155" s="303"/>
      <c r="W155" s="303"/>
      <c r="X155" s="303"/>
      <c r="Y155" s="303"/>
      <c r="Z155" s="303"/>
    </row>
    <row r="156" ht="14.25" customHeight="1">
      <c r="A156" s="303"/>
      <c r="B156" s="305"/>
      <c r="C156" s="305"/>
      <c r="D156" s="305"/>
      <c r="E156" s="305"/>
      <c r="F156" s="305"/>
      <c r="G156" s="305"/>
      <c r="H156" s="305"/>
      <c r="I156" s="305"/>
      <c r="J156" s="305"/>
      <c r="K156" s="305"/>
      <c r="L156" s="305"/>
      <c r="M156" s="305"/>
      <c r="N156" s="303"/>
      <c r="O156" s="303"/>
      <c r="P156" s="303"/>
      <c r="Q156" s="303"/>
      <c r="R156" s="303"/>
      <c r="S156" s="303"/>
      <c r="T156" s="303"/>
      <c r="U156" s="303"/>
      <c r="V156" s="303"/>
      <c r="W156" s="303"/>
      <c r="X156" s="303"/>
      <c r="Y156" s="303"/>
      <c r="Z156" s="303"/>
    </row>
    <row r="157" ht="14.25" customHeight="1">
      <c r="A157" s="303"/>
      <c r="B157" s="305"/>
      <c r="C157" s="305"/>
      <c r="D157" s="305"/>
      <c r="E157" s="305"/>
      <c r="F157" s="305"/>
      <c r="G157" s="305"/>
      <c r="H157" s="305"/>
      <c r="I157" s="305"/>
      <c r="J157" s="305"/>
      <c r="K157" s="305"/>
      <c r="L157" s="305"/>
      <c r="M157" s="305"/>
      <c r="N157" s="303"/>
      <c r="O157" s="303"/>
      <c r="P157" s="303"/>
      <c r="Q157" s="303"/>
      <c r="R157" s="303"/>
      <c r="S157" s="303"/>
      <c r="T157" s="303"/>
      <c r="U157" s="303"/>
      <c r="V157" s="303"/>
      <c r="W157" s="303"/>
      <c r="X157" s="303"/>
      <c r="Y157" s="303"/>
      <c r="Z157" s="303"/>
    </row>
    <row r="158" ht="14.25" customHeight="1">
      <c r="A158" s="303"/>
      <c r="B158" s="305"/>
      <c r="C158" s="305"/>
      <c r="D158" s="305"/>
      <c r="E158" s="305"/>
      <c r="F158" s="305"/>
      <c r="G158" s="305"/>
      <c r="H158" s="305"/>
      <c r="I158" s="305"/>
      <c r="J158" s="305"/>
      <c r="K158" s="305"/>
      <c r="L158" s="305"/>
      <c r="M158" s="305"/>
      <c r="N158" s="303"/>
      <c r="O158" s="303"/>
      <c r="P158" s="303"/>
      <c r="Q158" s="303"/>
      <c r="R158" s="303"/>
      <c r="S158" s="303"/>
      <c r="T158" s="303"/>
      <c r="U158" s="303"/>
      <c r="V158" s="303"/>
      <c r="W158" s="303"/>
      <c r="X158" s="303"/>
      <c r="Y158" s="303"/>
      <c r="Z158" s="303"/>
    </row>
    <row r="159" ht="14.25" customHeight="1">
      <c r="A159" s="303"/>
      <c r="B159" s="305"/>
      <c r="C159" s="305"/>
      <c r="D159" s="305"/>
      <c r="E159" s="305"/>
      <c r="F159" s="305"/>
      <c r="G159" s="305"/>
      <c r="H159" s="305"/>
      <c r="I159" s="305"/>
      <c r="J159" s="305"/>
      <c r="K159" s="305"/>
      <c r="L159" s="305"/>
      <c r="M159" s="305"/>
      <c r="N159" s="303"/>
      <c r="O159" s="303"/>
      <c r="P159" s="303"/>
      <c r="Q159" s="303"/>
      <c r="R159" s="303"/>
      <c r="S159" s="303"/>
      <c r="T159" s="303"/>
      <c r="U159" s="303"/>
      <c r="V159" s="303"/>
      <c r="W159" s="303"/>
      <c r="X159" s="303"/>
      <c r="Y159" s="303"/>
      <c r="Z159" s="303"/>
    </row>
    <row r="160" ht="14.25" customHeight="1">
      <c r="A160" s="303"/>
      <c r="B160" s="305"/>
      <c r="C160" s="305"/>
      <c r="D160" s="305"/>
      <c r="E160" s="305"/>
      <c r="F160" s="305"/>
      <c r="G160" s="305"/>
      <c r="H160" s="305"/>
      <c r="I160" s="305"/>
      <c r="J160" s="305"/>
      <c r="K160" s="305"/>
      <c r="L160" s="305"/>
      <c r="M160" s="305"/>
      <c r="N160" s="303"/>
      <c r="O160" s="303"/>
      <c r="P160" s="303"/>
      <c r="Q160" s="303"/>
      <c r="R160" s="303"/>
      <c r="S160" s="303"/>
      <c r="T160" s="303"/>
      <c r="U160" s="303"/>
      <c r="V160" s="303"/>
      <c r="W160" s="303"/>
      <c r="X160" s="303"/>
      <c r="Y160" s="303"/>
      <c r="Z160" s="303"/>
    </row>
    <row r="161" ht="14.25" customHeight="1">
      <c r="A161" s="303"/>
      <c r="B161" s="305"/>
      <c r="C161" s="305"/>
      <c r="D161" s="305"/>
      <c r="E161" s="305"/>
      <c r="F161" s="305"/>
      <c r="G161" s="305"/>
      <c r="H161" s="305"/>
      <c r="I161" s="305"/>
      <c r="J161" s="305"/>
      <c r="K161" s="305"/>
      <c r="L161" s="305"/>
      <c r="M161" s="305"/>
      <c r="N161" s="303"/>
      <c r="O161" s="303"/>
      <c r="P161" s="303"/>
      <c r="Q161" s="303"/>
      <c r="R161" s="303"/>
      <c r="S161" s="303"/>
      <c r="T161" s="303"/>
      <c r="U161" s="303"/>
      <c r="V161" s="303"/>
      <c r="W161" s="303"/>
      <c r="X161" s="303"/>
      <c r="Y161" s="303"/>
      <c r="Z161" s="303"/>
    </row>
    <row r="162" ht="14.25" customHeight="1">
      <c r="A162" s="303"/>
      <c r="B162" s="305"/>
      <c r="C162" s="305"/>
      <c r="D162" s="305"/>
      <c r="E162" s="305"/>
      <c r="F162" s="305"/>
      <c r="G162" s="305"/>
      <c r="H162" s="305"/>
      <c r="I162" s="305"/>
      <c r="J162" s="305"/>
      <c r="K162" s="305"/>
      <c r="L162" s="305"/>
      <c r="M162" s="305"/>
      <c r="N162" s="303"/>
      <c r="O162" s="303"/>
      <c r="P162" s="303"/>
      <c r="Q162" s="303"/>
      <c r="R162" s="303"/>
      <c r="S162" s="303"/>
      <c r="T162" s="303"/>
      <c r="U162" s="303"/>
      <c r="V162" s="303"/>
      <c r="W162" s="303"/>
      <c r="X162" s="303"/>
      <c r="Y162" s="303"/>
      <c r="Z162" s="303"/>
    </row>
    <row r="163" ht="14.25" customHeight="1">
      <c r="A163" s="303"/>
      <c r="B163" s="305"/>
      <c r="C163" s="305"/>
      <c r="D163" s="305"/>
      <c r="E163" s="305"/>
      <c r="F163" s="305"/>
      <c r="G163" s="305"/>
      <c r="H163" s="305"/>
      <c r="I163" s="305"/>
      <c r="J163" s="305"/>
      <c r="K163" s="305"/>
      <c r="L163" s="305"/>
      <c r="M163" s="305"/>
      <c r="N163" s="303"/>
      <c r="O163" s="303"/>
      <c r="P163" s="303"/>
      <c r="Q163" s="303"/>
      <c r="R163" s="303"/>
      <c r="S163" s="303"/>
      <c r="T163" s="303"/>
      <c r="U163" s="303"/>
      <c r="V163" s="303"/>
      <c r="W163" s="303"/>
      <c r="X163" s="303"/>
      <c r="Y163" s="303"/>
      <c r="Z163" s="303"/>
    </row>
    <row r="164" ht="14.25" customHeight="1">
      <c r="A164" s="303"/>
      <c r="B164" s="305"/>
      <c r="C164" s="305"/>
      <c r="D164" s="305"/>
      <c r="E164" s="305"/>
      <c r="F164" s="305"/>
      <c r="G164" s="305"/>
      <c r="H164" s="305"/>
      <c r="I164" s="305"/>
      <c r="J164" s="305"/>
      <c r="K164" s="305"/>
      <c r="L164" s="305"/>
      <c r="M164" s="305"/>
      <c r="N164" s="303"/>
      <c r="O164" s="303"/>
      <c r="P164" s="303"/>
      <c r="Q164" s="303"/>
      <c r="R164" s="303"/>
      <c r="S164" s="303"/>
      <c r="T164" s="303"/>
      <c r="U164" s="303"/>
      <c r="V164" s="303"/>
      <c r="W164" s="303"/>
      <c r="X164" s="303"/>
      <c r="Y164" s="303"/>
      <c r="Z164" s="303"/>
    </row>
    <row r="165" ht="14.25" customHeight="1">
      <c r="A165" s="303"/>
      <c r="B165" s="305"/>
      <c r="C165" s="305"/>
      <c r="D165" s="305"/>
      <c r="E165" s="305"/>
      <c r="F165" s="305"/>
      <c r="G165" s="305"/>
      <c r="H165" s="305"/>
      <c r="I165" s="305"/>
      <c r="J165" s="305"/>
      <c r="K165" s="305"/>
      <c r="L165" s="305"/>
      <c r="M165" s="305"/>
      <c r="N165" s="303"/>
      <c r="O165" s="303"/>
      <c r="P165" s="303"/>
      <c r="Q165" s="303"/>
      <c r="R165" s="303"/>
      <c r="S165" s="303"/>
      <c r="T165" s="303"/>
      <c r="U165" s="303"/>
      <c r="V165" s="303"/>
      <c r="W165" s="303"/>
      <c r="X165" s="303"/>
      <c r="Y165" s="303"/>
      <c r="Z165" s="303"/>
    </row>
    <row r="166" ht="14.25" customHeight="1">
      <c r="A166" s="303"/>
      <c r="B166" s="305"/>
      <c r="C166" s="305"/>
      <c r="D166" s="305"/>
      <c r="E166" s="305"/>
      <c r="F166" s="305"/>
      <c r="G166" s="305"/>
      <c r="H166" s="305"/>
      <c r="I166" s="305"/>
      <c r="J166" s="305"/>
      <c r="K166" s="305"/>
      <c r="L166" s="305"/>
      <c r="M166" s="305"/>
      <c r="N166" s="303"/>
      <c r="O166" s="303"/>
      <c r="P166" s="303"/>
      <c r="Q166" s="303"/>
      <c r="R166" s="303"/>
      <c r="S166" s="303"/>
      <c r="T166" s="303"/>
      <c r="U166" s="303"/>
      <c r="V166" s="303"/>
      <c r="W166" s="303"/>
      <c r="X166" s="303"/>
      <c r="Y166" s="303"/>
      <c r="Z166" s="303"/>
    </row>
    <row r="167" ht="14.25" customHeight="1">
      <c r="A167" s="303"/>
      <c r="B167" s="305"/>
      <c r="C167" s="305"/>
      <c r="D167" s="305"/>
      <c r="E167" s="305"/>
      <c r="F167" s="305"/>
      <c r="G167" s="305"/>
      <c r="H167" s="305"/>
      <c r="I167" s="305"/>
      <c r="J167" s="305"/>
      <c r="K167" s="305"/>
      <c r="L167" s="305"/>
      <c r="M167" s="305"/>
      <c r="N167" s="303"/>
      <c r="O167" s="303"/>
      <c r="P167" s="303"/>
      <c r="Q167" s="303"/>
      <c r="R167" s="303"/>
      <c r="S167" s="303"/>
      <c r="T167" s="303"/>
      <c r="U167" s="303"/>
      <c r="V167" s="303"/>
      <c r="W167" s="303"/>
      <c r="X167" s="303"/>
      <c r="Y167" s="303"/>
      <c r="Z167" s="303"/>
    </row>
    <row r="168" ht="14.25" customHeight="1">
      <c r="A168" s="303"/>
      <c r="B168" s="305"/>
      <c r="C168" s="305"/>
      <c r="D168" s="305"/>
      <c r="E168" s="305"/>
      <c r="F168" s="305"/>
      <c r="G168" s="305"/>
      <c r="H168" s="305"/>
      <c r="I168" s="305"/>
      <c r="J168" s="305"/>
      <c r="K168" s="305"/>
      <c r="L168" s="305"/>
      <c r="M168" s="305"/>
      <c r="N168" s="303"/>
      <c r="O168" s="303"/>
      <c r="P168" s="303"/>
      <c r="Q168" s="303"/>
      <c r="R168" s="303"/>
      <c r="S168" s="303"/>
      <c r="T168" s="303"/>
      <c r="U168" s="303"/>
      <c r="V168" s="303"/>
      <c r="W168" s="303"/>
      <c r="X168" s="303"/>
      <c r="Y168" s="303"/>
      <c r="Z168" s="303"/>
    </row>
    <row r="169" ht="14.25" customHeight="1">
      <c r="A169" s="303"/>
      <c r="B169" s="305"/>
      <c r="C169" s="305"/>
      <c r="D169" s="305"/>
      <c r="E169" s="305"/>
      <c r="F169" s="305"/>
      <c r="G169" s="305"/>
      <c r="H169" s="305"/>
      <c r="I169" s="305"/>
      <c r="J169" s="305"/>
      <c r="K169" s="305"/>
      <c r="L169" s="305"/>
      <c r="M169" s="305"/>
      <c r="N169" s="303"/>
      <c r="O169" s="303"/>
      <c r="P169" s="303"/>
      <c r="Q169" s="303"/>
      <c r="R169" s="303"/>
      <c r="S169" s="303"/>
      <c r="T169" s="303"/>
      <c r="U169" s="303"/>
      <c r="V169" s="303"/>
      <c r="W169" s="303"/>
      <c r="X169" s="303"/>
      <c r="Y169" s="303"/>
      <c r="Z169" s="303"/>
    </row>
    <row r="170" ht="14.25" customHeight="1">
      <c r="A170" s="303"/>
      <c r="B170" s="305"/>
      <c r="C170" s="305"/>
      <c r="D170" s="305"/>
      <c r="E170" s="305"/>
      <c r="F170" s="305"/>
      <c r="G170" s="305"/>
      <c r="H170" s="305"/>
      <c r="I170" s="305"/>
      <c r="J170" s="305"/>
      <c r="K170" s="305"/>
      <c r="L170" s="305"/>
      <c r="M170" s="305"/>
      <c r="N170" s="303"/>
      <c r="O170" s="303"/>
      <c r="P170" s="303"/>
      <c r="Q170" s="303"/>
      <c r="R170" s="303"/>
      <c r="S170" s="303"/>
      <c r="T170" s="303"/>
      <c r="U170" s="303"/>
      <c r="V170" s="303"/>
      <c r="W170" s="303"/>
      <c r="X170" s="303"/>
      <c r="Y170" s="303"/>
      <c r="Z170" s="303"/>
    </row>
    <row r="171" ht="14.25" customHeight="1">
      <c r="A171" s="303"/>
      <c r="B171" s="305"/>
      <c r="C171" s="305"/>
      <c r="D171" s="305"/>
      <c r="E171" s="305"/>
      <c r="F171" s="305"/>
      <c r="G171" s="305"/>
      <c r="H171" s="305"/>
      <c r="I171" s="305"/>
      <c r="J171" s="305"/>
      <c r="K171" s="305"/>
      <c r="L171" s="305"/>
      <c r="M171" s="305"/>
      <c r="N171" s="303"/>
      <c r="O171" s="303"/>
      <c r="P171" s="303"/>
      <c r="Q171" s="303"/>
      <c r="R171" s="303"/>
      <c r="S171" s="303"/>
      <c r="T171" s="303"/>
      <c r="U171" s="303"/>
      <c r="V171" s="303"/>
      <c r="W171" s="303"/>
      <c r="X171" s="303"/>
      <c r="Y171" s="303"/>
      <c r="Z171" s="303"/>
    </row>
    <row r="172" ht="14.25" customHeight="1">
      <c r="A172" s="303"/>
      <c r="B172" s="305"/>
      <c r="C172" s="305"/>
      <c r="D172" s="305"/>
      <c r="E172" s="305"/>
      <c r="F172" s="305"/>
      <c r="G172" s="305"/>
      <c r="H172" s="305"/>
      <c r="I172" s="305"/>
      <c r="J172" s="305"/>
      <c r="K172" s="305"/>
      <c r="L172" s="305"/>
      <c r="M172" s="305"/>
      <c r="N172" s="303"/>
      <c r="O172" s="303"/>
      <c r="P172" s="303"/>
      <c r="Q172" s="303"/>
      <c r="R172" s="303"/>
      <c r="S172" s="303"/>
      <c r="T172" s="303"/>
      <c r="U172" s="303"/>
      <c r="V172" s="303"/>
      <c r="W172" s="303"/>
      <c r="X172" s="303"/>
      <c r="Y172" s="303"/>
      <c r="Z172" s="303"/>
    </row>
    <row r="173" ht="14.25" customHeight="1">
      <c r="A173" s="303"/>
      <c r="B173" s="305"/>
      <c r="C173" s="305"/>
      <c r="D173" s="305"/>
      <c r="E173" s="305"/>
      <c r="F173" s="305"/>
      <c r="G173" s="305"/>
      <c r="H173" s="305"/>
      <c r="I173" s="305"/>
      <c r="J173" s="305"/>
      <c r="K173" s="305"/>
      <c r="L173" s="305"/>
      <c r="M173" s="305"/>
      <c r="N173" s="303"/>
      <c r="O173" s="303"/>
      <c r="P173" s="303"/>
      <c r="Q173" s="303"/>
      <c r="R173" s="303"/>
      <c r="S173" s="303"/>
      <c r="T173" s="303"/>
      <c r="U173" s="303"/>
      <c r="V173" s="303"/>
      <c r="W173" s="303"/>
      <c r="X173" s="303"/>
      <c r="Y173" s="303"/>
      <c r="Z173" s="303"/>
    </row>
    <row r="174" ht="14.25" customHeight="1">
      <c r="A174" s="303"/>
      <c r="B174" s="305"/>
      <c r="C174" s="305"/>
      <c r="D174" s="305"/>
      <c r="E174" s="305"/>
      <c r="F174" s="305"/>
      <c r="G174" s="305"/>
      <c r="H174" s="305"/>
      <c r="I174" s="305"/>
      <c r="J174" s="305"/>
      <c r="K174" s="305"/>
      <c r="L174" s="305"/>
      <c r="M174" s="305"/>
      <c r="N174" s="303"/>
      <c r="O174" s="303"/>
      <c r="P174" s="303"/>
      <c r="Q174" s="303"/>
      <c r="R174" s="303"/>
      <c r="S174" s="303"/>
      <c r="T174" s="303"/>
      <c r="U174" s="303"/>
      <c r="V174" s="303"/>
      <c r="W174" s="303"/>
      <c r="X174" s="303"/>
      <c r="Y174" s="303"/>
      <c r="Z174" s="303"/>
    </row>
    <row r="175" ht="14.25" customHeight="1">
      <c r="A175" s="303"/>
      <c r="B175" s="305"/>
      <c r="C175" s="305"/>
      <c r="D175" s="305"/>
      <c r="E175" s="305"/>
      <c r="F175" s="305"/>
      <c r="G175" s="305"/>
      <c r="H175" s="305"/>
      <c r="I175" s="305"/>
      <c r="J175" s="305"/>
      <c r="K175" s="305"/>
      <c r="L175" s="305"/>
      <c r="M175" s="305"/>
      <c r="N175" s="303"/>
      <c r="O175" s="303"/>
      <c r="P175" s="303"/>
      <c r="Q175" s="303"/>
      <c r="R175" s="303"/>
      <c r="S175" s="303"/>
      <c r="T175" s="303"/>
      <c r="U175" s="303"/>
      <c r="V175" s="303"/>
      <c r="W175" s="303"/>
      <c r="X175" s="303"/>
      <c r="Y175" s="303"/>
      <c r="Z175" s="303"/>
    </row>
    <row r="176" ht="14.25" customHeight="1">
      <c r="A176" s="303"/>
      <c r="B176" s="305"/>
      <c r="C176" s="305"/>
      <c r="D176" s="305"/>
      <c r="E176" s="305"/>
      <c r="F176" s="305"/>
      <c r="G176" s="305"/>
      <c r="H176" s="305"/>
      <c r="I176" s="305"/>
      <c r="J176" s="305"/>
      <c r="K176" s="305"/>
      <c r="L176" s="305"/>
      <c r="M176" s="305"/>
      <c r="N176" s="303"/>
      <c r="O176" s="303"/>
      <c r="P176" s="303"/>
      <c r="Q176" s="303"/>
      <c r="R176" s="303"/>
      <c r="S176" s="303"/>
      <c r="T176" s="303"/>
      <c r="U176" s="303"/>
      <c r="V176" s="303"/>
      <c r="W176" s="303"/>
      <c r="X176" s="303"/>
      <c r="Y176" s="303"/>
      <c r="Z176" s="303"/>
    </row>
    <row r="177" ht="14.25" customHeight="1">
      <c r="A177" s="303"/>
      <c r="B177" s="305"/>
      <c r="C177" s="305"/>
      <c r="D177" s="305"/>
      <c r="E177" s="305"/>
      <c r="F177" s="305"/>
      <c r="G177" s="305"/>
      <c r="H177" s="305"/>
      <c r="I177" s="305"/>
      <c r="J177" s="305"/>
      <c r="K177" s="305"/>
      <c r="L177" s="305"/>
      <c r="M177" s="305"/>
      <c r="N177" s="303"/>
      <c r="O177" s="303"/>
      <c r="P177" s="303"/>
      <c r="Q177" s="303"/>
      <c r="R177" s="303"/>
      <c r="S177" s="303"/>
      <c r="T177" s="303"/>
      <c r="U177" s="303"/>
      <c r="V177" s="303"/>
      <c r="W177" s="303"/>
      <c r="X177" s="303"/>
      <c r="Y177" s="303"/>
      <c r="Z177" s="303"/>
    </row>
    <row r="178" ht="14.25" customHeight="1">
      <c r="A178" s="303"/>
      <c r="B178" s="305"/>
      <c r="C178" s="305"/>
      <c r="D178" s="305"/>
      <c r="E178" s="305"/>
      <c r="F178" s="305"/>
      <c r="G178" s="305"/>
      <c r="H178" s="305"/>
      <c r="I178" s="305"/>
      <c r="J178" s="305"/>
      <c r="K178" s="305"/>
      <c r="L178" s="305"/>
      <c r="M178" s="305"/>
      <c r="N178" s="303"/>
      <c r="O178" s="303"/>
      <c r="P178" s="303"/>
      <c r="Q178" s="303"/>
      <c r="R178" s="303"/>
      <c r="S178" s="303"/>
      <c r="T178" s="303"/>
      <c r="U178" s="303"/>
      <c r="V178" s="303"/>
      <c r="W178" s="303"/>
      <c r="X178" s="303"/>
      <c r="Y178" s="303"/>
      <c r="Z178" s="303"/>
    </row>
    <row r="179" ht="14.25" customHeight="1">
      <c r="A179" s="303"/>
      <c r="B179" s="305"/>
      <c r="C179" s="305"/>
      <c r="D179" s="305"/>
      <c r="E179" s="305"/>
      <c r="F179" s="305"/>
      <c r="G179" s="305"/>
      <c r="H179" s="305"/>
      <c r="I179" s="305"/>
      <c r="J179" s="305"/>
      <c r="K179" s="305"/>
      <c r="L179" s="305"/>
      <c r="M179" s="305"/>
      <c r="N179" s="303"/>
      <c r="O179" s="303"/>
      <c r="P179" s="303"/>
      <c r="Q179" s="303"/>
      <c r="R179" s="303"/>
      <c r="S179" s="303"/>
      <c r="T179" s="303"/>
      <c r="U179" s="303"/>
      <c r="V179" s="303"/>
      <c r="W179" s="303"/>
      <c r="X179" s="303"/>
      <c r="Y179" s="303"/>
      <c r="Z179" s="303"/>
    </row>
    <row r="180" ht="14.25" customHeight="1">
      <c r="A180" s="303"/>
      <c r="B180" s="305"/>
      <c r="C180" s="305"/>
      <c r="D180" s="305"/>
      <c r="E180" s="305"/>
      <c r="F180" s="305"/>
      <c r="G180" s="305"/>
      <c r="H180" s="305"/>
      <c r="I180" s="305"/>
      <c r="J180" s="305"/>
      <c r="K180" s="305"/>
      <c r="L180" s="305"/>
      <c r="M180" s="305"/>
      <c r="N180" s="303"/>
      <c r="O180" s="303"/>
      <c r="P180" s="303"/>
      <c r="Q180" s="303"/>
      <c r="R180" s="303"/>
      <c r="S180" s="303"/>
      <c r="T180" s="303"/>
      <c r="U180" s="303"/>
      <c r="V180" s="303"/>
      <c r="W180" s="303"/>
      <c r="X180" s="303"/>
      <c r="Y180" s="303"/>
      <c r="Z180" s="303"/>
    </row>
    <row r="181" ht="14.25" customHeight="1">
      <c r="A181" s="303"/>
      <c r="B181" s="305"/>
      <c r="C181" s="305"/>
      <c r="D181" s="305"/>
      <c r="E181" s="305"/>
      <c r="F181" s="305"/>
      <c r="G181" s="305"/>
      <c r="H181" s="305"/>
      <c r="I181" s="305"/>
      <c r="J181" s="305"/>
      <c r="K181" s="305"/>
      <c r="L181" s="305"/>
      <c r="M181" s="305"/>
      <c r="N181" s="303"/>
      <c r="O181" s="303"/>
      <c r="P181" s="303"/>
      <c r="Q181" s="303"/>
      <c r="R181" s="303"/>
      <c r="S181" s="303"/>
      <c r="T181" s="303"/>
      <c r="U181" s="303"/>
      <c r="V181" s="303"/>
      <c r="W181" s="303"/>
      <c r="X181" s="303"/>
      <c r="Y181" s="303"/>
      <c r="Z181" s="303"/>
    </row>
    <row r="182" ht="14.25" customHeight="1">
      <c r="A182" s="303"/>
      <c r="B182" s="305"/>
      <c r="C182" s="305"/>
      <c r="D182" s="305"/>
      <c r="E182" s="305"/>
      <c r="F182" s="305"/>
      <c r="G182" s="305"/>
      <c r="H182" s="305"/>
      <c r="I182" s="305"/>
      <c r="J182" s="305"/>
      <c r="K182" s="305"/>
      <c r="L182" s="305"/>
      <c r="M182" s="305"/>
      <c r="N182" s="303"/>
      <c r="O182" s="303"/>
      <c r="P182" s="303"/>
      <c r="Q182" s="303"/>
      <c r="R182" s="303"/>
      <c r="S182" s="303"/>
      <c r="T182" s="303"/>
      <c r="U182" s="303"/>
      <c r="V182" s="303"/>
      <c r="W182" s="303"/>
      <c r="X182" s="303"/>
      <c r="Y182" s="303"/>
      <c r="Z182" s="303"/>
    </row>
    <row r="183" ht="14.25" customHeight="1">
      <c r="A183" s="303"/>
      <c r="B183" s="305"/>
      <c r="C183" s="305"/>
      <c r="D183" s="305"/>
      <c r="E183" s="305"/>
      <c r="F183" s="305"/>
      <c r="G183" s="305"/>
      <c r="H183" s="305"/>
      <c r="I183" s="305"/>
      <c r="J183" s="305"/>
      <c r="K183" s="305"/>
      <c r="L183" s="305"/>
      <c r="M183" s="305"/>
      <c r="N183" s="303"/>
      <c r="O183" s="303"/>
      <c r="P183" s="303"/>
      <c r="Q183" s="303"/>
      <c r="R183" s="303"/>
      <c r="S183" s="303"/>
      <c r="T183" s="303"/>
      <c r="U183" s="303"/>
      <c r="V183" s="303"/>
      <c r="W183" s="303"/>
      <c r="X183" s="303"/>
      <c r="Y183" s="303"/>
      <c r="Z183" s="303"/>
    </row>
    <row r="184" ht="14.25" customHeight="1">
      <c r="A184" s="303"/>
      <c r="B184" s="305"/>
      <c r="C184" s="305"/>
      <c r="D184" s="305"/>
      <c r="E184" s="305"/>
      <c r="F184" s="305"/>
      <c r="G184" s="305"/>
      <c r="H184" s="305"/>
      <c r="I184" s="305"/>
      <c r="J184" s="305"/>
      <c r="K184" s="305"/>
      <c r="L184" s="305"/>
      <c r="M184" s="305"/>
      <c r="N184" s="303"/>
      <c r="O184" s="303"/>
      <c r="P184" s="303"/>
      <c r="Q184" s="303"/>
      <c r="R184" s="303"/>
      <c r="S184" s="303"/>
      <c r="T184" s="303"/>
      <c r="U184" s="303"/>
      <c r="V184" s="303"/>
      <c r="W184" s="303"/>
      <c r="X184" s="303"/>
      <c r="Y184" s="303"/>
      <c r="Z184" s="303"/>
    </row>
    <row r="185" ht="14.25" customHeight="1">
      <c r="A185" s="303"/>
      <c r="B185" s="305"/>
      <c r="C185" s="305"/>
      <c r="D185" s="305"/>
      <c r="E185" s="305"/>
      <c r="F185" s="305"/>
      <c r="G185" s="305"/>
      <c r="H185" s="305"/>
      <c r="I185" s="305"/>
      <c r="J185" s="305"/>
      <c r="K185" s="305"/>
      <c r="L185" s="305"/>
      <c r="M185" s="305"/>
      <c r="N185" s="303"/>
      <c r="O185" s="303"/>
      <c r="P185" s="303"/>
      <c r="Q185" s="303"/>
      <c r="R185" s="303"/>
      <c r="S185" s="303"/>
      <c r="T185" s="303"/>
      <c r="U185" s="303"/>
      <c r="V185" s="303"/>
      <c r="W185" s="303"/>
      <c r="X185" s="303"/>
      <c r="Y185" s="303"/>
      <c r="Z185" s="303"/>
    </row>
    <row r="186" ht="14.25" customHeight="1">
      <c r="A186" s="303"/>
      <c r="B186" s="305"/>
      <c r="C186" s="305"/>
      <c r="D186" s="305"/>
      <c r="E186" s="305"/>
      <c r="F186" s="305"/>
      <c r="G186" s="305"/>
      <c r="H186" s="305"/>
      <c r="I186" s="305"/>
      <c r="J186" s="305"/>
      <c r="K186" s="305"/>
      <c r="L186" s="305"/>
      <c r="M186" s="305"/>
      <c r="N186" s="303"/>
      <c r="O186" s="303"/>
      <c r="P186" s="303"/>
      <c r="Q186" s="303"/>
      <c r="R186" s="303"/>
      <c r="S186" s="303"/>
      <c r="T186" s="303"/>
      <c r="U186" s="303"/>
      <c r="V186" s="303"/>
      <c r="W186" s="303"/>
      <c r="X186" s="303"/>
      <c r="Y186" s="303"/>
      <c r="Z186" s="303"/>
    </row>
    <row r="187" ht="14.25" customHeight="1">
      <c r="A187" s="303"/>
      <c r="B187" s="305"/>
      <c r="C187" s="305"/>
      <c r="D187" s="305"/>
      <c r="E187" s="305"/>
      <c r="F187" s="305"/>
      <c r="G187" s="305"/>
      <c r="H187" s="305"/>
      <c r="I187" s="305"/>
      <c r="J187" s="305"/>
      <c r="K187" s="305"/>
      <c r="L187" s="305"/>
      <c r="M187" s="305"/>
      <c r="N187" s="303"/>
      <c r="O187" s="303"/>
      <c r="P187" s="303"/>
      <c r="Q187" s="303"/>
      <c r="R187" s="303"/>
      <c r="S187" s="303"/>
      <c r="T187" s="303"/>
      <c r="U187" s="303"/>
      <c r="V187" s="303"/>
      <c r="W187" s="303"/>
      <c r="X187" s="303"/>
      <c r="Y187" s="303"/>
      <c r="Z187" s="303"/>
    </row>
    <row r="188" ht="14.25" customHeight="1">
      <c r="A188" s="303"/>
      <c r="B188" s="305"/>
      <c r="C188" s="305"/>
      <c r="D188" s="305"/>
      <c r="E188" s="305"/>
      <c r="F188" s="305"/>
      <c r="G188" s="305"/>
      <c r="H188" s="305"/>
      <c r="I188" s="305"/>
      <c r="J188" s="305"/>
      <c r="K188" s="305"/>
      <c r="L188" s="305"/>
      <c r="M188" s="305"/>
      <c r="N188" s="303"/>
      <c r="O188" s="303"/>
      <c r="P188" s="303"/>
      <c r="Q188" s="303"/>
      <c r="R188" s="303"/>
      <c r="S188" s="303"/>
      <c r="T188" s="303"/>
      <c r="U188" s="303"/>
      <c r="V188" s="303"/>
      <c r="W188" s="303"/>
      <c r="X188" s="303"/>
      <c r="Y188" s="303"/>
      <c r="Z188" s="303"/>
    </row>
    <row r="189" ht="14.25" customHeight="1">
      <c r="A189" s="303"/>
      <c r="B189" s="305"/>
      <c r="C189" s="305"/>
      <c r="D189" s="305"/>
      <c r="E189" s="305"/>
      <c r="F189" s="305"/>
      <c r="G189" s="305"/>
      <c r="H189" s="305"/>
      <c r="I189" s="305"/>
      <c r="J189" s="305"/>
      <c r="K189" s="305"/>
      <c r="L189" s="305"/>
      <c r="M189" s="305"/>
      <c r="N189" s="303"/>
      <c r="O189" s="303"/>
      <c r="P189" s="303"/>
      <c r="Q189" s="303"/>
      <c r="R189" s="303"/>
      <c r="S189" s="303"/>
      <c r="T189" s="303"/>
      <c r="U189" s="303"/>
      <c r="V189" s="303"/>
      <c r="W189" s="303"/>
      <c r="X189" s="303"/>
      <c r="Y189" s="303"/>
      <c r="Z189" s="303"/>
    </row>
    <row r="190" ht="14.25" customHeight="1">
      <c r="A190" s="303"/>
      <c r="B190" s="305"/>
      <c r="C190" s="305"/>
      <c r="D190" s="305"/>
      <c r="E190" s="305"/>
      <c r="F190" s="305"/>
      <c r="G190" s="305"/>
      <c r="H190" s="305"/>
      <c r="I190" s="305"/>
      <c r="J190" s="305"/>
      <c r="K190" s="305"/>
      <c r="L190" s="305"/>
      <c r="M190" s="305"/>
      <c r="N190" s="303"/>
      <c r="O190" s="303"/>
      <c r="P190" s="303"/>
      <c r="Q190" s="303"/>
      <c r="R190" s="303"/>
      <c r="S190" s="303"/>
      <c r="T190" s="303"/>
      <c r="U190" s="303"/>
      <c r="V190" s="303"/>
      <c r="W190" s="303"/>
      <c r="X190" s="303"/>
      <c r="Y190" s="303"/>
      <c r="Z190" s="303"/>
    </row>
    <row r="191" ht="14.25" customHeight="1">
      <c r="A191" s="303"/>
      <c r="B191" s="305"/>
      <c r="C191" s="305"/>
      <c r="D191" s="305"/>
      <c r="E191" s="305"/>
      <c r="F191" s="305"/>
      <c r="G191" s="305"/>
      <c r="H191" s="305"/>
      <c r="I191" s="305"/>
      <c r="J191" s="305"/>
      <c r="K191" s="305"/>
      <c r="L191" s="305"/>
      <c r="M191" s="305"/>
      <c r="N191" s="303"/>
      <c r="O191" s="303"/>
      <c r="P191" s="303"/>
      <c r="Q191" s="303"/>
      <c r="R191" s="303"/>
      <c r="S191" s="303"/>
      <c r="T191" s="303"/>
      <c r="U191" s="303"/>
      <c r="V191" s="303"/>
      <c r="W191" s="303"/>
      <c r="X191" s="303"/>
      <c r="Y191" s="303"/>
      <c r="Z191" s="303"/>
    </row>
    <row r="192" ht="14.25" customHeight="1">
      <c r="A192" s="303"/>
      <c r="B192" s="305"/>
      <c r="C192" s="305"/>
      <c r="D192" s="305"/>
      <c r="E192" s="305"/>
      <c r="F192" s="305"/>
      <c r="G192" s="305"/>
      <c r="H192" s="305"/>
      <c r="I192" s="305"/>
      <c r="J192" s="305"/>
      <c r="K192" s="305"/>
      <c r="L192" s="305"/>
      <c r="M192" s="305"/>
      <c r="N192" s="303"/>
      <c r="O192" s="303"/>
      <c r="P192" s="303"/>
      <c r="Q192" s="303"/>
      <c r="R192" s="303"/>
      <c r="S192" s="303"/>
      <c r="T192" s="303"/>
      <c r="U192" s="303"/>
      <c r="V192" s="303"/>
      <c r="W192" s="303"/>
      <c r="X192" s="303"/>
      <c r="Y192" s="303"/>
      <c r="Z192" s="303"/>
    </row>
    <row r="193" ht="14.25" customHeight="1">
      <c r="A193" s="303"/>
      <c r="B193" s="305"/>
      <c r="C193" s="305"/>
      <c r="D193" s="305"/>
      <c r="E193" s="305"/>
      <c r="F193" s="305"/>
      <c r="G193" s="305"/>
      <c r="H193" s="305"/>
      <c r="I193" s="305"/>
      <c r="J193" s="305"/>
      <c r="K193" s="305"/>
      <c r="L193" s="305"/>
      <c r="M193" s="305"/>
      <c r="N193" s="303"/>
      <c r="O193" s="303"/>
      <c r="P193" s="303"/>
      <c r="Q193" s="303"/>
      <c r="R193" s="303"/>
      <c r="S193" s="303"/>
      <c r="T193" s="303"/>
      <c r="U193" s="303"/>
      <c r="V193" s="303"/>
      <c r="W193" s="303"/>
      <c r="X193" s="303"/>
      <c r="Y193" s="303"/>
      <c r="Z193" s="303"/>
    </row>
    <row r="194" ht="14.25" customHeight="1">
      <c r="A194" s="303"/>
      <c r="B194" s="305"/>
      <c r="C194" s="305"/>
      <c r="D194" s="305"/>
      <c r="E194" s="305"/>
      <c r="F194" s="305"/>
      <c r="G194" s="305"/>
      <c r="H194" s="305"/>
      <c r="I194" s="305"/>
      <c r="J194" s="305"/>
      <c r="K194" s="305"/>
      <c r="L194" s="305"/>
      <c r="M194" s="305"/>
      <c r="N194" s="303"/>
      <c r="O194" s="303"/>
      <c r="P194" s="303"/>
      <c r="Q194" s="303"/>
      <c r="R194" s="303"/>
      <c r="S194" s="303"/>
      <c r="T194" s="303"/>
      <c r="U194" s="303"/>
      <c r="V194" s="303"/>
      <c r="W194" s="303"/>
      <c r="X194" s="303"/>
      <c r="Y194" s="303"/>
      <c r="Z194" s="303"/>
    </row>
    <row r="195" ht="14.25" customHeight="1">
      <c r="A195" s="303"/>
      <c r="B195" s="305"/>
      <c r="C195" s="305"/>
      <c r="D195" s="305"/>
      <c r="E195" s="305"/>
      <c r="F195" s="305"/>
      <c r="G195" s="305"/>
      <c r="H195" s="305"/>
      <c r="I195" s="305"/>
      <c r="J195" s="305"/>
      <c r="K195" s="305"/>
      <c r="L195" s="305"/>
      <c r="M195" s="305"/>
      <c r="N195" s="303"/>
      <c r="O195" s="303"/>
      <c r="P195" s="303"/>
      <c r="Q195" s="303"/>
      <c r="R195" s="303"/>
      <c r="S195" s="303"/>
      <c r="T195" s="303"/>
      <c r="U195" s="303"/>
      <c r="V195" s="303"/>
      <c r="W195" s="303"/>
      <c r="X195" s="303"/>
      <c r="Y195" s="303"/>
      <c r="Z195" s="303"/>
    </row>
    <row r="196" ht="14.25" customHeight="1">
      <c r="A196" s="303"/>
      <c r="B196" s="305"/>
      <c r="C196" s="305"/>
      <c r="D196" s="305"/>
      <c r="E196" s="305"/>
      <c r="F196" s="305"/>
      <c r="G196" s="305"/>
      <c r="H196" s="305"/>
      <c r="I196" s="305"/>
      <c r="J196" s="305"/>
      <c r="K196" s="305"/>
      <c r="L196" s="305"/>
      <c r="M196" s="305"/>
      <c r="N196" s="303"/>
      <c r="O196" s="303"/>
      <c r="P196" s="303"/>
      <c r="Q196" s="303"/>
      <c r="R196" s="303"/>
      <c r="S196" s="303"/>
      <c r="T196" s="303"/>
      <c r="U196" s="303"/>
      <c r="V196" s="303"/>
      <c r="W196" s="303"/>
      <c r="X196" s="303"/>
      <c r="Y196" s="303"/>
      <c r="Z196" s="303"/>
    </row>
    <row r="197" ht="14.25" customHeight="1">
      <c r="A197" s="303"/>
      <c r="B197" s="305"/>
      <c r="C197" s="305"/>
      <c r="D197" s="305"/>
      <c r="E197" s="305"/>
      <c r="F197" s="305"/>
      <c r="G197" s="305"/>
      <c r="H197" s="305"/>
      <c r="I197" s="305"/>
      <c r="J197" s="305"/>
      <c r="K197" s="305"/>
      <c r="L197" s="305"/>
      <c r="M197" s="305"/>
      <c r="N197" s="303"/>
      <c r="O197" s="303"/>
      <c r="P197" s="303"/>
      <c r="Q197" s="303"/>
      <c r="R197" s="303"/>
      <c r="S197" s="303"/>
      <c r="T197" s="303"/>
      <c r="U197" s="303"/>
      <c r="V197" s="303"/>
      <c r="W197" s="303"/>
      <c r="X197" s="303"/>
      <c r="Y197" s="303"/>
      <c r="Z197" s="303"/>
    </row>
    <row r="198" ht="14.25" customHeight="1">
      <c r="A198" s="303"/>
      <c r="B198" s="305"/>
      <c r="C198" s="305"/>
      <c r="D198" s="305"/>
      <c r="E198" s="305"/>
      <c r="F198" s="305"/>
      <c r="G198" s="305"/>
      <c r="H198" s="305"/>
      <c r="I198" s="305"/>
      <c r="J198" s="305"/>
      <c r="K198" s="305"/>
      <c r="L198" s="305"/>
      <c r="M198" s="305"/>
      <c r="N198" s="303"/>
      <c r="O198" s="303"/>
      <c r="P198" s="303"/>
      <c r="Q198" s="303"/>
      <c r="R198" s="303"/>
      <c r="S198" s="303"/>
      <c r="T198" s="303"/>
      <c r="U198" s="303"/>
      <c r="V198" s="303"/>
      <c r="W198" s="303"/>
      <c r="X198" s="303"/>
      <c r="Y198" s="303"/>
      <c r="Z198" s="303"/>
    </row>
    <row r="199" ht="14.25" customHeight="1">
      <c r="A199" s="303"/>
      <c r="B199" s="305"/>
      <c r="C199" s="305"/>
      <c r="D199" s="305"/>
      <c r="E199" s="305"/>
      <c r="F199" s="305"/>
      <c r="G199" s="305"/>
      <c r="H199" s="305"/>
      <c r="I199" s="305"/>
      <c r="J199" s="305"/>
      <c r="K199" s="305"/>
      <c r="L199" s="305"/>
      <c r="M199" s="305"/>
      <c r="N199" s="303"/>
      <c r="O199" s="303"/>
      <c r="P199" s="303"/>
      <c r="Q199" s="303"/>
      <c r="R199" s="303"/>
      <c r="S199" s="303"/>
      <c r="T199" s="303"/>
      <c r="U199" s="303"/>
      <c r="V199" s="303"/>
      <c r="W199" s="303"/>
      <c r="X199" s="303"/>
      <c r="Y199" s="303"/>
      <c r="Z199" s="303"/>
    </row>
    <row r="200" ht="14.25" customHeight="1">
      <c r="A200" s="303"/>
      <c r="B200" s="305"/>
      <c r="C200" s="305"/>
      <c r="D200" s="305"/>
      <c r="E200" s="305"/>
      <c r="F200" s="305"/>
      <c r="G200" s="305"/>
      <c r="H200" s="305"/>
      <c r="I200" s="305"/>
      <c r="J200" s="305"/>
      <c r="K200" s="305"/>
      <c r="L200" s="305"/>
      <c r="M200" s="305"/>
      <c r="N200" s="303"/>
      <c r="O200" s="303"/>
      <c r="P200" s="303"/>
      <c r="Q200" s="303"/>
      <c r="R200" s="303"/>
      <c r="S200" s="303"/>
      <c r="T200" s="303"/>
      <c r="U200" s="303"/>
      <c r="V200" s="303"/>
      <c r="W200" s="303"/>
      <c r="X200" s="303"/>
      <c r="Y200" s="303"/>
      <c r="Z200" s="303"/>
    </row>
    <row r="201" ht="14.25" customHeight="1">
      <c r="A201" s="303"/>
      <c r="B201" s="305"/>
      <c r="C201" s="305"/>
      <c r="D201" s="305"/>
      <c r="E201" s="305"/>
      <c r="F201" s="305"/>
      <c r="G201" s="305"/>
      <c r="H201" s="305"/>
      <c r="I201" s="305"/>
      <c r="J201" s="305"/>
      <c r="K201" s="305"/>
      <c r="L201" s="305"/>
      <c r="M201" s="305"/>
      <c r="N201" s="303"/>
      <c r="O201" s="303"/>
      <c r="P201" s="303"/>
      <c r="Q201" s="303"/>
      <c r="R201" s="303"/>
      <c r="S201" s="303"/>
      <c r="T201" s="303"/>
      <c r="U201" s="303"/>
      <c r="V201" s="303"/>
      <c r="W201" s="303"/>
      <c r="X201" s="303"/>
      <c r="Y201" s="303"/>
      <c r="Z201" s="303"/>
    </row>
    <row r="202" ht="14.25" customHeight="1">
      <c r="A202" s="303"/>
      <c r="B202" s="305"/>
      <c r="C202" s="305"/>
      <c r="D202" s="305"/>
      <c r="E202" s="305"/>
      <c r="F202" s="305"/>
      <c r="G202" s="305"/>
      <c r="H202" s="305"/>
      <c r="I202" s="305"/>
      <c r="J202" s="305"/>
      <c r="K202" s="305"/>
      <c r="L202" s="305"/>
      <c r="M202" s="305"/>
      <c r="N202" s="303"/>
      <c r="O202" s="303"/>
      <c r="P202" s="303"/>
      <c r="Q202" s="303"/>
      <c r="R202" s="303"/>
      <c r="S202" s="303"/>
      <c r="T202" s="303"/>
      <c r="U202" s="303"/>
      <c r="V202" s="303"/>
      <c r="W202" s="303"/>
      <c r="X202" s="303"/>
      <c r="Y202" s="303"/>
      <c r="Z202" s="303"/>
    </row>
    <row r="203" ht="14.25" customHeight="1">
      <c r="A203" s="303"/>
      <c r="B203" s="305"/>
      <c r="C203" s="305"/>
      <c r="D203" s="305"/>
      <c r="E203" s="305"/>
      <c r="F203" s="305"/>
      <c r="G203" s="305"/>
      <c r="H203" s="305"/>
      <c r="I203" s="305"/>
      <c r="J203" s="305"/>
      <c r="K203" s="305"/>
      <c r="L203" s="305"/>
      <c r="M203" s="305"/>
      <c r="N203" s="303"/>
      <c r="O203" s="303"/>
      <c r="P203" s="303"/>
      <c r="Q203" s="303"/>
      <c r="R203" s="303"/>
      <c r="S203" s="303"/>
      <c r="T203" s="303"/>
      <c r="U203" s="303"/>
      <c r="V203" s="303"/>
      <c r="W203" s="303"/>
      <c r="X203" s="303"/>
      <c r="Y203" s="303"/>
      <c r="Z203" s="303"/>
    </row>
    <row r="204" ht="14.25" customHeight="1">
      <c r="A204" s="303"/>
      <c r="B204" s="305"/>
      <c r="C204" s="305"/>
      <c r="D204" s="305"/>
      <c r="E204" s="305"/>
      <c r="F204" s="305"/>
      <c r="G204" s="305"/>
      <c r="H204" s="305"/>
      <c r="I204" s="305"/>
      <c r="J204" s="305"/>
      <c r="K204" s="305"/>
      <c r="L204" s="305"/>
      <c r="M204" s="305"/>
      <c r="N204" s="303"/>
      <c r="O204" s="303"/>
      <c r="P204" s="303"/>
      <c r="Q204" s="303"/>
      <c r="R204" s="303"/>
      <c r="S204" s="303"/>
      <c r="T204" s="303"/>
      <c r="U204" s="303"/>
      <c r="V204" s="303"/>
      <c r="W204" s="303"/>
      <c r="X204" s="303"/>
      <c r="Y204" s="303"/>
      <c r="Z204" s="303"/>
    </row>
    <row r="205" ht="14.25" customHeight="1">
      <c r="A205" s="303"/>
      <c r="B205" s="305"/>
      <c r="C205" s="305"/>
      <c r="D205" s="305"/>
      <c r="E205" s="305"/>
      <c r="F205" s="305"/>
      <c r="G205" s="305"/>
      <c r="H205" s="305"/>
      <c r="I205" s="305"/>
      <c r="J205" s="305"/>
      <c r="K205" s="305"/>
      <c r="L205" s="305"/>
      <c r="M205" s="305"/>
      <c r="N205" s="303"/>
      <c r="O205" s="303"/>
      <c r="P205" s="303"/>
      <c r="Q205" s="303"/>
      <c r="R205" s="303"/>
      <c r="S205" s="303"/>
      <c r="T205" s="303"/>
      <c r="U205" s="303"/>
      <c r="V205" s="303"/>
      <c r="W205" s="303"/>
      <c r="X205" s="303"/>
      <c r="Y205" s="303"/>
      <c r="Z205" s="303"/>
    </row>
    <row r="206" ht="14.25" customHeight="1">
      <c r="A206" s="303"/>
      <c r="B206" s="305"/>
      <c r="C206" s="305"/>
      <c r="D206" s="305"/>
      <c r="E206" s="305"/>
      <c r="F206" s="305"/>
      <c r="G206" s="305"/>
      <c r="H206" s="305"/>
      <c r="I206" s="305"/>
      <c r="J206" s="305"/>
      <c r="K206" s="305"/>
      <c r="L206" s="305"/>
      <c r="M206" s="305"/>
      <c r="N206" s="303"/>
      <c r="O206" s="303"/>
      <c r="P206" s="303"/>
      <c r="Q206" s="303"/>
      <c r="R206" s="303"/>
      <c r="S206" s="303"/>
      <c r="T206" s="303"/>
      <c r="U206" s="303"/>
      <c r="V206" s="303"/>
      <c r="W206" s="303"/>
      <c r="X206" s="303"/>
      <c r="Y206" s="303"/>
      <c r="Z206" s="303"/>
    </row>
    <row r="207" ht="14.25" customHeight="1">
      <c r="A207" s="303"/>
      <c r="B207" s="305"/>
      <c r="C207" s="305"/>
      <c r="D207" s="305"/>
      <c r="E207" s="305"/>
      <c r="F207" s="305"/>
      <c r="G207" s="305"/>
      <c r="H207" s="305"/>
      <c r="I207" s="305"/>
      <c r="J207" s="305"/>
      <c r="K207" s="305"/>
      <c r="L207" s="305"/>
      <c r="M207" s="305"/>
      <c r="N207" s="303"/>
      <c r="O207" s="303"/>
      <c r="P207" s="303"/>
      <c r="Q207" s="303"/>
      <c r="R207" s="303"/>
      <c r="S207" s="303"/>
      <c r="T207" s="303"/>
      <c r="U207" s="303"/>
      <c r="V207" s="303"/>
      <c r="W207" s="303"/>
      <c r="X207" s="303"/>
      <c r="Y207" s="303"/>
      <c r="Z207" s="303"/>
    </row>
    <row r="208" ht="14.25" customHeight="1">
      <c r="A208" s="303"/>
      <c r="B208" s="305"/>
      <c r="C208" s="305"/>
      <c r="D208" s="305"/>
      <c r="E208" s="305"/>
      <c r="F208" s="305"/>
      <c r="G208" s="305"/>
      <c r="H208" s="305"/>
      <c r="I208" s="305"/>
      <c r="J208" s="305"/>
      <c r="K208" s="305"/>
      <c r="L208" s="305"/>
      <c r="M208" s="305"/>
      <c r="N208" s="303"/>
      <c r="O208" s="303"/>
      <c r="P208" s="303"/>
      <c r="Q208" s="303"/>
      <c r="R208" s="303"/>
      <c r="S208" s="303"/>
      <c r="T208" s="303"/>
      <c r="U208" s="303"/>
      <c r="V208" s="303"/>
      <c r="W208" s="303"/>
      <c r="X208" s="303"/>
      <c r="Y208" s="303"/>
      <c r="Z208" s="303"/>
    </row>
    <row r="209" ht="14.25" customHeight="1">
      <c r="A209" s="303"/>
      <c r="B209" s="305"/>
      <c r="C209" s="305"/>
      <c r="D209" s="305"/>
      <c r="E209" s="305"/>
      <c r="F209" s="305"/>
      <c r="G209" s="305"/>
      <c r="H209" s="305"/>
      <c r="I209" s="305"/>
      <c r="J209" s="305"/>
      <c r="K209" s="305"/>
      <c r="L209" s="305"/>
      <c r="M209" s="305"/>
      <c r="N209" s="303"/>
      <c r="O209" s="303"/>
      <c r="P209" s="303"/>
      <c r="Q209" s="303"/>
      <c r="R209" s="303"/>
      <c r="S209" s="303"/>
      <c r="T209" s="303"/>
      <c r="U209" s="303"/>
      <c r="V209" s="303"/>
      <c r="W209" s="303"/>
      <c r="X209" s="303"/>
      <c r="Y209" s="303"/>
      <c r="Z209" s="303"/>
    </row>
    <row r="210" ht="14.25" customHeight="1">
      <c r="A210" s="303"/>
      <c r="B210" s="305"/>
      <c r="C210" s="305"/>
      <c r="D210" s="305"/>
      <c r="E210" s="305"/>
      <c r="F210" s="305"/>
      <c r="G210" s="305"/>
      <c r="H210" s="305"/>
      <c r="I210" s="305"/>
      <c r="J210" s="305"/>
      <c r="K210" s="305"/>
      <c r="L210" s="305"/>
      <c r="M210" s="305"/>
      <c r="N210" s="303"/>
      <c r="O210" s="303"/>
      <c r="P210" s="303"/>
      <c r="Q210" s="303"/>
      <c r="R210" s="303"/>
      <c r="S210" s="303"/>
      <c r="T210" s="303"/>
      <c r="U210" s="303"/>
      <c r="V210" s="303"/>
      <c r="W210" s="303"/>
      <c r="X210" s="303"/>
      <c r="Y210" s="303"/>
      <c r="Z210" s="303"/>
    </row>
    <row r="211" ht="14.25" customHeight="1">
      <c r="A211" s="303"/>
      <c r="B211" s="305"/>
      <c r="C211" s="305"/>
      <c r="D211" s="305"/>
      <c r="E211" s="305"/>
      <c r="F211" s="305"/>
      <c r="G211" s="305"/>
      <c r="H211" s="305"/>
      <c r="I211" s="305"/>
      <c r="J211" s="305"/>
      <c r="K211" s="305"/>
      <c r="L211" s="305"/>
      <c r="M211" s="305"/>
      <c r="N211" s="303"/>
      <c r="O211" s="303"/>
      <c r="P211" s="303"/>
      <c r="Q211" s="303"/>
      <c r="R211" s="303"/>
      <c r="S211" s="303"/>
      <c r="T211" s="303"/>
      <c r="U211" s="303"/>
      <c r="V211" s="303"/>
      <c r="W211" s="303"/>
      <c r="X211" s="303"/>
      <c r="Y211" s="303"/>
      <c r="Z211" s="303"/>
    </row>
    <row r="212" ht="14.25" customHeight="1">
      <c r="A212" s="303"/>
      <c r="B212" s="305"/>
      <c r="C212" s="305"/>
      <c r="D212" s="305"/>
      <c r="E212" s="305"/>
      <c r="F212" s="305"/>
      <c r="G212" s="305"/>
      <c r="H212" s="305"/>
      <c r="I212" s="305"/>
      <c r="J212" s="305"/>
      <c r="K212" s="305"/>
      <c r="L212" s="305"/>
      <c r="M212" s="305"/>
      <c r="N212" s="303"/>
      <c r="O212" s="303"/>
      <c r="P212" s="303"/>
      <c r="Q212" s="303"/>
      <c r="R212" s="303"/>
      <c r="S212" s="303"/>
      <c r="T212" s="303"/>
      <c r="U212" s="303"/>
      <c r="V212" s="303"/>
      <c r="W212" s="303"/>
      <c r="X212" s="303"/>
      <c r="Y212" s="303"/>
      <c r="Z212" s="303"/>
    </row>
    <row r="213" ht="14.25" customHeight="1">
      <c r="A213" s="303"/>
      <c r="B213" s="305"/>
      <c r="C213" s="305"/>
      <c r="D213" s="305"/>
      <c r="E213" s="305"/>
      <c r="F213" s="305"/>
      <c r="G213" s="305"/>
      <c r="H213" s="305"/>
      <c r="I213" s="305"/>
      <c r="J213" s="305"/>
      <c r="K213" s="305"/>
      <c r="L213" s="305"/>
      <c r="M213" s="305"/>
      <c r="N213" s="303"/>
      <c r="O213" s="303"/>
      <c r="P213" s="303"/>
      <c r="Q213" s="303"/>
      <c r="R213" s="303"/>
      <c r="S213" s="303"/>
      <c r="T213" s="303"/>
      <c r="U213" s="303"/>
      <c r="V213" s="303"/>
      <c r="W213" s="303"/>
      <c r="X213" s="303"/>
      <c r="Y213" s="303"/>
      <c r="Z213" s="303"/>
    </row>
    <row r="214" ht="14.25" customHeight="1">
      <c r="A214" s="303"/>
      <c r="B214" s="305"/>
      <c r="C214" s="305"/>
      <c r="D214" s="305"/>
      <c r="E214" s="305"/>
      <c r="F214" s="305"/>
      <c r="G214" s="305"/>
      <c r="H214" s="305"/>
      <c r="I214" s="305"/>
      <c r="J214" s="305"/>
      <c r="K214" s="305"/>
      <c r="L214" s="305"/>
      <c r="M214" s="305"/>
      <c r="N214" s="303"/>
      <c r="O214" s="303"/>
      <c r="P214" s="303"/>
      <c r="Q214" s="303"/>
      <c r="R214" s="303"/>
      <c r="S214" s="303"/>
      <c r="T214" s="303"/>
      <c r="U214" s="303"/>
      <c r="V214" s="303"/>
      <c r="W214" s="303"/>
      <c r="X214" s="303"/>
      <c r="Y214" s="303"/>
      <c r="Z214" s="303"/>
    </row>
    <row r="215" ht="14.25" customHeight="1">
      <c r="A215" s="303"/>
      <c r="B215" s="305"/>
      <c r="C215" s="305"/>
      <c r="D215" s="305"/>
      <c r="E215" s="305"/>
      <c r="F215" s="305"/>
      <c r="G215" s="305"/>
      <c r="H215" s="305"/>
      <c r="I215" s="305"/>
      <c r="J215" s="305"/>
      <c r="K215" s="305"/>
      <c r="L215" s="305"/>
      <c r="M215" s="305"/>
      <c r="N215" s="303"/>
      <c r="O215" s="303"/>
      <c r="P215" s="303"/>
      <c r="Q215" s="303"/>
      <c r="R215" s="303"/>
      <c r="S215" s="303"/>
      <c r="T215" s="303"/>
      <c r="U215" s="303"/>
      <c r="V215" s="303"/>
      <c r="W215" s="303"/>
      <c r="X215" s="303"/>
      <c r="Y215" s="303"/>
      <c r="Z215" s="303"/>
    </row>
    <row r="216" ht="14.25" customHeight="1">
      <c r="A216" s="303"/>
      <c r="B216" s="305"/>
      <c r="C216" s="305"/>
      <c r="D216" s="305"/>
      <c r="E216" s="305"/>
      <c r="F216" s="305"/>
      <c r="G216" s="305"/>
      <c r="H216" s="305"/>
      <c r="I216" s="305"/>
      <c r="J216" s="305"/>
      <c r="K216" s="305"/>
      <c r="L216" s="305"/>
      <c r="M216" s="305"/>
      <c r="N216" s="303"/>
      <c r="O216" s="303"/>
      <c r="P216" s="303"/>
      <c r="Q216" s="303"/>
      <c r="R216" s="303"/>
      <c r="S216" s="303"/>
      <c r="T216" s="303"/>
      <c r="U216" s="303"/>
      <c r="V216" s="303"/>
      <c r="W216" s="303"/>
      <c r="X216" s="303"/>
      <c r="Y216" s="303"/>
      <c r="Z216" s="303"/>
    </row>
    <row r="217" ht="14.25" customHeight="1">
      <c r="A217" s="303"/>
      <c r="B217" s="305"/>
      <c r="C217" s="305"/>
      <c r="D217" s="305"/>
      <c r="E217" s="305"/>
      <c r="F217" s="305"/>
      <c r="G217" s="305"/>
      <c r="H217" s="305"/>
      <c r="I217" s="305"/>
      <c r="J217" s="305"/>
      <c r="K217" s="305"/>
      <c r="L217" s="305"/>
      <c r="M217" s="305"/>
      <c r="N217" s="303"/>
      <c r="O217" s="303"/>
      <c r="P217" s="303"/>
      <c r="Q217" s="303"/>
      <c r="R217" s="303"/>
      <c r="S217" s="303"/>
      <c r="T217" s="303"/>
      <c r="U217" s="303"/>
      <c r="V217" s="303"/>
      <c r="W217" s="303"/>
      <c r="X217" s="303"/>
      <c r="Y217" s="303"/>
      <c r="Z217" s="303"/>
    </row>
    <row r="218" ht="14.25" customHeight="1">
      <c r="A218" s="303"/>
      <c r="B218" s="305"/>
      <c r="C218" s="305"/>
      <c r="D218" s="305"/>
      <c r="E218" s="305"/>
      <c r="F218" s="305"/>
      <c r="G218" s="305"/>
      <c r="H218" s="305"/>
      <c r="I218" s="305"/>
      <c r="J218" s="305"/>
      <c r="K218" s="305"/>
      <c r="L218" s="305"/>
      <c r="M218" s="305"/>
      <c r="N218" s="303"/>
      <c r="O218" s="303"/>
      <c r="P218" s="303"/>
      <c r="Q218" s="303"/>
      <c r="R218" s="303"/>
      <c r="S218" s="303"/>
      <c r="T218" s="303"/>
      <c r="U218" s="303"/>
      <c r="V218" s="303"/>
      <c r="W218" s="303"/>
      <c r="X218" s="303"/>
      <c r="Y218" s="303"/>
      <c r="Z218" s="303"/>
    </row>
    <row r="219" ht="14.25" customHeight="1">
      <c r="A219" s="303"/>
      <c r="B219" s="305"/>
      <c r="C219" s="305"/>
      <c r="D219" s="305"/>
      <c r="E219" s="305"/>
      <c r="F219" s="305"/>
      <c r="G219" s="305"/>
      <c r="H219" s="305"/>
      <c r="I219" s="305"/>
      <c r="J219" s="305"/>
      <c r="K219" s="305"/>
      <c r="L219" s="305"/>
      <c r="M219" s="305"/>
      <c r="N219" s="303"/>
      <c r="O219" s="303"/>
      <c r="P219" s="303"/>
      <c r="Q219" s="303"/>
      <c r="R219" s="303"/>
      <c r="S219" s="303"/>
      <c r="T219" s="303"/>
      <c r="U219" s="303"/>
      <c r="V219" s="303"/>
      <c r="W219" s="303"/>
      <c r="X219" s="303"/>
      <c r="Y219" s="303"/>
      <c r="Z219" s="303"/>
    </row>
    <row r="220" ht="14.25" customHeight="1">
      <c r="A220" s="303"/>
      <c r="B220" s="305"/>
      <c r="C220" s="305"/>
      <c r="D220" s="305"/>
      <c r="E220" s="305"/>
      <c r="F220" s="305"/>
      <c r="G220" s="305"/>
      <c r="H220" s="305"/>
      <c r="I220" s="305"/>
      <c r="J220" s="305"/>
      <c r="K220" s="305"/>
      <c r="L220" s="305"/>
      <c r="M220" s="305"/>
      <c r="N220" s="303"/>
      <c r="O220" s="303"/>
      <c r="P220" s="303"/>
      <c r="Q220" s="303"/>
      <c r="R220" s="303"/>
      <c r="S220" s="303"/>
      <c r="T220" s="303"/>
      <c r="U220" s="303"/>
      <c r="V220" s="303"/>
      <c r="W220" s="303"/>
      <c r="X220" s="303"/>
      <c r="Y220" s="303"/>
      <c r="Z220" s="303"/>
    </row>
    <row r="221" ht="14.25" customHeight="1">
      <c r="A221" s="303"/>
      <c r="B221" s="305"/>
      <c r="C221" s="305"/>
      <c r="D221" s="305"/>
      <c r="E221" s="305"/>
      <c r="F221" s="305"/>
      <c r="G221" s="305"/>
      <c r="H221" s="305"/>
      <c r="I221" s="305"/>
      <c r="J221" s="305"/>
      <c r="K221" s="305"/>
      <c r="L221" s="305"/>
      <c r="M221" s="305"/>
      <c r="N221" s="303"/>
      <c r="O221" s="303"/>
      <c r="P221" s="303"/>
      <c r="Q221" s="303"/>
      <c r="R221" s="303"/>
      <c r="S221" s="303"/>
      <c r="T221" s="303"/>
      <c r="U221" s="303"/>
      <c r="V221" s="303"/>
      <c r="W221" s="303"/>
      <c r="X221" s="303"/>
      <c r="Y221" s="303"/>
      <c r="Z221" s="303"/>
    </row>
    <row r="222" ht="14.25" customHeight="1">
      <c r="A222" s="303"/>
      <c r="B222" s="305"/>
      <c r="C222" s="305"/>
      <c r="D222" s="305"/>
      <c r="E222" s="305"/>
      <c r="F222" s="305"/>
      <c r="G222" s="305"/>
      <c r="H222" s="305"/>
      <c r="I222" s="305"/>
      <c r="J222" s="305"/>
      <c r="K222" s="305"/>
      <c r="L222" s="305"/>
      <c r="M222" s="305"/>
      <c r="N222" s="303"/>
      <c r="O222" s="303"/>
      <c r="P222" s="303"/>
      <c r="Q222" s="303"/>
      <c r="R222" s="303"/>
      <c r="S222" s="303"/>
      <c r="T222" s="303"/>
      <c r="U222" s="303"/>
      <c r="V222" s="303"/>
      <c r="W222" s="303"/>
      <c r="X222" s="303"/>
      <c r="Y222" s="303"/>
      <c r="Z222" s="303"/>
    </row>
    <row r="223" ht="14.25" customHeight="1">
      <c r="A223" s="303"/>
      <c r="B223" s="305"/>
      <c r="C223" s="305"/>
      <c r="D223" s="305"/>
      <c r="E223" s="305"/>
      <c r="F223" s="305"/>
      <c r="G223" s="305"/>
      <c r="H223" s="305"/>
      <c r="I223" s="305"/>
      <c r="J223" s="305"/>
      <c r="K223" s="305"/>
      <c r="L223" s="305"/>
      <c r="M223" s="305"/>
      <c r="N223" s="303"/>
      <c r="O223" s="303"/>
      <c r="P223" s="303"/>
      <c r="Q223" s="303"/>
      <c r="R223" s="303"/>
      <c r="S223" s="303"/>
      <c r="T223" s="303"/>
      <c r="U223" s="303"/>
      <c r="V223" s="303"/>
      <c r="W223" s="303"/>
      <c r="X223" s="303"/>
      <c r="Y223" s="303"/>
      <c r="Z223" s="30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J10:J11"/>
  </mergeCell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outlineLevelRow="1"/>
  <cols>
    <col customWidth="1" min="1" max="1" width="36.0"/>
    <col customWidth="1" min="2" max="13" width="16.63"/>
    <col customWidth="1" min="14" max="14" width="17.88"/>
    <col customWidth="1" min="15" max="15" width="15.63"/>
    <col customWidth="1" min="16" max="17" width="10.63"/>
  </cols>
  <sheetData>
    <row r="1" ht="15.0" customHeight="1" outlineLevel="1">
      <c r="A1" s="393"/>
      <c r="B1" s="393"/>
      <c r="C1" s="393"/>
      <c r="D1" s="393"/>
      <c r="E1" s="393"/>
      <c r="F1" s="393"/>
      <c r="G1" s="393"/>
      <c r="H1" s="393"/>
      <c r="I1" s="393"/>
      <c r="J1" s="393"/>
      <c r="K1" s="393"/>
      <c r="L1" s="393"/>
      <c r="M1" s="393"/>
      <c r="N1" s="393"/>
      <c r="O1" s="393"/>
      <c r="P1" s="393"/>
      <c r="Q1" s="393"/>
      <c r="R1" s="393"/>
      <c r="S1" s="393"/>
      <c r="T1" s="393"/>
      <c r="U1" s="393"/>
      <c r="V1" s="393"/>
      <c r="W1" s="393"/>
      <c r="X1" s="393"/>
      <c r="Y1" s="393"/>
      <c r="Z1" s="393"/>
    </row>
    <row r="2" ht="12.75" customHeight="1" outlineLevel="1">
      <c r="A2" s="394" t="s">
        <v>1467</v>
      </c>
      <c r="B2" s="395"/>
      <c r="C2" s="395">
        <v>20.0</v>
      </c>
      <c r="D2" s="395">
        <v>18.0</v>
      </c>
      <c r="E2" s="395">
        <v>19.0</v>
      </c>
      <c r="F2" s="395">
        <v>21.0</v>
      </c>
      <c r="G2" s="395">
        <v>20.0</v>
      </c>
      <c r="H2" s="395">
        <v>22.0</v>
      </c>
      <c r="I2" s="395">
        <v>20.0</v>
      </c>
      <c r="J2" s="395">
        <v>22.0</v>
      </c>
      <c r="K2" s="395">
        <v>22.0</v>
      </c>
      <c r="L2" s="395">
        <v>19.0</v>
      </c>
      <c r="M2" s="395">
        <v>19.0</v>
      </c>
      <c r="N2" s="393"/>
      <c r="O2" s="393"/>
      <c r="P2" s="393"/>
      <c r="Q2" s="393"/>
      <c r="R2" s="393"/>
      <c r="S2" s="393"/>
      <c r="T2" s="393"/>
      <c r="U2" s="393"/>
      <c r="V2" s="393"/>
      <c r="W2" s="393"/>
      <c r="X2" s="393"/>
      <c r="Y2" s="393"/>
      <c r="Z2" s="393"/>
    </row>
    <row r="3" ht="12.75" customHeight="1" outlineLevel="1">
      <c r="A3" s="396"/>
      <c r="B3" s="397"/>
      <c r="C3" s="397"/>
      <c r="D3" s="397"/>
      <c r="E3" s="397"/>
      <c r="F3" s="397"/>
      <c r="G3" s="398"/>
      <c r="H3" s="398"/>
      <c r="I3" s="397"/>
      <c r="J3" s="399"/>
      <c r="K3" s="397"/>
      <c r="L3" s="397"/>
      <c r="M3" s="397"/>
      <c r="N3" s="393"/>
      <c r="O3" s="393"/>
      <c r="P3" s="393"/>
      <c r="Q3" s="393"/>
      <c r="R3" s="393"/>
      <c r="S3" s="393"/>
      <c r="T3" s="393"/>
      <c r="U3" s="393"/>
      <c r="V3" s="393"/>
      <c r="W3" s="393"/>
      <c r="X3" s="393"/>
      <c r="Y3" s="393"/>
      <c r="Z3" s="393"/>
    </row>
    <row r="4" ht="12.75" customHeight="1" outlineLevel="1">
      <c r="A4" s="393"/>
      <c r="B4" s="399" t="s">
        <v>0</v>
      </c>
      <c r="C4" s="399" t="s">
        <v>0</v>
      </c>
      <c r="D4" s="399" t="s">
        <v>0</v>
      </c>
      <c r="E4" s="399" t="s">
        <v>0</v>
      </c>
      <c r="F4" s="399" t="s">
        <v>0</v>
      </c>
      <c r="G4" s="399" t="s">
        <v>0</v>
      </c>
      <c r="H4" s="399" t="s">
        <v>0</v>
      </c>
      <c r="I4" s="399" t="s">
        <v>0</v>
      </c>
      <c r="J4" s="399" t="s">
        <v>0</v>
      </c>
      <c r="K4" s="399" t="s">
        <v>1353</v>
      </c>
      <c r="L4" s="399" t="s">
        <v>1353</v>
      </c>
      <c r="M4" s="399" t="s">
        <v>1353</v>
      </c>
      <c r="N4" s="393"/>
      <c r="O4" s="393"/>
      <c r="P4" s="393"/>
      <c r="Q4" s="393"/>
      <c r="R4" s="393"/>
      <c r="S4" s="393"/>
      <c r="T4" s="393"/>
      <c r="U4" s="393"/>
      <c r="V4" s="393"/>
      <c r="W4" s="393"/>
      <c r="X4" s="393"/>
      <c r="Y4" s="393"/>
      <c r="Z4" s="393"/>
    </row>
    <row r="5" ht="12.75" customHeight="1" outlineLevel="1">
      <c r="A5" s="400" t="s">
        <v>1468</v>
      </c>
      <c r="B5" s="401">
        <v>45658.0</v>
      </c>
      <c r="C5" s="401">
        <v>45689.0</v>
      </c>
      <c r="D5" s="401">
        <v>45747.0</v>
      </c>
      <c r="E5" s="401">
        <f t="shared" ref="E5:M5" si="1">+D5+30</f>
        <v>45777</v>
      </c>
      <c r="F5" s="401">
        <f t="shared" si="1"/>
        <v>45807</v>
      </c>
      <c r="G5" s="401">
        <f t="shared" si="1"/>
        <v>45837</v>
      </c>
      <c r="H5" s="401">
        <f t="shared" si="1"/>
        <v>45867</v>
      </c>
      <c r="I5" s="401">
        <f t="shared" si="1"/>
        <v>45897</v>
      </c>
      <c r="J5" s="401">
        <f t="shared" si="1"/>
        <v>45927</v>
      </c>
      <c r="K5" s="402">
        <f t="shared" si="1"/>
        <v>45957</v>
      </c>
      <c r="L5" s="402">
        <f t="shared" si="1"/>
        <v>45987</v>
      </c>
      <c r="M5" s="402">
        <f t="shared" si="1"/>
        <v>46017</v>
      </c>
      <c r="N5" s="396"/>
      <c r="O5" s="393"/>
      <c r="P5" s="393"/>
      <c r="Q5" s="393"/>
      <c r="R5" s="403"/>
      <c r="S5" s="403"/>
      <c r="T5" s="403"/>
      <c r="U5" s="403"/>
      <c r="V5" s="403"/>
      <c r="W5" s="403"/>
      <c r="X5" s="403"/>
      <c r="Y5" s="403"/>
      <c r="Z5" s="403"/>
    </row>
    <row r="6" ht="12.75" customHeight="1" outlineLevel="1">
      <c r="A6" s="404" t="s">
        <v>1469</v>
      </c>
      <c r="B6" s="405">
        <v>1490306.0</v>
      </c>
      <c r="C6" s="405">
        <v>1355716.0</v>
      </c>
      <c r="D6" s="405">
        <v>1520755.0</v>
      </c>
      <c r="E6" s="405">
        <v>1602317.0</v>
      </c>
      <c r="F6" s="405">
        <v>1682330.0</v>
      </c>
      <c r="G6" s="405">
        <v>1666122.0</v>
      </c>
      <c r="H6" s="405">
        <v>1751014.0</v>
      </c>
      <c r="I6" s="405">
        <v>1703302.0</v>
      </c>
      <c r="J6" s="405">
        <v>1734745.0</v>
      </c>
      <c r="K6" s="406">
        <v>1750000.0</v>
      </c>
      <c r="L6" s="406">
        <v>1602317.0</v>
      </c>
      <c r="M6" s="406">
        <v>1602317.0</v>
      </c>
      <c r="N6" s="403"/>
      <c r="O6" s="393"/>
      <c r="P6" s="393"/>
      <c r="Q6" s="393"/>
      <c r="R6" s="403"/>
      <c r="S6" s="403"/>
      <c r="T6" s="403"/>
      <c r="U6" s="403"/>
      <c r="V6" s="403"/>
      <c r="W6" s="403"/>
      <c r="X6" s="403"/>
      <c r="Y6" s="403"/>
      <c r="Z6" s="403"/>
    </row>
    <row r="7" ht="12.75" customHeight="1" outlineLevel="1">
      <c r="A7" s="404" t="s">
        <v>1470</v>
      </c>
      <c r="B7" s="405">
        <v>213669.0</v>
      </c>
      <c r="C7" s="405">
        <v>190015.0</v>
      </c>
      <c r="D7" s="405">
        <v>208388.0</v>
      </c>
      <c r="E7" s="405">
        <v>213716.0</v>
      </c>
      <c r="F7" s="405">
        <v>225462.0</v>
      </c>
      <c r="G7" s="405">
        <v>230982.0</v>
      </c>
      <c r="H7" s="405">
        <v>241030.0</v>
      </c>
      <c r="I7" s="405">
        <v>233048.0</v>
      </c>
      <c r="J7" s="405">
        <v>233018.0</v>
      </c>
      <c r="K7" s="406">
        <v>250000.0</v>
      </c>
      <c r="L7" s="406">
        <v>213716.0</v>
      </c>
      <c r="M7" s="406">
        <v>213716.0</v>
      </c>
      <c r="N7" s="403"/>
      <c r="O7" s="393"/>
      <c r="P7" s="393"/>
      <c r="Q7" s="393"/>
      <c r="R7" s="403"/>
      <c r="S7" s="403"/>
      <c r="T7" s="403"/>
      <c r="U7" s="403"/>
      <c r="V7" s="403"/>
      <c r="W7" s="403"/>
      <c r="X7" s="403"/>
      <c r="Y7" s="403"/>
      <c r="Z7" s="403"/>
    </row>
    <row r="8" ht="12.75" customHeight="1" outlineLevel="1">
      <c r="A8" s="404" t="s">
        <v>1471</v>
      </c>
      <c r="B8" s="407">
        <v>763760.0</v>
      </c>
      <c r="C8" s="407">
        <v>721443.0</v>
      </c>
      <c r="D8" s="407">
        <v>781327.0</v>
      </c>
      <c r="E8" s="407">
        <v>818781.0</v>
      </c>
      <c r="F8" s="407">
        <v>852102.0</v>
      </c>
      <c r="G8" s="405">
        <v>847647.0</v>
      </c>
      <c r="H8" s="405">
        <v>914890.0</v>
      </c>
      <c r="I8" s="405">
        <v>872560.0</v>
      </c>
      <c r="J8" s="405">
        <v>889037.0</v>
      </c>
      <c r="K8" s="406">
        <v>910000.0</v>
      </c>
      <c r="L8" s="406">
        <v>818781.0</v>
      </c>
      <c r="M8" s="406">
        <v>818781.0</v>
      </c>
      <c r="N8" s="403"/>
      <c r="O8" s="393"/>
      <c r="P8" s="393"/>
      <c r="Q8" s="393"/>
      <c r="R8" s="403"/>
      <c r="S8" s="403"/>
      <c r="T8" s="403"/>
      <c r="U8" s="403"/>
      <c r="V8" s="403"/>
      <c r="W8" s="403"/>
      <c r="X8" s="403"/>
      <c r="Y8" s="403"/>
      <c r="Z8" s="403"/>
    </row>
    <row r="9" ht="12.75" customHeight="1" outlineLevel="1">
      <c r="A9" s="408" t="s">
        <v>1472</v>
      </c>
      <c r="B9" s="405">
        <v>815603.0</v>
      </c>
      <c r="C9" s="405">
        <v>797198.0</v>
      </c>
      <c r="D9" s="405">
        <v>919640.0</v>
      </c>
      <c r="E9" s="405">
        <v>975702.0</v>
      </c>
      <c r="F9" s="405">
        <v>1037849.0</v>
      </c>
      <c r="G9" s="409">
        <v>1037505.0</v>
      </c>
      <c r="H9" s="409">
        <v>1125351.0</v>
      </c>
      <c r="I9" s="405">
        <v>1127209.0</v>
      </c>
      <c r="J9" s="405">
        <v>1157003.0</v>
      </c>
      <c r="K9" s="406">
        <v>1157003.0</v>
      </c>
      <c r="L9" s="406">
        <v>975702.0</v>
      </c>
      <c r="M9" s="406">
        <v>975702.0</v>
      </c>
      <c r="N9" s="403"/>
      <c r="O9" s="393"/>
      <c r="P9" s="393"/>
      <c r="Q9" s="393"/>
      <c r="R9" s="403"/>
      <c r="S9" s="403"/>
      <c r="T9" s="403"/>
      <c r="U9" s="403"/>
      <c r="V9" s="403"/>
      <c r="W9" s="403"/>
      <c r="X9" s="403"/>
      <c r="Y9" s="403"/>
      <c r="Z9" s="403"/>
    </row>
    <row r="10" ht="12.75" customHeight="1" outlineLevel="1">
      <c r="A10" s="408" t="s">
        <v>1473</v>
      </c>
      <c r="B10" s="405">
        <v>213655.0</v>
      </c>
      <c r="C10" s="405">
        <v>190000.0</v>
      </c>
      <c r="D10" s="405">
        <v>208408.0</v>
      </c>
      <c r="E10" s="405">
        <v>213654.0</v>
      </c>
      <c r="F10" s="405">
        <v>225525.0</v>
      </c>
      <c r="G10" s="409">
        <v>230993.0</v>
      </c>
      <c r="H10" s="409">
        <v>241068.0</v>
      </c>
      <c r="I10" s="405">
        <v>233115.0</v>
      </c>
      <c r="J10" s="405">
        <v>233023.0</v>
      </c>
      <c r="K10" s="406">
        <v>233023.0</v>
      </c>
      <c r="L10" s="406">
        <v>213654.0</v>
      </c>
      <c r="M10" s="406">
        <v>213654.0</v>
      </c>
      <c r="N10" s="403"/>
      <c r="O10" s="393"/>
      <c r="P10" s="393"/>
      <c r="Q10" s="393"/>
      <c r="R10" s="403"/>
      <c r="S10" s="403"/>
      <c r="T10" s="403"/>
      <c r="U10" s="403"/>
      <c r="V10" s="403"/>
      <c r="W10" s="403"/>
      <c r="X10" s="403"/>
      <c r="Y10" s="403"/>
      <c r="Z10" s="403"/>
    </row>
    <row r="11" ht="12.75" customHeight="1" outlineLevel="1">
      <c r="A11" s="410" t="s">
        <v>1474</v>
      </c>
      <c r="B11" s="407">
        <v>220374.0</v>
      </c>
      <c r="C11" s="407">
        <v>229948.0</v>
      </c>
      <c r="D11" s="407">
        <v>254773.0</v>
      </c>
      <c r="E11" s="407">
        <v>260754.0</v>
      </c>
      <c r="F11" s="407">
        <v>285776.0</v>
      </c>
      <c r="G11" s="411">
        <v>288842.0</v>
      </c>
      <c r="H11" s="411">
        <v>324566.0</v>
      </c>
      <c r="I11" s="405">
        <v>325357.0</v>
      </c>
      <c r="J11" s="407">
        <v>335574.0</v>
      </c>
      <c r="K11" s="412">
        <v>335574.0</v>
      </c>
      <c r="L11" s="412">
        <v>260754.0</v>
      </c>
      <c r="M11" s="412">
        <v>260754.0</v>
      </c>
      <c r="N11" s="403"/>
      <c r="O11" s="393"/>
      <c r="P11" s="393"/>
      <c r="Q11" s="393"/>
      <c r="R11" s="403"/>
      <c r="S11" s="403"/>
      <c r="T11" s="403"/>
      <c r="U11" s="403"/>
      <c r="V11" s="403"/>
      <c r="W11" s="403"/>
      <c r="X11" s="403"/>
      <c r="Y11" s="403"/>
      <c r="Z11" s="403"/>
    </row>
    <row r="12" ht="12.75" customHeight="1" outlineLevel="1">
      <c r="A12" s="404" t="s">
        <v>1475</v>
      </c>
      <c r="B12" s="409">
        <v>9286473.0</v>
      </c>
      <c r="C12" s="405">
        <v>8514062.0</v>
      </c>
      <c r="D12" s="405">
        <v>9117807.0</v>
      </c>
      <c r="E12" s="405">
        <v>9173479.0</v>
      </c>
      <c r="F12" s="405">
        <v>9361132.0</v>
      </c>
      <c r="G12" s="405">
        <v>9051190.0</v>
      </c>
      <c r="H12" s="405">
        <v>9745031.0</v>
      </c>
      <c r="I12" s="405">
        <v>9274503.0</v>
      </c>
      <c r="J12" s="405">
        <v>9473415.0</v>
      </c>
      <c r="K12" s="406">
        <v>9600000.0</v>
      </c>
      <c r="L12" s="406">
        <v>9173479.0</v>
      </c>
      <c r="M12" s="406">
        <v>9173479.0</v>
      </c>
      <c r="N12" s="403"/>
      <c r="O12" s="393"/>
      <c r="P12" s="393"/>
      <c r="Q12" s="393"/>
      <c r="R12" s="403"/>
      <c r="S12" s="403"/>
      <c r="T12" s="403"/>
      <c r="U12" s="403"/>
      <c r="V12" s="403"/>
      <c r="W12" s="403"/>
      <c r="X12" s="403"/>
      <c r="Y12" s="403"/>
      <c r="Z12" s="403"/>
    </row>
    <row r="13" ht="12.75" customHeight="1" outlineLevel="1">
      <c r="A13" s="404" t="s">
        <v>1476</v>
      </c>
      <c r="B13" s="409">
        <v>2612360.0</v>
      </c>
      <c r="C13" s="405">
        <v>2472690.0</v>
      </c>
      <c r="D13" s="405">
        <v>2621948.0</v>
      </c>
      <c r="E13" s="405">
        <v>2645479.0</v>
      </c>
      <c r="F13" s="405">
        <v>2666197.0</v>
      </c>
      <c r="G13" s="405">
        <v>2487094.0</v>
      </c>
      <c r="H13" s="405">
        <v>2680119.0</v>
      </c>
      <c r="I13" s="405">
        <v>2553801.0</v>
      </c>
      <c r="J13" s="405">
        <v>2647447.0</v>
      </c>
      <c r="K13" s="406">
        <v>2647447.0</v>
      </c>
      <c r="L13" s="406">
        <v>2645479.0</v>
      </c>
      <c r="M13" s="406">
        <v>2645479.0</v>
      </c>
      <c r="N13" s="403"/>
      <c r="O13" s="393"/>
      <c r="P13" s="393"/>
      <c r="Q13" s="393"/>
      <c r="R13" s="403"/>
      <c r="S13" s="403"/>
      <c r="T13" s="403"/>
      <c r="U13" s="403"/>
      <c r="V13" s="403"/>
      <c r="W13" s="403"/>
      <c r="X13" s="403"/>
      <c r="Y13" s="403"/>
      <c r="Z13" s="403"/>
    </row>
    <row r="14" ht="12.75" hidden="1" customHeight="1" outlineLevel="1">
      <c r="A14" s="413" t="s">
        <v>1477</v>
      </c>
      <c r="B14" s="397"/>
      <c r="C14" s="414">
        <f t="shared" ref="C14:H14" si="2">+C25/B25</f>
        <v>1.023983051</v>
      </c>
      <c r="D14" s="414">
        <f t="shared" si="2"/>
        <v>1.036994124</v>
      </c>
      <c r="E14" s="414">
        <f t="shared" si="2"/>
        <v>1.028012769</v>
      </c>
      <c r="F14" s="414">
        <f t="shared" si="2"/>
        <v>1.014983309</v>
      </c>
      <c r="G14" s="414">
        <f t="shared" si="2"/>
        <v>1.015985926</v>
      </c>
      <c r="H14" s="414">
        <f t="shared" si="2"/>
        <v>1.018971618</v>
      </c>
      <c r="I14" s="414"/>
      <c r="J14" s="397"/>
      <c r="K14" s="397"/>
      <c r="L14" s="397"/>
      <c r="M14" s="397"/>
      <c r="N14" s="403"/>
      <c r="O14" s="393"/>
      <c r="P14" s="393"/>
      <c r="Q14" s="393"/>
      <c r="R14" s="403"/>
      <c r="S14" s="403"/>
      <c r="T14" s="403"/>
      <c r="U14" s="403"/>
      <c r="V14" s="403"/>
      <c r="W14" s="403"/>
      <c r="X14" s="403"/>
      <c r="Y14" s="403"/>
      <c r="Z14" s="403"/>
    </row>
    <row r="15" ht="12.75" hidden="1" customHeight="1" outlineLevel="1">
      <c r="A15" s="415"/>
      <c r="B15" s="397"/>
      <c r="C15" s="397"/>
      <c r="D15" s="397"/>
      <c r="E15" s="397"/>
      <c r="F15" s="397"/>
      <c r="G15" s="397"/>
      <c r="H15" s="397"/>
      <c r="I15" s="397"/>
      <c r="J15" s="397"/>
      <c r="K15" s="397"/>
      <c r="L15" s="397"/>
      <c r="M15" s="397"/>
      <c r="N15" s="403"/>
      <c r="O15" s="393"/>
      <c r="P15" s="393"/>
      <c r="Q15" s="393"/>
      <c r="R15" s="403"/>
      <c r="S15" s="403"/>
      <c r="T15" s="403"/>
      <c r="U15" s="403"/>
      <c r="V15" s="403"/>
      <c r="W15" s="403"/>
      <c r="X15" s="403"/>
      <c r="Y15" s="403"/>
      <c r="Z15" s="403"/>
    </row>
    <row r="16" ht="12.75" hidden="1" customHeight="1" outlineLevel="1">
      <c r="A16" s="396" t="s">
        <v>1478</v>
      </c>
      <c r="B16" s="416" t="str">
        <f t="shared" ref="B16:B21" si="4">(+B6/#REF!)</f>
        <v>#REF!</v>
      </c>
      <c r="C16" s="416" t="str">
        <f t="shared" ref="C16:M16" si="3">(+#REF!/#REF!)</f>
        <v>#REF!</v>
      </c>
      <c r="D16" s="416" t="str">
        <f t="shared" si="3"/>
        <v>#REF!</v>
      </c>
      <c r="E16" s="416" t="str">
        <f t="shared" si="3"/>
        <v>#REF!</v>
      </c>
      <c r="F16" s="416" t="str">
        <f t="shared" si="3"/>
        <v>#REF!</v>
      </c>
      <c r="G16" s="416" t="str">
        <f t="shared" si="3"/>
        <v>#REF!</v>
      </c>
      <c r="H16" s="416" t="str">
        <f t="shared" si="3"/>
        <v>#REF!</v>
      </c>
      <c r="I16" s="416" t="str">
        <f t="shared" si="3"/>
        <v>#REF!</v>
      </c>
      <c r="J16" s="416" t="str">
        <f t="shared" si="3"/>
        <v>#REF!</v>
      </c>
      <c r="K16" s="416" t="str">
        <f t="shared" si="3"/>
        <v>#REF!</v>
      </c>
      <c r="L16" s="416" t="str">
        <f t="shared" si="3"/>
        <v>#REF!</v>
      </c>
      <c r="M16" s="416" t="str">
        <f t="shared" si="3"/>
        <v>#REF!</v>
      </c>
      <c r="N16" s="393"/>
      <c r="O16" s="393"/>
      <c r="P16" s="393"/>
      <c r="Q16" s="393"/>
      <c r="R16" s="393"/>
      <c r="S16" s="393"/>
      <c r="T16" s="393"/>
      <c r="U16" s="393"/>
      <c r="V16" s="393"/>
      <c r="W16" s="393"/>
      <c r="X16" s="393"/>
      <c r="Y16" s="393"/>
      <c r="Z16" s="393"/>
    </row>
    <row r="17" ht="12.75" hidden="1" customHeight="1" outlineLevel="1">
      <c r="A17" s="396" t="s">
        <v>1479</v>
      </c>
      <c r="B17" s="416" t="str">
        <f t="shared" si="4"/>
        <v>#REF!</v>
      </c>
      <c r="C17" s="416" t="str">
        <f t="shared" ref="C17:M17" si="5">(+#REF!/#REF!)</f>
        <v>#REF!</v>
      </c>
      <c r="D17" s="416" t="str">
        <f t="shared" si="5"/>
        <v>#REF!</v>
      </c>
      <c r="E17" s="416" t="str">
        <f t="shared" si="5"/>
        <v>#REF!</v>
      </c>
      <c r="F17" s="416" t="str">
        <f t="shared" si="5"/>
        <v>#REF!</v>
      </c>
      <c r="G17" s="416" t="str">
        <f t="shared" si="5"/>
        <v>#REF!</v>
      </c>
      <c r="H17" s="416" t="str">
        <f t="shared" si="5"/>
        <v>#REF!</v>
      </c>
      <c r="I17" s="416" t="str">
        <f t="shared" si="5"/>
        <v>#REF!</v>
      </c>
      <c r="J17" s="416" t="str">
        <f t="shared" si="5"/>
        <v>#REF!</v>
      </c>
      <c r="K17" s="416" t="str">
        <f t="shared" si="5"/>
        <v>#REF!</v>
      </c>
      <c r="L17" s="416" t="str">
        <f t="shared" si="5"/>
        <v>#REF!</v>
      </c>
      <c r="M17" s="416" t="str">
        <f t="shared" si="5"/>
        <v>#REF!</v>
      </c>
      <c r="N17" s="393"/>
      <c r="O17" s="393"/>
      <c r="P17" s="393"/>
      <c r="Q17" s="393"/>
      <c r="R17" s="393"/>
      <c r="S17" s="393"/>
      <c r="T17" s="393"/>
      <c r="U17" s="393"/>
      <c r="V17" s="393"/>
      <c r="W17" s="393"/>
      <c r="X17" s="393"/>
      <c r="Y17" s="393"/>
      <c r="Z17" s="393"/>
    </row>
    <row r="18" ht="12.75" hidden="1" customHeight="1" outlineLevel="1">
      <c r="A18" s="396" t="s">
        <v>1480</v>
      </c>
      <c r="B18" s="416" t="str">
        <f t="shared" si="4"/>
        <v>#REF!</v>
      </c>
      <c r="C18" s="416" t="str">
        <f t="shared" ref="C18:M18" si="6">(+#REF!/#REF!)</f>
        <v>#REF!</v>
      </c>
      <c r="D18" s="416" t="str">
        <f t="shared" si="6"/>
        <v>#REF!</v>
      </c>
      <c r="E18" s="416" t="str">
        <f t="shared" si="6"/>
        <v>#REF!</v>
      </c>
      <c r="F18" s="416" t="str">
        <f t="shared" si="6"/>
        <v>#REF!</v>
      </c>
      <c r="G18" s="416" t="str">
        <f t="shared" si="6"/>
        <v>#REF!</v>
      </c>
      <c r="H18" s="416" t="str">
        <f t="shared" si="6"/>
        <v>#REF!</v>
      </c>
      <c r="I18" s="416" t="str">
        <f t="shared" si="6"/>
        <v>#REF!</v>
      </c>
      <c r="J18" s="416" t="str">
        <f t="shared" si="6"/>
        <v>#REF!</v>
      </c>
      <c r="K18" s="416" t="str">
        <f t="shared" si="6"/>
        <v>#REF!</v>
      </c>
      <c r="L18" s="416" t="str">
        <f t="shared" si="6"/>
        <v>#REF!</v>
      </c>
      <c r="M18" s="416" t="str">
        <f t="shared" si="6"/>
        <v>#REF!</v>
      </c>
      <c r="N18" s="393"/>
      <c r="O18" s="393"/>
      <c r="P18" s="393"/>
      <c r="Q18" s="393"/>
      <c r="R18" s="393"/>
      <c r="S18" s="393"/>
      <c r="T18" s="393"/>
      <c r="U18" s="393"/>
      <c r="V18" s="393"/>
      <c r="W18" s="393"/>
      <c r="X18" s="393"/>
      <c r="Y18" s="393"/>
      <c r="Z18" s="393"/>
    </row>
    <row r="19" ht="12.75" hidden="1" customHeight="1" outlineLevel="1">
      <c r="A19" s="396" t="s">
        <v>1481</v>
      </c>
      <c r="B19" s="416" t="str">
        <f t="shared" si="4"/>
        <v>#REF!</v>
      </c>
      <c r="C19" s="416"/>
      <c r="D19" s="416"/>
      <c r="E19" s="416"/>
      <c r="F19" s="416"/>
      <c r="G19" s="416"/>
      <c r="H19" s="416" t="str">
        <f t="shared" ref="H19:M19" si="7">(+#REF!/#REF!)</f>
        <v>#REF!</v>
      </c>
      <c r="I19" s="416" t="str">
        <f t="shared" si="7"/>
        <v>#REF!</v>
      </c>
      <c r="J19" s="416" t="str">
        <f t="shared" si="7"/>
        <v>#REF!</v>
      </c>
      <c r="K19" s="416" t="str">
        <f t="shared" si="7"/>
        <v>#REF!</v>
      </c>
      <c r="L19" s="416" t="str">
        <f t="shared" si="7"/>
        <v>#REF!</v>
      </c>
      <c r="M19" s="416" t="str">
        <f t="shared" si="7"/>
        <v>#REF!</v>
      </c>
      <c r="N19" s="393"/>
      <c r="O19" s="393"/>
      <c r="P19" s="393"/>
      <c r="Q19" s="393"/>
      <c r="R19" s="393"/>
      <c r="S19" s="393"/>
      <c r="T19" s="393"/>
      <c r="U19" s="393"/>
      <c r="V19" s="393"/>
      <c r="W19" s="393"/>
      <c r="X19" s="393"/>
      <c r="Y19" s="393"/>
      <c r="Z19" s="393"/>
    </row>
    <row r="20" ht="12.75" hidden="1" customHeight="1" outlineLevel="1">
      <c r="A20" s="396" t="s">
        <v>1482</v>
      </c>
      <c r="B20" s="416" t="str">
        <f t="shared" si="4"/>
        <v>#REF!</v>
      </c>
      <c r="C20" s="416"/>
      <c r="D20" s="416"/>
      <c r="E20" s="416"/>
      <c r="F20" s="416"/>
      <c r="G20" s="416"/>
      <c r="H20" s="416" t="str">
        <f t="shared" ref="H20:M20" si="8">(+#REF!/#REF!)</f>
        <v>#REF!</v>
      </c>
      <c r="I20" s="416" t="str">
        <f t="shared" si="8"/>
        <v>#REF!</v>
      </c>
      <c r="J20" s="416" t="str">
        <f t="shared" si="8"/>
        <v>#REF!</v>
      </c>
      <c r="K20" s="416" t="str">
        <f t="shared" si="8"/>
        <v>#REF!</v>
      </c>
      <c r="L20" s="416" t="str">
        <f t="shared" si="8"/>
        <v>#REF!</v>
      </c>
      <c r="M20" s="416" t="str">
        <f t="shared" si="8"/>
        <v>#REF!</v>
      </c>
      <c r="N20" s="393"/>
      <c r="O20" s="393"/>
      <c r="P20" s="393"/>
      <c r="Q20" s="393"/>
      <c r="R20" s="393"/>
      <c r="S20" s="393"/>
      <c r="T20" s="393"/>
      <c r="U20" s="393"/>
      <c r="V20" s="393"/>
      <c r="W20" s="393"/>
      <c r="X20" s="393"/>
      <c r="Y20" s="393"/>
      <c r="Z20" s="393"/>
    </row>
    <row r="21" ht="12.75" hidden="1" customHeight="1" outlineLevel="1">
      <c r="A21" s="396" t="s">
        <v>1483</v>
      </c>
      <c r="B21" s="416" t="str">
        <f t="shared" si="4"/>
        <v>#REF!</v>
      </c>
      <c r="C21" s="416"/>
      <c r="D21" s="416"/>
      <c r="E21" s="416"/>
      <c r="F21" s="416"/>
      <c r="G21" s="416"/>
      <c r="H21" s="416" t="str">
        <f t="shared" ref="H21:M21" si="9">(+#REF!/#REF!)</f>
        <v>#REF!</v>
      </c>
      <c r="I21" s="416" t="str">
        <f t="shared" si="9"/>
        <v>#REF!</v>
      </c>
      <c r="J21" s="416" t="str">
        <f t="shared" si="9"/>
        <v>#REF!</v>
      </c>
      <c r="K21" s="416" t="str">
        <f t="shared" si="9"/>
        <v>#REF!</v>
      </c>
      <c r="L21" s="416" t="str">
        <f t="shared" si="9"/>
        <v>#REF!</v>
      </c>
      <c r="M21" s="416" t="str">
        <f t="shared" si="9"/>
        <v>#REF!</v>
      </c>
      <c r="N21" s="393"/>
      <c r="O21" s="393"/>
      <c r="P21" s="393"/>
      <c r="Q21" s="393"/>
      <c r="R21" s="393"/>
      <c r="S21" s="393"/>
      <c r="T21" s="393"/>
      <c r="U21" s="393"/>
      <c r="V21" s="393"/>
      <c r="W21" s="393"/>
      <c r="X21" s="393"/>
      <c r="Y21" s="393"/>
      <c r="Z21" s="393"/>
    </row>
    <row r="22" ht="12.75" hidden="1" customHeight="1" outlineLevel="1">
      <c r="A22" s="393"/>
      <c r="B22" s="393"/>
      <c r="C22" s="393"/>
      <c r="D22" s="393"/>
      <c r="E22" s="393"/>
      <c r="F22" s="393"/>
      <c r="G22" s="393"/>
      <c r="H22" s="393"/>
      <c r="I22" s="393"/>
      <c r="J22" s="393"/>
      <c r="K22" s="393"/>
      <c r="L22" s="393"/>
      <c r="M22" s="393"/>
      <c r="N22" s="393"/>
      <c r="O22" s="393"/>
      <c r="P22" s="393"/>
      <c r="Q22" s="393"/>
      <c r="R22" s="393"/>
      <c r="S22" s="393"/>
      <c r="T22" s="393"/>
      <c r="U22" s="393"/>
      <c r="V22" s="393"/>
      <c r="W22" s="393"/>
      <c r="X22" s="393"/>
      <c r="Y22" s="393"/>
      <c r="Z22" s="393"/>
    </row>
    <row r="23" ht="12.75" customHeight="1" outlineLevel="1">
      <c r="A23" s="393"/>
      <c r="B23" s="393"/>
      <c r="C23" s="393"/>
      <c r="D23" s="393"/>
      <c r="E23" s="393"/>
      <c r="F23" s="393"/>
      <c r="G23" s="393"/>
      <c r="H23" s="393"/>
      <c r="I23" s="393"/>
      <c r="J23" s="393"/>
      <c r="K23" s="393"/>
      <c r="L23" s="393"/>
      <c r="M23" s="393"/>
      <c r="N23" s="393"/>
      <c r="O23" s="393"/>
      <c r="P23" s="393"/>
      <c r="Q23" s="393"/>
      <c r="R23" s="393"/>
      <c r="S23" s="393"/>
      <c r="T23" s="393"/>
      <c r="U23" s="393"/>
      <c r="V23" s="393"/>
      <c r="W23" s="393"/>
      <c r="X23" s="393"/>
      <c r="Y23" s="393"/>
      <c r="Z23" s="393"/>
    </row>
    <row r="24" ht="12.75" customHeight="1" outlineLevel="1">
      <c r="A24" s="400" t="s">
        <v>1484</v>
      </c>
      <c r="B24" s="401">
        <v>45658.0</v>
      </c>
      <c r="C24" s="401">
        <v>45689.0</v>
      </c>
      <c r="D24" s="401">
        <v>45747.0</v>
      </c>
      <c r="E24" s="401">
        <f t="shared" ref="E24:M24" si="10">+D24+30</f>
        <v>45777</v>
      </c>
      <c r="F24" s="401">
        <f t="shared" si="10"/>
        <v>45807</v>
      </c>
      <c r="G24" s="401">
        <f t="shared" si="10"/>
        <v>45837</v>
      </c>
      <c r="H24" s="401">
        <f t="shared" si="10"/>
        <v>45867</v>
      </c>
      <c r="I24" s="401">
        <f t="shared" si="10"/>
        <v>45897</v>
      </c>
      <c r="J24" s="401">
        <f t="shared" si="10"/>
        <v>45927</v>
      </c>
      <c r="K24" s="402">
        <f t="shared" si="10"/>
        <v>45957</v>
      </c>
      <c r="L24" s="402">
        <f t="shared" si="10"/>
        <v>45987</v>
      </c>
      <c r="M24" s="402">
        <f t="shared" si="10"/>
        <v>46017</v>
      </c>
      <c r="N24" s="393"/>
      <c r="O24" s="393"/>
      <c r="P24" s="393"/>
      <c r="Q24" s="393"/>
      <c r="R24" s="393"/>
      <c r="S24" s="393"/>
      <c r="T24" s="393"/>
      <c r="U24" s="393"/>
      <c r="V24" s="393"/>
      <c r="W24" s="393"/>
      <c r="X24" s="393"/>
      <c r="Y24" s="393"/>
      <c r="Z24" s="393"/>
    </row>
    <row r="25" ht="12.75" customHeight="1" outlineLevel="1">
      <c r="A25" s="404" t="s">
        <v>1469</v>
      </c>
      <c r="B25" s="417">
        <v>118.0</v>
      </c>
      <c r="C25" s="417">
        <v>120.83</v>
      </c>
      <c r="D25" s="417">
        <v>125.3</v>
      </c>
      <c r="E25" s="417">
        <v>128.81</v>
      </c>
      <c r="F25" s="417">
        <v>130.74</v>
      </c>
      <c r="G25" s="417">
        <v>132.83</v>
      </c>
      <c r="H25" s="417">
        <v>135.35</v>
      </c>
      <c r="I25" s="417">
        <v>137.92</v>
      </c>
      <c r="J25" s="417">
        <v>140.82</v>
      </c>
      <c r="K25" s="418">
        <f t="shared" ref="K25:K32" si="11">+J25*(1+$K$34)</f>
        <v>144.05886</v>
      </c>
      <c r="L25" s="418">
        <f t="shared" ref="L25:L32" si="12">+K25*(1+$L$34)</f>
        <v>146.9400372</v>
      </c>
      <c r="M25" s="418">
        <f t="shared" ref="M25:M32" si="13">+L25*(1+$M$34)</f>
        <v>149.8788379</v>
      </c>
      <c r="N25" s="393"/>
      <c r="O25" s="393"/>
      <c r="P25" s="393"/>
      <c r="Q25" s="393"/>
      <c r="R25" s="393"/>
      <c r="S25" s="393"/>
      <c r="T25" s="393"/>
      <c r="U25" s="393"/>
      <c r="V25" s="393"/>
      <c r="W25" s="393"/>
      <c r="X25" s="393"/>
      <c r="Y25" s="393"/>
      <c r="Z25" s="393"/>
    </row>
    <row r="26" ht="12.75" customHeight="1" outlineLevel="1">
      <c r="A26" s="404" t="s">
        <v>1470</v>
      </c>
      <c r="B26" s="417">
        <v>118.0</v>
      </c>
      <c r="C26" s="417">
        <v>120.83</v>
      </c>
      <c r="D26" s="417">
        <v>125.3</v>
      </c>
      <c r="E26" s="417">
        <v>128.81</v>
      </c>
      <c r="F26" s="417">
        <v>130.74</v>
      </c>
      <c r="G26" s="417">
        <v>132.83</v>
      </c>
      <c r="H26" s="417">
        <v>135.35</v>
      </c>
      <c r="I26" s="417">
        <v>137.92</v>
      </c>
      <c r="J26" s="417">
        <v>140.82</v>
      </c>
      <c r="K26" s="418">
        <f t="shared" si="11"/>
        <v>144.05886</v>
      </c>
      <c r="L26" s="418">
        <f t="shared" si="12"/>
        <v>146.9400372</v>
      </c>
      <c r="M26" s="418">
        <f t="shared" si="13"/>
        <v>149.8788379</v>
      </c>
      <c r="N26" s="393"/>
      <c r="O26" s="393"/>
      <c r="P26" s="393"/>
      <c r="Q26" s="393"/>
      <c r="R26" s="393"/>
      <c r="S26" s="393"/>
      <c r="T26" s="393"/>
      <c r="U26" s="393"/>
      <c r="V26" s="393"/>
      <c r="W26" s="393"/>
      <c r="X26" s="393"/>
      <c r="Y26" s="393"/>
      <c r="Z26" s="393"/>
    </row>
    <row r="27" ht="12.75" customHeight="1" outlineLevel="1">
      <c r="A27" s="404" t="s">
        <v>1471</v>
      </c>
      <c r="B27" s="419">
        <v>127.32</v>
      </c>
      <c r="C27" s="419">
        <v>130.38</v>
      </c>
      <c r="D27" s="419">
        <v>135.2</v>
      </c>
      <c r="E27" s="419">
        <v>138.99</v>
      </c>
      <c r="F27" s="419">
        <v>141.07</v>
      </c>
      <c r="G27" s="417">
        <v>143.33</v>
      </c>
      <c r="H27" s="417">
        <v>146.05</v>
      </c>
      <c r="I27" s="417">
        <v>148.82</v>
      </c>
      <c r="J27" s="417">
        <v>151.95</v>
      </c>
      <c r="K27" s="418">
        <f t="shared" si="11"/>
        <v>155.44485</v>
      </c>
      <c r="L27" s="418">
        <f t="shared" si="12"/>
        <v>158.553747</v>
      </c>
      <c r="M27" s="418">
        <f t="shared" si="13"/>
        <v>161.7248219</v>
      </c>
      <c r="N27" s="393"/>
      <c r="O27" s="393"/>
      <c r="P27" s="393"/>
      <c r="Q27" s="393"/>
      <c r="R27" s="393"/>
      <c r="S27" s="393"/>
      <c r="T27" s="393"/>
      <c r="U27" s="393"/>
      <c r="V27" s="393"/>
      <c r="W27" s="393"/>
      <c r="X27" s="393"/>
      <c r="Y27" s="393"/>
      <c r="Z27" s="393"/>
    </row>
    <row r="28" ht="12.75" customHeight="1" outlineLevel="1">
      <c r="A28" s="408" t="s">
        <v>1472</v>
      </c>
      <c r="B28" s="417">
        <v>9.44</v>
      </c>
      <c r="C28" s="417">
        <v>9.67</v>
      </c>
      <c r="D28" s="417">
        <v>10.02</v>
      </c>
      <c r="E28" s="417">
        <v>10.3</v>
      </c>
      <c r="F28" s="417">
        <v>10.46</v>
      </c>
      <c r="G28" s="420">
        <v>10.63</v>
      </c>
      <c r="H28" s="420">
        <v>10.83</v>
      </c>
      <c r="I28" s="417">
        <v>11.03</v>
      </c>
      <c r="J28" s="417">
        <v>11.27</v>
      </c>
      <c r="K28" s="418">
        <f t="shared" si="11"/>
        <v>11.52921</v>
      </c>
      <c r="L28" s="418">
        <f t="shared" si="12"/>
        <v>11.7597942</v>
      </c>
      <c r="M28" s="418">
        <f t="shared" si="13"/>
        <v>11.99499008</v>
      </c>
      <c r="N28" s="393"/>
      <c r="O28" s="393"/>
      <c r="P28" s="393"/>
      <c r="Q28" s="393"/>
      <c r="R28" s="393"/>
      <c r="S28" s="393"/>
      <c r="T28" s="393"/>
      <c r="U28" s="393"/>
      <c r="V28" s="393"/>
      <c r="W28" s="393"/>
      <c r="X28" s="393"/>
      <c r="Y28" s="393"/>
      <c r="Z28" s="393"/>
    </row>
    <row r="29" ht="12.75" customHeight="1" outlineLevel="1">
      <c r="A29" s="408" t="s">
        <v>1473</v>
      </c>
      <c r="B29" s="417">
        <v>9.44</v>
      </c>
      <c r="C29" s="417">
        <v>9.67</v>
      </c>
      <c r="D29" s="417">
        <v>10.02</v>
      </c>
      <c r="E29" s="417">
        <v>10.3</v>
      </c>
      <c r="F29" s="417">
        <v>10.46</v>
      </c>
      <c r="G29" s="420">
        <v>10.63</v>
      </c>
      <c r="H29" s="420">
        <v>10.83</v>
      </c>
      <c r="I29" s="417">
        <v>11.03</v>
      </c>
      <c r="J29" s="417">
        <v>11.27</v>
      </c>
      <c r="K29" s="418">
        <f t="shared" si="11"/>
        <v>11.52921</v>
      </c>
      <c r="L29" s="418">
        <f t="shared" si="12"/>
        <v>11.7597942</v>
      </c>
      <c r="M29" s="418">
        <f t="shared" si="13"/>
        <v>11.99499008</v>
      </c>
      <c r="N29" s="393"/>
      <c r="O29" s="393"/>
      <c r="P29" s="393"/>
      <c r="Q29" s="393"/>
      <c r="R29" s="393"/>
      <c r="S29" s="393"/>
      <c r="T29" s="393"/>
      <c r="U29" s="393"/>
      <c r="V29" s="393"/>
      <c r="W29" s="393"/>
      <c r="X29" s="393"/>
      <c r="Y29" s="393"/>
      <c r="Z29" s="393"/>
    </row>
    <row r="30" ht="12.75" customHeight="1" outlineLevel="1">
      <c r="A30" s="410" t="s">
        <v>1474</v>
      </c>
      <c r="B30" s="419">
        <v>10.19</v>
      </c>
      <c r="C30" s="419">
        <v>10.43</v>
      </c>
      <c r="D30" s="419">
        <v>10.82</v>
      </c>
      <c r="E30" s="419">
        <v>11.12</v>
      </c>
      <c r="F30" s="419">
        <v>11.29</v>
      </c>
      <c r="G30" s="421">
        <v>11.47</v>
      </c>
      <c r="H30" s="421">
        <v>11.68</v>
      </c>
      <c r="I30" s="417">
        <v>11.91</v>
      </c>
      <c r="J30" s="419">
        <v>12.16</v>
      </c>
      <c r="K30" s="418">
        <f t="shared" si="11"/>
        <v>12.43968</v>
      </c>
      <c r="L30" s="418">
        <f t="shared" si="12"/>
        <v>12.6884736</v>
      </c>
      <c r="M30" s="418">
        <f t="shared" si="13"/>
        <v>12.94224307</v>
      </c>
      <c r="N30" s="393"/>
      <c r="O30" s="393"/>
      <c r="P30" s="393"/>
      <c r="Q30" s="393"/>
      <c r="R30" s="393"/>
      <c r="S30" s="393"/>
      <c r="T30" s="393"/>
      <c r="U30" s="393"/>
      <c r="V30" s="393"/>
      <c r="W30" s="393"/>
      <c r="X30" s="393"/>
      <c r="Y30" s="393"/>
      <c r="Z30" s="393"/>
    </row>
    <row r="31" ht="12.75" customHeight="1" outlineLevel="1">
      <c r="A31" s="404" t="s">
        <v>1475</v>
      </c>
      <c r="B31" s="420">
        <v>114.59</v>
      </c>
      <c r="C31" s="417">
        <v>117.34</v>
      </c>
      <c r="D31" s="417">
        <v>121.68</v>
      </c>
      <c r="E31" s="417">
        <v>125.09</v>
      </c>
      <c r="F31" s="417">
        <v>126.96</v>
      </c>
      <c r="G31" s="417">
        <v>129.0</v>
      </c>
      <c r="H31" s="417">
        <v>131.45</v>
      </c>
      <c r="I31" s="417">
        <v>133.94</v>
      </c>
      <c r="J31" s="417">
        <v>136.76</v>
      </c>
      <c r="K31" s="418">
        <f t="shared" si="11"/>
        <v>139.90548</v>
      </c>
      <c r="L31" s="418">
        <f t="shared" si="12"/>
        <v>142.7035896</v>
      </c>
      <c r="M31" s="418">
        <f t="shared" si="13"/>
        <v>145.5576614</v>
      </c>
      <c r="N31" s="393"/>
      <c r="O31" s="393"/>
      <c r="P31" s="393"/>
      <c r="Q31" s="393"/>
      <c r="R31" s="393"/>
      <c r="S31" s="393"/>
      <c r="T31" s="393"/>
      <c r="U31" s="393"/>
      <c r="V31" s="393"/>
      <c r="W31" s="393"/>
      <c r="X31" s="393"/>
      <c r="Y31" s="393"/>
      <c r="Z31" s="393"/>
    </row>
    <row r="32" ht="12.75" customHeight="1" outlineLevel="1">
      <c r="A32" s="404" t="s">
        <v>1476</v>
      </c>
      <c r="B32" s="420">
        <v>11.84</v>
      </c>
      <c r="C32" s="417">
        <v>12.13</v>
      </c>
      <c r="D32" s="417">
        <v>12.58</v>
      </c>
      <c r="E32" s="417">
        <v>12.93</v>
      </c>
      <c r="F32" s="417">
        <v>13.13</v>
      </c>
      <c r="G32" s="417">
        <v>13.34</v>
      </c>
      <c r="H32" s="417">
        <v>13.59</v>
      </c>
      <c r="I32" s="417">
        <v>13.85</v>
      </c>
      <c r="J32" s="417">
        <v>14.14</v>
      </c>
      <c r="K32" s="418">
        <f t="shared" si="11"/>
        <v>14.46522</v>
      </c>
      <c r="L32" s="418">
        <f t="shared" si="12"/>
        <v>14.7545244</v>
      </c>
      <c r="M32" s="418">
        <f t="shared" si="13"/>
        <v>15.04961489</v>
      </c>
      <c r="N32" s="393"/>
      <c r="O32" s="393"/>
      <c r="P32" s="393"/>
      <c r="Q32" s="393"/>
      <c r="R32" s="393"/>
      <c r="S32" s="393"/>
      <c r="T32" s="393"/>
      <c r="U32" s="393"/>
      <c r="V32" s="393"/>
      <c r="W32" s="393"/>
      <c r="X32" s="393"/>
      <c r="Y32" s="393"/>
      <c r="Z32" s="393"/>
    </row>
    <row r="33" ht="12.75" customHeight="1" outlineLevel="1">
      <c r="A33" s="393"/>
      <c r="B33" s="393"/>
      <c r="C33" s="393"/>
      <c r="D33" s="393"/>
      <c r="E33" s="393"/>
      <c r="F33" s="393"/>
      <c r="G33" s="393"/>
      <c r="H33" s="393"/>
      <c r="I33" s="393"/>
      <c r="J33" s="393"/>
      <c r="K33" s="393"/>
      <c r="L33" s="393"/>
      <c r="M33" s="393"/>
      <c r="N33" s="393"/>
      <c r="O33" s="393"/>
      <c r="P33" s="393"/>
      <c r="Q33" s="393"/>
      <c r="R33" s="393"/>
      <c r="S33" s="393"/>
      <c r="T33" s="393"/>
      <c r="U33" s="393"/>
      <c r="V33" s="393"/>
      <c r="W33" s="393"/>
      <c r="X33" s="393"/>
      <c r="Y33" s="393"/>
      <c r="Z33" s="393"/>
    </row>
    <row r="34" ht="12.75" customHeight="1" outlineLevel="1">
      <c r="A34" s="422" t="s">
        <v>1485</v>
      </c>
      <c r="B34" s="423"/>
      <c r="C34" s="423"/>
      <c r="D34" s="423"/>
      <c r="E34" s="423"/>
      <c r="F34" s="423"/>
      <c r="G34" s="423"/>
      <c r="H34" s="423"/>
      <c r="I34" s="423"/>
      <c r="J34" s="423"/>
      <c r="K34" s="424">
        <v>0.023</v>
      </c>
      <c r="L34" s="424">
        <v>0.02</v>
      </c>
      <c r="M34" s="424">
        <v>0.02</v>
      </c>
      <c r="N34" s="423"/>
      <c r="O34" s="423"/>
      <c r="P34" s="423"/>
      <c r="Q34" s="423"/>
      <c r="R34" s="423"/>
      <c r="S34" s="423"/>
      <c r="T34" s="423"/>
      <c r="U34" s="423"/>
      <c r="V34" s="423"/>
      <c r="W34" s="423"/>
      <c r="X34" s="423"/>
      <c r="Y34" s="423"/>
      <c r="Z34" s="423"/>
    </row>
    <row r="35" ht="12.75" customHeight="1" outlineLevel="1">
      <c r="A35" s="393"/>
      <c r="B35" s="393"/>
      <c r="C35" s="393"/>
      <c r="D35" s="393"/>
      <c r="E35" s="393"/>
      <c r="F35" s="393"/>
      <c r="G35" s="393"/>
      <c r="H35" s="393"/>
      <c r="I35" s="393"/>
      <c r="J35" s="393"/>
      <c r="K35" s="393"/>
      <c r="L35" s="393"/>
      <c r="M35" s="393"/>
      <c r="N35" s="393"/>
      <c r="O35" s="393"/>
      <c r="P35" s="393"/>
      <c r="Q35" s="393"/>
      <c r="R35" s="393"/>
      <c r="S35" s="393"/>
      <c r="T35" s="393"/>
      <c r="U35" s="393"/>
      <c r="V35" s="393"/>
      <c r="W35" s="393"/>
      <c r="X35" s="393"/>
      <c r="Y35" s="393"/>
      <c r="Z35" s="393"/>
    </row>
    <row r="36" ht="12.75" customHeight="1" outlineLevel="1">
      <c r="A36" s="400" t="s">
        <v>1486</v>
      </c>
      <c r="B36" s="401">
        <v>45658.0</v>
      </c>
      <c r="C36" s="401">
        <v>45689.0</v>
      </c>
      <c r="D36" s="401">
        <v>45747.0</v>
      </c>
      <c r="E36" s="401">
        <f t="shared" ref="E36:M36" si="14">+D36+30</f>
        <v>45777</v>
      </c>
      <c r="F36" s="401">
        <f t="shared" si="14"/>
        <v>45807</v>
      </c>
      <c r="G36" s="401">
        <f t="shared" si="14"/>
        <v>45837</v>
      </c>
      <c r="H36" s="401">
        <f t="shared" si="14"/>
        <v>45867</v>
      </c>
      <c r="I36" s="401">
        <f t="shared" si="14"/>
        <v>45897</v>
      </c>
      <c r="J36" s="401">
        <f t="shared" si="14"/>
        <v>45927</v>
      </c>
      <c r="K36" s="402">
        <f t="shared" si="14"/>
        <v>45957</v>
      </c>
      <c r="L36" s="402">
        <f t="shared" si="14"/>
        <v>45987</v>
      </c>
      <c r="M36" s="402">
        <f t="shared" si="14"/>
        <v>46017</v>
      </c>
      <c r="N36" s="393"/>
      <c r="O36" s="393"/>
      <c r="P36" s="393"/>
      <c r="Q36" s="393"/>
      <c r="R36" s="393"/>
      <c r="S36" s="393"/>
      <c r="T36" s="393"/>
      <c r="U36" s="393"/>
      <c r="V36" s="393"/>
      <c r="W36" s="393"/>
      <c r="X36" s="393"/>
      <c r="Y36" s="393"/>
      <c r="Z36" s="393"/>
    </row>
    <row r="37" ht="12.75" customHeight="1" outlineLevel="1">
      <c r="A37" s="404" t="s">
        <v>1469</v>
      </c>
      <c r="B37" s="425">
        <f t="shared" ref="B37:M37" si="15">+B25*B6</f>
        <v>175856108</v>
      </c>
      <c r="C37" s="425">
        <f t="shared" si="15"/>
        <v>163811164.3</v>
      </c>
      <c r="D37" s="425">
        <f t="shared" si="15"/>
        <v>190550601.5</v>
      </c>
      <c r="E37" s="425">
        <f t="shared" si="15"/>
        <v>206394452.8</v>
      </c>
      <c r="F37" s="425">
        <f t="shared" si="15"/>
        <v>219947824.2</v>
      </c>
      <c r="G37" s="425">
        <f t="shared" si="15"/>
        <v>221310985.3</v>
      </c>
      <c r="H37" s="425">
        <f t="shared" si="15"/>
        <v>236999744.9</v>
      </c>
      <c r="I37" s="405">
        <f t="shared" si="15"/>
        <v>234919411.8</v>
      </c>
      <c r="J37" s="405">
        <f t="shared" si="15"/>
        <v>244286790.9</v>
      </c>
      <c r="K37" s="406">
        <f t="shared" si="15"/>
        <v>252103005</v>
      </c>
      <c r="L37" s="406">
        <f t="shared" si="15"/>
        <v>235444519.6</v>
      </c>
      <c r="M37" s="406">
        <f t="shared" si="15"/>
        <v>240153410</v>
      </c>
      <c r="N37" s="393"/>
      <c r="O37" s="393"/>
      <c r="P37" s="393"/>
      <c r="Q37" s="393"/>
      <c r="R37" s="393"/>
      <c r="S37" s="393"/>
      <c r="T37" s="393"/>
      <c r="U37" s="393"/>
      <c r="V37" s="393"/>
      <c r="W37" s="393"/>
      <c r="X37" s="393"/>
      <c r="Y37" s="393"/>
      <c r="Z37" s="393"/>
    </row>
    <row r="38" ht="12.75" customHeight="1" outlineLevel="1">
      <c r="A38" s="404" t="s">
        <v>1470</v>
      </c>
      <c r="B38" s="425">
        <f t="shared" ref="B38:M38" si="16">+B26*B7</f>
        <v>25212942</v>
      </c>
      <c r="C38" s="425">
        <f t="shared" si="16"/>
        <v>22959512.45</v>
      </c>
      <c r="D38" s="425">
        <f t="shared" si="16"/>
        <v>26111016.4</v>
      </c>
      <c r="E38" s="425">
        <f t="shared" si="16"/>
        <v>27528757.96</v>
      </c>
      <c r="F38" s="425">
        <f t="shared" si="16"/>
        <v>29476901.88</v>
      </c>
      <c r="G38" s="425">
        <f t="shared" si="16"/>
        <v>30681339.06</v>
      </c>
      <c r="H38" s="425">
        <f t="shared" si="16"/>
        <v>32623410.5</v>
      </c>
      <c r="I38" s="405">
        <f t="shared" si="16"/>
        <v>32141980.16</v>
      </c>
      <c r="J38" s="405">
        <f t="shared" si="16"/>
        <v>32813594.76</v>
      </c>
      <c r="K38" s="406">
        <f t="shared" si="16"/>
        <v>36014715</v>
      </c>
      <c r="L38" s="406">
        <f t="shared" si="16"/>
        <v>31403436.99</v>
      </c>
      <c r="M38" s="406">
        <f t="shared" si="16"/>
        <v>32031505.73</v>
      </c>
      <c r="N38" s="393"/>
      <c r="O38" s="393"/>
      <c r="P38" s="393"/>
      <c r="Q38" s="393"/>
      <c r="R38" s="393"/>
      <c r="S38" s="393"/>
      <c r="T38" s="393"/>
      <c r="U38" s="393"/>
      <c r="V38" s="393"/>
      <c r="W38" s="393"/>
      <c r="X38" s="393"/>
      <c r="Y38" s="393"/>
      <c r="Z38" s="393"/>
    </row>
    <row r="39" ht="12.75" customHeight="1" outlineLevel="1">
      <c r="A39" s="404" t="s">
        <v>1471</v>
      </c>
      <c r="B39" s="425">
        <f t="shared" ref="B39:M39" si="17">+B27*B8</f>
        <v>97241923.2</v>
      </c>
      <c r="C39" s="425">
        <f t="shared" si="17"/>
        <v>94061738.34</v>
      </c>
      <c r="D39" s="425">
        <f t="shared" si="17"/>
        <v>105635410.4</v>
      </c>
      <c r="E39" s="425">
        <f t="shared" si="17"/>
        <v>113802371.2</v>
      </c>
      <c r="F39" s="425">
        <f t="shared" si="17"/>
        <v>120206029.1</v>
      </c>
      <c r="G39" s="425">
        <f t="shared" si="17"/>
        <v>121493244.5</v>
      </c>
      <c r="H39" s="425">
        <f t="shared" si="17"/>
        <v>133619684.5</v>
      </c>
      <c r="I39" s="405">
        <f t="shared" si="17"/>
        <v>129854379.2</v>
      </c>
      <c r="J39" s="405">
        <f t="shared" si="17"/>
        <v>135089172.2</v>
      </c>
      <c r="K39" s="406">
        <f t="shared" si="17"/>
        <v>141454813.5</v>
      </c>
      <c r="L39" s="406">
        <f t="shared" si="17"/>
        <v>129820795.5</v>
      </c>
      <c r="M39" s="406">
        <f t="shared" si="17"/>
        <v>132417211.4</v>
      </c>
      <c r="N39" s="393"/>
      <c r="O39" s="393"/>
      <c r="P39" s="393"/>
      <c r="Q39" s="393"/>
      <c r="R39" s="393"/>
      <c r="S39" s="393"/>
      <c r="T39" s="393"/>
      <c r="U39" s="393"/>
      <c r="V39" s="393"/>
      <c r="W39" s="393"/>
      <c r="X39" s="393"/>
      <c r="Y39" s="393"/>
      <c r="Z39" s="393"/>
    </row>
    <row r="40" ht="12.75" customHeight="1" outlineLevel="1">
      <c r="A40" s="408" t="s">
        <v>1472</v>
      </c>
      <c r="B40" s="425">
        <f t="shared" ref="B40:M40" si="18">+B28*B9</f>
        <v>7699292.32</v>
      </c>
      <c r="C40" s="425">
        <f t="shared" si="18"/>
        <v>7708904.66</v>
      </c>
      <c r="D40" s="425">
        <f t="shared" si="18"/>
        <v>9214792.8</v>
      </c>
      <c r="E40" s="425">
        <f t="shared" si="18"/>
        <v>10049730.6</v>
      </c>
      <c r="F40" s="425">
        <f t="shared" si="18"/>
        <v>10855900.54</v>
      </c>
      <c r="G40" s="425">
        <f t="shared" si="18"/>
        <v>11028678.15</v>
      </c>
      <c r="H40" s="425">
        <f t="shared" si="18"/>
        <v>12187551.33</v>
      </c>
      <c r="I40" s="405">
        <f t="shared" si="18"/>
        <v>12433115.27</v>
      </c>
      <c r="J40" s="405">
        <f t="shared" si="18"/>
        <v>13039423.81</v>
      </c>
      <c r="K40" s="406">
        <f t="shared" si="18"/>
        <v>13339330.56</v>
      </c>
      <c r="L40" s="406">
        <f t="shared" si="18"/>
        <v>11474054.72</v>
      </c>
      <c r="M40" s="406">
        <f t="shared" si="18"/>
        <v>11703535.81</v>
      </c>
      <c r="N40" s="393"/>
      <c r="O40" s="393"/>
      <c r="P40" s="393"/>
      <c r="Q40" s="393"/>
      <c r="R40" s="393"/>
      <c r="S40" s="393"/>
      <c r="T40" s="393"/>
      <c r="U40" s="393"/>
      <c r="V40" s="393"/>
      <c r="W40" s="393"/>
      <c r="X40" s="393"/>
      <c r="Y40" s="393"/>
      <c r="Z40" s="393"/>
    </row>
    <row r="41" ht="12.75" customHeight="1" outlineLevel="1">
      <c r="A41" s="408" t="s">
        <v>1473</v>
      </c>
      <c r="B41" s="425">
        <f t="shared" ref="B41:M41" si="19">+B29*B10</f>
        <v>2016903.2</v>
      </c>
      <c r="C41" s="425">
        <f t="shared" si="19"/>
        <v>1837300</v>
      </c>
      <c r="D41" s="425">
        <f t="shared" si="19"/>
        <v>2088248.16</v>
      </c>
      <c r="E41" s="425">
        <f t="shared" si="19"/>
        <v>2200636.2</v>
      </c>
      <c r="F41" s="425">
        <f t="shared" si="19"/>
        <v>2358991.5</v>
      </c>
      <c r="G41" s="425">
        <f t="shared" si="19"/>
        <v>2455455.59</v>
      </c>
      <c r="H41" s="425">
        <f t="shared" si="19"/>
        <v>2610766.44</v>
      </c>
      <c r="I41" s="405">
        <f t="shared" si="19"/>
        <v>2571258.45</v>
      </c>
      <c r="J41" s="405">
        <f t="shared" si="19"/>
        <v>2626169.21</v>
      </c>
      <c r="K41" s="406">
        <f t="shared" si="19"/>
        <v>2686571.102</v>
      </c>
      <c r="L41" s="406">
        <f t="shared" si="19"/>
        <v>2512527.07</v>
      </c>
      <c r="M41" s="406">
        <f t="shared" si="19"/>
        <v>2562777.611</v>
      </c>
      <c r="N41" s="393"/>
      <c r="O41" s="393"/>
      <c r="P41" s="393"/>
      <c r="Q41" s="393"/>
      <c r="R41" s="393"/>
      <c r="S41" s="393"/>
      <c r="T41" s="393"/>
      <c r="U41" s="393"/>
      <c r="V41" s="393"/>
      <c r="W41" s="393"/>
      <c r="X41" s="393"/>
      <c r="Y41" s="393"/>
      <c r="Z41" s="393"/>
    </row>
    <row r="42" ht="12.75" customHeight="1" outlineLevel="1">
      <c r="A42" s="410" t="s">
        <v>1474</v>
      </c>
      <c r="B42" s="425">
        <f t="shared" ref="B42:M42" si="20">+B30*B11</f>
        <v>2245611.06</v>
      </c>
      <c r="C42" s="425">
        <f t="shared" si="20"/>
        <v>2398357.64</v>
      </c>
      <c r="D42" s="425">
        <f t="shared" si="20"/>
        <v>2756643.86</v>
      </c>
      <c r="E42" s="425">
        <f t="shared" si="20"/>
        <v>2899584.48</v>
      </c>
      <c r="F42" s="425">
        <f t="shared" si="20"/>
        <v>3226411.04</v>
      </c>
      <c r="G42" s="425">
        <f t="shared" si="20"/>
        <v>3313017.74</v>
      </c>
      <c r="H42" s="425">
        <f t="shared" si="20"/>
        <v>3790930.88</v>
      </c>
      <c r="I42" s="405">
        <f t="shared" si="20"/>
        <v>3875001.87</v>
      </c>
      <c r="J42" s="405">
        <f t="shared" si="20"/>
        <v>4080579.84</v>
      </c>
      <c r="K42" s="406">
        <f t="shared" si="20"/>
        <v>4174433.176</v>
      </c>
      <c r="L42" s="406">
        <f t="shared" si="20"/>
        <v>3308570.245</v>
      </c>
      <c r="M42" s="406">
        <f t="shared" si="20"/>
        <v>3374741.65</v>
      </c>
      <c r="N42" s="393"/>
      <c r="O42" s="393"/>
      <c r="P42" s="393"/>
      <c r="Q42" s="393"/>
      <c r="R42" s="393"/>
      <c r="S42" s="393"/>
      <c r="T42" s="393"/>
      <c r="U42" s="393"/>
      <c r="V42" s="393"/>
      <c r="W42" s="393"/>
      <c r="X42" s="393"/>
      <c r="Y42" s="393"/>
      <c r="Z42" s="393"/>
    </row>
    <row r="43" ht="12.75" customHeight="1" outlineLevel="1">
      <c r="A43" s="404" t="s">
        <v>1475</v>
      </c>
      <c r="B43" s="425">
        <f t="shared" ref="B43:M43" si="21">+B31*B12</f>
        <v>1064136941</v>
      </c>
      <c r="C43" s="425">
        <f t="shared" si="21"/>
        <v>999040035.1</v>
      </c>
      <c r="D43" s="425">
        <f t="shared" si="21"/>
        <v>1109454756</v>
      </c>
      <c r="E43" s="425">
        <f t="shared" si="21"/>
        <v>1147510488</v>
      </c>
      <c r="F43" s="425">
        <f t="shared" si="21"/>
        <v>1188489319</v>
      </c>
      <c r="G43" s="425">
        <f t="shared" si="21"/>
        <v>1167603510</v>
      </c>
      <c r="H43" s="425">
        <f t="shared" si="21"/>
        <v>1280984325</v>
      </c>
      <c r="I43" s="405">
        <f t="shared" si="21"/>
        <v>1242226932</v>
      </c>
      <c r="J43" s="405">
        <f t="shared" si="21"/>
        <v>1295584235</v>
      </c>
      <c r="K43" s="406">
        <f t="shared" si="21"/>
        <v>1343092608</v>
      </c>
      <c r="L43" s="406">
        <f t="shared" si="21"/>
        <v>1309088382</v>
      </c>
      <c r="M43" s="406">
        <f t="shared" si="21"/>
        <v>1335270150</v>
      </c>
      <c r="N43" s="393"/>
      <c r="O43" s="393"/>
      <c r="P43" s="393"/>
      <c r="Q43" s="393"/>
      <c r="R43" s="393"/>
      <c r="S43" s="393"/>
      <c r="T43" s="393"/>
      <c r="U43" s="393"/>
      <c r="V43" s="393"/>
      <c r="W43" s="393"/>
      <c r="X43" s="393"/>
      <c r="Y43" s="393"/>
      <c r="Z43" s="393"/>
    </row>
    <row r="44" ht="12.75" customHeight="1" outlineLevel="1">
      <c r="A44" s="404" t="s">
        <v>1476</v>
      </c>
      <c r="B44" s="425">
        <f t="shared" ref="B44:M44" si="22">+B32*B13</f>
        <v>30930342.4</v>
      </c>
      <c r="C44" s="425">
        <f t="shared" si="22"/>
        <v>29993729.7</v>
      </c>
      <c r="D44" s="425">
        <f t="shared" si="22"/>
        <v>32984105.84</v>
      </c>
      <c r="E44" s="425">
        <f t="shared" si="22"/>
        <v>34206043.47</v>
      </c>
      <c r="F44" s="425">
        <f t="shared" si="22"/>
        <v>35007166.61</v>
      </c>
      <c r="G44" s="425">
        <f t="shared" si="22"/>
        <v>33177833.96</v>
      </c>
      <c r="H44" s="425">
        <f t="shared" si="22"/>
        <v>36422817.21</v>
      </c>
      <c r="I44" s="405">
        <f t="shared" si="22"/>
        <v>35370143.85</v>
      </c>
      <c r="J44" s="405">
        <f t="shared" si="22"/>
        <v>37434900.58</v>
      </c>
      <c r="K44" s="406">
        <f t="shared" si="22"/>
        <v>38295903.29</v>
      </c>
      <c r="L44" s="406">
        <f t="shared" si="22"/>
        <v>39032784.46</v>
      </c>
      <c r="M44" s="406">
        <f t="shared" si="22"/>
        <v>39813440.14</v>
      </c>
      <c r="N44" s="426">
        <f>SUM(B37:M44)</f>
        <v>19539330596</v>
      </c>
      <c r="O44" s="393"/>
      <c r="P44" s="393"/>
      <c r="Q44" s="393"/>
      <c r="R44" s="393"/>
      <c r="S44" s="393"/>
      <c r="T44" s="393"/>
      <c r="U44" s="393"/>
      <c r="V44" s="393"/>
      <c r="W44" s="393"/>
      <c r="X44" s="393"/>
      <c r="Y44" s="393"/>
      <c r="Z44" s="393"/>
    </row>
    <row r="45" ht="12.75" customHeight="1" outlineLevel="1">
      <c r="A45" s="427"/>
      <c r="B45" s="427"/>
      <c r="C45" s="427"/>
      <c r="D45" s="427"/>
      <c r="E45" s="427"/>
      <c r="F45" s="427"/>
      <c r="G45" s="427"/>
      <c r="H45" s="427"/>
      <c r="I45" s="427"/>
      <c r="J45" s="427"/>
      <c r="K45" s="427"/>
      <c r="L45" s="427"/>
      <c r="M45" s="427"/>
      <c r="N45" s="427"/>
      <c r="O45" s="427"/>
      <c r="P45" s="393"/>
      <c r="Q45" s="393"/>
      <c r="R45" s="393"/>
      <c r="S45" s="393"/>
      <c r="T45" s="393"/>
      <c r="U45" s="393"/>
      <c r="V45" s="393"/>
      <c r="W45" s="393"/>
      <c r="X45" s="393"/>
      <c r="Y45" s="393"/>
      <c r="Z45" s="393"/>
    </row>
    <row r="46" ht="12.75" customHeight="1">
      <c r="A46" s="428"/>
      <c r="B46" s="429"/>
      <c r="C46" s="429"/>
      <c r="D46" s="429"/>
      <c r="E46" s="429"/>
      <c r="F46" s="429"/>
      <c r="G46" s="429"/>
      <c r="H46" s="429"/>
      <c r="I46" s="429"/>
      <c r="J46" s="429"/>
      <c r="K46" s="429"/>
      <c r="L46" s="429"/>
      <c r="M46" s="429"/>
      <c r="N46" s="426"/>
      <c r="O46" s="393"/>
      <c r="P46" s="393"/>
      <c r="Q46" s="393"/>
      <c r="R46" s="393"/>
      <c r="S46" s="393"/>
      <c r="T46" s="393"/>
      <c r="U46" s="393"/>
      <c r="V46" s="393"/>
      <c r="W46" s="393"/>
      <c r="X46" s="393"/>
      <c r="Y46" s="393"/>
      <c r="Z46" s="393"/>
    </row>
    <row r="47" ht="12.75" customHeight="1">
      <c r="A47" s="394" t="s">
        <v>1487</v>
      </c>
      <c r="B47" s="395"/>
      <c r="C47" s="395"/>
      <c r="D47" s="395"/>
      <c r="E47" s="395"/>
      <c r="F47" s="395"/>
      <c r="G47" s="395"/>
      <c r="H47" s="395"/>
      <c r="I47" s="395"/>
      <c r="J47" s="395"/>
      <c r="K47" s="395"/>
      <c r="L47" s="430"/>
      <c r="M47" s="395"/>
      <c r="N47" s="393"/>
      <c r="O47" s="393"/>
      <c r="P47" s="393"/>
      <c r="Q47" s="393"/>
      <c r="R47" s="393"/>
      <c r="S47" s="393"/>
      <c r="T47" s="393"/>
      <c r="U47" s="393"/>
      <c r="V47" s="393"/>
      <c r="W47" s="393"/>
      <c r="X47" s="393"/>
      <c r="Y47" s="393"/>
      <c r="Z47" s="393"/>
    </row>
    <row r="48" ht="12.75" customHeight="1">
      <c r="A48" s="431"/>
      <c r="B48" s="432"/>
      <c r="C48" s="432"/>
      <c r="D48" s="432"/>
      <c r="E48" s="432"/>
      <c r="F48" s="432"/>
      <c r="G48" s="432"/>
      <c r="H48" s="433"/>
      <c r="I48" s="433"/>
      <c r="J48" s="429"/>
      <c r="K48" s="429"/>
      <c r="L48" s="429"/>
      <c r="M48" s="429"/>
      <c r="N48" s="393"/>
      <c r="O48" s="393"/>
      <c r="P48" s="393"/>
      <c r="Q48" s="393"/>
      <c r="R48" s="393"/>
      <c r="S48" s="393"/>
      <c r="T48" s="393"/>
      <c r="U48" s="393"/>
      <c r="V48" s="393"/>
      <c r="W48" s="393"/>
      <c r="X48" s="393"/>
      <c r="Y48" s="393"/>
      <c r="Z48" s="393"/>
    </row>
    <row r="49" ht="12.75" customHeight="1">
      <c r="A49" s="434" t="s">
        <v>1488</v>
      </c>
      <c r="B49" s="402">
        <v>46023.0</v>
      </c>
      <c r="C49" s="402">
        <v>46054.0</v>
      </c>
      <c r="D49" s="402">
        <v>46112.0</v>
      </c>
      <c r="E49" s="402">
        <v>46142.0</v>
      </c>
      <c r="F49" s="402">
        <v>46172.0</v>
      </c>
      <c r="G49" s="402">
        <v>46202.0</v>
      </c>
      <c r="H49" s="402">
        <v>46232.0</v>
      </c>
      <c r="I49" s="402">
        <v>46262.0</v>
      </c>
      <c r="J49" s="402">
        <v>46292.0</v>
      </c>
      <c r="K49" s="402">
        <v>46322.0</v>
      </c>
      <c r="L49" s="435">
        <v>46352.0</v>
      </c>
      <c r="M49" s="402">
        <v>46382.0</v>
      </c>
      <c r="N49" s="403" t="s">
        <v>1489</v>
      </c>
      <c r="O49" s="436"/>
      <c r="P49" s="393"/>
      <c r="Q49" s="393"/>
      <c r="R49" s="393"/>
      <c r="S49" s="393"/>
      <c r="T49" s="393"/>
      <c r="U49" s="393"/>
      <c r="V49" s="393"/>
      <c r="W49" s="393"/>
      <c r="X49" s="393"/>
      <c r="Y49" s="393"/>
      <c r="Z49" s="393"/>
    </row>
    <row r="50" ht="12.75" customHeight="1">
      <c r="A50" s="404" t="s">
        <v>1469</v>
      </c>
      <c r="B50" s="406">
        <f t="shared" ref="B50:M50" si="23">+B6</f>
        <v>1490306</v>
      </c>
      <c r="C50" s="406">
        <f t="shared" si="23"/>
        <v>1355716</v>
      </c>
      <c r="D50" s="406">
        <f t="shared" si="23"/>
        <v>1520755</v>
      </c>
      <c r="E50" s="406">
        <f t="shared" si="23"/>
        <v>1602317</v>
      </c>
      <c r="F50" s="406">
        <f t="shared" si="23"/>
        <v>1682330</v>
      </c>
      <c r="G50" s="406">
        <f t="shared" si="23"/>
        <v>1666122</v>
      </c>
      <c r="H50" s="406">
        <f t="shared" si="23"/>
        <v>1751014</v>
      </c>
      <c r="I50" s="406">
        <f t="shared" si="23"/>
        <v>1703302</v>
      </c>
      <c r="J50" s="406">
        <f t="shared" si="23"/>
        <v>1734745</v>
      </c>
      <c r="K50" s="406">
        <f t="shared" si="23"/>
        <v>1750000</v>
      </c>
      <c r="L50" s="406">
        <f t="shared" si="23"/>
        <v>1602317</v>
      </c>
      <c r="M50" s="406">
        <f t="shared" si="23"/>
        <v>1602317</v>
      </c>
      <c r="N50" s="437"/>
      <c r="O50" s="436"/>
      <c r="P50" s="393"/>
      <c r="Q50" s="393"/>
      <c r="R50" s="393"/>
      <c r="S50" s="393"/>
      <c r="T50" s="393"/>
      <c r="U50" s="393"/>
      <c r="V50" s="393"/>
      <c r="W50" s="393"/>
      <c r="X50" s="393"/>
      <c r="Y50" s="393"/>
      <c r="Z50" s="393"/>
    </row>
    <row r="51" ht="12.75" customHeight="1">
      <c r="A51" s="404" t="s">
        <v>1470</v>
      </c>
      <c r="B51" s="406">
        <f t="shared" ref="B51:M51" si="24">+B7</f>
        <v>213669</v>
      </c>
      <c r="C51" s="406">
        <f t="shared" si="24"/>
        <v>190015</v>
      </c>
      <c r="D51" s="406">
        <f t="shared" si="24"/>
        <v>208388</v>
      </c>
      <c r="E51" s="406">
        <f t="shared" si="24"/>
        <v>213716</v>
      </c>
      <c r="F51" s="406">
        <f t="shared" si="24"/>
        <v>225462</v>
      </c>
      <c r="G51" s="406">
        <f t="shared" si="24"/>
        <v>230982</v>
      </c>
      <c r="H51" s="406">
        <f t="shared" si="24"/>
        <v>241030</v>
      </c>
      <c r="I51" s="406">
        <f t="shared" si="24"/>
        <v>233048</v>
      </c>
      <c r="J51" s="406">
        <f t="shared" si="24"/>
        <v>233018</v>
      </c>
      <c r="K51" s="406">
        <f t="shared" si="24"/>
        <v>250000</v>
      </c>
      <c r="L51" s="406">
        <f t="shared" si="24"/>
        <v>213716</v>
      </c>
      <c r="M51" s="406">
        <f t="shared" si="24"/>
        <v>213716</v>
      </c>
      <c r="N51" s="403"/>
      <c r="O51" s="436"/>
      <c r="P51" s="393"/>
      <c r="Q51" s="393"/>
      <c r="R51" s="393"/>
      <c r="S51" s="393"/>
      <c r="T51" s="393"/>
      <c r="U51" s="393"/>
      <c r="V51" s="393"/>
      <c r="W51" s="393"/>
      <c r="X51" s="393"/>
      <c r="Y51" s="393"/>
      <c r="Z51" s="393"/>
    </row>
    <row r="52" ht="12.75" customHeight="1">
      <c r="A52" s="404" t="s">
        <v>1471</v>
      </c>
      <c r="B52" s="406">
        <f t="shared" ref="B52:M52" si="25">+B8</f>
        <v>763760</v>
      </c>
      <c r="C52" s="406">
        <f t="shared" si="25"/>
        <v>721443</v>
      </c>
      <c r="D52" s="406">
        <f t="shared" si="25"/>
        <v>781327</v>
      </c>
      <c r="E52" s="406">
        <f t="shared" si="25"/>
        <v>818781</v>
      </c>
      <c r="F52" s="406">
        <f t="shared" si="25"/>
        <v>852102</v>
      </c>
      <c r="G52" s="406">
        <f t="shared" si="25"/>
        <v>847647</v>
      </c>
      <c r="H52" s="406">
        <f t="shared" si="25"/>
        <v>914890</v>
      </c>
      <c r="I52" s="406">
        <f t="shared" si="25"/>
        <v>872560</v>
      </c>
      <c r="J52" s="406">
        <f t="shared" si="25"/>
        <v>889037</v>
      </c>
      <c r="K52" s="406">
        <f t="shared" si="25"/>
        <v>910000</v>
      </c>
      <c r="L52" s="406">
        <f t="shared" si="25"/>
        <v>818781</v>
      </c>
      <c r="M52" s="406">
        <f t="shared" si="25"/>
        <v>818781</v>
      </c>
      <c r="N52" s="403"/>
      <c r="O52" s="436"/>
      <c r="P52" s="393"/>
      <c r="Q52" s="393"/>
      <c r="R52" s="393"/>
      <c r="S52" s="393"/>
      <c r="T52" s="393"/>
      <c r="U52" s="393"/>
      <c r="V52" s="393"/>
      <c r="W52" s="393"/>
      <c r="X52" s="393"/>
      <c r="Y52" s="393"/>
      <c r="Z52" s="393"/>
    </row>
    <row r="53" ht="12.75" customHeight="1">
      <c r="A53" s="408" t="s">
        <v>1472</v>
      </c>
      <c r="B53" s="406">
        <f t="shared" ref="B53:M53" si="26">+B9</f>
        <v>815603</v>
      </c>
      <c r="C53" s="406">
        <f t="shared" si="26"/>
        <v>797198</v>
      </c>
      <c r="D53" s="406">
        <f t="shared" si="26"/>
        <v>919640</v>
      </c>
      <c r="E53" s="406">
        <f t="shared" si="26"/>
        <v>975702</v>
      </c>
      <c r="F53" s="406">
        <f t="shared" si="26"/>
        <v>1037849</v>
      </c>
      <c r="G53" s="406">
        <f t="shared" si="26"/>
        <v>1037505</v>
      </c>
      <c r="H53" s="406">
        <f t="shared" si="26"/>
        <v>1125351</v>
      </c>
      <c r="I53" s="406">
        <f t="shared" si="26"/>
        <v>1127209</v>
      </c>
      <c r="J53" s="406">
        <f t="shared" si="26"/>
        <v>1157003</v>
      </c>
      <c r="K53" s="406">
        <f t="shared" si="26"/>
        <v>1157003</v>
      </c>
      <c r="L53" s="406">
        <f t="shared" si="26"/>
        <v>975702</v>
      </c>
      <c r="M53" s="406">
        <f t="shared" si="26"/>
        <v>975702</v>
      </c>
      <c r="N53" s="403"/>
      <c r="O53" s="436"/>
      <c r="P53" s="393"/>
      <c r="Q53" s="393"/>
      <c r="R53" s="393"/>
      <c r="S53" s="393"/>
      <c r="T53" s="393"/>
      <c r="U53" s="393"/>
      <c r="V53" s="393"/>
      <c r="W53" s="393"/>
      <c r="X53" s="393"/>
      <c r="Y53" s="393"/>
      <c r="Z53" s="393"/>
    </row>
    <row r="54" ht="12.75" customHeight="1">
      <c r="A54" s="408" t="s">
        <v>1473</v>
      </c>
      <c r="B54" s="406">
        <f t="shared" ref="B54:M54" si="27">+B10</f>
        <v>213655</v>
      </c>
      <c r="C54" s="406">
        <f t="shared" si="27"/>
        <v>190000</v>
      </c>
      <c r="D54" s="406">
        <f t="shared" si="27"/>
        <v>208408</v>
      </c>
      <c r="E54" s="406">
        <f t="shared" si="27"/>
        <v>213654</v>
      </c>
      <c r="F54" s="406">
        <f t="shared" si="27"/>
        <v>225525</v>
      </c>
      <c r="G54" s="406">
        <f t="shared" si="27"/>
        <v>230993</v>
      </c>
      <c r="H54" s="406">
        <f t="shared" si="27"/>
        <v>241068</v>
      </c>
      <c r="I54" s="406">
        <f t="shared" si="27"/>
        <v>233115</v>
      </c>
      <c r="J54" s="406">
        <f t="shared" si="27"/>
        <v>233023</v>
      </c>
      <c r="K54" s="406">
        <f t="shared" si="27"/>
        <v>233023</v>
      </c>
      <c r="L54" s="406">
        <f t="shared" si="27"/>
        <v>213654</v>
      </c>
      <c r="M54" s="406">
        <f t="shared" si="27"/>
        <v>213654</v>
      </c>
      <c r="N54" s="403"/>
      <c r="O54" s="436"/>
      <c r="P54" s="393"/>
      <c r="Q54" s="393"/>
      <c r="R54" s="393"/>
      <c r="S54" s="393"/>
      <c r="T54" s="393"/>
      <c r="U54" s="393"/>
      <c r="V54" s="393"/>
      <c r="W54" s="393"/>
      <c r="X54" s="393"/>
      <c r="Y54" s="393"/>
      <c r="Z54" s="393"/>
    </row>
    <row r="55" ht="12.75" customHeight="1">
      <c r="A55" s="410" t="s">
        <v>1474</v>
      </c>
      <c r="B55" s="406">
        <f t="shared" ref="B55:M55" si="28">+B11</f>
        <v>220374</v>
      </c>
      <c r="C55" s="406">
        <f t="shared" si="28"/>
        <v>229948</v>
      </c>
      <c r="D55" s="406">
        <f t="shared" si="28"/>
        <v>254773</v>
      </c>
      <c r="E55" s="406">
        <f t="shared" si="28"/>
        <v>260754</v>
      </c>
      <c r="F55" s="406">
        <f t="shared" si="28"/>
        <v>285776</v>
      </c>
      <c r="G55" s="406">
        <f t="shared" si="28"/>
        <v>288842</v>
      </c>
      <c r="H55" s="406">
        <f t="shared" si="28"/>
        <v>324566</v>
      </c>
      <c r="I55" s="406">
        <f t="shared" si="28"/>
        <v>325357</v>
      </c>
      <c r="J55" s="406">
        <f t="shared" si="28"/>
        <v>335574</v>
      </c>
      <c r="K55" s="406">
        <f t="shared" si="28"/>
        <v>335574</v>
      </c>
      <c r="L55" s="406">
        <f t="shared" si="28"/>
        <v>260754</v>
      </c>
      <c r="M55" s="406">
        <f t="shared" si="28"/>
        <v>260754</v>
      </c>
      <c r="N55" s="393"/>
      <c r="O55" s="436"/>
      <c r="P55" s="393"/>
      <c r="Q55" s="393"/>
      <c r="R55" s="393"/>
      <c r="S55" s="393"/>
      <c r="T55" s="393"/>
      <c r="U55" s="393"/>
      <c r="V55" s="393"/>
      <c r="W55" s="393"/>
      <c r="X55" s="393"/>
      <c r="Y55" s="393"/>
      <c r="Z55" s="393"/>
    </row>
    <row r="56" ht="12.75" customHeight="1">
      <c r="A56" s="404" t="s">
        <v>1475</v>
      </c>
      <c r="B56" s="406">
        <f t="shared" ref="B56:M56" si="29">+B12</f>
        <v>9286473</v>
      </c>
      <c r="C56" s="406">
        <f t="shared" si="29"/>
        <v>8514062</v>
      </c>
      <c r="D56" s="406">
        <f t="shared" si="29"/>
        <v>9117807</v>
      </c>
      <c r="E56" s="406">
        <f t="shared" si="29"/>
        <v>9173479</v>
      </c>
      <c r="F56" s="406">
        <f t="shared" si="29"/>
        <v>9361132</v>
      </c>
      <c r="G56" s="406">
        <f t="shared" si="29"/>
        <v>9051190</v>
      </c>
      <c r="H56" s="406">
        <f t="shared" si="29"/>
        <v>9745031</v>
      </c>
      <c r="I56" s="406">
        <f t="shared" si="29"/>
        <v>9274503</v>
      </c>
      <c r="J56" s="406">
        <f t="shared" si="29"/>
        <v>9473415</v>
      </c>
      <c r="K56" s="406">
        <f t="shared" si="29"/>
        <v>9600000</v>
      </c>
      <c r="L56" s="406">
        <f t="shared" si="29"/>
        <v>9173479</v>
      </c>
      <c r="M56" s="406">
        <f t="shared" si="29"/>
        <v>9173479</v>
      </c>
      <c r="N56" s="393"/>
      <c r="O56" s="436"/>
      <c r="P56" s="393"/>
      <c r="Q56" s="393"/>
      <c r="R56" s="393"/>
      <c r="S56" s="393"/>
      <c r="T56" s="393"/>
      <c r="U56" s="393"/>
      <c r="V56" s="393"/>
      <c r="W56" s="393"/>
      <c r="X56" s="393"/>
      <c r="Y56" s="393"/>
      <c r="Z56" s="393"/>
    </row>
    <row r="57" ht="12.75" customHeight="1">
      <c r="A57" s="438" t="s">
        <v>1476</v>
      </c>
      <c r="B57" s="412">
        <f t="shared" ref="B57:M57" si="30">+B13</f>
        <v>2612360</v>
      </c>
      <c r="C57" s="412">
        <f t="shared" si="30"/>
        <v>2472690</v>
      </c>
      <c r="D57" s="412">
        <f t="shared" si="30"/>
        <v>2621948</v>
      </c>
      <c r="E57" s="412">
        <f t="shared" si="30"/>
        <v>2645479</v>
      </c>
      <c r="F57" s="412">
        <f t="shared" si="30"/>
        <v>2666197</v>
      </c>
      <c r="G57" s="412">
        <f t="shared" si="30"/>
        <v>2487094</v>
      </c>
      <c r="H57" s="412">
        <f t="shared" si="30"/>
        <v>2680119</v>
      </c>
      <c r="I57" s="412">
        <f t="shared" si="30"/>
        <v>2553801</v>
      </c>
      <c r="J57" s="412">
        <f t="shared" si="30"/>
        <v>2647447</v>
      </c>
      <c r="K57" s="412">
        <f t="shared" si="30"/>
        <v>2647447</v>
      </c>
      <c r="L57" s="412">
        <f t="shared" si="30"/>
        <v>2645479</v>
      </c>
      <c r="M57" s="412">
        <f t="shared" si="30"/>
        <v>2645479</v>
      </c>
      <c r="N57" s="393"/>
      <c r="O57" s="436"/>
      <c r="P57" s="393"/>
      <c r="Q57" s="393"/>
      <c r="R57" s="393"/>
      <c r="S57" s="393"/>
      <c r="T57" s="393"/>
      <c r="U57" s="393"/>
      <c r="V57" s="393"/>
      <c r="W57" s="393"/>
      <c r="X57" s="393"/>
      <c r="Y57" s="393"/>
      <c r="Z57" s="393"/>
    </row>
    <row r="58" ht="12.75" customHeight="1">
      <c r="A58" s="439" t="s">
        <v>1490</v>
      </c>
      <c r="B58" s="406">
        <v>0.0</v>
      </c>
      <c r="C58" s="406">
        <f t="shared" ref="C58:D58" si="31">+B58</f>
        <v>0</v>
      </c>
      <c r="D58" s="406">
        <f t="shared" si="31"/>
        <v>0</v>
      </c>
      <c r="E58" s="406">
        <f t="shared" ref="E58:M58" si="32">+E56*E59</f>
        <v>458673.95</v>
      </c>
      <c r="F58" s="406">
        <f t="shared" si="32"/>
        <v>936113.2</v>
      </c>
      <c r="G58" s="406">
        <f t="shared" si="32"/>
        <v>1357678.5</v>
      </c>
      <c r="H58" s="406">
        <f t="shared" si="32"/>
        <v>1949006.2</v>
      </c>
      <c r="I58" s="406">
        <f t="shared" si="32"/>
        <v>2318625.75</v>
      </c>
      <c r="J58" s="406">
        <f t="shared" si="32"/>
        <v>2842024.5</v>
      </c>
      <c r="K58" s="406">
        <f t="shared" si="32"/>
        <v>3360000</v>
      </c>
      <c r="L58" s="406">
        <f t="shared" si="32"/>
        <v>3669391.6</v>
      </c>
      <c r="M58" s="406">
        <f t="shared" si="32"/>
        <v>4128065.55</v>
      </c>
      <c r="N58" s="440" t="s">
        <v>1491</v>
      </c>
      <c r="O58" s="436"/>
      <c r="P58" s="393"/>
      <c r="Q58" s="393"/>
      <c r="R58" s="393"/>
      <c r="S58" s="393"/>
      <c r="T58" s="393"/>
      <c r="U58" s="393"/>
      <c r="V58" s="393"/>
      <c r="W58" s="393"/>
      <c r="X58" s="393"/>
      <c r="Y58" s="393"/>
      <c r="Z58" s="393"/>
    </row>
    <row r="59" ht="12.75" customHeight="1">
      <c r="A59" s="441"/>
      <c r="B59" s="393"/>
      <c r="C59" s="393"/>
      <c r="D59" s="393"/>
      <c r="E59" s="140">
        <v>0.05</v>
      </c>
      <c r="F59" s="140">
        <f t="shared" ref="F59:M59" si="33">+E59+5%</f>
        <v>0.1</v>
      </c>
      <c r="G59" s="140">
        <f t="shared" si="33"/>
        <v>0.15</v>
      </c>
      <c r="H59" s="140">
        <f t="shared" si="33"/>
        <v>0.2</v>
      </c>
      <c r="I59" s="140">
        <f t="shared" si="33"/>
        <v>0.25</v>
      </c>
      <c r="J59" s="140">
        <f t="shared" si="33"/>
        <v>0.3</v>
      </c>
      <c r="K59" s="140">
        <f t="shared" si="33"/>
        <v>0.35</v>
      </c>
      <c r="L59" s="140">
        <f t="shared" si="33"/>
        <v>0.4</v>
      </c>
      <c r="M59" s="140">
        <f t="shared" si="33"/>
        <v>0.45</v>
      </c>
      <c r="N59" s="393"/>
      <c r="O59" s="393"/>
      <c r="P59" s="393"/>
      <c r="Q59" s="393"/>
      <c r="R59" s="393"/>
      <c r="S59" s="393"/>
      <c r="T59" s="393"/>
      <c r="U59" s="393"/>
      <c r="V59" s="393"/>
      <c r="W59" s="393"/>
      <c r="X59" s="393"/>
      <c r="Y59" s="393"/>
      <c r="Z59" s="393"/>
    </row>
    <row r="60" ht="12.75" customHeight="1">
      <c r="A60" s="434" t="s">
        <v>1492</v>
      </c>
      <c r="B60" s="402">
        <f t="shared" ref="B60:M60" si="34">+B49</f>
        <v>46023</v>
      </c>
      <c r="C60" s="402">
        <f t="shared" si="34"/>
        <v>46054</v>
      </c>
      <c r="D60" s="402">
        <f t="shared" si="34"/>
        <v>46112</v>
      </c>
      <c r="E60" s="402">
        <f t="shared" si="34"/>
        <v>46142</v>
      </c>
      <c r="F60" s="402">
        <f t="shared" si="34"/>
        <v>46172</v>
      </c>
      <c r="G60" s="402">
        <f t="shared" si="34"/>
        <v>46202</v>
      </c>
      <c r="H60" s="402">
        <f t="shared" si="34"/>
        <v>46232</v>
      </c>
      <c r="I60" s="402">
        <f t="shared" si="34"/>
        <v>46262</v>
      </c>
      <c r="J60" s="402">
        <f t="shared" si="34"/>
        <v>46292</v>
      </c>
      <c r="K60" s="402">
        <f t="shared" si="34"/>
        <v>46322</v>
      </c>
      <c r="L60" s="435">
        <f t="shared" si="34"/>
        <v>46352</v>
      </c>
      <c r="M60" s="402">
        <f t="shared" si="34"/>
        <v>46382</v>
      </c>
      <c r="N60" s="393"/>
      <c r="O60" s="393"/>
      <c r="P60" s="393"/>
      <c r="Q60" s="393"/>
      <c r="R60" s="393"/>
      <c r="S60" s="393"/>
      <c r="T60" s="393"/>
      <c r="U60" s="393"/>
      <c r="V60" s="393"/>
      <c r="W60" s="393"/>
      <c r="X60" s="393"/>
      <c r="Y60" s="393"/>
      <c r="Z60" s="393"/>
    </row>
    <row r="61" ht="12.75" customHeight="1">
      <c r="A61" s="404" t="s">
        <v>1469</v>
      </c>
      <c r="B61" s="418">
        <f t="shared" ref="B61:B68" si="35">+M25*(1+$B$71)</f>
        <v>154.2253242</v>
      </c>
      <c r="C61" s="418">
        <f t="shared" ref="C61:C68" si="36">+B61*(1+$C$71)</f>
        <v>158.6978586</v>
      </c>
      <c r="D61" s="418">
        <f t="shared" ref="D61:D68" si="37">+C61*(1+$D$71)</f>
        <v>164.0935858</v>
      </c>
      <c r="E61" s="418">
        <f t="shared" ref="E61:E68" si="38">+D61*(1+$E$71)</f>
        <v>168.3600191</v>
      </c>
      <c r="F61" s="418">
        <f t="shared" ref="F61:F68" si="39">+E61*(1+$F$71)</f>
        <v>173.2424596</v>
      </c>
      <c r="G61" s="418">
        <f t="shared" ref="G61:G68" si="40">+F61*(1+$G$71)</f>
        <v>178.266491</v>
      </c>
      <c r="H61" s="418">
        <f t="shared" ref="H61:H68" si="41">+G61*(1+$H$71)</f>
        <v>183.4362192</v>
      </c>
      <c r="I61" s="418">
        <f t="shared" ref="I61:I68" si="42">+H61*(1+$I$71)</f>
        <v>188.7558695</v>
      </c>
      <c r="J61" s="418">
        <f t="shared" ref="J61:J68" si="43">+I61*(1+$J$71)</f>
        <v>194.2297898</v>
      </c>
      <c r="K61" s="418">
        <f t="shared" ref="K61:K68" si="44">+J61*(1+$K$71)</f>
        <v>199.8624537</v>
      </c>
      <c r="L61" s="418">
        <f t="shared" ref="L61:L68" si="45">+K61*(1+$L$71)</f>
        <v>205.6584648</v>
      </c>
      <c r="M61" s="418">
        <f t="shared" ref="M61:M68" si="46">+L61*(1+$M$71)</f>
        <v>211.6225603</v>
      </c>
      <c r="N61" s="442">
        <f t="shared" ref="N61:N68" si="47">+M61/M25</f>
        <v>1.411957573</v>
      </c>
      <c r="O61" s="393"/>
      <c r="P61" s="393"/>
      <c r="Q61" s="393"/>
      <c r="R61" s="393"/>
      <c r="S61" s="393"/>
      <c r="T61" s="393"/>
      <c r="U61" s="393"/>
      <c r="V61" s="393"/>
      <c r="W61" s="393"/>
      <c r="X61" s="393"/>
      <c r="Y61" s="393"/>
      <c r="Z61" s="393"/>
    </row>
    <row r="62" ht="12.75" customHeight="1">
      <c r="A62" s="404" t="s">
        <v>1470</v>
      </c>
      <c r="B62" s="418">
        <f t="shared" si="35"/>
        <v>154.2253242</v>
      </c>
      <c r="C62" s="418">
        <f t="shared" si="36"/>
        <v>158.6978586</v>
      </c>
      <c r="D62" s="418">
        <f t="shared" si="37"/>
        <v>164.0935858</v>
      </c>
      <c r="E62" s="418">
        <f t="shared" si="38"/>
        <v>168.3600191</v>
      </c>
      <c r="F62" s="418">
        <f t="shared" si="39"/>
        <v>173.2424596</v>
      </c>
      <c r="G62" s="418">
        <f t="shared" si="40"/>
        <v>178.266491</v>
      </c>
      <c r="H62" s="418">
        <f t="shared" si="41"/>
        <v>183.4362192</v>
      </c>
      <c r="I62" s="418">
        <f t="shared" si="42"/>
        <v>188.7558695</v>
      </c>
      <c r="J62" s="418">
        <f t="shared" si="43"/>
        <v>194.2297898</v>
      </c>
      <c r="K62" s="418">
        <f t="shared" si="44"/>
        <v>199.8624537</v>
      </c>
      <c r="L62" s="418">
        <f t="shared" si="45"/>
        <v>205.6584648</v>
      </c>
      <c r="M62" s="418">
        <f t="shared" si="46"/>
        <v>211.6225603</v>
      </c>
      <c r="N62" s="442">
        <f t="shared" si="47"/>
        <v>1.411957573</v>
      </c>
      <c r="O62" s="393"/>
      <c r="P62" s="393"/>
      <c r="Q62" s="393"/>
      <c r="R62" s="393"/>
      <c r="S62" s="393"/>
      <c r="T62" s="393"/>
      <c r="U62" s="393"/>
      <c r="V62" s="393"/>
      <c r="W62" s="393"/>
      <c r="X62" s="393"/>
      <c r="Y62" s="393"/>
      <c r="Z62" s="393"/>
    </row>
    <row r="63" ht="12.75" customHeight="1">
      <c r="A63" s="404" t="s">
        <v>1471</v>
      </c>
      <c r="B63" s="418">
        <f t="shared" si="35"/>
        <v>166.4148418</v>
      </c>
      <c r="C63" s="418">
        <f t="shared" si="36"/>
        <v>171.2408722</v>
      </c>
      <c r="D63" s="418">
        <f t="shared" si="37"/>
        <v>177.0630618</v>
      </c>
      <c r="E63" s="418">
        <f t="shared" si="38"/>
        <v>181.6667015</v>
      </c>
      <c r="F63" s="418">
        <f t="shared" si="39"/>
        <v>186.9350358</v>
      </c>
      <c r="G63" s="418">
        <f t="shared" si="40"/>
        <v>192.3561518</v>
      </c>
      <c r="H63" s="418">
        <f t="shared" si="41"/>
        <v>197.9344802</v>
      </c>
      <c r="I63" s="418">
        <f t="shared" si="42"/>
        <v>203.6745802</v>
      </c>
      <c r="J63" s="418">
        <f t="shared" si="43"/>
        <v>209.581143</v>
      </c>
      <c r="K63" s="418">
        <f t="shared" si="44"/>
        <v>215.6589961</v>
      </c>
      <c r="L63" s="418">
        <f t="shared" si="45"/>
        <v>221.913107</v>
      </c>
      <c r="M63" s="418">
        <f t="shared" si="46"/>
        <v>228.3485871</v>
      </c>
      <c r="N63" s="442">
        <f t="shared" si="47"/>
        <v>1.411957573</v>
      </c>
      <c r="O63" s="393"/>
      <c r="P63" s="393"/>
      <c r="Q63" s="393"/>
      <c r="R63" s="393"/>
      <c r="S63" s="393"/>
      <c r="T63" s="393"/>
      <c r="U63" s="393"/>
      <c r="V63" s="393"/>
      <c r="W63" s="393"/>
      <c r="X63" s="393"/>
      <c r="Y63" s="393"/>
      <c r="Z63" s="393"/>
    </row>
    <row r="64" ht="12.75" customHeight="1">
      <c r="A64" s="408" t="s">
        <v>1472</v>
      </c>
      <c r="B64" s="418">
        <f t="shared" si="35"/>
        <v>12.3428448</v>
      </c>
      <c r="C64" s="418">
        <f t="shared" si="36"/>
        <v>12.7007873</v>
      </c>
      <c r="D64" s="418">
        <f t="shared" si="37"/>
        <v>13.13261406</v>
      </c>
      <c r="E64" s="418">
        <f t="shared" si="38"/>
        <v>13.47406203</v>
      </c>
      <c r="F64" s="418">
        <f t="shared" si="39"/>
        <v>13.86480983</v>
      </c>
      <c r="G64" s="418">
        <f t="shared" si="40"/>
        <v>14.26688931</v>
      </c>
      <c r="H64" s="418">
        <f t="shared" si="41"/>
        <v>14.6806291</v>
      </c>
      <c r="I64" s="418">
        <f t="shared" si="42"/>
        <v>15.10636735</v>
      </c>
      <c r="J64" s="418">
        <f t="shared" si="43"/>
        <v>15.544452</v>
      </c>
      <c r="K64" s="418">
        <f t="shared" si="44"/>
        <v>15.99524111</v>
      </c>
      <c r="L64" s="418">
        <f t="shared" si="45"/>
        <v>16.4591031</v>
      </c>
      <c r="M64" s="418">
        <f t="shared" si="46"/>
        <v>16.93641709</v>
      </c>
      <c r="N64" s="442">
        <f t="shared" si="47"/>
        <v>1.411957573</v>
      </c>
      <c r="O64" s="393"/>
      <c r="P64" s="393"/>
      <c r="Q64" s="393"/>
      <c r="R64" s="393"/>
      <c r="S64" s="393"/>
      <c r="T64" s="393"/>
      <c r="U64" s="393"/>
      <c r="V64" s="393"/>
      <c r="W64" s="393"/>
      <c r="X64" s="393"/>
      <c r="Y64" s="393"/>
      <c r="Z64" s="393"/>
    </row>
    <row r="65" ht="12.75" customHeight="1">
      <c r="A65" s="408" t="s">
        <v>1473</v>
      </c>
      <c r="B65" s="418">
        <f t="shared" si="35"/>
        <v>12.3428448</v>
      </c>
      <c r="C65" s="418">
        <f t="shared" si="36"/>
        <v>12.7007873</v>
      </c>
      <c r="D65" s="418">
        <f t="shared" si="37"/>
        <v>13.13261406</v>
      </c>
      <c r="E65" s="418">
        <f t="shared" si="38"/>
        <v>13.47406203</v>
      </c>
      <c r="F65" s="418">
        <f t="shared" si="39"/>
        <v>13.86480983</v>
      </c>
      <c r="G65" s="418">
        <f t="shared" si="40"/>
        <v>14.26688931</v>
      </c>
      <c r="H65" s="418">
        <f t="shared" si="41"/>
        <v>14.6806291</v>
      </c>
      <c r="I65" s="418">
        <f t="shared" si="42"/>
        <v>15.10636735</v>
      </c>
      <c r="J65" s="418">
        <f t="shared" si="43"/>
        <v>15.544452</v>
      </c>
      <c r="K65" s="418">
        <f t="shared" si="44"/>
        <v>15.99524111</v>
      </c>
      <c r="L65" s="418">
        <f t="shared" si="45"/>
        <v>16.4591031</v>
      </c>
      <c r="M65" s="418">
        <f t="shared" si="46"/>
        <v>16.93641709</v>
      </c>
      <c r="N65" s="442">
        <f t="shared" si="47"/>
        <v>1.411957573</v>
      </c>
      <c r="O65" s="393"/>
      <c r="P65" s="393"/>
      <c r="Q65" s="393"/>
      <c r="R65" s="393"/>
      <c r="S65" s="393"/>
      <c r="T65" s="393"/>
      <c r="U65" s="393"/>
      <c r="V65" s="393"/>
      <c r="W65" s="393"/>
      <c r="X65" s="393"/>
      <c r="Y65" s="393"/>
      <c r="Z65" s="393"/>
    </row>
    <row r="66" ht="12.75" customHeight="1">
      <c r="A66" s="410" t="s">
        <v>1474</v>
      </c>
      <c r="B66" s="418">
        <f t="shared" si="35"/>
        <v>13.31756812</v>
      </c>
      <c r="C66" s="418">
        <f t="shared" si="36"/>
        <v>13.7037776</v>
      </c>
      <c r="D66" s="418">
        <f t="shared" si="37"/>
        <v>14.16970603</v>
      </c>
      <c r="E66" s="418">
        <f t="shared" si="38"/>
        <v>14.53811839</v>
      </c>
      <c r="F66" s="418">
        <f t="shared" si="39"/>
        <v>14.95972383</v>
      </c>
      <c r="G66" s="418">
        <f t="shared" si="40"/>
        <v>15.39355582</v>
      </c>
      <c r="H66" s="418">
        <f t="shared" si="41"/>
        <v>15.83996893</v>
      </c>
      <c r="I66" s="418">
        <f t="shared" si="42"/>
        <v>16.29932803</v>
      </c>
      <c r="J66" s="418">
        <f t="shared" si="43"/>
        <v>16.77200855</v>
      </c>
      <c r="K66" s="418">
        <f t="shared" si="44"/>
        <v>17.25839679</v>
      </c>
      <c r="L66" s="418">
        <f t="shared" si="45"/>
        <v>17.7588903</v>
      </c>
      <c r="M66" s="418">
        <f t="shared" si="46"/>
        <v>18.27389812</v>
      </c>
      <c r="N66" s="442">
        <f t="shared" si="47"/>
        <v>1.411957573</v>
      </c>
      <c r="O66" s="393"/>
      <c r="P66" s="393"/>
      <c r="Q66" s="393"/>
      <c r="R66" s="393"/>
      <c r="S66" s="393"/>
      <c r="T66" s="393"/>
      <c r="U66" s="393"/>
      <c r="V66" s="393"/>
      <c r="W66" s="393"/>
      <c r="X66" s="393"/>
      <c r="Y66" s="393"/>
      <c r="Z66" s="393"/>
    </row>
    <row r="67" ht="12.75" customHeight="1">
      <c r="A67" s="404" t="s">
        <v>1475</v>
      </c>
      <c r="B67" s="418">
        <f t="shared" si="35"/>
        <v>149.7788336</v>
      </c>
      <c r="C67" s="418">
        <f t="shared" si="36"/>
        <v>154.1224197</v>
      </c>
      <c r="D67" s="418">
        <f t="shared" si="37"/>
        <v>159.362582</v>
      </c>
      <c r="E67" s="418">
        <f t="shared" si="38"/>
        <v>163.5060091</v>
      </c>
      <c r="F67" s="418">
        <f t="shared" si="39"/>
        <v>168.2476834</v>
      </c>
      <c r="G67" s="418">
        <f t="shared" si="40"/>
        <v>173.1268662</v>
      </c>
      <c r="H67" s="418">
        <f t="shared" si="41"/>
        <v>178.1475454</v>
      </c>
      <c r="I67" s="418">
        <f t="shared" si="42"/>
        <v>183.3138242</v>
      </c>
      <c r="J67" s="418">
        <f t="shared" si="43"/>
        <v>188.6299251</v>
      </c>
      <c r="K67" s="418">
        <f t="shared" si="44"/>
        <v>194.1001929</v>
      </c>
      <c r="L67" s="418">
        <f t="shared" si="45"/>
        <v>199.7290985</v>
      </c>
      <c r="M67" s="418">
        <f t="shared" si="46"/>
        <v>205.5212423</v>
      </c>
      <c r="N67" s="442">
        <f t="shared" si="47"/>
        <v>1.411957573</v>
      </c>
      <c r="O67" s="393"/>
      <c r="P67" s="393"/>
      <c r="Q67" s="393"/>
      <c r="R67" s="393"/>
      <c r="S67" s="393"/>
      <c r="T67" s="393"/>
      <c r="U67" s="393"/>
      <c r="V67" s="393"/>
      <c r="W67" s="393"/>
      <c r="X67" s="393"/>
      <c r="Y67" s="393"/>
      <c r="Z67" s="393"/>
    </row>
    <row r="68" ht="12.75" customHeight="1">
      <c r="A68" s="404" t="s">
        <v>1476</v>
      </c>
      <c r="B68" s="443">
        <f t="shared" si="35"/>
        <v>15.48605372</v>
      </c>
      <c r="C68" s="443">
        <f t="shared" si="36"/>
        <v>15.93514928</v>
      </c>
      <c r="D68" s="443">
        <f t="shared" si="37"/>
        <v>16.47694435</v>
      </c>
      <c r="E68" s="443">
        <f t="shared" si="38"/>
        <v>16.90534491</v>
      </c>
      <c r="F68" s="443">
        <f t="shared" si="39"/>
        <v>17.39559991</v>
      </c>
      <c r="G68" s="443">
        <f t="shared" si="40"/>
        <v>17.90007231</v>
      </c>
      <c r="H68" s="443">
        <f t="shared" si="41"/>
        <v>18.4191744</v>
      </c>
      <c r="I68" s="443">
        <f t="shared" si="42"/>
        <v>18.95333046</v>
      </c>
      <c r="J68" s="443">
        <f t="shared" si="43"/>
        <v>19.50297704</v>
      </c>
      <c r="K68" s="443">
        <f t="shared" si="44"/>
        <v>20.06856338</v>
      </c>
      <c r="L68" s="443">
        <f t="shared" si="45"/>
        <v>20.65055172</v>
      </c>
      <c r="M68" s="443">
        <f t="shared" si="46"/>
        <v>21.24941772</v>
      </c>
      <c r="N68" s="442">
        <f t="shared" si="47"/>
        <v>1.411957573</v>
      </c>
      <c r="O68" s="393"/>
      <c r="P68" s="393"/>
      <c r="Q68" s="393"/>
      <c r="R68" s="393"/>
      <c r="S68" s="393"/>
      <c r="T68" s="393"/>
      <c r="U68" s="393"/>
      <c r="V68" s="393"/>
      <c r="W68" s="393"/>
      <c r="X68" s="393"/>
      <c r="Y68" s="393"/>
      <c r="Z68" s="393"/>
    </row>
    <row r="69" ht="12.75" customHeight="1">
      <c r="A69" s="439" t="s">
        <v>1490</v>
      </c>
      <c r="B69" s="418">
        <f t="shared" ref="B69:M69" si="48">+B67*50%</f>
        <v>74.88941679</v>
      </c>
      <c r="C69" s="418">
        <f t="shared" si="48"/>
        <v>77.06120987</v>
      </c>
      <c r="D69" s="418">
        <f t="shared" si="48"/>
        <v>79.68129101</v>
      </c>
      <c r="E69" s="418">
        <f t="shared" si="48"/>
        <v>81.75300457</v>
      </c>
      <c r="F69" s="418">
        <f t="shared" si="48"/>
        <v>84.12384171</v>
      </c>
      <c r="G69" s="418">
        <f t="shared" si="48"/>
        <v>86.56343312</v>
      </c>
      <c r="H69" s="418">
        <f t="shared" si="48"/>
        <v>89.07377268</v>
      </c>
      <c r="I69" s="418">
        <f t="shared" si="48"/>
        <v>91.65691209</v>
      </c>
      <c r="J69" s="418">
        <f t="shared" si="48"/>
        <v>94.31496254</v>
      </c>
      <c r="K69" s="418">
        <f t="shared" si="48"/>
        <v>97.05009645</v>
      </c>
      <c r="L69" s="418">
        <f t="shared" si="48"/>
        <v>99.86454925</v>
      </c>
      <c r="M69" s="418">
        <f t="shared" si="48"/>
        <v>102.7606212</v>
      </c>
      <c r="N69" s="442"/>
      <c r="O69" s="393"/>
      <c r="P69" s="393"/>
      <c r="Q69" s="393"/>
      <c r="R69" s="393"/>
      <c r="S69" s="393"/>
      <c r="T69" s="393"/>
      <c r="U69" s="393"/>
      <c r="V69" s="393"/>
      <c r="W69" s="393"/>
      <c r="X69" s="393"/>
      <c r="Y69" s="393"/>
      <c r="Z69" s="393"/>
    </row>
    <row r="70" ht="12.75" customHeight="1">
      <c r="A70" s="393"/>
      <c r="B70" s="393"/>
      <c r="C70" s="393"/>
      <c r="D70" s="393"/>
      <c r="E70" s="393"/>
      <c r="F70" s="393"/>
      <c r="G70" s="393"/>
      <c r="H70" s="393"/>
      <c r="I70" s="393"/>
      <c r="J70" s="393"/>
      <c r="K70" s="393"/>
      <c r="L70" s="393"/>
      <c r="M70" s="393"/>
      <c r="N70" s="393"/>
      <c r="O70" s="393"/>
      <c r="P70" s="393"/>
      <c r="Q70" s="393"/>
      <c r="R70" s="393"/>
      <c r="S70" s="393"/>
      <c r="T70" s="393"/>
      <c r="U70" s="393"/>
      <c r="V70" s="393"/>
      <c r="W70" s="393"/>
      <c r="X70" s="393"/>
      <c r="Y70" s="393"/>
      <c r="Z70" s="393"/>
    </row>
    <row r="71" ht="12.75" customHeight="1">
      <c r="A71" s="422" t="s">
        <v>1493</v>
      </c>
      <c r="B71" s="424">
        <f>+ipcene</f>
        <v>0.029</v>
      </c>
      <c r="C71" s="424">
        <f>+'REAL-BDGT2026'!J194</f>
        <v>0.029</v>
      </c>
      <c r="D71" s="424">
        <f>+'REAL-BDGT2026'!K194</f>
        <v>0.034</v>
      </c>
      <c r="E71" s="424">
        <f>+'REAL-BDGT2026'!L194</f>
        <v>0.026</v>
      </c>
      <c r="F71" s="424">
        <f>+'REAL-BDGT2026'!M194</f>
        <v>0.029</v>
      </c>
      <c r="G71" s="424">
        <f>+'REAL-BDGT2026'!N194</f>
        <v>0.029</v>
      </c>
      <c r="H71" s="424">
        <f>+'REAL-BDGT2026'!O194</f>
        <v>0.029</v>
      </c>
      <c r="I71" s="424">
        <f>+'REAL-BDGT2026'!P194</f>
        <v>0.029</v>
      </c>
      <c r="J71" s="424">
        <f>+'REAL-BDGT2026'!Q194</f>
        <v>0.029</v>
      </c>
      <c r="K71" s="424">
        <f>+'REAL-BDGT2026'!R194</f>
        <v>0.029</v>
      </c>
      <c r="L71" s="424">
        <f>+'REAL-BDGT2026'!S194</f>
        <v>0.029</v>
      </c>
      <c r="M71" s="424">
        <f>+'REAL-BDGT2026'!T194</f>
        <v>0.029</v>
      </c>
      <c r="N71" s="423"/>
      <c r="O71" s="423"/>
      <c r="P71" s="423"/>
      <c r="Q71" s="423"/>
      <c r="R71" s="423"/>
      <c r="S71" s="423"/>
      <c r="T71" s="423"/>
      <c r="U71" s="423"/>
      <c r="V71" s="423"/>
      <c r="W71" s="423"/>
      <c r="X71" s="423"/>
      <c r="Y71" s="423"/>
      <c r="Z71" s="423"/>
    </row>
    <row r="72" ht="12.75" customHeight="1">
      <c r="A72" s="393"/>
      <c r="B72" s="444">
        <f>1*(1+B71)</f>
        <v>1.029</v>
      </c>
      <c r="C72" s="444">
        <f t="shared" ref="C72:M72" si="49">+B72*(1+C71)</f>
        <v>1.058841</v>
      </c>
      <c r="D72" s="444">
        <f t="shared" si="49"/>
        <v>1.094841594</v>
      </c>
      <c r="E72" s="444">
        <f t="shared" si="49"/>
        <v>1.123307475</v>
      </c>
      <c r="F72" s="444">
        <f t="shared" si="49"/>
        <v>1.155883392</v>
      </c>
      <c r="G72" s="444">
        <f t="shared" si="49"/>
        <v>1.189404011</v>
      </c>
      <c r="H72" s="444">
        <f t="shared" si="49"/>
        <v>1.223896727</v>
      </c>
      <c r="I72" s="444">
        <f t="shared" si="49"/>
        <v>1.259389732</v>
      </c>
      <c r="J72" s="444">
        <f t="shared" si="49"/>
        <v>1.295912034</v>
      </c>
      <c r="K72" s="444">
        <f t="shared" si="49"/>
        <v>1.333493483</v>
      </c>
      <c r="L72" s="444">
        <f t="shared" si="49"/>
        <v>1.372164794</v>
      </c>
      <c r="M72" s="444">
        <f t="shared" si="49"/>
        <v>1.411957573</v>
      </c>
      <c r="N72" s="445">
        <f>+M72-1</f>
        <v>0.4119575733</v>
      </c>
      <c r="O72" s="446" t="s">
        <v>1494</v>
      </c>
      <c r="P72" s="393"/>
      <c r="Q72" s="393"/>
      <c r="R72" s="393"/>
      <c r="S72" s="393"/>
      <c r="T72" s="393"/>
      <c r="U72" s="393"/>
      <c r="V72" s="393"/>
      <c r="W72" s="393"/>
      <c r="X72" s="393"/>
      <c r="Y72" s="393"/>
      <c r="Z72" s="393"/>
    </row>
    <row r="73" ht="12.75" customHeight="1">
      <c r="A73" s="441"/>
      <c r="B73" s="447"/>
      <c r="C73" s="448"/>
      <c r="D73" s="393"/>
      <c r="E73" s="393"/>
      <c r="F73" s="393"/>
      <c r="G73" s="393"/>
      <c r="H73" s="393"/>
      <c r="I73" s="393"/>
      <c r="J73" s="393"/>
      <c r="K73" s="393"/>
      <c r="L73" s="393"/>
      <c r="M73" s="393"/>
      <c r="N73" s="393"/>
      <c r="O73" s="393"/>
      <c r="P73" s="393"/>
      <c r="Q73" s="393"/>
      <c r="R73" s="393"/>
      <c r="S73" s="393"/>
      <c r="T73" s="393"/>
      <c r="U73" s="393"/>
      <c r="V73" s="393"/>
      <c r="W73" s="393"/>
      <c r="X73" s="393"/>
      <c r="Y73" s="393"/>
      <c r="Z73" s="393"/>
    </row>
    <row r="74" ht="12.75" customHeight="1">
      <c r="A74" s="434" t="s">
        <v>1495</v>
      </c>
      <c r="B74" s="402">
        <f t="shared" ref="B74:M74" si="50">+B60</f>
        <v>46023</v>
      </c>
      <c r="C74" s="402">
        <f t="shared" si="50"/>
        <v>46054</v>
      </c>
      <c r="D74" s="402">
        <f t="shared" si="50"/>
        <v>46112</v>
      </c>
      <c r="E74" s="402">
        <f t="shared" si="50"/>
        <v>46142</v>
      </c>
      <c r="F74" s="402">
        <f t="shared" si="50"/>
        <v>46172</v>
      </c>
      <c r="G74" s="402">
        <f t="shared" si="50"/>
        <v>46202</v>
      </c>
      <c r="H74" s="402">
        <f t="shared" si="50"/>
        <v>46232</v>
      </c>
      <c r="I74" s="402">
        <f t="shared" si="50"/>
        <v>46262</v>
      </c>
      <c r="J74" s="402">
        <f t="shared" si="50"/>
        <v>46292</v>
      </c>
      <c r="K74" s="402">
        <f t="shared" si="50"/>
        <v>46322</v>
      </c>
      <c r="L74" s="435">
        <f t="shared" si="50"/>
        <v>46352</v>
      </c>
      <c r="M74" s="402">
        <f t="shared" si="50"/>
        <v>46382</v>
      </c>
      <c r="N74" s="449"/>
      <c r="O74" s="393"/>
      <c r="P74" s="393"/>
      <c r="Q74" s="393"/>
      <c r="R74" s="393"/>
      <c r="S74" s="393"/>
      <c r="T74" s="393"/>
      <c r="U74" s="393"/>
      <c r="V74" s="393"/>
      <c r="W74" s="393"/>
      <c r="X74" s="393"/>
      <c r="Y74" s="393"/>
      <c r="Z74" s="393"/>
    </row>
    <row r="75" ht="12.75" customHeight="1">
      <c r="A75" s="404" t="s">
        <v>1469</v>
      </c>
      <c r="B75" s="450">
        <f t="shared" ref="B75:M75" si="51">+B50*B61</f>
        <v>229842926.1</v>
      </c>
      <c r="C75" s="450">
        <f t="shared" si="51"/>
        <v>215149226.1</v>
      </c>
      <c r="D75" s="450">
        <f t="shared" si="51"/>
        <v>249546141.1</v>
      </c>
      <c r="E75" s="450">
        <f t="shared" si="51"/>
        <v>269766120.7</v>
      </c>
      <c r="F75" s="450">
        <f t="shared" si="51"/>
        <v>291450987.1</v>
      </c>
      <c r="G75" s="450">
        <f t="shared" si="51"/>
        <v>297013722.4</v>
      </c>
      <c r="H75" s="450">
        <f t="shared" si="51"/>
        <v>321199387.9</v>
      </c>
      <c r="I75" s="450">
        <f t="shared" si="51"/>
        <v>321508250.1</v>
      </c>
      <c r="J75" s="450">
        <f t="shared" si="51"/>
        <v>336939156.6</v>
      </c>
      <c r="K75" s="450">
        <f t="shared" si="51"/>
        <v>349759293.9</v>
      </c>
      <c r="L75" s="450">
        <f t="shared" si="51"/>
        <v>329530054.4</v>
      </c>
      <c r="M75" s="450">
        <f t="shared" si="51"/>
        <v>339086426</v>
      </c>
      <c r="N75" s="426">
        <f t="shared" ref="N75:N84" si="53">SUM(B75:M75)</f>
        <v>3550791693</v>
      </c>
      <c r="O75" s="393"/>
      <c r="P75" s="393"/>
      <c r="Q75" s="393"/>
      <c r="R75" s="393"/>
      <c r="S75" s="393"/>
      <c r="T75" s="393"/>
      <c r="U75" s="393"/>
      <c r="V75" s="393"/>
      <c r="W75" s="393"/>
      <c r="X75" s="393"/>
      <c r="Y75" s="393"/>
      <c r="Z75" s="393"/>
    </row>
    <row r="76" ht="12.75" customHeight="1">
      <c r="A76" s="404" t="s">
        <v>1470</v>
      </c>
      <c r="B76" s="450">
        <f t="shared" ref="B76:M76" si="52">+B51*B62</f>
        <v>32953170.81</v>
      </c>
      <c r="C76" s="450">
        <f t="shared" si="52"/>
        <v>30154973.61</v>
      </c>
      <c r="D76" s="450">
        <f t="shared" si="52"/>
        <v>34195134.17</v>
      </c>
      <c r="E76" s="450">
        <f t="shared" si="52"/>
        <v>35981229.84</v>
      </c>
      <c r="F76" s="450">
        <f t="shared" si="52"/>
        <v>39059591.43</v>
      </c>
      <c r="G76" s="450">
        <f t="shared" si="52"/>
        <v>41176350.61</v>
      </c>
      <c r="H76" s="450">
        <f t="shared" si="52"/>
        <v>44213631.91</v>
      </c>
      <c r="I76" s="450">
        <f t="shared" si="52"/>
        <v>43989177.89</v>
      </c>
      <c r="J76" s="450">
        <f t="shared" si="52"/>
        <v>45259037.15</v>
      </c>
      <c r="K76" s="450">
        <f t="shared" si="52"/>
        <v>49965613.42</v>
      </c>
      <c r="L76" s="450">
        <f t="shared" si="52"/>
        <v>43952504.47</v>
      </c>
      <c r="M76" s="450">
        <f t="shared" si="52"/>
        <v>45227127.1</v>
      </c>
      <c r="N76" s="426">
        <f t="shared" si="53"/>
        <v>486127542.4</v>
      </c>
      <c r="O76" s="393"/>
      <c r="P76" s="393"/>
      <c r="Q76" s="393"/>
      <c r="R76" s="393"/>
      <c r="S76" s="393"/>
      <c r="T76" s="393"/>
      <c r="U76" s="393"/>
      <c r="V76" s="393"/>
      <c r="W76" s="393"/>
      <c r="X76" s="393"/>
      <c r="Y76" s="393"/>
      <c r="Z76" s="393"/>
    </row>
    <row r="77" ht="12.75" customHeight="1">
      <c r="A77" s="404" t="s">
        <v>1471</v>
      </c>
      <c r="B77" s="450">
        <f t="shared" ref="B77:M77" si="54">+B52*B63</f>
        <v>127100999.6</v>
      </c>
      <c r="C77" s="450">
        <f t="shared" si="54"/>
        <v>123540528.6</v>
      </c>
      <c r="D77" s="450">
        <f t="shared" si="54"/>
        <v>138344150.9</v>
      </c>
      <c r="E77" s="450">
        <f t="shared" si="54"/>
        <v>148745243.5</v>
      </c>
      <c r="F77" s="450">
        <f t="shared" si="54"/>
        <v>159287717.9</v>
      </c>
      <c r="G77" s="450">
        <f t="shared" si="54"/>
        <v>163050115</v>
      </c>
      <c r="H77" s="450">
        <f t="shared" si="54"/>
        <v>181088276.6</v>
      </c>
      <c r="I77" s="450">
        <f t="shared" si="54"/>
        <v>177718291.7</v>
      </c>
      <c r="J77" s="450">
        <f t="shared" si="54"/>
        <v>186325390.6</v>
      </c>
      <c r="K77" s="450">
        <f t="shared" si="54"/>
        <v>196249686.5</v>
      </c>
      <c r="L77" s="450">
        <f t="shared" si="54"/>
        <v>181698235.7</v>
      </c>
      <c r="M77" s="450">
        <f t="shared" si="54"/>
        <v>186967484.5</v>
      </c>
      <c r="N77" s="426">
        <f t="shared" si="53"/>
        <v>1970116121</v>
      </c>
      <c r="O77" s="393"/>
      <c r="P77" s="393"/>
      <c r="Q77" s="393"/>
      <c r="R77" s="393"/>
      <c r="S77" s="393"/>
      <c r="T77" s="393"/>
      <c r="U77" s="393"/>
      <c r="V77" s="393"/>
      <c r="W77" s="393"/>
      <c r="X77" s="393"/>
      <c r="Y77" s="393"/>
      <c r="Z77" s="393"/>
    </row>
    <row r="78" ht="12.75" customHeight="1">
      <c r="A78" s="408" t="s">
        <v>1472</v>
      </c>
      <c r="B78" s="450">
        <f t="shared" ref="B78:M78" si="55">+B53*B64</f>
        <v>10066861.24</v>
      </c>
      <c r="C78" s="450">
        <f t="shared" si="55"/>
        <v>10125042.23</v>
      </c>
      <c r="D78" s="450">
        <f t="shared" si="55"/>
        <v>12077277.2</v>
      </c>
      <c r="E78" s="450">
        <f t="shared" si="55"/>
        <v>13146669.27</v>
      </c>
      <c r="F78" s="450">
        <f t="shared" si="55"/>
        <v>14389579.02</v>
      </c>
      <c r="G78" s="450">
        <f t="shared" si="55"/>
        <v>14801969</v>
      </c>
      <c r="H78" s="450">
        <f t="shared" si="55"/>
        <v>16520860.64</v>
      </c>
      <c r="I78" s="450">
        <f t="shared" si="55"/>
        <v>17028033.23</v>
      </c>
      <c r="J78" s="450">
        <f t="shared" si="55"/>
        <v>17984977.6</v>
      </c>
      <c r="K78" s="450">
        <f t="shared" si="55"/>
        <v>18506541.95</v>
      </c>
      <c r="L78" s="450">
        <f t="shared" si="55"/>
        <v>16059179.81</v>
      </c>
      <c r="M78" s="450">
        <f t="shared" si="55"/>
        <v>16524896.03</v>
      </c>
      <c r="N78" s="426">
        <f t="shared" si="53"/>
        <v>177231887.2</v>
      </c>
      <c r="O78" s="393"/>
      <c r="P78" s="393"/>
      <c r="Q78" s="393"/>
      <c r="R78" s="393"/>
      <c r="S78" s="393"/>
      <c r="T78" s="393"/>
      <c r="U78" s="393"/>
      <c r="V78" s="393"/>
      <c r="W78" s="393"/>
      <c r="X78" s="393"/>
      <c r="Y78" s="393"/>
      <c r="Z78" s="393"/>
    </row>
    <row r="79" ht="12.75" customHeight="1">
      <c r="A79" s="408" t="s">
        <v>1473</v>
      </c>
      <c r="B79" s="450">
        <f t="shared" ref="B79:M79" si="56">+B54*B65</f>
        <v>2637110.505</v>
      </c>
      <c r="C79" s="450">
        <f t="shared" si="56"/>
        <v>2413149.586</v>
      </c>
      <c r="D79" s="450">
        <f t="shared" si="56"/>
        <v>2736941.832</v>
      </c>
      <c r="E79" s="450">
        <f t="shared" si="56"/>
        <v>2878787.249</v>
      </c>
      <c r="F79" s="450">
        <f t="shared" si="56"/>
        <v>3126861.236</v>
      </c>
      <c r="G79" s="450">
        <f t="shared" si="56"/>
        <v>3295551.563</v>
      </c>
      <c r="H79" s="450">
        <f t="shared" si="56"/>
        <v>3539029.897</v>
      </c>
      <c r="I79" s="450">
        <f t="shared" si="56"/>
        <v>3521520.824</v>
      </c>
      <c r="J79" s="450">
        <f t="shared" si="56"/>
        <v>3622214.838</v>
      </c>
      <c r="K79" s="450">
        <f t="shared" si="56"/>
        <v>3727259.069</v>
      </c>
      <c r="L79" s="450">
        <f t="shared" si="56"/>
        <v>3516553.214</v>
      </c>
      <c r="M79" s="450">
        <f t="shared" si="56"/>
        <v>3618533.257</v>
      </c>
      <c r="N79" s="426">
        <f t="shared" si="53"/>
        <v>38633513.07</v>
      </c>
      <c r="O79" s="393"/>
      <c r="P79" s="393"/>
      <c r="Q79" s="393"/>
      <c r="R79" s="393"/>
      <c r="S79" s="393"/>
      <c r="T79" s="393"/>
      <c r="U79" s="393"/>
      <c r="V79" s="393"/>
      <c r="W79" s="393"/>
      <c r="X79" s="393"/>
      <c r="Y79" s="393"/>
      <c r="Z79" s="393"/>
    </row>
    <row r="80" ht="12.75" customHeight="1">
      <c r="A80" s="410" t="s">
        <v>1474</v>
      </c>
      <c r="B80" s="450">
        <f t="shared" ref="B80:M80" si="57">+B55*B66</f>
        <v>2934845.757</v>
      </c>
      <c r="C80" s="450">
        <f t="shared" si="57"/>
        <v>3151156.251</v>
      </c>
      <c r="D80" s="450">
        <f t="shared" si="57"/>
        <v>3610058.516</v>
      </c>
      <c r="E80" s="450">
        <f t="shared" si="57"/>
        <v>3790872.523</v>
      </c>
      <c r="F80" s="450">
        <f t="shared" si="57"/>
        <v>4275130.036</v>
      </c>
      <c r="G80" s="450">
        <f t="shared" si="57"/>
        <v>4446305.449</v>
      </c>
      <c r="H80" s="450">
        <f t="shared" si="57"/>
        <v>5141115.357</v>
      </c>
      <c r="I80" s="450">
        <f t="shared" si="57"/>
        <v>5303100.471</v>
      </c>
      <c r="J80" s="450">
        <f t="shared" si="57"/>
        <v>5628249.996</v>
      </c>
      <c r="K80" s="450">
        <f t="shared" si="57"/>
        <v>5791469.246</v>
      </c>
      <c r="L80" s="450">
        <f t="shared" si="57"/>
        <v>4630701.682</v>
      </c>
      <c r="M80" s="450">
        <f t="shared" si="57"/>
        <v>4764992.031</v>
      </c>
      <c r="N80" s="426">
        <f t="shared" si="53"/>
        <v>53467997.31</v>
      </c>
      <c r="O80" s="393"/>
      <c r="P80" s="393"/>
      <c r="Q80" s="393"/>
      <c r="R80" s="393"/>
      <c r="S80" s="393"/>
      <c r="T80" s="393"/>
      <c r="U80" s="393"/>
      <c r="V80" s="393"/>
      <c r="W80" s="393"/>
      <c r="X80" s="393"/>
      <c r="Y80" s="393"/>
      <c r="Z80" s="393"/>
    </row>
    <row r="81" ht="12.75" customHeight="1">
      <c r="A81" s="404" t="s">
        <v>1475</v>
      </c>
      <c r="B81" s="451">
        <f t="shared" ref="B81:M81" si="58">+B56*B67</f>
        <v>1390917094</v>
      </c>
      <c r="C81" s="451">
        <f t="shared" si="58"/>
        <v>1312207837</v>
      </c>
      <c r="D81" s="451">
        <f t="shared" si="58"/>
        <v>1453037266</v>
      </c>
      <c r="E81" s="451">
        <f t="shared" si="58"/>
        <v>1499918941</v>
      </c>
      <c r="F81" s="451">
        <f t="shared" si="58"/>
        <v>1574988773</v>
      </c>
      <c r="G81" s="451">
        <f t="shared" si="58"/>
        <v>1567004160</v>
      </c>
      <c r="H81" s="451">
        <f t="shared" si="58"/>
        <v>1736053352</v>
      </c>
      <c r="I81" s="451">
        <f t="shared" si="58"/>
        <v>1700144612</v>
      </c>
      <c r="J81" s="451">
        <f t="shared" si="58"/>
        <v>1786969562</v>
      </c>
      <c r="K81" s="451">
        <f t="shared" si="58"/>
        <v>1863361852</v>
      </c>
      <c r="L81" s="451">
        <f t="shared" si="58"/>
        <v>1832210691</v>
      </c>
      <c r="M81" s="451">
        <f t="shared" si="58"/>
        <v>1885344801</v>
      </c>
      <c r="N81" s="426">
        <f t="shared" si="53"/>
        <v>19602158941</v>
      </c>
      <c r="O81" s="393"/>
      <c r="P81" s="393"/>
      <c r="Q81" s="393"/>
      <c r="R81" s="393"/>
      <c r="S81" s="393"/>
      <c r="T81" s="393"/>
      <c r="U81" s="393"/>
      <c r="V81" s="393"/>
      <c r="W81" s="393"/>
      <c r="X81" s="393"/>
      <c r="Y81" s="393"/>
      <c r="Z81" s="393"/>
    </row>
    <row r="82" ht="12.75" customHeight="1">
      <c r="A82" s="438" t="s">
        <v>1476</v>
      </c>
      <c r="B82" s="450">
        <f t="shared" ref="B82:M82" si="59">+B57*B68</f>
        <v>40455147.3</v>
      </c>
      <c r="C82" s="450">
        <f t="shared" si="59"/>
        <v>39402684.27</v>
      </c>
      <c r="D82" s="450">
        <f t="shared" si="59"/>
        <v>43201691.29</v>
      </c>
      <c r="E82" s="450">
        <f t="shared" si="59"/>
        <v>44722734.94</v>
      </c>
      <c r="F82" s="450">
        <f t="shared" si="59"/>
        <v>46380096.29</v>
      </c>
      <c r="G82" s="450">
        <f t="shared" si="59"/>
        <v>44519162.43</v>
      </c>
      <c r="H82" s="450">
        <f t="shared" si="59"/>
        <v>49365579.28</v>
      </c>
      <c r="I82" s="450">
        <f t="shared" si="59"/>
        <v>48403034.28</v>
      </c>
      <c r="J82" s="450">
        <f t="shared" si="59"/>
        <v>51633098.07</v>
      </c>
      <c r="K82" s="450">
        <f t="shared" si="59"/>
        <v>53130457.91</v>
      </c>
      <c r="L82" s="450">
        <f t="shared" si="59"/>
        <v>54630600.9</v>
      </c>
      <c r="M82" s="450">
        <f t="shared" si="59"/>
        <v>56214888.33</v>
      </c>
      <c r="N82" s="426">
        <f t="shared" si="53"/>
        <v>572059175.3</v>
      </c>
      <c r="O82" s="426">
        <f>SUM(N75:N82)</f>
        <v>26450586870</v>
      </c>
      <c r="P82" s="452">
        <f>+O82/N117-1</f>
        <v>0.3565975497</v>
      </c>
      <c r="Q82" s="393"/>
      <c r="R82" s="393"/>
      <c r="S82" s="393"/>
      <c r="T82" s="393"/>
      <c r="U82" s="393"/>
      <c r="V82" s="393"/>
      <c r="W82" s="393"/>
      <c r="X82" s="393"/>
      <c r="Y82" s="393"/>
      <c r="Z82" s="393"/>
    </row>
    <row r="83" ht="12.75" customHeight="1">
      <c r="A83" s="453" t="s">
        <v>1490</v>
      </c>
      <c r="B83" s="454">
        <f t="shared" ref="B83:M83" si="60">+B58*B69</f>
        <v>0</v>
      </c>
      <c r="C83" s="454">
        <f t="shared" si="60"/>
        <v>0</v>
      </c>
      <c r="D83" s="454">
        <f t="shared" si="60"/>
        <v>0</v>
      </c>
      <c r="E83" s="454">
        <f t="shared" si="60"/>
        <v>37497973.53</v>
      </c>
      <c r="F83" s="454">
        <f t="shared" si="60"/>
        <v>78749438.66</v>
      </c>
      <c r="G83" s="454">
        <f t="shared" si="60"/>
        <v>117525312</v>
      </c>
      <c r="H83" s="454">
        <f t="shared" si="60"/>
        <v>173605335.2</v>
      </c>
      <c r="I83" s="454">
        <f t="shared" si="60"/>
        <v>212518076.5</v>
      </c>
      <c r="J83" s="454">
        <f t="shared" si="60"/>
        <v>268045434.2</v>
      </c>
      <c r="K83" s="454">
        <f t="shared" si="60"/>
        <v>326088324.1</v>
      </c>
      <c r="L83" s="454">
        <f t="shared" si="60"/>
        <v>366442138.1</v>
      </c>
      <c r="M83" s="454">
        <f t="shared" si="60"/>
        <v>424202580.2</v>
      </c>
      <c r="N83" s="426">
        <f t="shared" si="53"/>
        <v>2004674613</v>
      </c>
      <c r="O83" s="393"/>
      <c r="P83" s="393" t="s">
        <v>1496</v>
      </c>
      <c r="Q83" s="393"/>
      <c r="R83" s="393"/>
      <c r="S83" s="393"/>
      <c r="T83" s="393"/>
      <c r="U83" s="393"/>
      <c r="V83" s="393"/>
      <c r="W83" s="393"/>
      <c r="X83" s="393"/>
      <c r="Y83" s="393"/>
      <c r="Z83" s="393"/>
    </row>
    <row r="84" ht="12.75" customHeight="1">
      <c r="A84" s="455" t="s">
        <v>1497</v>
      </c>
      <c r="B84" s="456">
        <f t="shared" ref="B84:M84" si="61">SUM(B75:B83)</f>
        <v>1836908155</v>
      </c>
      <c r="C84" s="456">
        <f t="shared" si="61"/>
        <v>1736144598</v>
      </c>
      <c r="D84" s="456">
        <f t="shared" si="61"/>
        <v>1936748661</v>
      </c>
      <c r="E84" s="456">
        <f t="shared" si="61"/>
        <v>2056448573</v>
      </c>
      <c r="F84" s="456">
        <f t="shared" si="61"/>
        <v>2211708175</v>
      </c>
      <c r="G84" s="456">
        <f t="shared" si="61"/>
        <v>2252832649</v>
      </c>
      <c r="H84" s="456">
        <f t="shared" si="61"/>
        <v>2530726569</v>
      </c>
      <c r="I84" s="456">
        <f t="shared" si="61"/>
        <v>2530134097</v>
      </c>
      <c r="J84" s="456">
        <f t="shared" si="61"/>
        <v>2702407121</v>
      </c>
      <c r="K84" s="456">
        <f t="shared" si="61"/>
        <v>2866580498</v>
      </c>
      <c r="L84" s="456">
        <f t="shared" si="61"/>
        <v>2832670659</v>
      </c>
      <c r="M84" s="456">
        <f t="shared" si="61"/>
        <v>2961951728</v>
      </c>
      <c r="N84" s="457">
        <f t="shared" si="53"/>
        <v>28455261482</v>
      </c>
      <c r="O84" s="393"/>
      <c r="P84" s="423"/>
      <c r="Q84" s="423"/>
      <c r="R84" s="423"/>
      <c r="S84" s="423"/>
      <c r="T84" s="423"/>
      <c r="U84" s="423"/>
      <c r="V84" s="423"/>
      <c r="W84" s="423"/>
      <c r="X84" s="423"/>
      <c r="Y84" s="423"/>
      <c r="Z84" s="423"/>
    </row>
    <row r="85" ht="12.0" hidden="1" customHeight="1" outlineLevel="1">
      <c r="A85" s="427" t="s">
        <v>1498</v>
      </c>
      <c r="B85" s="427"/>
      <c r="C85" s="427"/>
      <c r="D85" s="427"/>
      <c r="E85" s="427"/>
      <c r="F85" s="427"/>
      <c r="G85" s="427"/>
      <c r="H85" s="427"/>
      <c r="I85" s="427"/>
      <c r="J85" s="427"/>
      <c r="K85" s="427"/>
      <c r="L85" s="427"/>
      <c r="M85" s="427"/>
      <c r="N85" s="427"/>
      <c r="O85" s="393"/>
      <c r="P85" s="393"/>
      <c r="Q85" s="393"/>
      <c r="R85" s="393"/>
      <c r="S85" s="393"/>
      <c r="T85" s="393"/>
      <c r="U85" s="393"/>
      <c r="V85" s="393"/>
      <c r="W85" s="393"/>
      <c r="X85" s="393"/>
      <c r="Y85" s="393"/>
      <c r="Z85" s="393"/>
    </row>
    <row r="86" ht="12.75" hidden="1" customHeight="1" outlineLevel="1">
      <c r="A86" s="396" t="s">
        <v>1469</v>
      </c>
      <c r="B86" s="458"/>
      <c r="C86" s="458"/>
      <c r="D86" s="458"/>
      <c r="E86" s="458"/>
      <c r="F86" s="458"/>
      <c r="G86" s="458"/>
      <c r="H86" s="393"/>
      <c r="I86" s="393"/>
      <c r="J86" s="393"/>
      <c r="K86" s="393"/>
      <c r="L86" s="393"/>
      <c r="M86" s="393"/>
      <c r="N86" s="458">
        <f t="shared" ref="N86:N93" si="62">SUM(B86:M86)</f>
        <v>0</v>
      </c>
      <c r="O86" s="393"/>
      <c r="P86" s="393"/>
      <c r="Q86" s="393"/>
      <c r="R86" s="393"/>
      <c r="S86" s="393"/>
      <c r="T86" s="393"/>
      <c r="U86" s="393"/>
      <c r="V86" s="393"/>
      <c r="W86" s="393"/>
      <c r="X86" s="393"/>
      <c r="Y86" s="393"/>
      <c r="Z86" s="393"/>
    </row>
    <row r="87" ht="12.75" hidden="1" customHeight="1" outlineLevel="1">
      <c r="A87" s="396" t="s">
        <v>1470</v>
      </c>
      <c r="B87" s="458"/>
      <c r="C87" s="458"/>
      <c r="D87" s="458"/>
      <c r="E87" s="458"/>
      <c r="F87" s="458"/>
      <c r="G87" s="458"/>
      <c r="H87" s="393"/>
      <c r="I87" s="393"/>
      <c r="J87" s="393"/>
      <c r="K87" s="393"/>
      <c r="L87" s="393"/>
      <c r="M87" s="393"/>
      <c r="N87" s="458">
        <f t="shared" si="62"/>
        <v>0</v>
      </c>
      <c r="O87" s="393"/>
      <c r="P87" s="393"/>
      <c r="Q87" s="393"/>
      <c r="R87" s="393"/>
      <c r="S87" s="393"/>
      <c r="T87" s="393"/>
      <c r="U87" s="393"/>
      <c r="V87" s="393"/>
      <c r="W87" s="393"/>
      <c r="X87" s="393"/>
      <c r="Y87" s="393"/>
      <c r="Z87" s="393"/>
    </row>
    <row r="88" ht="12.75" hidden="1" customHeight="1" outlineLevel="1">
      <c r="A88" s="396" t="s">
        <v>1471</v>
      </c>
      <c r="B88" s="458"/>
      <c r="C88" s="458"/>
      <c r="D88" s="458"/>
      <c r="E88" s="458"/>
      <c r="F88" s="458"/>
      <c r="G88" s="458"/>
      <c r="H88" s="393"/>
      <c r="I88" s="393"/>
      <c r="J88" s="393"/>
      <c r="K88" s="393"/>
      <c r="L88" s="393"/>
      <c r="M88" s="393"/>
      <c r="N88" s="458">
        <f t="shared" si="62"/>
        <v>0</v>
      </c>
      <c r="O88" s="393"/>
      <c r="P88" s="393"/>
      <c r="Q88" s="393"/>
      <c r="R88" s="393"/>
      <c r="S88" s="393"/>
      <c r="T88" s="393"/>
      <c r="U88" s="393"/>
      <c r="V88" s="393"/>
      <c r="W88" s="393"/>
      <c r="X88" s="393"/>
      <c r="Y88" s="393"/>
      <c r="Z88" s="393"/>
    </row>
    <row r="89" ht="12.75" hidden="1" customHeight="1" outlineLevel="1">
      <c r="A89" s="396" t="s">
        <v>1472</v>
      </c>
      <c r="B89" s="458"/>
      <c r="C89" s="458"/>
      <c r="D89" s="458"/>
      <c r="E89" s="458"/>
      <c r="F89" s="458"/>
      <c r="G89" s="458"/>
      <c r="H89" s="393"/>
      <c r="I89" s="393"/>
      <c r="J89" s="393"/>
      <c r="K89" s="393"/>
      <c r="L89" s="393"/>
      <c r="M89" s="393"/>
      <c r="N89" s="458">
        <f t="shared" si="62"/>
        <v>0</v>
      </c>
      <c r="O89" s="393"/>
      <c r="P89" s="393"/>
      <c r="Q89" s="393"/>
      <c r="R89" s="393"/>
      <c r="S89" s="393"/>
      <c r="T89" s="393"/>
      <c r="U89" s="393"/>
      <c r="V89" s="393"/>
      <c r="W89" s="393"/>
      <c r="X89" s="393"/>
      <c r="Y89" s="393"/>
      <c r="Z89" s="393"/>
    </row>
    <row r="90" ht="12.75" hidden="1" customHeight="1" outlineLevel="1">
      <c r="A90" s="396" t="s">
        <v>1473</v>
      </c>
      <c r="B90" s="458"/>
      <c r="C90" s="458"/>
      <c r="D90" s="458"/>
      <c r="E90" s="458"/>
      <c r="F90" s="458"/>
      <c r="G90" s="458"/>
      <c r="H90" s="393"/>
      <c r="I90" s="393"/>
      <c r="J90" s="393"/>
      <c r="K90" s="393"/>
      <c r="L90" s="393"/>
      <c r="M90" s="393"/>
      <c r="N90" s="458">
        <f t="shared" si="62"/>
        <v>0</v>
      </c>
      <c r="O90" s="393"/>
      <c r="P90" s="393"/>
      <c r="Q90" s="393"/>
      <c r="R90" s="393"/>
      <c r="S90" s="393"/>
      <c r="T90" s="393"/>
      <c r="U90" s="393"/>
      <c r="V90" s="393"/>
      <c r="W90" s="393"/>
      <c r="X90" s="393"/>
      <c r="Y90" s="393"/>
      <c r="Z90" s="393"/>
    </row>
    <row r="91" ht="12.75" hidden="1" customHeight="1" outlineLevel="1">
      <c r="A91" s="396" t="s">
        <v>1474</v>
      </c>
      <c r="B91" s="458"/>
      <c r="C91" s="458"/>
      <c r="D91" s="458"/>
      <c r="E91" s="458"/>
      <c r="F91" s="458"/>
      <c r="G91" s="458"/>
      <c r="H91" s="393"/>
      <c r="I91" s="393"/>
      <c r="J91" s="393"/>
      <c r="K91" s="393"/>
      <c r="L91" s="393"/>
      <c r="M91" s="393"/>
      <c r="N91" s="458">
        <f t="shared" si="62"/>
        <v>0</v>
      </c>
      <c r="O91" s="393"/>
      <c r="P91" s="393"/>
      <c r="Q91" s="393"/>
      <c r="R91" s="393"/>
      <c r="S91" s="393"/>
      <c r="T91" s="393"/>
      <c r="U91" s="393"/>
      <c r="V91" s="393"/>
      <c r="W91" s="393"/>
      <c r="X91" s="393"/>
      <c r="Y91" s="393"/>
      <c r="Z91" s="393"/>
    </row>
    <row r="92" ht="12.75" hidden="1" customHeight="1" outlineLevel="1">
      <c r="A92" s="396" t="s">
        <v>1475</v>
      </c>
      <c r="B92" s="458"/>
      <c r="C92" s="458"/>
      <c r="D92" s="458"/>
      <c r="E92" s="458"/>
      <c r="F92" s="458"/>
      <c r="G92" s="458"/>
      <c r="H92" s="393"/>
      <c r="I92" s="393"/>
      <c r="J92" s="393"/>
      <c r="K92" s="393"/>
      <c r="L92" s="393"/>
      <c r="M92" s="393"/>
      <c r="N92" s="458">
        <f t="shared" si="62"/>
        <v>0</v>
      </c>
      <c r="O92" s="393"/>
      <c r="P92" s="393"/>
      <c r="Q92" s="393"/>
      <c r="R92" s="393"/>
      <c r="S92" s="393"/>
      <c r="T92" s="393"/>
      <c r="U92" s="393"/>
      <c r="V92" s="393"/>
      <c r="W92" s="393"/>
      <c r="X92" s="393"/>
      <c r="Y92" s="393"/>
      <c r="Z92" s="393"/>
    </row>
    <row r="93" ht="12.75" hidden="1" customHeight="1" outlineLevel="1">
      <c r="A93" s="459" t="s">
        <v>1476</v>
      </c>
      <c r="B93" s="460"/>
      <c r="C93" s="460"/>
      <c r="D93" s="460"/>
      <c r="E93" s="460"/>
      <c r="F93" s="460"/>
      <c r="G93" s="460"/>
      <c r="H93" s="441"/>
      <c r="I93" s="441"/>
      <c r="J93" s="441"/>
      <c r="K93" s="441"/>
      <c r="L93" s="441"/>
      <c r="M93" s="441"/>
      <c r="N93" s="460">
        <f t="shared" si="62"/>
        <v>0</v>
      </c>
      <c r="O93" s="393"/>
      <c r="P93" s="393"/>
      <c r="Q93" s="393"/>
      <c r="R93" s="393"/>
      <c r="S93" s="393"/>
      <c r="T93" s="393"/>
      <c r="U93" s="393"/>
      <c r="V93" s="393"/>
      <c r="W93" s="393"/>
      <c r="X93" s="393"/>
      <c r="Y93" s="393"/>
      <c r="Z93" s="393"/>
    </row>
    <row r="94" ht="12.75" hidden="1" customHeight="1" outlineLevel="1">
      <c r="A94" s="393"/>
      <c r="B94" s="393"/>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row>
    <row r="95" ht="12.75" hidden="1" customHeight="1" outlineLevel="1">
      <c r="A95" s="393" t="s">
        <v>1499</v>
      </c>
      <c r="B95" s="393"/>
      <c r="C95" s="393"/>
      <c r="D95" s="393"/>
      <c r="E95" s="393"/>
      <c r="F95" s="393"/>
      <c r="G95" s="393"/>
      <c r="H95" s="393"/>
      <c r="I95" s="393"/>
      <c r="J95" s="393"/>
      <c r="K95" s="393"/>
      <c r="L95" s="393"/>
      <c r="M95" s="393"/>
      <c r="N95" s="393"/>
      <c r="O95" s="393"/>
      <c r="P95" s="393"/>
      <c r="Q95" s="393"/>
      <c r="R95" s="393"/>
      <c r="S95" s="393"/>
      <c r="T95" s="393"/>
      <c r="U95" s="393"/>
      <c r="V95" s="393"/>
      <c r="W95" s="393"/>
      <c r="X95" s="393"/>
      <c r="Y95" s="393"/>
      <c r="Z95" s="393"/>
    </row>
    <row r="96" ht="12.75" hidden="1" customHeight="1" outlineLevel="1">
      <c r="A96" s="461" t="s">
        <v>1469</v>
      </c>
      <c r="B96" s="462"/>
      <c r="C96" s="462"/>
      <c r="D96" s="462"/>
      <c r="E96" s="462"/>
      <c r="F96" s="462"/>
      <c r="G96" s="462"/>
      <c r="H96" s="462"/>
      <c r="I96" s="462"/>
      <c r="J96" s="462"/>
      <c r="K96" s="462"/>
      <c r="L96" s="462"/>
      <c r="M96" s="462"/>
      <c r="N96" s="462">
        <f t="shared" ref="N96:N103" si="63">SUM(B96:M96)</f>
        <v>0</v>
      </c>
      <c r="O96" s="393"/>
      <c r="P96" s="393"/>
      <c r="Q96" s="393"/>
      <c r="R96" s="393"/>
      <c r="S96" s="393"/>
      <c r="T96" s="393"/>
      <c r="U96" s="393"/>
      <c r="V96" s="393"/>
      <c r="W96" s="393"/>
      <c r="X96" s="393"/>
      <c r="Y96" s="393"/>
      <c r="Z96" s="393"/>
    </row>
    <row r="97" ht="12.75" hidden="1" customHeight="1" outlineLevel="1">
      <c r="A97" s="396" t="s">
        <v>1470</v>
      </c>
      <c r="B97" s="463"/>
      <c r="C97" s="463"/>
      <c r="D97" s="463"/>
      <c r="E97" s="463"/>
      <c r="F97" s="463"/>
      <c r="G97" s="463"/>
      <c r="H97" s="463"/>
      <c r="I97" s="463"/>
      <c r="J97" s="463"/>
      <c r="K97" s="463"/>
      <c r="L97" s="463"/>
      <c r="M97" s="463"/>
      <c r="N97" s="463">
        <f t="shared" si="63"/>
        <v>0</v>
      </c>
      <c r="O97" s="393"/>
      <c r="P97" s="393"/>
      <c r="Q97" s="393"/>
      <c r="R97" s="393"/>
      <c r="S97" s="393"/>
      <c r="T97" s="393"/>
      <c r="U97" s="393"/>
      <c r="V97" s="393"/>
      <c r="W97" s="393"/>
      <c r="X97" s="393"/>
      <c r="Y97" s="393"/>
      <c r="Z97" s="393"/>
    </row>
    <row r="98" ht="12.75" hidden="1" customHeight="1" outlineLevel="1">
      <c r="A98" s="396" t="s">
        <v>1471</v>
      </c>
      <c r="B98" s="463"/>
      <c r="C98" s="463"/>
      <c r="D98" s="463"/>
      <c r="E98" s="463"/>
      <c r="F98" s="463"/>
      <c r="G98" s="463"/>
      <c r="H98" s="463"/>
      <c r="I98" s="463"/>
      <c r="J98" s="463"/>
      <c r="K98" s="463"/>
      <c r="L98" s="463"/>
      <c r="M98" s="463"/>
      <c r="N98" s="463">
        <f t="shared" si="63"/>
        <v>0</v>
      </c>
      <c r="O98" s="393"/>
      <c r="P98" s="393"/>
      <c r="Q98" s="393"/>
      <c r="R98" s="393"/>
      <c r="S98" s="393"/>
      <c r="T98" s="393"/>
      <c r="U98" s="393"/>
      <c r="V98" s="393"/>
      <c r="W98" s="393"/>
      <c r="X98" s="393"/>
      <c r="Y98" s="393"/>
      <c r="Z98" s="393"/>
    </row>
    <row r="99" ht="12.75" hidden="1" customHeight="1" outlineLevel="1">
      <c r="A99" s="396" t="s">
        <v>1472</v>
      </c>
      <c r="B99" s="463"/>
      <c r="C99" s="463"/>
      <c r="D99" s="463"/>
      <c r="E99" s="463"/>
      <c r="F99" s="463"/>
      <c r="G99" s="463"/>
      <c r="H99" s="463"/>
      <c r="I99" s="463"/>
      <c r="J99" s="463"/>
      <c r="K99" s="463"/>
      <c r="L99" s="463"/>
      <c r="M99" s="463"/>
      <c r="N99" s="463">
        <f t="shared" si="63"/>
        <v>0</v>
      </c>
      <c r="O99" s="393"/>
      <c r="P99" s="393"/>
      <c r="Q99" s="393"/>
      <c r="R99" s="393"/>
      <c r="S99" s="393"/>
      <c r="T99" s="393"/>
      <c r="U99" s="393"/>
      <c r="V99" s="393"/>
      <c r="W99" s="393"/>
      <c r="X99" s="393"/>
      <c r="Y99" s="393"/>
      <c r="Z99" s="393"/>
    </row>
    <row r="100" ht="12.75" hidden="1" customHeight="1" outlineLevel="1">
      <c r="A100" s="396" t="s">
        <v>1473</v>
      </c>
      <c r="B100" s="463"/>
      <c r="C100" s="463"/>
      <c r="D100" s="463"/>
      <c r="E100" s="463"/>
      <c r="F100" s="463"/>
      <c r="G100" s="463"/>
      <c r="H100" s="463"/>
      <c r="I100" s="463"/>
      <c r="J100" s="463"/>
      <c r="K100" s="463"/>
      <c r="L100" s="463"/>
      <c r="M100" s="463"/>
      <c r="N100" s="463">
        <f t="shared" si="63"/>
        <v>0</v>
      </c>
      <c r="O100" s="393"/>
      <c r="P100" s="393"/>
      <c r="Q100" s="393"/>
      <c r="R100" s="393"/>
      <c r="S100" s="393"/>
      <c r="T100" s="393"/>
      <c r="U100" s="393"/>
      <c r="V100" s="393"/>
      <c r="W100" s="393"/>
      <c r="X100" s="393"/>
      <c r="Y100" s="393"/>
      <c r="Z100" s="393"/>
    </row>
    <row r="101" ht="12.75" hidden="1" customHeight="1" outlineLevel="1">
      <c r="A101" s="396" t="s">
        <v>1474</v>
      </c>
      <c r="B101" s="463"/>
      <c r="C101" s="463"/>
      <c r="D101" s="463"/>
      <c r="E101" s="463"/>
      <c r="F101" s="463"/>
      <c r="G101" s="463"/>
      <c r="H101" s="463"/>
      <c r="I101" s="463"/>
      <c r="J101" s="463"/>
      <c r="K101" s="463"/>
      <c r="L101" s="463"/>
      <c r="M101" s="463"/>
      <c r="N101" s="463">
        <f t="shared" si="63"/>
        <v>0</v>
      </c>
      <c r="O101" s="393"/>
      <c r="P101" s="393"/>
      <c r="Q101" s="393"/>
      <c r="R101" s="393"/>
      <c r="S101" s="393"/>
      <c r="T101" s="393"/>
      <c r="U101" s="393"/>
      <c r="V101" s="393"/>
      <c r="W101" s="393"/>
      <c r="X101" s="393"/>
      <c r="Y101" s="393"/>
      <c r="Z101" s="393"/>
    </row>
    <row r="102" ht="12.75" hidden="1" customHeight="1" outlineLevel="1">
      <c r="A102" s="396" t="s">
        <v>1475</v>
      </c>
      <c r="B102" s="463"/>
      <c r="C102" s="463"/>
      <c r="D102" s="463"/>
      <c r="E102" s="463"/>
      <c r="F102" s="463"/>
      <c r="G102" s="463"/>
      <c r="H102" s="463"/>
      <c r="I102" s="463"/>
      <c r="J102" s="463"/>
      <c r="K102" s="463"/>
      <c r="L102" s="463"/>
      <c r="M102" s="463"/>
      <c r="N102" s="463">
        <f t="shared" si="63"/>
        <v>0</v>
      </c>
      <c r="O102" s="393"/>
      <c r="P102" s="393"/>
      <c r="Q102" s="393"/>
      <c r="R102" s="393"/>
      <c r="S102" s="393"/>
      <c r="T102" s="393"/>
      <c r="U102" s="393"/>
      <c r="V102" s="393"/>
      <c r="W102" s="393"/>
      <c r="X102" s="393"/>
      <c r="Y102" s="393"/>
      <c r="Z102" s="393"/>
    </row>
    <row r="103" ht="12.75" hidden="1" customHeight="1" outlineLevel="1">
      <c r="A103" s="459" t="s">
        <v>1476</v>
      </c>
      <c r="B103" s="464"/>
      <c r="C103" s="464"/>
      <c r="D103" s="464"/>
      <c r="E103" s="464"/>
      <c r="F103" s="464"/>
      <c r="G103" s="464"/>
      <c r="H103" s="464"/>
      <c r="I103" s="464"/>
      <c r="J103" s="464"/>
      <c r="K103" s="464"/>
      <c r="L103" s="464"/>
      <c r="M103" s="464"/>
      <c r="N103" s="464">
        <f t="shared" si="63"/>
        <v>0</v>
      </c>
      <c r="O103" s="393"/>
      <c r="P103" s="393"/>
      <c r="Q103" s="393"/>
      <c r="R103" s="393"/>
      <c r="S103" s="393"/>
      <c r="T103" s="393"/>
      <c r="U103" s="393"/>
      <c r="V103" s="393"/>
      <c r="W103" s="393"/>
      <c r="X103" s="393"/>
      <c r="Y103" s="393"/>
      <c r="Z103" s="393"/>
    </row>
    <row r="104" ht="12.75" hidden="1" customHeight="1" outlineLevel="1">
      <c r="A104" s="393"/>
      <c r="B104" s="393"/>
      <c r="C104" s="393"/>
      <c r="D104" s="393"/>
      <c r="E104" s="393"/>
      <c r="F104" s="393"/>
      <c r="G104" s="426"/>
      <c r="H104" s="465"/>
      <c r="I104" s="393"/>
      <c r="J104" s="393"/>
      <c r="K104" s="393"/>
      <c r="L104" s="393"/>
      <c r="M104" s="393"/>
      <c r="N104" s="393"/>
      <c r="O104" s="393"/>
      <c r="P104" s="393"/>
      <c r="Q104" s="393"/>
      <c r="R104" s="393"/>
      <c r="S104" s="393"/>
      <c r="T104" s="393"/>
      <c r="U104" s="393"/>
      <c r="V104" s="393"/>
      <c r="W104" s="393"/>
      <c r="X104" s="393"/>
      <c r="Y104" s="393"/>
      <c r="Z104" s="393"/>
    </row>
    <row r="105" ht="12.75" hidden="1" customHeight="1" outlineLevel="1">
      <c r="A105" s="393" t="s">
        <v>1500</v>
      </c>
      <c r="B105" s="393"/>
      <c r="C105" s="393"/>
      <c r="D105" s="393"/>
      <c r="E105" s="393"/>
      <c r="F105" s="393"/>
      <c r="G105" s="416"/>
      <c r="H105" s="426"/>
      <c r="I105" s="393"/>
      <c r="J105" s="393"/>
      <c r="K105" s="393"/>
      <c r="L105" s="393"/>
      <c r="M105" s="393"/>
      <c r="N105" s="441"/>
      <c r="O105" s="393"/>
      <c r="P105" s="393"/>
      <c r="Q105" s="393"/>
      <c r="R105" s="393"/>
      <c r="S105" s="393"/>
      <c r="T105" s="393"/>
      <c r="U105" s="393"/>
      <c r="V105" s="393"/>
      <c r="W105" s="393"/>
      <c r="X105" s="393"/>
      <c r="Y105" s="393"/>
      <c r="Z105" s="393"/>
    </row>
    <row r="106" ht="12.75" hidden="1" customHeight="1" outlineLevel="1">
      <c r="A106" s="461" t="s">
        <v>1469</v>
      </c>
      <c r="B106" s="466"/>
      <c r="C106" s="466"/>
      <c r="D106" s="466"/>
      <c r="E106" s="466"/>
      <c r="F106" s="466"/>
      <c r="G106" s="466"/>
      <c r="H106" s="466"/>
      <c r="I106" s="466"/>
      <c r="J106" s="466"/>
      <c r="K106" s="466"/>
      <c r="L106" s="466"/>
      <c r="M106" s="466"/>
      <c r="N106" s="458">
        <f t="shared" ref="N106:N113" si="64">SUM(B106:M106)</f>
        <v>0</v>
      </c>
      <c r="O106" s="393"/>
      <c r="P106" s="393"/>
      <c r="Q106" s="393"/>
      <c r="R106" s="393"/>
      <c r="S106" s="393"/>
      <c r="T106" s="393"/>
      <c r="U106" s="393"/>
      <c r="V106" s="393"/>
      <c r="W106" s="393"/>
      <c r="X106" s="393"/>
      <c r="Y106" s="393"/>
      <c r="Z106" s="393"/>
    </row>
    <row r="107" ht="12.75" hidden="1" customHeight="1" outlineLevel="1">
      <c r="A107" s="396" t="s">
        <v>1470</v>
      </c>
      <c r="B107" s="458"/>
      <c r="C107" s="458"/>
      <c r="D107" s="458"/>
      <c r="E107" s="458"/>
      <c r="F107" s="458"/>
      <c r="G107" s="458"/>
      <c r="H107" s="458"/>
      <c r="I107" s="458"/>
      <c r="J107" s="458"/>
      <c r="K107" s="458"/>
      <c r="L107" s="458"/>
      <c r="M107" s="458"/>
      <c r="N107" s="458">
        <f t="shared" si="64"/>
        <v>0</v>
      </c>
      <c r="O107" s="393"/>
      <c r="P107" s="393"/>
      <c r="Q107" s="393"/>
      <c r="R107" s="393"/>
      <c r="S107" s="393"/>
      <c r="T107" s="393"/>
      <c r="U107" s="393"/>
      <c r="V107" s="393"/>
      <c r="W107" s="393"/>
      <c r="X107" s="393"/>
      <c r="Y107" s="393"/>
      <c r="Z107" s="393"/>
    </row>
    <row r="108" ht="12.75" hidden="1" customHeight="1" outlineLevel="1">
      <c r="A108" s="396" t="s">
        <v>1471</v>
      </c>
      <c r="B108" s="458"/>
      <c r="C108" s="458"/>
      <c r="D108" s="458"/>
      <c r="E108" s="458"/>
      <c r="F108" s="458"/>
      <c r="G108" s="458"/>
      <c r="H108" s="458"/>
      <c r="I108" s="458"/>
      <c r="J108" s="458"/>
      <c r="K108" s="458"/>
      <c r="L108" s="458"/>
      <c r="M108" s="458"/>
      <c r="N108" s="458">
        <f t="shared" si="64"/>
        <v>0</v>
      </c>
      <c r="O108" s="393"/>
      <c r="P108" s="393"/>
      <c r="Q108" s="393"/>
      <c r="R108" s="393"/>
      <c r="S108" s="393"/>
      <c r="T108" s="393"/>
      <c r="U108" s="393"/>
      <c r="V108" s="393"/>
      <c r="W108" s="393"/>
      <c r="X108" s="393"/>
      <c r="Y108" s="393"/>
      <c r="Z108" s="393"/>
    </row>
    <row r="109" ht="12.75" hidden="1" customHeight="1" outlineLevel="1">
      <c r="A109" s="396" t="s">
        <v>1472</v>
      </c>
      <c r="B109" s="458"/>
      <c r="C109" s="458"/>
      <c r="D109" s="458"/>
      <c r="E109" s="458"/>
      <c r="F109" s="458"/>
      <c r="G109" s="458"/>
      <c r="H109" s="458"/>
      <c r="I109" s="458"/>
      <c r="J109" s="458"/>
      <c r="K109" s="458"/>
      <c r="L109" s="458"/>
      <c r="M109" s="458"/>
      <c r="N109" s="458">
        <f t="shared" si="64"/>
        <v>0</v>
      </c>
      <c r="O109" s="393"/>
      <c r="P109" s="393"/>
      <c r="Q109" s="393"/>
      <c r="R109" s="393"/>
      <c r="S109" s="393"/>
      <c r="T109" s="393"/>
      <c r="U109" s="393"/>
      <c r="V109" s="393"/>
      <c r="W109" s="393"/>
      <c r="X109" s="393"/>
      <c r="Y109" s="393"/>
      <c r="Z109" s="393"/>
    </row>
    <row r="110" ht="12.75" hidden="1" customHeight="1" outlineLevel="1">
      <c r="A110" s="396" t="s">
        <v>1473</v>
      </c>
      <c r="B110" s="458"/>
      <c r="C110" s="458"/>
      <c r="D110" s="458"/>
      <c r="E110" s="458"/>
      <c r="F110" s="458"/>
      <c r="G110" s="458"/>
      <c r="H110" s="458"/>
      <c r="I110" s="458"/>
      <c r="J110" s="458"/>
      <c r="K110" s="458"/>
      <c r="L110" s="458"/>
      <c r="M110" s="458"/>
      <c r="N110" s="458">
        <f t="shared" si="64"/>
        <v>0</v>
      </c>
      <c r="O110" s="393"/>
      <c r="P110" s="393"/>
      <c r="Q110" s="393"/>
      <c r="R110" s="393"/>
      <c r="S110" s="393"/>
      <c r="T110" s="393"/>
      <c r="U110" s="393"/>
      <c r="V110" s="393"/>
      <c r="W110" s="393"/>
      <c r="X110" s="393"/>
      <c r="Y110" s="393"/>
      <c r="Z110" s="393"/>
    </row>
    <row r="111" ht="12.75" hidden="1" customHeight="1" outlineLevel="1">
      <c r="A111" s="396" t="s">
        <v>1474</v>
      </c>
      <c r="B111" s="458"/>
      <c r="C111" s="458"/>
      <c r="D111" s="458"/>
      <c r="E111" s="458"/>
      <c r="F111" s="458"/>
      <c r="G111" s="458"/>
      <c r="H111" s="458"/>
      <c r="I111" s="458"/>
      <c r="J111" s="458"/>
      <c r="K111" s="458"/>
      <c r="L111" s="458"/>
      <c r="M111" s="458"/>
      <c r="N111" s="458">
        <f t="shared" si="64"/>
        <v>0</v>
      </c>
      <c r="O111" s="393"/>
      <c r="P111" s="393"/>
      <c r="Q111" s="393"/>
      <c r="R111" s="393"/>
      <c r="S111" s="393"/>
      <c r="T111" s="393"/>
      <c r="U111" s="393"/>
      <c r="V111" s="393"/>
      <c r="W111" s="393"/>
      <c r="X111" s="393"/>
      <c r="Y111" s="393"/>
      <c r="Z111" s="393"/>
    </row>
    <row r="112" ht="12.75" hidden="1" customHeight="1" outlineLevel="1">
      <c r="A112" s="396" t="s">
        <v>1475</v>
      </c>
      <c r="B112" s="458"/>
      <c r="C112" s="458"/>
      <c r="D112" s="458"/>
      <c r="E112" s="458"/>
      <c r="F112" s="458"/>
      <c r="G112" s="458"/>
      <c r="H112" s="458"/>
      <c r="I112" s="458"/>
      <c r="J112" s="458"/>
      <c r="K112" s="458"/>
      <c r="L112" s="458"/>
      <c r="M112" s="458"/>
      <c r="N112" s="458">
        <f t="shared" si="64"/>
        <v>0</v>
      </c>
      <c r="O112" s="393"/>
      <c r="P112" s="393"/>
      <c r="Q112" s="393"/>
      <c r="R112" s="393"/>
      <c r="S112" s="393"/>
      <c r="T112" s="393"/>
      <c r="U112" s="393"/>
      <c r="V112" s="393"/>
      <c r="W112" s="393"/>
      <c r="X112" s="393"/>
      <c r="Y112" s="393"/>
      <c r="Z112" s="393"/>
    </row>
    <row r="113" ht="12.75" hidden="1" customHeight="1" outlineLevel="1">
      <c r="A113" s="459" t="s">
        <v>1476</v>
      </c>
      <c r="B113" s="460"/>
      <c r="C113" s="460"/>
      <c r="D113" s="460"/>
      <c r="E113" s="460"/>
      <c r="F113" s="460"/>
      <c r="G113" s="460"/>
      <c r="H113" s="460"/>
      <c r="I113" s="460"/>
      <c r="J113" s="460"/>
      <c r="K113" s="460"/>
      <c r="L113" s="460"/>
      <c r="M113" s="460"/>
      <c r="N113" s="460">
        <f t="shared" si="64"/>
        <v>0</v>
      </c>
      <c r="O113" s="393"/>
      <c r="P113" s="393"/>
      <c r="Q113" s="393"/>
      <c r="R113" s="393"/>
      <c r="S113" s="393"/>
      <c r="T113" s="393"/>
      <c r="U113" s="393"/>
      <c r="V113" s="393"/>
      <c r="W113" s="393"/>
      <c r="X113" s="393"/>
      <c r="Y113" s="393"/>
      <c r="Z113" s="393"/>
    </row>
    <row r="114" ht="12.75" hidden="1" customHeight="1" outlineLevel="1">
      <c r="A114" s="393"/>
      <c r="B114" s="466">
        <f t="shared" ref="B114:M114" si="65">SUM(B106:B113)</f>
        <v>0</v>
      </c>
      <c r="C114" s="466">
        <f t="shared" si="65"/>
        <v>0</v>
      </c>
      <c r="D114" s="466">
        <f t="shared" si="65"/>
        <v>0</v>
      </c>
      <c r="E114" s="466">
        <f t="shared" si="65"/>
        <v>0</v>
      </c>
      <c r="F114" s="466">
        <f t="shared" si="65"/>
        <v>0</v>
      </c>
      <c r="G114" s="466">
        <f t="shared" si="65"/>
        <v>0</v>
      </c>
      <c r="H114" s="466">
        <f t="shared" si="65"/>
        <v>0</v>
      </c>
      <c r="I114" s="466">
        <f t="shared" si="65"/>
        <v>0</v>
      </c>
      <c r="J114" s="466">
        <f t="shared" si="65"/>
        <v>0</v>
      </c>
      <c r="K114" s="466">
        <f t="shared" si="65"/>
        <v>0</v>
      </c>
      <c r="L114" s="466">
        <f t="shared" si="65"/>
        <v>0</v>
      </c>
      <c r="M114" s="466">
        <f t="shared" si="65"/>
        <v>0</v>
      </c>
      <c r="N114" s="393"/>
      <c r="O114" s="393"/>
      <c r="P114" s="393"/>
      <c r="Q114" s="393"/>
      <c r="R114" s="393"/>
      <c r="S114" s="393"/>
      <c r="T114" s="393"/>
      <c r="U114" s="393"/>
      <c r="V114" s="393"/>
      <c r="W114" s="393"/>
      <c r="X114" s="393"/>
      <c r="Y114" s="393"/>
      <c r="Z114" s="393"/>
    </row>
    <row r="115" ht="12.75" hidden="1" customHeight="1" outlineLevel="1">
      <c r="A115" s="393"/>
      <c r="B115" s="393"/>
      <c r="C115" s="393"/>
      <c r="D115" s="393"/>
      <c r="E115" s="393"/>
      <c r="F115" s="393"/>
      <c r="G115" s="458"/>
      <c r="H115" s="393"/>
      <c r="I115" s="393"/>
      <c r="J115" s="393"/>
      <c r="K115" s="393"/>
      <c r="L115" s="393"/>
      <c r="M115" s="393"/>
      <c r="N115" s="393"/>
      <c r="O115" s="393"/>
      <c r="P115" s="393"/>
      <c r="Q115" s="393"/>
      <c r="R115" s="393"/>
      <c r="S115" s="393"/>
      <c r="T115" s="393"/>
      <c r="U115" s="393"/>
      <c r="V115" s="393"/>
      <c r="W115" s="393"/>
      <c r="X115" s="393"/>
      <c r="Y115" s="393"/>
      <c r="Z115" s="393"/>
    </row>
    <row r="116" ht="12.75" customHeight="1" collapsed="1">
      <c r="A116" s="393"/>
      <c r="B116" s="393"/>
      <c r="C116" s="393"/>
      <c r="D116" s="393"/>
      <c r="E116" s="393"/>
      <c r="F116" s="393"/>
      <c r="G116" s="426"/>
      <c r="H116" s="393"/>
      <c r="I116" s="393"/>
      <c r="J116" s="393"/>
      <c r="K116" s="393"/>
      <c r="L116" s="393"/>
      <c r="M116" s="393"/>
      <c r="N116" s="452">
        <f>+N84/N117-1</f>
        <v>0.4594132899</v>
      </c>
      <c r="O116" s="423" t="s">
        <v>1501</v>
      </c>
      <c r="P116" s="393"/>
      <c r="Q116" s="393"/>
      <c r="R116" s="393"/>
      <c r="S116" s="393"/>
      <c r="T116" s="393"/>
      <c r="U116" s="393"/>
      <c r="V116" s="393"/>
      <c r="W116" s="393"/>
      <c r="X116" s="393"/>
      <c r="Y116" s="393"/>
      <c r="Z116" s="393"/>
    </row>
    <row r="117" ht="12.75" customHeight="1">
      <c r="A117" s="393"/>
      <c r="B117" s="393"/>
      <c r="C117" s="393"/>
      <c r="D117" s="393"/>
      <c r="E117" s="393"/>
      <c r="F117" s="393"/>
      <c r="G117" s="393"/>
      <c r="H117" s="393"/>
      <c r="I117" s="393"/>
      <c r="J117" s="393"/>
      <c r="K117" s="393"/>
      <c r="L117" s="393"/>
      <c r="M117" s="393"/>
      <c r="N117" s="426">
        <v>1.9497740414E10</v>
      </c>
      <c r="O117" s="393" t="s">
        <v>1502</v>
      </c>
      <c r="P117" s="393"/>
      <c r="Q117" s="393"/>
      <c r="R117" s="393"/>
      <c r="S117" s="393"/>
      <c r="T117" s="393"/>
      <c r="U117" s="393"/>
      <c r="V117" s="393"/>
      <c r="W117" s="393"/>
      <c r="X117" s="393"/>
      <c r="Y117" s="393"/>
      <c r="Z117" s="393"/>
    </row>
    <row r="118" ht="12.75" customHeight="1">
      <c r="A118" s="393"/>
      <c r="B118" s="393"/>
      <c r="C118" s="393"/>
      <c r="D118" s="393"/>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row>
    <row r="119" ht="12.75" customHeight="1">
      <c r="A119" s="393"/>
      <c r="B119" s="393"/>
      <c r="C119" s="393"/>
      <c r="D119" s="393"/>
      <c r="E119" s="393"/>
      <c r="F119" s="393"/>
      <c r="G119" s="393"/>
      <c r="H119" s="393"/>
      <c r="I119" s="393"/>
      <c r="J119" s="393"/>
      <c r="K119" s="393"/>
      <c r="L119" s="393"/>
      <c r="M119" s="393"/>
      <c r="N119" s="393"/>
      <c r="O119" s="393"/>
      <c r="P119" s="393"/>
      <c r="Q119" s="393"/>
      <c r="R119" s="393"/>
      <c r="S119" s="393"/>
      <c r="T119" s="393"/>
      <c r="U119" s="393"/>
      <c r="V119" s="393"/>
      <c r="W119" s="393"/>
      <c r="X119" s="393"/>
      <c r="Y119" s="393"/>
      <c r="Z119" s="393"/>
    </row>
    <row r="120" ht="12.75" customHeight="1">
      <c r="A120" s="393"/>
      <c r="B120" s="393"/>
      <c r="C120" s="393"/>
      <c r="D120" s="393"/>
      <c r="E120" s="393"/>
      <c r="F120" s="393"/>
      <c r="G120" s="393"/>
      <c r="H120" s="393"/>
      <c r="I120" s="393"/>
      <c r="J120" s="393"/>
      <c r="K120" s="393"/>
      <c r="L120" s="393"/>
      <c r="M120" s="393"/>
      <c r="N120" s="393"/>
      <c r="O120" s="393"/>
      <c r="P120" s="393"/>
      <c r="Q120" s="393"/>
      <c r="R120" s="393"/>
      <c r="S120" s="393"/>
      <c r="T120" s="393"/>
      <c r="U120" s="393"/>
      <c r="V120" s="393"/>
      <c r="W120" s="393"/>
      <c r="X120" s="393"/>
      <c r="Y120" s="393"/>
      <c r="Z120" s="393"/>
    </row>
    <row r="121" ht="12.75" customHeight="1">
      <c r="A121" s="393"/>
      <c r="B121" s="393"/>
      <c r="C121" s="393"/>
      <c r="D121" s="393"/>
      <c r="E121" s="393"/>
      <c r="F121" s="393"/>
      <c r="G121" s="393"/>
      <c r="H121" s="393"/>
      <c r="I121" s="393"/>
      <c r="J121" s="393"/>
      <c r="K121" s="393"/>
      <c r="L121" s="393"/>
      <c r="M121" s="393"/>
      <c r="N121" s="393"/>
      <c r="O121" s="393"/>
      <c r="P121" s="393"/>
      <c r="Q121" s="393"/>
      <c r="R121" s="393"/>
      <c r="S121" s="393"/>
      <c r="T121" s="393"/>
      <c r="U121" s="393"/>
      <c r="V121" s="393"/>
      <c r="W121" s="393"/>
      <c r="X121" s="393"/>
      <c r="Y121" s="393"/>
      <c r="Z121" s="393"/>
    </row>
    <row r="122" ht="12.75" customHeight="1">
      <c r="A122" s="393"/>
      <c r="B122" s="393"/>
      <c r="C122" s="393"/>
      <c r="D122" s="393"/>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row>
    <row r="123" ht="12.75" customHeight="1">
      <c r="A123" s="393"/>
      <c r="B123" s="393"/>
      <c r="C123" s="393"/>
      <c r="D123" s="393"/>
      <c r="E123" s="393"/>
      <c r="F123" s="393"/>
      <c r="G123" s="393"/>
      <c r="H123" s="393"/>
      <c r="I123" s="393"/>
      <c r="J123" s="393"/>
      <c r="K123" s="393"/>
      <c r="L123" s="393"/>
      <c r="M123" s="393"/>
      <c r="N123" s="393"/>
      <c r="O123" s="393"/>
      <c r="P123" s="393"/>
      <c r="Q123" s="393"/>
      <c r="R123" s="393"/>
      <c r="S123" s="393"/>
      <c r="T123" s="393"/>
      <c r="U123" s="393"/>
      <c r="V123" s="393"/>
      <c r="W123" s="393"/>
      <c r="X123" s="393"/>
      <c r="Y123" s="393"/>
      <c r="Z123" s="393"/>
    </row>
    <row r="124" ht="12.75" customHeight="1">
      <c r="A124" s="393"/>
      <c r="B124" s="393"/>
      <c r="C124" s="393"/>
      <c r="D124" s="393"/>
      <c r="E124" s="393"/>
      <c r="F124" s="393"/>
      <c r="G124" s="393"/>
      <c r="H124" s="393"/>
      <c r="I124" s="393"/>
      <c r="J124" s="393"/>
      <c r="K124" s="393"/>
      <c r="L124" s="393"/>
      <c r="M124" s="393"/>
      <c r="N124" s="393"/>
      <c r="O124" s="393"/>
      <c r="P124" s="393"/>
      <c r="Q124" s="393"/>
      <c r="R124" s="393"/>
      <c r="S124" s="393"/>
      <c r="T124" s="393"/>
      <c r="U124" s="393"/>
      <c r="V124" s="393"/>
      <c r="W124" s="393"/>
      <c r="X124" s="393"/>
      <c r="Y124" s="393"/>
      <c r="Z124" s="393"/>
    </row>
    <row r="125" ht="12.75" customHeight="1">
      <c r="A125" s="393"/>
      <c r="B125" s="393"/>
      <c r="C125" s="393"/>
      <c r="D125" s="393"/>
      <c r="E125" s="393"/>
      <c r="F125" s="393"/>
      <c r="G125" s="393"/>
      <c r="H125" s="393"/>
      <c r="I125" s="393"/>
      <c r="J125" s="393"/>
      <c r="K125" s="393"/>
      <c r="L125" s="393"/>
      <c r="M125" s="393"/>
      <c r="N125" s="393"/>
      <c r="O125" s="393"/>
      <c r="P125" s="393"/>
      <c r="Q125" s="393"/>
      <c r="R125" s="393"/>
      <c r="S125" s="393"/>
      <c r="T125" s="393"/>
      <c r="U125" s="393"/>
      <c r="V125" s="393"/>
      <c r="W125" s="393"/>
      <c r="X125" s="393"/>
      <c r="Y125" s="393"/>
      <c r="Z125" s="393"/>
    </row>
    <row r="126" ht="12.75" customHeight="1">
      <c r="A126" s="393"/>
      <c r="B126" s="393"/>
      <c r="C126" s="393"/>
      <c r="D126" s="393"/>
      <c r="E126" s="393"/>
      <c r="F126" s="393"/>
      <c r="G126" s="393"/>
      <c r="H126" s="393"/>
      <c r="I126" s="393"/>
      <c r="J126" s="393"/>
      <c r="K126" s="393"/>
      <c r="L126" s="393"/>
      <c r="M126" s="393"/>
      <c r="N126" s="393"/>
      <c r="O126" s="393"/>
      <c r="P126" s="393"/>
      <c r="Q126" s="393"/>
      <c r="R126" s="393"/>
      <c r="S126" s="393"/>
      <c r="T126" s="393"/>
      <c r="U126" s="393"/>
      <c r="V126" s="393"/>
      <c r="W126" s="393"/>
      <c r="X126" s="393"/>
      <c r="Y126" s="393"/>
      <c r="Z126" s="393"/>
    </row>
    <row r="127" ht="12.75" customHeight="1">
      <c r="A127" s="393"/>
      <c r="B127" s="393"/>
      <c r="C127" s="393"/>
      <c r="D127" s="393"/>
      <c r="E127" s="393"/>
      <c r="F127" s="393"/>
      <c r="G127" s="393"/>
      <c r="H127" s="393"/>
      <c r="I127" s="393"/>
      <c r="J127" s="393"/>
      <c r="K127" s="393"/>
      <c r="L127" s="393"/>
      <c r="M127" s="393"/>
      <c r="N127" s="393"/>
      <c r="O127" s="393"/>
      <c r="P127" s="393"/>
      <c r="Q127" s="393"/>
      <c r="R127" s="393"/>
      <c r="S127" s="393"/>
      <c r="T127" s="393"/>
      <c r="U127" s="393"/>
      <c r="V127" s="393"/>
      <c r="W127" s="393"/>
      <c r="X127" s="393"/>
      <c r="Y127" s="393"/>
      <c r="Z127" s="393"/>
    </row>
    <row r="128" ht="12.75" customHeight="1">
      <c r="A128" s="393"/>
      <c r="B128" s="393"/>
      <c r="C128" s="393"/>
      <c r="D128" s="393"/>
      <c r="E128" s="393"/>
      <c r="F128" s="393"/>
      <c r="G128" s="393"/>
      <c r="H128" s="393"/>
      <c r="I128" s="393"/>
      <c r="J128" s="393"/>
      <c r="K128" s="393"/>
      <c r="L128" s="393"/>
      <c r="M128" s="393"/>
      <c r="N128" s="393"/>
      <c r="O128" s="393"/>
      <c r="P128" s="393"/>
      <c r="Q128" s="393"/>
      <c r="R128" s="393"/>
      <c r="S128" s="393"/>
      <c r="T128" s="393"/>
      <c r="U128" s="393"/>
      <c r="V128" s="393"/>
      <c r="W128" s="393"/>
      <c r="X128" s="393"/>
      <c r="Y128" s="393"/>
      <c r="Z128" s="393"/>
    </row>
    <row r="129" ht="12.75" customHeight="1">
      <c r="A129" s="393"/>
      <c r="B129" s="393"/>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row>
    <row r="130" ht="12.75" customHeight="1">
      <c r="A130" s="393"/>
      <c r="B130" s="393"/>
      <c r="C130" s="393"/>
      <c r="D130" s="393"/>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row>
    <row r="131" ht="12.75" customHeight="1">
      <c r="A131" s="393"/>
      <c r="B131" s="393"/>
      <c r="C131" s="393"/>
      <c r="D131" s="393"/>
      <c r="E131" s="393"/>
      <c r="F131" s="393"/>
      <c r="G131" s="393"/>
      <c r="H131" s="393"/>
      <c r="I131" s="393"/>
      <c r="J131" s="393"/>
      <c r="K131" s="393"/>
      <c r="L131" s="393"/>
      <c r="M131" s="393"/>
      <c r="N131" s="393"/>
      <c r="O131" s="393"/>
      <c r="P131" s="393"/>
      <c r="Q131" s="393"/>
      <c r="R131" s="393"/>
      <c r="S131" s="393"/>
      <c r="T131" s="393"/>
      <c r="U131" s="393"/>
      <c r="V131" s="393"/>
      <c r="W131" s="393"/>
      <c r="X131" s="393"/>
      <c r="Y131" s="393"/>
      <c r="Z131" s="393"/>
    </row>
    <row r="132" ht="12.75" customHeight="1">
      <c r="A132" s="393"/>
      <c r="B132" s="393"/>
      <c r="C132" s="393"/>
      <c r="D132" s="393"/>
      <c r="E132" s="393"/>
      <c r="F132" s="393"/>
      <c r="G132" s="393"/>
      <c r="H132" s="393"/>
      <c r="I132" s="393"/>
      <c r="J132" s="393"/>
      <c r="K132" s="393"/>
      <c r="L132" s="393"/>
      <c r="M132" s="393"/>
      <c r="N132" s="393"/>
      <c r="O132" s="393"/>
      <c r="P132" s="393"/>
      <c r="Q132" s="393"/>
      <c r="R132" s="393"/>
      <c r="S132" s="393"/>
      <c r="T132" s="393"/>
      <c r="U132" s="393"/>
      <c r="V132" s="393"/>
      <c r="W132" s="393"/>
      <c r="X132" s="393"/>
      <c r="Y132" s="393"/>
      <c r="Z132" s="393"/>
    </row>
    <row r="133" ht="12.75" customHeight="1">
      <c r="A133" s="393"/>
      <c r="B133" s="393"/>
      <c r="C133" s="393"/>
      <c r="D133" s="393"/>
      <c r="E133" s="393"/>
      <c r="F133" s="393"/>
      <c r="G133" s="393"/>
      <c r="H133" s="393"/>
      <c r="I133" s="393"/>
      <c r="J133" s="393"/>
      <c r="K133" s="393"/>
      <c r="L133" s="393"/>
      <c r="M133" s="393"/>
      <c r="N133" s="393"/>
      <c r="O133" s="393"/>
      <c r="P133" s="393"/>
      <c r="Q133" s="393"/>
      <c r="R133" s="393"/>
      <c r="S133" s="393"/>
      <c r="T133" s="393"/>
      <c r="U133" s="393"/>
      <c r="V133" s="393"/>
      <c r="W133" s="393"/>
      <c r="X133" s="393"/>
      <c r="Y133" s="393"/>
      <c r="Z133" s="393"/>
    </row>
    <row r="134" ht="12.75" customHeight="1">
      <c r="A134" s="393"/>
      <c r="B134" s="393"/>
      <c r="C134" s="393"/>
      <c r="D134" s="393"/>
      <c r="E134" s="393"/>
      <c r="F134" s="393"/>
      <c r="G134" s="393"/>
      <c r="H134" s="393"/>
      <c r="I134" s="393"/>
      <c r="J134" s="393"/>
      <c r="K134" s="393"/>
      <c r="L134" s="393"/>
      <c r="M134" s="393"/>
      <c r="N134" s="393"/>
      <c r="O134" s="393"/>
      <c r="P134" s="393"/>
      <c r="Q134" s="393"/>
      <c r="R134" s="393"/>
      <c r="S134" s="393"/>
      <c r="T134" s="393"/>
      <c r="U134" s="393"/>
      <c r="V134" s="393"/>
      <c r="W134" s="393"/>
      <c r="X134" s="393"/>
      <c r="Y134" s="393"/>
      <c r="Z134" s="393"/>
    </row>
    <row r="135" ht="12.75" customHeight="1">
      <c r="A135" s="393"/>
      <c r="B135" s="393"/>
      <c r="C135" s="393"/>
      <c r="D135" s="393"/>
      <c r="E135" s="393"/>
      <c r="F135" s="393"/>
      <c r="G135" s="393"/>
      <c r="H135" s="393"/>
      <c r="I135" s="393"/>
      <c r="J135" s="393"/>
      <c r="K135" s="393"/>
      <c r="L135" s="393"/>
      <c r="M135" s="393"/>
      <c r="N135" s="393"/>
      <c r="O135" s="393"/>
      <c r="P135" s="393"/>
      <c r="Q135" s="393"/>
      <c r="R135" s="393"/>
      <c r="S135" s="393"/>
      <c r="T135" s="393"/>
      <c r="U135" s="393"/>
      <c r="V135" s="393"/>
      <c r="W135" s="393"/>
      <c r="X135" s="393"/>
      <c r="Y135" s="393"/>
      <c r="Z135" s="393"/>
    </row>
    <row r="136" ht="12.75" customHeight="1">
      <c r="A136" s="393"/>
      <c r="B136" s="393"/>
      <c r="C136" s="393"/>
      <c r="D136" s="393"/>
      <c r="E136" s="393"/>
      <c r="F136" s="393"/>
      <c r="G136" s="393"/>
      <c r="H136" s="393"/>
      <c r="I136" s="393"/>
      <c r="J136" s="393"/>
      <c r="K136" s="393"/>
      <c r="L136" s="393"/>
      <c r="M136" s="393"/>
      <c r="N136" s="393"/>
      <c r="O136" s="393"/>
      <c r="P136" s="393"/>
      <c r="Q136" s="393"/>
      <c r="R136" s="393"/>
      <c r="S136" s="393"/>
      <c r="T136" s="393"/>
      <c r="U136" s="393"/>
      <c r="V136" s="393"/>
      <c r="W136" s="393"/>
      <c r="X136" s="393"/>
      <c r="Y136" s="393"/>
      <c r="Z136" s="393"/>
    </row>
    <row r="137" ht="12.75" customHeight="1">
      <c r="A137" s="393"/>
      <c r="B137" s="393"/>
      <c r="C137" s="393"/>
      <c r="D137" s="393"/>
      <c r="E137" s="393"/>
      <c r="F137" s="393"/>
      <c r="G137" s="393"/>
      <c r="H137" s="393"/>
      <c r="I137" s="393"/>
      <c r="J137" s="393"/>
      <c r="K137" s="393"/>
      <c r="L137" s="393"/>
      <c r="M137" s="393"/>
      <c r="N137" s="393"/>
      <c r="O137" s="393"/>
      <c r="P137" s="393"/>
      <c r="Q137" s="393"/>
      <c r="R137" s="393"/>
      <c r="S137" s="393"/>
      <c r="T137" s="393"/>
      <c r="U137" s="393"/>
      <c r="V137" s="393"/>
      <c r="W137" s="393"/>
      <c r="X137" s="393"/>
      <c r="Y137" s="393"/>
      <c r="Z137" s="393"/>
    </row>
    <row r="138" ht="12.75" customHeight="1">
      <c r="A138" s="393"/>
      <c r="B138" s="393"/>
      <c r="C138" s="393"/>
      <c r="D138" s="393"/>
      <c r="E138" s="393"/>
      <c r="F138" s="393"/>
      <c r="G138" s="393"/>
      <c r="H138" s="393"/>
      <c r="I138" s="393"/>
      <c r="J138" s="393"/>
      <c r="K138" s="393"/>
      <c r="L138" s="393"/>
      <c r="M138" s="393"/>
      <c r="N138" s="393"/>
      <c r="O138" s="393"/>
      <c r="P138" s="393"/>
      <c r="Q138" s="393"/>
      <c r="R138" s="393"/>
      <c r="S138" s="393"/>
      <c r="T138" s="393"/>
      <c r="U138" s="393"/>
      <c r="V138" s="393"/>
      <c r="W138" s="393"/>
      <c r="X138" s="393"/>
      <c r="Y138" s="393"/>
      <c r="Z138" s="393"/>
    </row>
    <row r="139" ht="12.75" customHeight="1">
      <c r="A139" s="393"/>
      <c r="B139" s="393"/>
      <c r="C139" s="393"/>
      <c r="D139" s="393"/>
      <c r="E139" s="393"/>
      <c r="F139" s="393"/>
      <c r="G139" s="393"/>
      <c r="H139" s="393"/>
      <c r="I139" s="393"/>
      <c r="J139" s="393"/>
      <c r="K139" s="393"/>
      <c r="L139" s="393"/>
      <c r="M139" s="393"/>
      <c r="N139" s="393"/>
      <c r="O139" s="393"/>
      <c r="P139" s="393"/>
      <c r="Q139" s="393"/>
      <c r="R139" s="393"/>
      <c r="S139" s="393"/>
      <c r="T139" s="393"/>
      <c r="U139" s="393"/>
      <c r="V139" s="393"/>
      <c r="W139" s="393"/>
      <c r="X139" s="393"/>
      <c r="Y139" s="393"/>
      <c r="Z139" s="393"/>
    </row>
    <row r="140" ht="12.75" customHeight="1">
      <c r="A140" s="393"/>
      <c r="B140" s="393"/>
      <c r="C140" s="393"/>
      <c r="D140" s="393"/>
      <c r="E140" s="393"/>
      <c r="F140" s="393"/>
      <c r="G140" s="393"/>
      <c r="H140" s="393"/>
      <c r="I140" s="393"/>
      <c r="J140" s="393"/>
      <c r="K140" s="393"/>
      <c r="L140" s="393"/>
      <c r="M140" s="393"/>
      <c r="N140" s="393"/>
      <c r="O140" s="393"/>
      <c r="P140" s="393"/>
      <c r="Q140" s="393"/>
      <c r="R140" s="393"/>
      <c r="S140" s="393"/>
      <c r="T140" s="393"/>
      <c r="U140" s="393"/>
      <c r="V140" s="393"/>
      <c r="W140" s="393"/>
      <c r="X140" s="393"/>
      <c r="Y140" s="393"/>
      <c r="Z140" s="393"/>
    </row>
    <row r="141" ht="12.75" customHeight="1">
      <c r="A141" s="393"/>
      <c r="B141" s="393"/>
      <c r="C141" s="393"/>
      <c r="D141" s="393"/>
      <c r="E141" s="393"/>
      <c r="F141" s="393"/>
      <c r="G141" s="393"/>
      <c r="H141" s="393"/>
      <c r="I141" s="393"/>
      <c r="J141" s="393"/>
      <c r="K141" s="393"/>
      <c r="L141" s="393"/>
      <c r="M141" s="393"/>
      <c r="N141" s="393"/>
      <c r="O141" s="393"/>
      <c r="P141" s="393"/>
      <c r="Q141" s="393"/>
      <c r="R141" s="393"/>
      <c r="S141" s="393"/>
      <c r="T141" s="393"/>
      <c r="U141" s="393"/>
      <c r="V141" s="393"/>
      <c r="W141" s="393"/>
      <c r="X141" s="393"/>
      <c r="Y141" s="393"/>
      <c r="Z141" s="393"/>
    </row>
    <row r="142" ht="12.75" customHeight="1">
      <c r="A142" s="393"/>
      <c r="B142" s="393"/>
      <c r="C142" s="393"/>
      <c r="D142" s="393"/>
      <c r="E142" s="393"/>
      <c r="F142" s="393"/>
      <c r="G142" s="393"/>
      <c r="H142" s="393"/>
      <c r="I142" s="393"/>
      <c r="J142" s="393"/>
      <c r="K142" s="393"/>
      <c r="L142" s="393"/>
      <c r="M142" s="393"/>
      <c r="N142" s="393"/>
      <c r="O142" s="393"/>
      <c r="P142" s="393"/>
      <c r="Q142" s="393"/>
      <c r="R142" s="393"/>
      <c r="S142" s="393"/>
      <c r="T142" s="393"/>
      <c r="U142" s="393"/>
      <c r="V142" s="393"/>
      <c r="W142" s="393"/>
      <c r="X142" s="393"/>
      <c r="Y142" s="393"/>
      <c r="Z142" s="393"/>
    </row>
    <row r="143" ht="12.75" customHeight="1">
      <c r="A143" s="393"/>
      <c r="B143" s="393"/>
      <c r="C143" s="393"/>
      <c r="D143" s="393"/>
      <c r="E143" s="393"/>
      <c r="F143" s="393"/>
      <c r="G143" s="393"/>
      <c r="H143" s="393"/>
      <c r="I143" s="393"/>
      <c r="J143" s="393"/>
      <c r="K143" s="393"/>
      <c r="L143" s="393"/>
      <c r="M143" s="393"/>
      <c r="N143" s="393"/>
      <c r="O143" s="393"/>
      <c r="P143" s="393"/>
      <c r="Q143" s="393"/>
      <c r="R143" s="393"/>
      <c r="S143" s="393"/>
      <c r="T143" s="393"/>
      <c r="U143" s="393"/>
      <c r="V143" s="393"/>
      <c r="W143" s="393"/>
      <c r="X143" s="393"/>
      <c r="Y143" s="393"/>
      <c r="Z143" s="393"/>
    </row>
    <row r="144" ht="12.75" customHeight="1">
      <c r="A144" s="393"/>
      <c r="B144" s="393"/>
      <c r="C144" s="393"/>
      <c r="D144" s="393"/>
      <c r="E144" s="393"/>
      <c r="F144" s="393"/>
      <c r="G144" s="393"/>
      <c r="H144" s="393"/>
      <c r="I144" s="393"/>
      <c r="J144" s="393"/>
      <c r="K144" s="393"/>
      <c r="L144" s="393"/>
      <c r="M144" s="393"/>
      <c r="N144" s="393"/>
      <c r="O144" s="393"/>
      <c r="P144" s="393"/>
      <c r="Q144" s="393"/>
      <c r="R144" s="393"/>
      <c r="S144" s="393"/>
      <c r="T144" s="393"/>
      <c r="U144" s="393"/>
      <c r="V144" s="393"/>
      <c r="W144" s="393"/>
      <c r="X144" s="393"/>
      <c r="Y144" s="393"/>
      <c r="Z144" s="393"/>
    </row>
    <row r="145" ht="12.75" customHeight="1">
      <c r="A145" s="393"/>
      <c r="B145" s="393"/>
      <c r="C145" s="393"/>
      <c r="D145" s="393"/>
      <c r="E145" s="393"/>
      <c r="F145" s="393"/>
      <c r="G145" s="393"/>
      <c r="H145" s="393"/>
      <c r="I145" s="393"/>
      <c r="J145" s="393"/>
      <c r="K145" s="393"/>
      <c r="L145" s="393"/>
      <c r="M145" s="393"/>
      <c r="N145" s="393"/>
      <c r="O145" s="393"/>
      <c r="P145" s="393"/>
      <c r="Q145" s="393"/>
      <c r="R145" s="393"/>
      <c r="S145" s="393"/>
      <c r="T145" s="393"/>
      <c r="U145" s="393"/>
      <c r="V145" s="393"/>
      <c r="W145" s="393"/>
      <c r="X145" s="393"/>
      <c r="Y145" s="393"/>
      <c r="Z145" s="393"/>
    </row>
    <row r="146" ht="12.75" customHeight="1">
      <c r="A146" s="393"/>
      <c r="B146" s="393"/>
      <c r="C146" s="393"/>
      <c r="D146" s="393"/>
      <c r="E146" s="393"/>
      <c r="F146" s="393"/>
      <c r="G146" s="393"/>
      <c r="H146" s="393"/>
      <c r="I146" s="393"/>
      <c r="J146" s="393"/>
      <c r="K146" s="393"/>
      <c r="L146" s="393"/>
      <c r="M146" s="393"/>
      <c r="N146" s="393"/>
      <c r="O146" s="393"/>
      <c r="P146" s="393"/>
      <c r="Q146" s="393"/>
      <c r="R146" s="393"/>
      <c r="S146" s="393"/>
      <c r="T146" s="393"/>
      <c r="U146" s="393"/>
      <c r="V146" s="393"/>
      <c r="W146" s="393"/>
      <c r="X146" s="393"/>
      <c r="Y146" s="393"/>
      <c r="Z146" s="393"/>
    </row>
    <row r="147" ht="12.75" customHeight="1">
      <c r="A147" s="393"/>
      <c r="B147" s="393"/>
      <c r="C147" s="393"/>
      <c r="D147" s="393"/>
      <c r="E147" s="393"/>
      <c r="F147" s="393"/>
      <c r="G147" s="393"/>
      <c r="H147" s="393"/>
      <c r="I147" s="393"/>
      <c r="J147" s="393"/>
      <c r="K147" s="393"/>
      <c r="L147" s="393"/>
      <c r="M147" s="393"/>
      <c r="N147" s="393"/>
      <c r="O147" s="393"/>
      <c r="P147" s="393"/>
      <c r="Q147" s="393"/>
      <c r="R147" s="393"/>
      <c r="S147" s="393"/>
      <c r="T147" s="393"/>
      <c r="U147" s="393"/>
      <c r="V147" s="393"/>
      <c r="W147" s="393"/>
      <c r="X147" s="393"/>
      <c r="Y147" s="393"/>
      <c r="Z147" s="393"/>
    </row>
    <row r="148" ht="12.75" customHeight="1">
      <c r="A148" s="393"/>
      <c r="B148" s="393"/>
      <c r="C148" s="393"/>
      <c r="D148" s="393"/>
      <c r="E148" s="393"/>
      <c r="F148" s="393"/>
      <c r="G148" s="393"/>
      <c r="H148" s="393"/>
      <c r="I148" s="393"/>
      <c r="J148" s="393"/>
      <c r="K148" s="393"/>
      <c r="L148" s="393"/>
      <c r="M148" s="393"/>
      <c r="N148" s="393"/>
      <c r="O148" s="393"/>
      <c r="P148" s="393"/>
      <c r="Q148" s="393"/>
      <c r="R148" s="393"/>
      <c r="S148" s="393"/>
      <c r="T148" s="393"/>
      <c r="U148" s="393"/>
      <c r="V148" s="393"/>
      <c r="W148" s="393"/>
      <c r="X148" s="393"/>
      <c r="Y148" s="393"/>
      <c r="Z148" s="393"/>
    </row>
    <row r="149" ht="12.75" customHeight="1">
      <c r="A149" s="393"/>
      <c r="B149" s="393"/>
      <c r="C149" s="393"/>
      <c r="D149" s="393"/>
      <c r="E149" s="393"/>
      <c r="F149" s="393"/>
      <c r="G149" s="393"/>
      <c r="H149" s="393"/>
      <c r="I149" s="393"/>
      <c r="J149" s="393"/>
      <c r="K149" s="393"/>
      <c r="L149" s="393"/>
      <c r="M149" s="393"/>
      <c r="N149" s="393"/>
      <c r="O149" s="393"/>
      <c r="P149" s="393"/>
      <c r="Q149" s="393"/>
      <c r="R149" s="393"/>
      <c r="S149" s="393"/>
      <c r="T149" s="393"/>
      <c r="U149" s="393"/>
      <c r="V149" s="393"/>
      <c r="W149" s="393"/>
      <c r="X149" s="393"/>
      <c r="Y149" s="393"/>
      <c r="Z149" s="393"/>
    </row>
    <row r="150" ht="12.75" customHeight="1">
      <c r="A150" s="393"/>
      <c r="B150" s="393"/>
      <c r="C150" s="393"/>
      <c r="D150" s="393"/>
      <c r="E150" s="393"/>
      <c r="F150" s="393"/>
      <c r="G150" s="393"/>
      <c r="H150" s="393"/>
      <c r="I150" s="393"/>
      <c r="J150" s="393"/>
      <c r="K150" s="393"/>
      <c r="L150" s="393"/>
      <c r="M150" s="393"/>
      <c r="N150" s="393"/>
      <c r="O150" s="393"/>
      <c r="P150" s="393"/>
      <c r="Q150" s="393"/>
      <c r="R150" s="393"/>
      <c r="S150" s="393"/>
      <c r="T150" s="393"/>
      <c r="U150" s="393"/>
      <c r="V150" s="393"/>
      <c r="W150" s="393"/>
      <c r="X150" s="393"/>
      <c r="Y150" s="393"/>
      <c r="Z150" s="393"/>
    </row>
    <row r="151" ht="12.75" customHeight="1">
      <c r="A151" s="393"/>
      <c r="B151" s="393"/>
      <c r="C151" s="393"/>
      <c r="D151" s="393"/>
      <c r="E151" s="393"/>
      <c r="F151" s="393"/>
      <c r="G151" s="393"/>
      <c r="H151" s="393"/>
      <c r="I151" s="393"/>
      <c r="J151" s="393"/>
      <c r="K151" s="393"/>
      <c r="L151" s="393"/>
      <c r="M151" s="393"/>
      <c r="N151" s="393"/>
      <c r="O151" s="393"/>
      <c r="P151" s="393"/>
      <c r="Q151" s="393"/>
      <c r="R151" s="393"/>
      <c r="S151" s="393"/>
      <c r="T151" s="393"/>
      <c r="U151" s="393"/>
      <c r="V151" s="393"/>
      <c r="W151" s="393"/>
      <c r="X151" s="393"/>
      <c r="Y151" s="393"/>
      <c r="Z151" s="393"/>
    </row>
    <row r="152" ht="12.75" customHeight="1">
      <c r="A152" s="393"/>
      <c r="B152" s="393"/>
      <c r="C152" s="393"/>
      <c r="D152" s="393"/>
      <c r="E152" s="393"/>
      <c r="F152" s="393"/>
      <c r="G152" s="393"/>
      <c r="H152" s="393"/>
      <c r="I152" s="393"/>
      <c r="J152" s="393"/>
      <c r="K152" s="393"/>
      <c r="L152" s="393"/>
      <c r="M152" s="393"/>
      <c r="N152" s="393"/>
      <c r="O152" s="393"/>
      <c r="P152" s="393"/>
      <c r="Q152" s="393"/>
      <c r="R152" s="393"/>
      <c r="S152" s="393"/>
      <c r="T152" s="393"/>
      <c r="U152" s="393"/>
      <c r="V152" s="393"/>
      <c r="W152" s="393"/>
      <c r="X152" s="393"/>
      <c r="Y152" s="393"/>
      <c r="Z152" s="393"/>
    </row>
    <row r="153" ht="12.75" customHeight="1">
      <c r="A153" s="393"/>
      <c r="B153" s="393"/>
      <c r="C153" s="393"/>
      <c r="D153" s="393"/>
      <c r="E153" s="393"/>
      <c r="F153" s="393"/>
      <c r="G153" s="393"/>
      <c r="H153" s="393"/>
      <c r="I153" s="393"/>
      <c r="J153" s="393"/>
      <c r="K153" s="393"/>
      <c r="L153" s="393"/>
      <c r="M153" s="393"/>
      <c r="N153" s="393"/>
      <c r="O153" s="393"/>
      <c r="P153" s="393"/>
      <c r="Q153" s="393"/>
      <c r="R153" s="393"/>
      <c r="S153" s="393"/>
      <c r="T153" s="393"/>
      <c r="U153" s="393"/>
      <c r="V153" s="393"/>
      <c r="W153" s="393"/>
      <c r="X153" s="393"/>
      <c r="Y153" s="393"/>
      <c r="Z153" s="393"/>
    </row>
    <row r="154" ht="12.75" customHeight="1">
      <c r="A154" s="393"/>
      <c r="B154" s="393"/>
      <c r="C154" s="393"/>
      <c r="D154" s="393"/>
      <c r="E154" s="393"/>
      <c r="F154" s="393"/>
      <c r="G154" s="393"/>
      <c r="H154" s="393"/>
      <c r="I154" s="393"/>
      <c r="J154" s="393"/>
      <c r="K154" s="393"/>
      <c r="L154" s="393"/>
      <c r="M154" s="393"/>
      <c r="N154" s="393"/>
      <c r="O154" s="393"/>
      <c r="P154" s="393"/>
      <c r="Q154" s="393"/>
      <c r="R154" s="393"/>
      <c r="S154" s="393"/>
      <c r="T154" s="393"/>
      <c r="U154" s="393"/>
      <c r="V154" s="393"/>
      <c r="W154" s="393"/>
      <c r="X154" s="393"/>
      <c r="Y154" s="393"/>
      <c r="Z154" s="393"/>
    </row>
    <row r="155" ht="12.75" customHeight="1">
      <c r="A155" s="393"/>
      <c r="B155" s="393"/>
      <c r="C155" s="393"/>
      <c r="D155" s="393"/>
      <c r="E155" s="393"/>
      <c r="F155" s="393"/>
      <c r="G155" s="393"/>
      <c r="H155" s="393"/>
      <c r="I155" s="393"/>
      <c r="J155" s="393"/>
      <c r="K155" s="393"/>
      <c r="L155" s="393"/>
      <c r="M155" s="393"/>
      <c r="N155" s="393"/>
      <c r="O155" s="393"/>
      <c r="P155" s="393"/>
      <c r="Q155" s="393"/>
      <c r="R155" s="393"/>
      <c r="S155" s="393"/>
      <c r="T155" s="393"/>
      <c r="U155" s="393"/>
      <c r="V155" s="393"/>
      <c r="W155" s="393"/>
      <c r="X155" s="393"/>
      <c r="Y155" s="393"/>
      <c r="Z155" s="393"/>
    </row>
    <row r="156" ht="12.75" customHeight="1">
      <c r="A156" s="393"/>
      <c r="B156" s="393"/>
      <c r="C156" s="393"/>
      <c r="D156" s="393"/>
      <c r="E156" s="393"/>
      <c r="F156" s="393"/>
      <c r="G156" s="393"/>
      <c r="H156" s="393"/>
      <c r="I156" s="393"/>
      <c r="J156" s="393"/>
      <c r="K156" s="393"/>
      <c r="L156" s="393"/>
      <c r="M156" s="393"/>
      <c r="N156" s="393"/>
      <c r="O156" s="393"/>
      <c r="P156" s="393"/>
      <c r="Q156" s="393"/>
      <c r="R156" s="393"/>
      <c r="S156" s="393"/>
      <c r="T156" s="393"/>
      <c r="U156" s="393"/>
      <c r="V156" s="393"/>
      <c r="W156" s="393"/>
      <c r="X156" s="393"/>
      <c r="Y156" s="393"/>
      <c r="Z156" s="393"/>
    </row>
    <row r="157" ht="12.75" customHeight="1">
      <c r="A157" s="393"/>
      <c r="B157" s="393"/>
      <c r="C157" s="393"/>
      <c r="D157" s="393"/>
      <c r="E157" s="393"/>
      <c r="F157" s="393"/>
      <c r="G157" s="393"/>
      <c r="H157" s="393"/>
      <c r="I157" s="393"/>
      <c r="J157" s="393"/>
      <c r="K157" s="393"/>
      <c r="L157" s="393"/>
      <c r="M157" s="393"/>
      <c r="N157" s="393"/>
      <c r="O157" s="393"/>
      <c r="P157" s="393"/>
      <c r="Q157" s="393"/>
      <c r="R157" s="393"/>
      <c r="S157" s="393"/>
      <c r="T157" s="393"/>
      <c r="U157" s="393"/>
      <c r="V157" s="393"/>
      <c r="W157" s="393"/>
      <c r="X157" s="393"/>
      <c r="Y157" s="393"/>
      <c r="Z157" s="393"/>
    </row>
    <row r="158" ht="12.75" customHeight="1">
      <c r="A158" s="393"/>
      <c r="B158" s="393"/>
      <c r="C158" s="393"/>
      <c r="D158" s="393"/>
      <c r="E158" s="393"/>
      <c r="F158" s="393"/>
      <c r="G158" s="393"/>
      <c r="H158" s="393"/>
      <c r="I158" s="393"/>
      <c r="J158" s="393"/>
      <c r="K158" s="393"/>
      <c r="L158" s="393"/>
      <c r="M158" s="393"/>
      <c r="N158" s="393"/>
      <c r="O158" s="393"/>
      <c r="P158" s="393"/>
      <c r="Q158" s="393"/>
      <c r="R158" s="393"/>
      <c r="S158" s="393"/>
      <c r="T158" s="393"/>
      <c r="U158" s="393"/>
      <c r="V158" s="393"/>
      <c r="W158" s="393"/>
      <c r="X158" s="393"/>
      <c r="Y158" s="393"/>
      <c r="Z158" s="393"/>
    </row>
    <row r="159" ht="12.75" customHeight="1">
      <c r="A159" s="393"/>
      <c r="B159" s="393"/>
      <c r="C159" s="393"/>
      <c r="D159" s="393"/>
      <c r="E159" s="393"/>
      <c r="F159" s="393"/>
      <c r="G159" s="393"/>
      <c r="H159" s="393"/>
      <c r="I159" s="393"/>
      <c r="J159" s="393"/>
      <c r="K159" s="393"/>
      <c r="L159" s="393"/>
      <c r="M159" s="393"/>
      <c r="N159" s="393"/>
      <c r="O159" s="393"/>
      <c r="P159" s="393"/>
      <c r="Q159" s="393"/>
      <c r="R159" s="393"/>
      <c r="S159" s="393"/>
      <c r="T159" s="393"/>
      <c r="U159" s="393"/>
      <c r="V159" s="393"/>
      <c r="W159" s="393"/>
      <c r="X159" s="393"/>
      <c r="Y159" s="393"/>
      <c r="Z159" s="393"/>
    </row>
    <row r="160" ht="12.75" customHeight="1">
      <c r="A160" s="393"/>
      <c r="B160" s="393"/>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row>
    <row r="161" ht="12.75" customHeight="1">
      <c r="A161" s="393"/>
      <c r="B161" s="393"/>
      <c r="C161" s="393"/>
      <c r="D161" s="393"/>
      <c r="E161" s="393"/>
      <c r="F161" s="393"/>
      <c r="G161" s="393"/>
      <c r="H161" s="393"/>
      <c r="I161" s="393"/>
      <c r="J161" s="393"/>
      <c r="K161" s="393"/>
      <c r="L161" s="393"/>
      <c r="M161" s="393"/>
      <c r="N161" s="393"/>
      <c r="O161" s="393"/>
      <c r="P161" s="393"/>
      <c r="Q161" s="393"/>
      <c r="R161" s="393"/>
      <c r="S161" s="393"/>
      <c r="T161" s="393"/>
      <c r="U161" s="393"/>
      <c r="V161" s="393"/>
      <c r="W161" s="393"/>
      <c r="X161" s="393"/>
      <c r="Y161" s="393"/>
      <c r="Z161" s="393"/>
    </row>
    <row r="162" ht="12.75" customHeight="1">
      <c r="A162" s="393"/>
      <c r="B162" s="393"/>
      <c r="C162" s="393"/>
      <c r="D162" s="393"/>
      <c r="E162" s="393"/>
      <c r="F162" s="393"/>
      <c r="G162" s="393"/>
      <c r="H162" s="393"/>
      <c r="I162" s="393"/>
      <c r="J162" s="393"/>
      <c r="K162" s="393"/>
      <c r="L162" s="393"/>
      <c r="M162" s="393"/>
      <c r="N162" s="393"/>
      <c r="O162" s="393"/>
      <c r="P162" s="393"/>
      <c r="Q162" s="393"/>
      <c r="R162" s="393"/>
      <c r="S162" s="393"/>
      <c r="T162" s="393"/>
      <c r="U162" s="393"/>
      <c r="V162" s="393"/>
      <c r="W162" s="393"/>
      <c r="X162" s="393"/>
      <c r="Y162" s="393"/>
      <c r="Z162" s="393"/>
    </row>
    <row r="163" ht="12.75" customHeight="1">
      <c r="A163" s="393"/>
      <c r="B163" s="393"/>
      <c r="C163" s="393"/>
      <c r="D163" s="393"/>
      <c r="E163" s="393"/>
      <c r="F163" s="393"/>
      <c r="G163" s="393"/>
      <c r="H163" s="393"/>
      <c r="I163" s="393"/>
      <c r="J163" s="393"/>
      <c r="K163" s="393"/>
      <c r="L163" s="393"/>
      <c r="M163" s="393"/>
      <c r="N163" s="393"/>
      <c r="O163" s="393"/>
      <c r="P163" s="393"/>
      <c r="Q163" s="393"/>
      <c r="R163" s="393"/>
      <c r="S163" s="393"/>
      <c r="T163" s="393"/>
      <c r="U163" s="393"/>
      <c r="V163" s="393"/>
      <c r="W163" s="393"/>
      <c r="X163" s="393"/>
      <c r="Y163" s="393"/>
      <c r="Z163" s="393"/>
    </row>
    <row r="164" ht="12.75" customHeight="1">
      <c r="A164" s="393"/>
      <c r="B164" s="393"/>
      <c r="C164" s="393"/>
      <c r="D164" s="393"/>
      <c r="E164" s="393"/>
      <c r="F164" s="393"/>
      <c r="G164" s="393"/>
      <c r="H164" s="393"/>
      <c r="I164" s="393"/>
      <c r="J164" s="393"/>
      <c r="K164" s="393"/>
      <c r="L164" s="393"/>
      <c r="M164" s="393"/>
      <c r="N164" s="393"/>
      <c r="O164" s="393"/>
      <c r="P164" s="393"/>
      <c r="Q164" s="393"/>
      <c r="R164" s="393"/>
      <c r="S164" s="393"/>
      <c r="T164" s="393"/>
      <c r="U164" s="393"/>
      <c r="V164" s="393"/>
      <c r="W164" s="393"/>
      <c r="X164" s="393"/>
      <c r="Y164" s="393"/>
      <c r="Z164" s="393"/>
    </row>
    <row r="165" ht="12.75" customHeight="1">
      <c r="A165" s="393"/>
      <c r="B165" s="393"/>
      <c r="C165" s="393"/>
      <c r="D165" s="393"/>
      <c r="E165" s="393"/>
      <c r="F165" s="393"/>
      <c r="G165" s="393"/>
      <c r="H165" s="393"/>
      <c r="I165" s="393"/>
      <c r="J165" s="393"/>
      <c r="K165" s="393"/>
      <c r="L165" s="393"/>
      <c r="M165" s="393"/>
      <c r="N165" s="393"/>
      <c r="O165" s="393"/>
      <c r="P165" s="393"/>
      <c r="Q165" s="393"/>
      <c r="R165" s="393"/>
      <c r="S165" s="393"/>
      <c r="T165" s="393"/>
      <c r="U165" s="393"/>
      <c r="V165" s="393"/>
      <c r="W165" s="393"/>
      <c r="X165" s="393"/>
      <c r="Y165" s="393"/>
      <c r="Z165" s="393"/>
    </row>
    <row r="166" ht="12.75" customHeight="1">
      <c r="A166" s="393"/>
      <c r="B166" s="393"/>
      <c r="C166" s="393"/>
      <c r="D166" s="393"/>
      <c r="E166" s="393"/>
      <c r="F166" s="393"/>
      <c r="G166" s="393"/>
      <c r="H166" s="393"/>
      <c r="I166" s="393"/>
      <c r="J166" s="393"/>
      <c r="K166" s="393"/>
      <c r="L166" s="393"/>
      <c r="M166" s="393"/>
      <c r="N166" s="393"/>
      <c r="O166" s="393"/>
      <c r="P166" s="393"/>
      <c r="Q166" s="393"/>
      <c r="R166" s="393"/>
      <c r="S166" s="393"/>
      <c r="T166" s="393"/>
      <c r="U166" s="393"/>
      <c r="V166" s="393"/>
      <c r="W166" s="393"/>
      <c r="X166" s="393"/>
      <c r="Y166" s="393"/>
      <c r="Z166" s="393"/>
    </row>
    <row r="167" ht="12.75" customHeight="1">
      <c r="A167" s="393"/>
      <c r="B167" s="393"/>
      <c r="C167" s="393"/>
      <c r="D167" s="393"/>
      <c r="E167" s="393"/>
      <c r="F167" s="393"/>
      <c r="G167" s="393"/>
      <c r="H167" s="393"/>
      <c r="I167" s="393"/>
      <c r="J167" s="393"/>
      <c r="K167" s="393"/>
      <c r="L167" s="393"/>
      <c r="M167" s="393"/>
      <c r="N167" s="393"/>
      <c r="O167" s="393"/>
      <c r="P167" s="393"/>
      <c r="Q167" s="393"/>
      <c r="R167" s="393"/>
      <c r="S167" s="393"/>
      <c r="T167" s="393"/>
      <c r="U167" s="393"/>
      <c r="V167" s="393"/>
      <c r="W167" s="393"/>
      <c r="X167" s="393"/>
      <c r="Y167" s="393"/>
      <c r="Z167" s="393"/>
    </row>
    <row r="168" ht="12.75" customHeight="1">
      <c r="A168" s="393"/>
      <c r="B168" s="393"/>
      <c r="C168" s="393"/>
      <c r="D168" s="393"/>
      <c r="E168" s="393"/>
      <c r="F168" s="393"/>
      <c r="G168" s="393"/>
      <c r="H168" s="393"/>
      <c r="I168" s="393"/>
      <c r="J168" s="393"/>
      <c r="K168" s="393"/>
      <c r="L168" s="393"/>
      <c r="M168" s="393"/>
      <c r="N168" s="393"/>
      <c r="O168" s="393"/>
      <c r="P168" s="393"/>
      <c r="Q168" s="393"/>
      <c r="R168" s="393"/>
      <c r="S168" s="393"/>
      <c r="T168" s="393"/>
      <c r="U168" s="393"/>
      <c r="V168" s="393"/>
      <c r="W168" s="393"/>
      <c r="X168" s="393"/>
      <c r="Y168" s="393"/>
      <c r="Z168" s="393"/>
    </row>
    <row r="169" ht="12.75" customHeight="1">
      <c r="A169" s="393"/>
      <c r="B169" s="393"/>
      <c r="C169" s="393"/>
      <c r="D169" s="393"/>
      <c r="E169" s="393"/>
      <c r="F169" s="393"/>
      <c r="G169" s="393"/>
      <c r="H169" s="393"/>
      <c r="I169" s="393"/>
      <c r="J169" s="393"/>
      <c r="K169" s="393"/>
      <c r="L169" s="393"/>
      <c r="M169" s="393"/>
      <c r="N169" s="393"/>
      <c r="O169" s="393"/>
      <c r="P169" s="393"/>
      <c r="Q169" s="393"/>
      <c r="R169" s="393"/>
      <c r="S169" s="393"/>
      <c r="T169" s="393"/>
      <c r="U169" s="393"/>
      <c r="V169" s="393"/>
      <c r="W169" s="393"/>
      <c r="X169" s="393"/>
      <c r="Y169" s="393"/>
      <c r="Z169" s="393"/>
    </row>
    <row r="170" ht="12.75" customHeight="1">
      <c r="A170" s="393"/>
      <c r="B170" s="393"/>
      <c r="C170" s="393"/>
      <c r="D170" s="393"/>
      <c r="E170" s="393"/>
      <c r="F170" s="393"/>
      <c r="G170" s="393"/>
      <c r="H170" s="393"/>
      <c r="I170" s="393"/>
      <c r="J170" s="393"/>
      <c r="K170" s="393"/>
      <c r="L170" s="393"/>
      <c r="M170" s="393"/>
      <c r="N170" s="393"/>
      <c r="O170" s="393"/>
      <c r="P170" s="393"/>
      <c r="Q170" s="393"/>
      <c r="R170" s="393"/>
      <c r="S170" s="393"/>
      <c r="T170" s="393"/>
      <c r="U170" s="393"/>
      <c r="V170" s="393"/>
      <c r="W170" s="393"/>
      <c r="X170" s="393"/>
      <c r="Y170" s="393"/>
      <c r="Z170" s="393"/>
    </row>
    <row r="171" ht="12.75" customHeight="1">
      <c r="A171" s="393"/>
      <c r="B171" s="393"/>
      <c r="C171" s="393"/>
      <c r="D171" s="393"/>
      <c r="E171" s="393"/>
      <c r="F171" s="393"/>
      <c r="G171" s="393"/>
      <c r="H171" s="393"/>
      <c r="I171" s="393"/>
      <c r="J171" s="393"/>
      <c r="K171" s="393"/>
      <c r="L171" s="393"/>
      <c r="M171" s="393"/>
      <c r="N171" s="393"/>
      <c r="O171" s="393"/>
      <c r="P171" s="393"/>
      <c r="Q171" s="393"/>
      <c r="R171" s="393"/>
      <c r="S171" s="393"/>
      <c r="T171" s="393"/>
      <c r="U171" s="393"/>
      <c r="V171" s="393"/>
      <c r="W171" s="393"/>
      <c r="X171" s="393"/>
      <c r="Y171" s="393"/>
      <c r="Z171" s="393"/>
    </row>
    <row r="172" ht="12.75" customHeight="1">
      <c r="A172" s="393"/>
      <c r="B172" s="393"/>
      <c r="C172" s="393"/>
      <c r="D172" s="393"/>
      <c r="E172" s="393"/>
      <c r="F172" s="393"/>
      <c r="G172" s="393"/>
      <c r="H172" s="393"/>
      <c r="I172" s="393"/>
      <c r="J172" s="393"/>
      <c r="K172" s="393"/>
      <c r="L172" s="393"/>
      <c r="M172" s="393"/>
      <c r="N172" s="393"/>
      <c r="O172" s="393"/>
      <c r="P172" s="393"/>
      <c r="Q172" s="393"/>
      <c r="R172" s="393"/>
      <c r="S172" s="393"/>
      <c r="T172" s="393"/>
      <c r="U172" s="393"/>
      <c r="V172" s="393"/>
      <c r="W172" s="393"/>
      <c r="X172" s="393"/>
      <c r="Y172" s="393"/>
      <c r="Z172" s="393"/>
    </row>
    <row r="173" ht="12.75" customHeight="1">
      <c r="A173" s="393"/>
      <c r="B173" s="393"/>
      <c r="C173" s="393"/>
      <c r="D173" s="393"/>
      <c r="E173" s="393"/>
      <c r="F173" s="393"/>
      <c r="G173" s="393"/>
      <c r="H173" s="393"/>
      <c r="I173" s="393"/>
      <c r="J173" s="393"/>
      <c r="K173" s="393"/>
      <c r="L173" s="393"/>
      <c r="M173" s="393"/>
      <c r="N173" s="393"/>
      <c r="O173" s="393"/>
      <c r="P173" s="393"/>
      <c r="Q173" s="393"/>
      <c r="R173" s="393"/>
      <c r="S173" s="393"/>
      <c r="T173" s="393"/>
      <c r="U173" s="393"/>
      <c r="V173" s="393"/>
      <c r="W173" s="393"/>
      <c r="X173" s="393"/>
      <c r="Y173" s="393"/>
      <c r="Z173" s="393"/>
    </row>
    <row r="174" ht="12.75" customHeight="1">
      <c r="A174" s="393"/>
      <c r="B174" s="393"/>
      <c r="C174" s="393"/>
      <c r="D174" s="393"/>
      <c r="E174" s="393"/>
      <c r="F174" s="393"/>
      <c r="G174" s="393"/>
      <c r="H174" s="393"/>
      <c r="I174" s="393"/>
      <c r="J174" s="393"/>
      <c r="K174" s="393"/>
      <c r="L174" s="393"/>
      <c r="M174" s="393"/>
      <c r="N174" s="393"/>
      <c r="O174" s="393"/>
      <c r="P174" s="393"/>
      <c r="Q174" s="393"/>
      <c r="R174" s="393"/>
      <c r="S174" s="393"/>
      <c r="T174" s="393"/>
      <c r="U174" s="393"/>
      <c r="V174" s="393"/>
      <c r="W174" s="393"/>
      <c r="X174" s="393"/>
      <c r="Y174" s="393"/>
      <c r="Z174" s="393"/>
    </row>
    <row r="175" ht="12.75" customHeight="1">
      <c r="A175" s="393"/>
      <c r="B175" s="393"/>
      <c r="C175" s="393"/>
      <c r="D175" s="393"/>
      <c r="E175" s="393"/>
      <c r="F175" s="393"/>
      <c r="G175" s="393"/>
      <c r="H175" s="393"/>
      <c r="I175" s="393"/>
      <c r="J175" s="393"/>
      <c r="K175" s="393"/>
      <c r="L175" s="393"/>
      <c r="M175" s="393"/>
      <c r="N175" s="393"/>
      <c r="O175" s="393"/>
      <c r="P175" s="393"/>
      <c r="Q175" s="393"/>
      <c r="R175" s="393"/>
      <c r="S175" s="393"/>
      <c r="T175" s="393"/>
      <c r="U175" s="393"/>
      <c r="V175" s="393"/>
      <c r="W175" s="393"/>
      <c r="X175" s="393"/>
      <c r="Y175" s="393"/>
      <c r="Z175" s="393"/>
    </row>
    <row r="176" ht="12.75" customHeight="1">
      <c r="A176" s="393"/>
      <c r="B176" s="393"/>
      <c r="C176" s="393"/>
      <c r="D176" s="393"/>
      <c r="E176" s="393"/>
      <c r="F176" s="393"/>
      <c r="G176" s="393"/>
      <c r="H176" s="393"/>
      <c r="I176" s="393"/>
      <c r="J176" s="393"/>
      <c r="K176" s="393"/>
      <c r="L176" s="393"/>
      <c r="M176" s="393"/>
      <c r="N176" s="393"/>
      <c r="O176" s="393"/>
      <c r="P176" s="393"/>
      <c r="Q176" s="393"/>
      <c r="R176" s="393"/>
      <c r="S176" s="393"/>
      <c r="T176" s="393"/>
      <c r="U176" s="393"/>
      <c r="V176" s="393"/>
      <c r="W176" s="393"/>
      <c r="X176" s="393"/>
      <c r="Y176" s="393"/>
      <c r="Z176" s="393"/>
    </row>
    <row r="177" ht="12.75" customHeight="1">
      <c r="A177" s="393"/>
      <c r="B177" s="393"/>
      <c r="C177" s="393"/>
      <c r="D177" s="393"/>
      <c r="E177" s="393"/>
      <c r="F177" s="393"/>
      <c r="G177" s="393"/>
      <c r="H177" s="393"/>
      <c r="I177" s="393"/>
      <c r="J177" s="393"/>
      <c r="K177" s="393"/>
      <c r="L177" s="393"/>
      <c r="M177" s="393"/>
      <c r="N177" s="393"/>
      <c r="O177" s="393"/>
      <c r="P177" s="393"/>
      <c r="Q177" s="393"/>
      <c r="R177" s="393"/>
      <c r="S177" s="393"/>
      <c r="T177" s="393"/>
      <c r="U177" s="393"/>
      <c r="V177" s="393"/>
      <c r="W177" s="393"/>
      <c r="X177" s="393"/>
      <c r="Y177" s="393"/>
      <c r="Z177" s="393"/>
    </row>
    <row r="178" ht="12.75" customHeight="1">
      <c r="A178" s="393"/>
      <c r="B178" s="393"/>
      <c r="C178" s="393"/>
      <c r="D178" s="393"/>
      <c r="E178" s="393"/>
      <c r="F178" s="393"/>
      <c r="G178" s="393"/>
      <c r="H178" s="393"/>
      <c r="I178" s="393"/>
      <c r="J178" s="393"/>
      <c r="K178" s="393"/>
      <c r="L178" s="393"/>
      <c r="M178" s="393"/>
      <c r="N178" s="393"/>
      <c r="O178" s="393"/>
      <c r="P178" s="393"/>
      <c r="Q178" s="393"/>
      <c r="R178" s="393"/>
      <c r="S178" s="393"/>
      <c r="T178" s="393"/>
      <c r="U178" s="393"/>
      <c r="V178" s="393"/>
      <c r="W178" s="393"/>
      <c r="X178" s="393"/>
      <c r="Y178" s="393"/>
      <c r="Z178" s="393"/>
    </row>
    <row r="179" ht="12.75" customHeight="1">
      <c r="A179" s="393"/>
      <c r="B179" s="393"/>
      <c r="C179" s="393"/>
      <c r="D179" s="393"/>
      <c r="E179" s="393"/>
      <c r="F179" s="393"/>
      <c r="G179" s="393"/>
      <c r="H179" s="393"/>
      <c r="I179" s="393"/>
      <c r="J179" s="393"/>
      <c r="K179" s="393"/>
      <c r="L179" s="393"/>
      <c r="M179" s="393"/>
      <c r="N179" s="393"/>
      <c r="O179" s="393"/>
      <c r="P179" s="393"/>
      <c r="Q179" s="393"/>
      <c r="R179" s="393"/>
      <c r="S179" s="393"/>
      <c r="T179" s="393"/>
      <c r="U179" s="393"/>
      <c r="V179" s="393"/>
      <c r="W179" s="393"/>
      <c r="X179" s="393"/>
      <c r="Y179" s="393"/>
      <c r="Z179" s="393"/>
    </row>
    <row r="180" ht="12.75" customHeight="1">
      <c r="A180" s="393"/>
      <c r="B180" s="393"/>
      <c r="C180" s="393"/>
      <c r="D180" s="393"/>
      <c r="E180" s="393"/>
      <c r="F180" s="393"/>
      <c r="G180" s="393"/>
      <c r="H180" s="393"/>
      <c r="I180" s="393"/>
      <c r="J180" s="393"/>
      <c r="K180" s="393"/>
      <c r="L180" s="393"/>
      <c r="M180" s="393"/>
      <c r="N180" s="393"/>
      <c r="O180" s="393"/>
      <c r="P180" s="393"/>
      <c r="Q180" s="393"/>
      <c r="R180" s="393"/>
      <c r="S180" s="393"/>
      <c r="T180" s="393"/>
      <c r="U180" s="393"/>
      <c r="V180" s="393"/>
      <c r="W180" s="393"/>
      <c r="X180" s="393"/>
      <c r="Y180" s="393"/>
      <c r="Z180" s="393"/>
    </row>
    <row r="181" ht="12.75" customHeight="1">
      <c r="A181" s="393"/>
      <c r="B181" s="393"/>
      <c r="C181" s="393"/>
      <c r="D181" s="393"/>
      <c r="E181" s="393"/>
      <c r="F181" s="393"/>
      <c r="G181" s="393"/>
      <c r="H181" s="393"/>
      <c r="I181" s="393"/>
      <c r="J181" s="393"/>
      <c r="K181" s="393"/>
      <c r="L181" s="393"/>
      <c r="M181" s="393"/>
      <c r="N181" s="393"/>
      <c r="O181" s="393"/>
      <c r="P181" s="393"/>
      <c r="Q181" s="393"/>
      <c r="R181" s="393"/>
      <c r="S181" s="393"/>
      <c r="T181" s="393"/>
      <c r="U181" s="393"/>
      <c r="V181" s="393"/>
      <c r="W181" s="393"/>
      <c r="X181" s="393"/>
      <c r="Y181" s="393"/>
      <c r="Z181" s="393"/>
    </row>
    <row r="182" ht="12.75" customHeight="1">
      <c r="A182" s="393"/>
      <c r="B182" s="393"/>
      <c r="C182" s="393"/>
      <c r="D182" s="393"/>
      <c r="E182" s="393"/>
      <c r="F182" s="393"/>
      <c r="G182" s="393"/>
      <c r="H182" s="393"/>
      <c r="I182" s="393"/>
      <c r="J182" s="393"/>
      <c r="K182" s="393"/>
      <c r="L182" s="393"/>
      <c r="M182" s="393"/>
      <c r="N182" s="393"/>
      <c r="O182" s="393"/>
      <c r="P182" s="393"/>
      <c r="Q182" s="393"/>
      <c r="R182" s="393"/>
      <c r="S182" s="393"/>
      <c r="T182" s="393"/>
      <c r="U182" s="393"/>
      <c r="V182" s="393"/>
      <c r="W182" s="393"/>
      <c r="X182" s="393"/>
      <c r="Y182" s="393"/>
      <c r="Z182" s="393"/>
    </row>
    <row r="183" ht="12.75" customHeight="1">
      <c r="A183" s="393"/>
      <c r="B183" s="393"/>
      <c r="C183" s="393"/>
      <c r="D183" s="393"/>
      <c r="E183" s="393"/>
      <c r="F183" s="393"/>
      <c r="G183" s="393"/>
      <c r="H183" s="393"/>
      <c r="I183" s="393"/>
      <c r="J183" s="393"/>
      <c r="K183" s="393"/>
      <c r="L183" s="393"/>
      <c r="M183" s="393"/>
      <c r="N183" s="393"/>
      <c r="O183" s="393"/>
      <c r="P183" s="393"/>
      <c r="Q183" s="393"/>
      <c r="R183" s="393"/>
      <c r="S183" s="393"/>
      <c r="T183" s="393"/>
      <c r="U183" s="393"/>
      <c r="V183" s="393"/>
      <c r="W183" s="393"/>
      <c r="X183" s="393"/>
      <c r="Y183" s="393"/>
      <c r="Z183" s="393"/>
    </row>
    <row r="184" ht="12.75" customHeight="1">
      <c r="A184" s="393"/>
      <c r="B184" s="393"/>
      <c r="C184" s="393"/>
      <c r="D184" s="393"/>
      <c r="E184" s="393"/>
      <c r="F184" s="393"/>
      <c r="G184" s="393"/>
      <c r="H184" s="393"/>
      <c r="I184" s="393"/>
      <c r="J184" s="393"/>
      <c r="K184" s="393"/>
      <c r="L184" s="393"/>
      <c r="M184" s="393"/>
      <c r="N184" s="393"/>
      <c r="O184" s="393"/>
      <c r="P184" s="393"/>
      <c r="Q184" s="393"/>
      <c r="R184" s="393"/>
      <c r="S184" s="393"/>
      <c r="T184" s="393"/>
      <c r="U184" s="393"/>
      <c r="V184" s="393"/>
      <c r="W184" s="393"/>
      <c r="X184" s="393"/>
      <c r="Y184" s="393"/>
      <c r="Z184" s="393"/>
    </row>
    <row r="185" ht="12.75" customHeight="1">
      <c r="A185" s="393"/>
      <c r="B185" s="393"/>
      <c r="C185" s="393"/>
      <c r="D185" s="393"/>
      <c r="E185" s="393"/>
      <c r="F185" s="393"/>
      <c r="G185" s="393"/>
      <c r="H185" s="393"/>
      <c r="I185" s="393"/>
      <c r="J185" s="393"/>
      <c r="K185" s="393"/>
      <c r="L185" s="393"/>
      <c r="M185" s="393"/>
      <c r="N185" s="393"/>
      <c r="O185" s="393"/>
      <c r="P185" s="393"/>
      <c r="Q185" s="393"/>
      <c r="R185" s="393"/>
      <c r="S185" s="393"/>
      <c r="T185" s="393"/>
      <c r="U185" s="393"/>
      <c r="V185" s="393"/>
      <c r="W185" s="393"/>
      <c r="X185" s="393"/>
      <c r="Y185" s="393"/>
      <c r="Z185" s="393"/>
    </row>
    <row r="186" ht="12.75" customHeight="1">
      <c r="A186" s="393"/>
      <c r="B186" s="393"/>
      <c r="C186" s="393"/>
      <c r="D186" s="393"/>
      <c r="E186" s="393"/>
      <c r="F186" s="393"/>
      <c r="G186" s="393"/>
      <c r="H186" s="393"/>
      <c r="I186" s="393"/>
      <c r="J186" s="393"/>
      <c r="K186" s="393"/>
      <c r="L186" s="393"/>
      <c r="M186" s="393"/>
      <c r="N186" s="393"/>
      <c r="O186" s="393"/>
      <c r="P186" s="393"/>
      <c r="Q186" s="393"/>
      <c r="R186" s="393"/>
      <c r="S186" s="393"/>
      <c r="T186" s="393"/>
      <c r="U186" s="393"/>
      <c r="V186" s="393"/>
      <c r="W186" s="393"/>
      <c r="X186" s="393"/>
      <c r="Y186" s="393"/>
      <c r="Z186" s="393"/>
    </row>
    <row r="187" ht="12.75" customHeight="1">
      <c r="A187" s="393"/>
      <c r="B187" s="393"/>
      <c r="C187" s="393"/>
      <c r="D187" s="393"/>
      <c r="E187" s="393"/>
      <c r="F187" s="393"/>
      <c r="G187" s="393"/>
      <c r="H187" s="393"/>
      <c r="I187" s="393"/>
      <c r="J187" s="393"/>
      <c r="K187" s="393"/>
      <c r="L187" s="393"/>
      <c r="M187" s="393"/>
      <c r="N187" s="393"/>
      <c r="O187" s="393"/>
      <c r="P187" s="393"/>
      <c r="Q187" s="393"/>
      <c r="R187" s="393"/>
      <c r="S187" s="393"/>
      <c r="T187" s="393"/>
      <c r="U187" s="393"/>
      <c r="V187" s="393"/>
      <c r="W187" s="393"/>
      <c r="X187" s="393"/>
      <c r="Y187" s="393"/>
      <c r="Z187" s="393"/>
    </row>
    <row r="188" ht="12.75" customHeight="1">
      <c r="A188" s="393"/>
      <c r="B188" s="393"/>
      <c r="C188" s="393"/>
      <c r="D188" s="393"/>
      <c r="E188" s="393"/>
      <c r="F188" s="393"/>
      <c r="G188" s="393"/>
      <c r="H188" s="393"/>
      <c r="I188" s="393"/>
      <c r="J188" s="393"/>
      <c r="K188" s="393"/>
      <c r="L188" s="393"/>
      <c r="M188" s="393"/>
      <c r="N188" s="393"/>
      <c r="O188" s="393"/>
      <c r="P188" s="393"/>
      <c r="Q188" s="393"/>
      <c r="R188" s="393"/>
      <c r="S188" s="393"/>
      <c r="T188" s="393"/>
      <c r="U188" s="393"/>
      <c r="V188" s="393"/>
      <c r="W188" s="393"/>
      <c r="X188" s="393"/>
      <c r="Y188" s="393"/>
      <c r="Z188" s="393"/>
    </row>
    <row r="189" ht="12.75" customHeight="1">
      <c r="A189" s="393"/>
      <c r="B189" s="393"/>
      <c r="C189" s="393"/>
      <c r="D189" s="393"/>
      <c r="E189" s="393"/>
      <c r="F189" s="393"/>
      <c r="G189" s="393"/>
      <c r="H189" s="393"/>
      <c r="I189" s="393"/>
      <c r="J189" s="393"/>
      <c r="K189" s="393"/>
      <c r="L189" s="393"/>
      <c r="M189" s="393"/>
      <c r="N189" s="393"/>
      <c r="O189" s="393"/>
      <c r="P189" s="393"/>
      <c r="Q189" s="393"/>
      <c r="R189" s="393"/>
      <c r="S189" s="393"/>
      <c r="T189" s="393"/>
      <c r="U189" s="393"/>
      <c r="V189" s="393"/>
      <c r="W189" s="393"/>
      <c r="X189" s="393"/>
      <c r="Y189" s="393"/>
      <c r="Z189" s="393"/>
    </row>
    <row r="190" ht="12.75" customHeight="1">
      <c r="A190" s="393"/>
      <c r="B190" s="393"/>
      <c r="C190" s="393"/>
      <c r="D190" s="393"/>
      <c r="E190" s="393"/>
      <c r="F190" s="393"/>
      <c r="G190" s="393"/>
      <c r="H190" s="393"/>
      <c r="I190" s="393"/>
      <c r="J190" s="393"/>
      <c r="K190" s="393"/>
      <c r="L190" s="393"/>
      <c r="M190" s="393"/>
      <c r="N190" s="393"/>
      <c r="O190" s="393"/>
      <c r="P190" s="393"/>
      <c r="Q190" s="393"/>
      <c r="R190" s="393"/>
      <c r="S190" s="393"/>
      <c r="T190" s="393"/>
      <c r="U190" s="393"/>
      <c r="V190" s="393"/>
      <c r="W190" s="393"/>
      <c r="X190" s="393"/>
      <c r="Y190" s="393"/>
      <c r="Z190" s="393"/>
    </row>
    <row r="191" ht="12.75" customHeight="1">
      <c r="A191" s="393"/>
      <c r="B191" s="393"/>
      <c r="C191" s="393"/>
      <c r="D191" s="393"/>
      <c r="E191" s="393"/>
      <c r="F191" s="393"/>
      <c r="G191" s="393"/>
      <c r="H191" s="393"/>
      <c r="I191" s="393"/>
      <c r="J191" s="393"/>
      <c r="K191" s="393"/>
      <c r="L191" s="393"/>
      <c r="M191" s="393"/>
      <c r="N191" s="393"/>
      <c r="O191" s="393"/>
      <c r="P191" s="393"/>
      <c r="Q191" s="393"/>
      <c r="R191" s="393"/>
      <c r="S191" s="393"/>
      <c r="T191" s="393"/>
      <c r="U191" s="393"/>
      <c r="V191" s="393"/>
      <c r="W191" s="393"/>
      <c r="X191" s="393"/>
      <c r="Y191" s="393"/>
      <c r="Z191" s="393"/>
    </row>
    <row r="192" ht="12.75" customHeight="1">
      <c r="A192" s="393"/>
      <c r="B192" s="393"/>
      <c r="C192" s="393"/>
      <c r="D192" s="393"/>
      <c r="E192" s="393"/>
      <c r="F192" s="393"/>
      <c r="G192" s="393"/>
      <c r="H192" s="393"/>
      <c r="I192" s="393"/>
      <c r="J192" s="393"/>
      <c r="K192" s="393"/>
      <c r="L192" s="393"/>
      <c r="M192" s="393"/>
      <c r="N192" s="393"/>
      <c r="O192" s="393"/>
      <c r="P192" s="393"/>
      <c r="Q192" s="393"/>
      <c r="R192" s="393"/>
      <c r="S192" s="393"/>
      <c r="T192" s="393"/>
      <c r="U192" s="393"/>
      <c r="V192" s="393"/>
      <c r="W192" s="393"/>
      <c r="X192" s="393"/>
      <c r="Y192" s="393"/>
      <c r="Z192" s="393"/>
    </row>
    <row r="193" ht="12.75" customHeight="1">
      <c r="A193" s="393"/>
      <c r="B193" s="393"/>
      <c r="C193" s="393"/>
      <c r="D193" s="393"/>
      <c r="E193" s="393"/>
      <c r="F193" s="393"/>
      <c r="G193" s="393"/>
      <c r="H193" s="393"/>
      <c r="I193" s="393"/>
      <c r="J193" s="393"/>
      <c r="K193" s="393"/>
      <c r="L193" s="393"/>
      <c r="M193" s="393"/>
      <c r="N193" s="393"/>
      <c r="O193" s="393"/>
      <c r="P193" s="393"/>
      <c r="Q193" s="393"/>
      <c r="R193" s="393"/>
      <c r="S193" s="393"/>
      <c r="T193" s="393"/>
      <c r="U193" s="393"/>
      <c r="V193" s="393"/>
      <c r="W193" s="393"/>
      <c r="X193" s="393"/>
      <c r="Y193" s="393"/>
      <c r="Z193" s="393"/>
    </row>
    <row r="194" ht="12.75" customHeight="1">
      <c r="A194" s="393"/>
      <c r="B194" s="393"/>
      <c r="C194" s="393"/>
      <c r="D194" s="393"/>
      <c r="E194" s="393"/>
      <c r="F194" s="393"/>
      <c r="G194" s="393"/>
      <c r="H194" s="393"/>
      <c r="I194" s="393"/>
      <c r="J194" s="393"/>
      <c r="K194" s="393"/>
      <c r="L194" s="393"/>
      <c r="M194" s="393"/>
      <c r="N194" s="393"/>
      <c r="O194" s="393"/>
      <c r="P194" s="393"/>
      <c r="Q194" s="393"/>
      <c r="R194" s="393"/>
      <c r="S194" s="393"/>
      <c r="T194" s="393"/>
      <c r="U194" s="393"/>
      <c r="V194" s="393"/>
      <c r="W194" s="393"/>
      <c r="X194" s="393"/>
      <c r="Y194" s="393"/>
      <c r="Z194" s="393"/>
    </row>
    <row r="195" ht="12.75" customHeight="1">
      <c r="A195" s="393"/>
      <c r="B195" s="393"/>
      <c r="C195" s="393"/>
      <c r="D195" s="393"/>
      <c r="E195" s="393"/>
      <c r="F195" s="393"/>
      <c r="G195" s="393"/>
      <c r="H195" s="393"/>
      <c r="I195" s="393"/>
      <c r="J195" s="393"/>
      <c r="K195" s="393"/>
      <c r="L195" s="393"/>
      <c r="M195" s="393"/>
      <c r="N195" s="393"/>
      <c r="O195" s="393"/>
      <c r="P195" s="393"/>
      <c r="Q195" s="393"/>
      <c r="R195" s="393"/>
      <c r="S195" s="393"/>
      <c r="T195" s="393"/>
      <c r="U195" s="393"/>
      <c r="V195" s="393"/>
      <c r="W195" s="393"/>
      <c r="X195" s="393"/>
      <c r="Y195" s="393"/>
      <c r="Z195" s="393"/>
    </row>
    <row r="196" ht="12.75" customHeight="1">
      <c r="A196" s="393"/>
      <c r="B196" s="393"/>
      <c r="C196" s="393"/>
      <c r="D196" s="393"/>
      <c r="E196" s="393"/>
      <c r="F196" s="393"/>
      <c r="G196" s="393"/>
      <c r="H196" s="393"/>
      <c r="I196" s="393"/>
      <c r="J196" s="393"/>
      <c r="K196" s="393"/>
      <c r="L196" s="393"/>
      <c r="M196" s="393"/>
      <c r="N196" s="393"/>
      <c r="O196" s="393"/>
      <c r="P196" s="393"/>
      <c r="Q196" s="393"/>
      <c r="R196" s="393"/>
      <c r="S196" s="393"/>
      <c r="T196" s="393"/>
      <c r="U196" s="393"/>
      <c r="V196" s="393"/>
      <c r="W196" s="393"/>
      <c r="X196" s="393"/>
      <c r="Y196" s="393"/>
      <c r="Z196" s="393"/>
    </row>
    <row r="197" ht="12.75" customHeight="1">
      <c r="A197" s="393"/>
      <c r="B197" s="393"/>
      <c r="C197" s="393"/>
      <c r="D197" s="393"/>
      <c r="E197" s="393"/>
      <c r="F197" s="393"/>
      <c r="G197" s="393"/>
      <c r="H197" s="393"/>
      <c r="I197" s="393"/>
      <c r="J197" s="393"/>
      <c r="K197" s="393"/>
      <c r="L197" s="393"/>
      <c r="M197" s="393"/>
      <c r="N197" s="393"/>
      <c r="O197" s="393"/>
      <c r="P197" s="393"/>
      <c r="Q197" s="393"/>
      <c r="R197" s="393"/>
      <c r="S197" s="393"/>
      <c r="T197" s="393"/>
      <c r="U197" s="393"/>
      <c r="V197" s="393"/>
      <c r="W197" s="393"/>
      <c r="X197" s="393"/>
      <c r="Y197" s="393"/>
      <c r="Z197" s="393"/>
    </row>
    <row r="198" ht="12.75" customHeight="1">
      <c r="A198" s="393"/>
      <c r="B198" s="393"/>
      <c r="C198" s="393"/>
      <c r="D198" s="393"/>
      <c r="E198" s="393"/>
      <c r="F198" s="393"/>
      <c r="G198" s="393"/>
      <c r="H198" s="393"/>
      <c r="I198" s="393"/>
      <c r="J198" s="393"/>
      <c r="K198" s="393"/>
      <c r="L198" s="393"/>
      <c r="M198" s="393"/>
      <c r="N198" s="393"/>
      <c r="O198" s="393"/>
      <c r="P198" s="393"/>
      <c r="Q198" s="393"/>
      <c r="R198" s="393"/>
      <c r="S198" s="393"/>
      <c r="T198" s="393"/>
      <c r="U198" s="393"/>
      <c r="V198" s="393"/>
      <c r="W198" s="393"/>
      <c r="X198" s="393"/>
      <c r="Y198" s="393"/>
      <c r="Z198" s="393"/>
    </row>
    <row r="199" ht="12.75" customHeight="1">
      <c r="A199" s="393"/>
      <c r="B199" s="393"/>
      <c r="C199" s="393"/>
      <c r="D199" s="393"/>
      <c r="E199" s="393"/>
      <c r="F199" s="393"/>
      <c r="G199" s="393"/>
      <c r="H199" s="393"/>
      <c r="I199" s="393"/>
      <c r="J199" s="393"/>
      <c r="K199" s="393"/>
      <c r="L199" s="393"/>
      <c r="M199" s="393"/>
      <c r="N199" s="393"/>
      <c r="O199" s="393"/>
      <c r="P199" s="393"/>
      <c r="Q199" s="393"/>
      <c r="R199" s="393"/>
      <c r="S199" s="393"/>
      <c r="T199" s="393"/>
      <c r="U199" s="393"/>
      <c r="V199" s="393"/>
      <c r="W199" s="393"/>
      <c r="X199" s="393"/>
      <c r="Y199" s="393"/>
      <c r="Z199" s="393"/>
    </row>
    <row r="200" ht="12.75" customHeight="1">
      <c r="A200" s="393"/>
      <c r="B200" s="393"/>
      <c r="C200" s="393"/>
      <c r="D200" s="393"/>
      <c r="E200" s="393"/>
      <c r="F200" s="393"/>
      <c r="G200" s="393"/>
      <c r="H200" s="393"/>
      <c r="I200" s="393"/>
      <c r="J200" s="393"/>
      <c r="K200" s="393"/>
      <c r="L200" s="393"/>
      <c r="M200" s="393"/>
      <c r="N200" s="393"/>
      <c r="O200" s="393"/>
      <c r="P200" s="393"/>
      <c r="Q200" s="393"/>
      <c r="R200" s="393"/>
      <c r="S200" s="393"/>
      <c r="T200" s="393"/>
      <c r="U200" s="393"/>
      <c r="V200" s="393"/>
      <c r="W200" s="393"/>
      <c r="X200" s="393"/>
      <c r="Y200" s="393"/>
      <c r="Z200" s="393"/>
    </row>
    <row r="201" ht="12.75" customHeight="1">
      <c r="A201" s="393"/>
      <c r="B201" s="393"/>
      <c r="C201" s="393"/>
      <c r="D201" s="393"/>
      <c r="E201" s="393"/>
      <c r="F201" s="393"/>
      <c r="G201" s="393"/>
      <c r="H201" s="393"/>
      <c r="I201" s="393"/>
      <c r="J201" s="393"/>
      <c r="K201" s="393"/>
      <c r="L201" s="393"/>
      <c r="M201" s="393"/>
      <c r="N201" s="393"/>
      <c r="O201" s="393"/>
      <c r="P201" s="393"/>
      <c r="Q201" s="393"/>
      <c r="R201" s="393"/>
      <c r="S201" s="393"/>
      <c r="T201" s="393"/>
      <c r="U201" s="393"/>
      <c r="V201" s="393"/>
      <c r="W201" s="393"/>
      <c r="X201" s="393"/>
      <c r="Y201" s="393"/>
      <c r="Z201" s="393"/>
    </row>
    <row r="202" ht="12.75" customHeight="1">
      <c r="A202" s="393"/>
      <c r="B202" s="393"/>
      <c r="C202" s="393"/>
      <c r="D202" s="393"/>
      <c r="E202" s="393"/>
      <c r="F202" s="393"/>
      <c r="G202" s="393"/>
      <c r="H202" s="393"/>
      <c r="I202" s="393"/>
      <c r="J202" s="393"/>
      <c r="K202" s="393"/>
      <c r="L202" s="393"/>
      <c r="M202" s="393"/>
      <c r="N202" s="393"/>
      <c r="O202" s="393"/>
      <c r="P202" s="393"/>
      <c r="Q202" s="393"/>
      <c r="R202" s="393"/>
      <c r="S202" s="393"/>
      <c r="T202" s="393"/>
      <c r="U202" s="393"/>
      <c r="V202" s="393"/>
      <c r="W202" s="393"/>
      <c r="X202" s="393"/>
      <c r="Y202" s="393"/>
      <c r="Z202" s="393"/>
    </row>
    <row r="203" ht="12.75" customHeight="1">
      <c r="A203" s="393"/>
      <c r="B203" s="393"/>
      <c r="C203" s="393"/>
      <c r="D203" s="393"/>
      <c r="E203" s="393"/>
      <c r="F203" s="393"/>
      <c r="G203" s="393"/>
      <c r="H203" s="393"/>
      <c r="I203" s="393"/>
      <c r="J203" s="393"/>
      <c r="K203" s="393"/>
      <c r="L203" s="393"/>
      <c r="M203" s="393"/>
      <c r="N203" s="393"/>
      <c r="O203" s="393"/>
      <c r="P203" s="393"/>
      <c r="Q203" s="393"/>
      <c r="R203" s="393"/>
      <c r="S203" s="393"/>
      <c r="T203" s="393"/>
      <c r="U203" s="393"/>
      <c r="V203" s="393"/>
      <c r="W203" s="393"/>
      <c r="X203" s="393"/>
      <c r="Y203" s="393"/>
      <c r="Z203" s="393"/>
    </row>
    <row r="204" ht="12.75" customHeight="1">
      <c r="A204" s="393"/>
      <c r="B204" s="393"/>
      <c r="C204" s="393"/>
      <c r="D204" s="393"/>
      <c r="E204" s="393"/>
      <c r="F204" s="393"/>
      <c r="G204" s="393"/>
      <c r="H204" s="393"/>
      <c r="I204" s="393"/>
      <c r="J204" s="393"/>
      <c r="K204" s="393"/>
      <c r="L204" s="393"/>
      <c r="M204" s="393"/>
      <c r="N204" s="393"/>
      <c r="O204" s="393"/>
      <c r="P204" s="393"/>
      <c r="Q204" s="393"/>
      <c r="R204" s="393"/>
      <c r="S204" s="393"/>
      <c r="T204" s="393"/>
      <c r="U204" s="393"/>
      <c r="V204" s="393"/>
      <c r="W204" s="393"/>
      <c r="X204" s="393"/>
      <c r="Y204" s="393"/>
      <c r="Z204" s="393"/>
    </row>
    <row r="205" ht="12.75" customHeight="1">
      <c r="A205" s="393"/>
      <c r="B205" s="393"/>
      <c r="C205" s="393"/>
      <c r="D205" s="393"/>
      <c r="E205" s="393"/>
      <c r="F205" s="393"/>
      <c r="G205" s="393"/>
      <c r="H205" s="393"/>
      <c r="I205" s="393"/>
      <c r="J205" s="393"/>
      <c r="K205" s="393"/>
      <c r="L205" s="393"/>
      <c r="M205" s="393"/>
      <c r="N205" s="393"/>
      <c r="O205" s="393"/>
      <c r="P205" s="393"/>
      <c r="Q205" s="393"/>
      <c r="R205" s="393"/>
      <c r="S205" s="393"/>
      <c r="T205" s="393"/>
      <c r="U205" s="393"/>
      <c r="V205" s="393"/>
      <c r="W205" s="393"/>
      <c r="X205" s="393"/>
      <c r="Y205" s="393"/>
      <c r="Z205" s="393"/>
    </row>
    <row r="206" ht="12.75" customHeight="1">
      <c r="A206" s="393"/>
      <c r="B206" s="393"/>
      <c r="C206" s="393"/>
      <c r="D206" s="393"/>
      <c r="E206" s="393"/>
      <c r="F206" s="393"/>
      <c r="G206" s="393"/>
      <c r="H206" s="393"/>
      <c r="I206" s="393"/>
      <c r="J206" s="393"/>
      <c r="K206" s="393"/>
      <c r="L206" s="393"/>
      <c r="M206" s="393"/>
      <c r="N206" s="393"/>
      <c r="O206" s="393"/>
      <c r="P206" s="393"/>
      <c r="Q206" s="393"/>
      <c r="R206" s="393"/>
      <c r="S206" s="393"/>
      <c r="T206" s="393"/>
      <c r="U206" s="393"/>
      <c r="V206" s="393"/>
      <c r="W206" s="393"/>
      <c r="X206" s="393"/>
      <c r="Y206" s="393"/>
      <c r="Z206" s="393"/>
    </row>
    <row r="207" ht="12.75" customHeight="1">
      <c r="A207" s="393"/>
      <c r="B207" s="393"/>
      <c r="C207" s="393"/>
      <c r="D207" s="393"/>
      <c r="E207" s="393"/>
      <c r="F207" s="393"/>
      <c r="G207" s="393"/>
      <c r="H207" s="393"/>
      <c r="I207" s="393"/>
      <c r="J207" s="393"/>
      <c r="K207" s="393"/>
      <c r="L207" s="393"/>
      <c r="M207" s="393"/>
      <c r="N207" s="393"/>
      <c r="O207" s="393"/>
      <c r="P207" s="393"/>
      <c r="Q207" s="393"/>
      <c r="R207" s="393"/>
      <c r="S207" s="393"/>
      <c r="T207" s="393"/>
      <c r="U207" s="393"/>
      <c r="V207" s="393"/>
      <c r="W207" s="393"/>
      <c r="X207" s="393"/>
      <c r="Y207" s="393"/>
      <c r="Z207" s="393"/>
    </row>
    <row r="208" ht="12.75" customHeight="1">
      <c r="A208" s="393"/>
      <c r="B208" s="393"/>
      <c r="C208" s="393"/>
      <c r="D208" s="393"/>
      <c r="E208" s="393"/>
      <c r="F208" s="393"/>
      <c r="G208" s="393"/>
      <c r="H208" s="393"/>
      <c r="I208" s="393"/>
      <c r="J208" s="393"/>
      <c r="K208" s="393"/>
      <c r="L208" s="393"/>
      <c r="M208" s="393"/>
      <c r="N208" s="393"/>
      <c r="O208" s="393"/>
      <c r="P208" s="393"/>
      <c r="Q208" s="393"/>
      <c r="R208" s="393"/>
      <c r="S208" s="393"/>
      <c r="T208" s="393"/>
      <c r="U208" s="393"/>
      <c r="V208" s="393"/>
      <c r="W208" s="393"/>
      <c r="X208" s="393"/>
      <c r="Y208" s="393"/>
      <c r="Z208" s="393"/>
    </row>
    <row r="209" ht="12.75" customHeight="1">
      <c r="A209" s="393"/>
      <c r="B209" s="393"/>
      <c r="C209" s="393"/>
      <c r="D209" s="393"/>
      <c r="E209" s="393"/>
      <c r="F209" s="393"/>
      <c r="G209" s="393"/>
      <c r="H209" s="393"/>
      <c r="I209" s="393"/>
      <c r="J209" s="393"/>
      <c r="K209" s="393"/>
      <c r="L209" s="393"/>
      <c r="M209" s="393"/>
      <c r="N209" s="393"/>
      <c r="O209" s="393"/>
      <c r="P209" s="393"/>
      <c r="Q209" s="393"/>
      <c r="R209" s="393"/>
      <c r="S209" s="393"/>
      <c r="T209" s="393"/>
      <c r="U209" s="393"/>
      <c r="V209" s="393"/>
      <c r="W209" s="393"/>
      <c r="X209" s="393"/>
      <c r="Y209" s="393"/>
      <c r="Z209" s="393"/>
    </row>
    <row r="210" ht="12.75" customHeight="1">
      <c r="A210" s="393"/>
      <c r="B210" s="393"/>
      <c r="C210" s="393"/>
      <c r="D210" s="393"/>
      <c r="E210" s="393"/>
      <c r="F210" s="393"/>
      <c r="G210" s="393"/>
      <c r="H210" s="393"/>
      <c r="I210" s="393"/>
      <c r="J210" s="393"/>
      <c r="K210" s="393"/>
      <c r="L210" s="393"/>
      <c r="M210" s="393"/>
      <c r="N210" s="393"/>
      <c r="O210" s="393"/>
      <c r="P210" s="393"/>
      <c r="Q210" s="393"/>
      <c r="R210" s="393"/>
      <c r="S210" s="393"/>
      <c r="T210" s="393"/>
      <c r="U210" s="393"/>
      <c r="V210" s="393"/>
      <c r="W210" s="393"/>
      <c r="X210" s="393"/>
      <c r="Y210" s="393"/>
      <c r="Z210" s="393"/>
    </row>
    <row r="211" ht="12.75" customHeight="1">
      <c r="A211" s="393"/>
      <c r="B211" s="393"/>
      <c r="C211" s="393"/>
      <c r="D211" s="393"/>
      <c r="E211" s="393"/>
      <c r="F211" s="393"/>
      <c r="G211" s="393"/>
      <c r="H211" s="393"/>
      <c r="I211" s="393"/>
      <c r="J211" s="393"/>
      <c r="K211" s="393"/>
      <c r="L211" s="393"/>
      <c r="M211" s="393"/>
      <c r="N211" s="393"/>
      <c r="O211" s="393"/>
      <c r="P211" s="393"/>
      <c r="Q211" s="393"/>
      <c r="R211" s="393"/>
      <c r="S211" s="393"/>
      <c r="T211" s="393"/>
      <c r="U211" s="393"/>
      <c r="V211" s="393"/>
      <c r="W211" s="393"/>
      <c r="X211" s="393"/>
      <c r="Y211" s="393"/>
      <c r="Z211" s="393"/>
    </row>
    <row r="212" ht="12.75" customHeight="1">
      <c r="A212" s="393"/>
      <c r="B212" s="393"/>
      <c r="C212" s="393"/>
      <c r="D212" s="393"/>
      <c r="E212" s="393"/>
      <c r="F212" s="393"/>
      <c r="G212" s="393"/>
      <c r="H212" s="393"/>
      <c r="I212" s="393"/>
      <c r="J212" s="393"/>
      <c r="K212" s="393"/>
      <c r="L212" s="393"/>
      <c r="M212" s="393"/>
      <c r="N212" s="393"/>
      <c r="O212" s="393"/>
      <c r="P212" s="393"/>
      <c r="Q212" s="393"/>
      <c r="R212" s="393"/>
      <c r="S212" s="393"/>
      <c r="T212" s="393"/>
      <c r="U212" s="393"/>
      <c r="V212" s="393"/>
      <c r="W212" s="393"/>
      <c r="X212" s="393"/>
      <c r="Y212" s="393"/>
      <c r="Z212" s="393"/>
    </row>
    <row r="213" ht="12.75" customHeight="1">
      <c r="A213" s="393"/>
      <c r="B213" s="393"/>
      <c r="C213" s="393"/>
      <c r="D213" s="393"/>
      <c r="E213" s="393"/>
      <c r="F213" s="393"/>
      <c r="G213" s="393"/>
      <c r="H213" s="393"/>
      <c r="I213" s="393"/>
      <c r="J213" s="393"/>
      <c r="K213" s="393"/>
      <c r="L213" s="393"/>
      <c r="M213" s="393"/>
      <c r="N213" s="393"/>
      <c r="O213" s="393"/>
      <c r="P213" s="393"/>
      <c r="Q213" s="393"/>
      <c r="R213" s="393"/>
      <c r="S213" s="393"/>
      <c r="T213" s="393"/>
      <c r="U213" s="393"/>
      <c r="V213" s="393"/>
      <c r="W213" s="393"/>
      <c r="X213" s="393"/>
      <c r="Y213" s="393"/>
      <c r="Z213" s="393"/>
    </row>
    <row r="214" ht="12.75" customHeight="1">
      <c r="A214" s="393"/>
      <c r="B214" s="393"/>
      <c r="C214" s="393"/>
      <c r="D214" s="393"/>
      <c r="E214" s="393"/>
      <c r="F214" s="393"/>
      <c r="G214" s="393"/>
      <c r="H214" s="393"/>
      <c r="I214" s="393"/>
      <c r="J214" s="393"/>
      <c r="K214" s="393"/>
      <c r="L214" s="393"/>
      <c r="M214" s="393"/>
      <c r="N214" s="393"/>
      <c r="O214" s="393"/>
      <c r="P214" s="393"/>
      <c r="Q214" s="393"/>
      <c r="R214" s="393"/>
      <c r="S214" s="393"/>
      <c r="T214" s="393"/>
      <c r="U214" s="393"/>
      <c r="V214" s="393"/>
      <c r="W214" s="393"/>
      <c r="X214" s="393"/>
      <c r="Y214" s="393"/>
      <c r="Z214" s="393"/>
    </row>
    <row r="215" ht="12.75" customHeight="1">
      <c r="A215" s="393"/>
      <c r="B215" s="393"/>
      <c r="C215" s="393"/>
      <c r="D215" s="393"/>
      <c r="E215" s="393"/>
      <c r="F215" s="393"/>
      <c r="G215" s="393"/>
      <c r="H215" s="393"/>
      <c r="I215" s="393"/>
      <c r="J215" s="393"/>
      <c r="K215" s="393"/>
      <c r="L215" s="393"/>
      <c r="M215" s="393"/>
      <c r="N215" s="393"/>
      <c r="O215" s="393"/>
      <c r="P215" s="393"/>
      <c r="Q215" s="393"/>
      <c r="R215" s="393"/>
      <c r="S215" s="393"/>
      <c r="T215" s="393"/>
      <c r="U215" s="393"/>
      <c r="V215" s="393"/>
      <c r="W215" s="393"/>
      <c r="X215" s="393"/>
      <c r="Y215" s="393"/>
      <c r="Z215" s="393"/>
    </row>
    <row r="216" ht="12.75" customHeight="1">
      <c r="A216" s="393"/>
      <c r="B216" s="393"/>
      <c r="C216" s="393"/>
      <c r="D216" s="393"/>
      <c r="E216" s="393"/>
      <c r="F216" s="393"/>
      <c r="G216" s="393"/>
      <c r="H216" s="393"/>
      <c r="I216" s="393"/>
      <c r="J216" s="393"/>
      <c r="K216" s="393"/>
      <c r="L216" s="393"/>
      <c r="M216" s="393"/>
      <c r="N216" s="393"/>
      <c r="O216" s="393"/>
      <c r="P216" s="393"/>
      <c r="Q216" s="393"/>
      <c r="R216" s="393"/>
      <c r="S216" s="393"/>
      <c r="T216" s="393"/>
      <c r="U216" s="393"/>
      <c r="V216" s="393"/>
      <c r="W216" s="393"/>
      <c r="X216" s="393"/>
      <c r="Y216" s="393"/>
      <c r="Z216" s="393"/>
    </row>
    <row r="217" ht="12.75" customHeight="1">
      <c r="A217" s="393"/>
      <c r="B217" s="393"/>
      <c r="C217" s="393"/>
      <c r="D217" s="393"/>
      <c r="E217" s="393"/>
      <c r="F217" s="393"/>
      <c r="G217" s="393"/>
      <c r="H217" s="393"/>
      <c r="I217" s="393"/>
      <c r="J217" s="393"/>
      <c r="K217" s="393"/>
      <c r="L217" s="393"/>
      <c r="M217" s="393"/>
      <c r="N217" s="393"/>
      <c r="O217" s="393"/>
      <c r="P217" s="393"/>
      <c r="Q217" s="393"/>
      <c r="R217" s="393"/>
      <c r="S217" s="393"/>
      <c r="T217" s="393"/>
      <c r="U217" s="393"/>
      <c r="V217" s="393"/>
      <c r="W217" s="393"/>
      <c r="X217" s="393"/>
      <c r="Y217" s="393"/>
      <c r="Z217" s="393"/>
    </row>
    <row r="218" ht="12.75" customHeight="1">
      <c r="A218" s="393"/>
      <c r="B218" s="393"/>
      <c r="C218" s="393"/>
      <c r="D218" s="393"/>
      <c r="E218" s="393"/>
      <c r="F218" s="393"/>
      <c r="G218" s="393"/>
      <c r="H218" s="393"/>
      <c r="I218" s="393"/>
      <c r="J218" s="393"/>
      <c r="K218" s="393"/>
      <c r="L218" s="393"/>
      <c r="M218" s="393"/>
      <c r="N218" s="393"/>
      <c r="O218" s="393"/>
      <c r="P218" s="393"/>
      <c r="Q218" s="393"/>
      <c r="R218" s="393"/>
      <c r="S218" s="393"/>
      <c r="T218" s="393"/>
      <c r="U218" s="393"/>
      <c r="V218" s="393"/>
      <c r="W218" s="393"/>
      <c r="X218" s="393"/>
      <c r="Y218" s="393"/>
      <c r="Z218" s="393"/>
    </row>
    <row r="219" ht="12.75" customHeight="1">
      <c r="A219" s="393"/>
      <c r="B219" s="393"/>
      <c r="C219" s="393"/>
      <c r="D219" s="393"/>
      <c r="E219" s="393"/>
      <c r="F219" s="393"/>
      <c r="G219" s="393"/>
      <c r="H219" s="393"/>
      <c r="I219" s="393"/>
      <c r="J219" s="393"/>
      <c r="K219" s="393"/>
      <c r="L219" s="393"/>
      <c r="M219" s="393"/>
      <c r="N219" s="393"/>
      <c r="O219" s="393"/>
      <c r="P219" s="393"/>
      <c r="Q219" s="393"/>
      <c r="R219" s="393"/>
      <c r="S219" s="393"/>
      <c r="T219" s="393"/>
      <c r="U219" s="393"/>
      <c r="V219" s="393"/>
      <c r="W219" s="393"/>
      <c r="X219" s="393"/>
      <c r="Y219" s="393"/>
      <c r="Z219" s="393"/>
    </row>
    <row r="220" ht="12.75" customHeight="1">
      <c r="A220" s="393"/>
      <c r="B220" s="393"/>
      <c r="C220" s="393"/>
      <c r="D220" s="393"/>
      <c r="E220" s="393"/>
      <c r="F220" s="393"/>
      <c r="G220" s="393"/>
      <c r="H220" s="393"/>
      <c r="I220" s="393"/>
      <c r="J220" s="393"/>
      <c r="K220" s="393"/>
      <c r="L220" s="393"/>
      <c r="M220" s="393"/>
      <c r="N220" s="393"/>
      <c r="O220" s="393"/>
      <c r="P220" s="393"/>
      <c r="Q220" s="393"/>
      <c r="R220" s="393"/>
      <c r="S220" s="393"/>
      <c r="T220" s="393"/>
      <c r="U220" s="393"/>
      <c r="V220" s="393"/>
      <c r="W220" s="393"/>
      <c r="X220" s="393"/>
      <c r="Y220" s="393"/>
      <c r="Z220" s="393"/>
    </row>
    <row r="221" ht="12.75" customHeight="1">
      <c r="A221" s="393"/>
      <c r="B221" s="393"/>
      <c r="C221" s="393"/>
      <c r="D221" s="393"/>
      <c r="E221" s="393"/>
      <c r="F221" s="393"/>
      <c r="G221" s="393"/>
      <c r="H221" s="393"/>
      <c r="I221" s="393"/>
      <c r="J221" s="393"/>
      <c r="K221" s="393"/>
      <c r="L221" s="393"/>
      <c r="M221" s="393"/>
      <c r="N221" s="393"/>
      <c r="O221" s="393"/>
      <c r="P221" s="393"/>
      <c r="Q221" s="393"/>
      <c r="R221" s="393"/>
      <c r="S221" s="393"/>
      <c r="T221" s="393"/>
      <c r="U221" s="393"/>
      <c r="V221" s="393"/>
      <c r="W221" s="393"/>
      <c r="X221" s="393"/>
      <c r="Y221" s="393"/>
      <c r="Z221" s="393"/>
    </row>
    <row r="222" ht="12.75" customHeight="1">
      <c r="A222" s="393"/>
      <c r="B222" s="393"/>
      <c r="C222" s="393"/>
      <c r="D222" s="393"/>
      <c r="E222" s="393"/>
      <c r="F222" s="393"/>
      <c r="G222" s="393"/>
      <c r="H222" s="393"/>
      <c r="I222" s="393"/>
      <c r="J222" s="393"/>
      <c r="K222" s="393"/>
      <c r="L222" s="393"/>
      <c r="M222" s="393"/>
      <c r="N222" s="393"/>
      <c r="O222" s="393"/>
      <c r="P222" s="393"/>
      <c r="Q222" s="393"/>
      <c r="R222" s="393"/>
      <c r="S222" s="393"/>
      <c r="T222" s="393"/>
      <c r="U222" s="393"/>
      <c r="V222" s="393"/>
      <c r="W222" s="393"/>
      <c r="X222" s="393"/>
      <c r="Y222" s="393"/>
      <c r="Z222" s="393"/>
    </row>
    <row r="223" ht="12.75" customHeight="1">
      <c r="A223" s="393"/>
      <c r="B223" s="393"/>
      <c r="C223" s="393"/>
      <c r="D223" s="393"/>
      <c r="E223" s="393"/>
      <c r="F223" s="393"/>
      <c r="G223" s="393"/>
      <c r="H223" s="393"/>
      <c r="I223" s="393"/>
      <c r="J223" s="393"/>
      <c r="K223" s="393"/>
      <c r="L223" s="393"/>
      <c r="M223" s="393"/>
      <c r="N223" s="393"/>
      <c r="O223" s="393"/>
      <c r="P223" s="393"/>
      <c r="Q223" s="393"/>
      <c r="R223" s="393"/>
      <c r="S223" s="393"/>
      <c r="T223" s="393"/>
      <c r="U223" s="393"/>
      <c r="V223" s="393"/>
      <c r="W223" s="393"/>
      <c r="X223" s="393"/>
      <c r="Y223" s="393"/>
      <c r="Z223" s="393"/>
    </row>
    <row r="224" ht="12.75" customHeight="1">
      <c r="A224" s="393"/>
      <c r="B224" s="393"/>
      <c r="C224" s="393"/>
      <c r="D224" s="393"/>
      <c r="E224" s="393"/>
      <c r="F224" s="393"/>
      <c r="G224" s="393"/>
      <c r="H224" s="393"/>
      <c r="I224" s="393"/>
      <c r="J224" s="393"/>
      <c r="K224" s="393"/>
      <c r="L224" s="393"/>
      <c r="M224" s="393"/>
      <c r="N224" s="393"/>
      <c r="O224" s="393"/>
      <c r="P224" s="393"/>
      <c r="Q224" s="393"/>
      <c r="R224" s="393"/>
      <c r="S224" s="393"/>
      <c r="T224" s="393"/>
      <c r="U224" s="393"/>
      <c r="V224" s="393"/>
      <c r="W224" s="393"/>
      <c r="X224" s="393"/>
      <c r="Y224" s="393"/>
      <c r="Z224" s="393"/>
    </row>
    <row r="225" ht="12.75" customHeight="1">
      <c r="A225" s="393"/>
      <c r="B225" s="393"/>
      <c r="C225" s="393"/>
      <c r="D225" s="393"/>
      <c r="E225" s="393"/>
      <c r="F225" s="393"/>
      <c r="G225" s="393"/>
      <c r="H225" s="393"/>
      <c r="I225" s="393"/>
      <c r="J225" s="393"/>
      <c r="K225" s="393"/>
      <c r="L225" s="393"/>
      <c r="M225" s="393"/>
      <c r="N225" s="393"/>
      <c r="O225" s="393"/>
      <c r="P225" s="393"/>
      <c r="Q225" s="393"/>
      <c r="R225" s="393"/>
      <c r="S225" s="393"/>
      <c r="T225" s="393"/>
      <c r="U225" s="393"/>
      <c r="V225" s="393"/>
      <c r="W225" s="393"/>
      <c r="X225" s="393"/>
      <c r="Y225" s="393"/>
      <c r="Z225" s="393"/>
    </row>
    <row r="226" ht="12.75" customHeight="1">
      <c r="A226" s="393"/>
      <c r="B226" s="393"/>
      <c r="C226" s="393"/>
      <c r="D226" s="393"/>
      <c r="E226" s="393"/>
      <c r="F226" s="393"/>
      <c r="G226" s="393"/>
      <c r="H226" s="393"/>
      <c r="I226" s="393"/>
      <c r="J226" s="393"/>
      <c r="K226" s="393"/>
      <c r="L226" s="393"/>
      <c r="M226" s="393"/>
      <c r="N226" s="393"/>
      <c r="O226" s="393"/>
      <c r="P226" s="393"/>
      <c r="Q226" s="393"/>
      <c r="R226" s="393"/>
      <c r="S226" s="393"/>
      <c r="T226" s="393"/>
      <c r="U226" s="393"/>
      <c r="V226" s="393"/>
      <c r="W226" s="393"/>
      <c r="X226" s="393"/>
      <c r="Y226" s="393"/>
      <c r="Z226" s="393"/>
    </row>
    <row r="227" ht="12.75" customHeight="1">
      <c r="A227" s="393"/>
      <c r="B227" s="393"/>
      <c r="C227" s="393"/>
      <c r="D227" s="393"/>
      <c r="E227" s="393"/>
      <c r="F227" s="393"/>
      <c r="G227" s="393"/>
      <c r="H227" s="393"/>
      <c r="I227" s="393"/>
      <c r="J227" s="393"/>
      <c r="K227" s="393"/>
      <c r="L227" s="393"/>
      <c r="M227" s="393"/>
      <c r="N227" s="393"/>
      <c r="O227" s="393"/>
      <c r="P227" s="393"/>
      <c r="Q227" s="393"/>
      <c r="R227" s="393"/>
      <c r="S227" s="393"/>
      <c r="T227" s="393"/>
      <c r="U227" s="393"/>
      <c r="V227" s="393"/>
      <c r="W227" s="393"/>
      <c r="X227" s="393"/>
      <c r="Y227" s="393"/>
      <c r="Z227" s="393"/>
    </row>
    <row r="228" ht="12.75" customHeight="1">
      <c r="A228" s="393"/>
      <c r="B228" s="393"/>
      <c r="C228" s="393"/>
      <c r="D228" s="393"/>
      <c r="E228" s="393"/>
      <c r="F228" s="393"/>
      <c r="G228" s="393"/>
      <c r="H228" s="393"/>
      <c r="I228" s="393"/>
      <c r="J228" s="393"/>
      <c r="K228" s="393"/>
      <c r="L228" s="393"/>
      <c r="M228" s="393"/>
      <c r="N228" s="393"/>
      <c r="O228" s="393"/>
      <c r="P228" s="393"/>
      <c r="Q228" s="393"/>
      <c r="R228" s="393"/>
      <c r="S228" s="393"/>
      <c r="T228" s="393"/>
      <c r="U228" s="393"/>
      <c r="V228" s="393"/>
      <c r="W228" s="393"/>
      <c r="X228" s="393"/>
      <c r="Y228" s="393"/>
      <c r="Z228" s="393"/>
    </row>
    <row r="229" ht="12.75" customHeight="1">
      <c r="A229" s="393"/>
      <c r="B229" s="393"/>
      <c r="C229" s="393"/>
      <c r="D229" s="393"/>
      <c r="E229" s="393"/>
      <c r="F229" s="393"/>
      <c r="G229" s="393"/>
      <c r="H229" s="393"/>
      <c r="I229" s="393"/>
      <c r="J229" s="393"/>
      <c r="K229" s="393"/>
      <c r="L229" s="393"/>
      <c r="M229" s="393"/>
      <c r="N229" s="393"/>
      <c r="O229" s="393"/>
      <c r="P229" s="393"/>
      <c r="Q229" s="393"/>
      <c r="R229" s="393"/>
      <c r="S229" s="393"/>
      <c r="T229" s="393"/>
      <c r="U229" s="393"/>
      <c r="V229" s="393"/>
      <c r="W229" s="393"/>
      <c r="X229" s="393"/>
      <c r="Y229" s="393"/>
      <c r="Z229" s="393"/>
    </row>
    <row r="230" ht="12.75" customHeight="1">
      <c r="A230" s="393"/>
      <c r="B230" s="393"/>
      <c r="C230" s="393"/>
      <c r="D230" s="393"/>
      <c r="E230" s="393"/>
      <c r="F230" s="393"/>
      <c r="G230" s="393"/>
      <c r="H230" s="393"/>
      <c r="I230" s="393"/>
      <c r="J230" s="393"/>
      <c r="K230" s="393"/>
      <c r="L230" s="393"/>
      <c r="M230" s="393"/>
      <c r="N230" s="393"/>
      <c r="O230" s="393"/>
      <c r="P230" s="393"/>
      <c r="Q230" s="393"/>
      <c r="R230" s="393"/>
      <c r="S230" s="393"/>
      <c r="T230" s="393"/>
      <c r="U230" s="393"/>
      <c r="V230" s="393"/>
      <c r="W230" s="393"/>
      <c r="X230" s="393"/>
      <c r="Y230" s="393"/>
      <c r="Z230" s="393"/>
    </row>
    <row r="231" ht="12.75" customHeight="1">
      <c r="A231" s="393"/>
      <c r="B231" s="393"/>
      <c r="C231" s="393"/>
      <c r="D231" s="393"/>
      <c r="E231" s="393"/>
      <c r="F231" s="393"/>
      <c r="G231" s="393"/>
      <c r="H231" s="393"/>
      <c r="I231" s="393"/>
      <c r="J231" s="393"/>
      <c r="K231" s="393"/>
      <c r="L231" s="393"/>
      <c r="M231" s="393"/>
      <c r="N231" s="393"/>
      <c r="O231" s="393"/>
      <c r="P231" s="393"/>
      <c r="Q231" s="393"/>
      <c r="R231" s="393"/>
      <c r="S231" s="393"/>
      <c r="T231" s="393"/>
      <c r="U231" s="393"/>
      <c r="V231" s="393"/>
      <c r="W231" s="393"/>
      <c r="X231" s="393"/>
      <c r="Y231" s="393"/>
      <c r="Z231" s="393"/>
    </row>
    <row r="232" ht="12.75" customHeight="1">
      <c r="A232" s="393"/>
      <c r="B232" s="393"/>
      <c r="C232" s="393"/>
      <c r="D232" s="393"/>
      <c r="E232" s="393"/>
      <c r="F232" s="393"/>
      <c r="G232" s="393"/>
      <c r="H232" s="393"/>
      <c r="I232" s="393"/>
      <c r="J232" s="393"/>
      <c r="K232" s="393"/>
      <c r="L232" s="393"/>
      <c r="M232" s="393"/>
      <c r="N232" s="393"/>
      <c r="O232" s="393"/>
      <c r="P232" s="393"/>
      <c r="Q232" s="393"/>
      <c r="R232" s="393"/>
      <c r="S232" s="393"/>
      <c r="T232" s="393"/>
      <c r="U232" s="393"/>
      <c r="V232" s="393"/>
      <c r="W232" s="393"/>
      <c r="X232" s="393"/>
      <c r="Y232" s="393"/>
      <c r="Z232" s="393"/>
    </row>
    <row r="233" ht="12.75" customHeight="1">
      <c r="A233" s="393"/>
      <c r="B233" s="393"/>
      <c r="C233" s="393"/>
      <c r="D233" s="393"/>
      <c r="E233" s="393"/>
      <c r="F233" s="393"/>
      <c r="G233" s="393"/>
      <c r="H233" s="393"/>
      <c r="I233" s="393"/>
      <c r="J233" s="393"/>
      <c r="K233" s="393"/>
      <c r="L233" s="393"/>
      <c r="M233" s="393"/>
      <c r="N233" s="393"/>
      <c r="O233" s="393"/>
      <c r="P233" s="393"/>
      <c r="Q233" s="393"/>
      <c r="R233" s="393"/>
      <c r="S233" s="393"/>
      <c r="T233" s="393"/>
      <c r="U233" s="393"/>
      <c r="V233" s="393"/>
      <c r="W233" s="393"/>
      <c r="X233" s="393"/>
      <c r="Y233" s="393"/>
      <c r="Z233" s="393"/>
    </row>
    <row r="234" ht="12.75" customHeight="1">
      <c r="A234" s="393"/>
      <c r="B234" s="393"/>
      <c r="C234" s="393"/>
      <c r="D234" s="393"/>
      <c r="E234" s="393"/>
      <c r="F234" s="393"/>
      <c r="G234" s="393"/>
      <c r="H234" s="393"/>
      <c r="I234" s="393"/>
      <c r="J234" s="393"/>
      <c r="K234" s="393"/>
      <c r="L234" s="393"/>
      <c r="M234" s="393"/>
      <c r="N234" s="393"/>
      <c r="O234" s="393"/>
      <c r="P234" s="393"/>
      <c r="Q234" s="393"/>
      <c r="R234" s="393"/>
      <c r="S234" s="393"/>
      <c r="T234" s="393"/>
      <c r="U234" s="393"/>
      <c r="V234" s="393"/>
      <c r="W234" s="393"/>
      <c r="X234" s="393"/>
      <c r="Y234" s="393"/>
      <c r="Z234" s="393"/>
    </row>
    <row r="235" ht="12.75" customHeight="1">
      <c r="A235" s="393"/>
      <c r="B235" s="393"/>
      <c r="C235" s="393"/>
      <c r="D235" s="393"/>
      <c r="E235" s="393"/>
      <c r="F235" s="393"/>
      <c r="G235" s="393"/>
      <c r="H235" s="393"/>
      <c r="I235" s="393"/>
      <c r="J235" s="393"/>
      <c r="K235" s="393"/>
      <c r="L235" s="393"/>
      <c r="M235" s="393"/>
      <c r="N235" s="393"/>
      <c r="O235" s="393"/>
      <c r="P235" s="393"/>
      <c r="Q235" s="393"/>
      <c r="R235" s="393"/>
      <c r="S235" s="393"/>
      <c r="T235" s="393"/>
      <c r="U235" s="393"/>
      <c r="V235" s="393"/>
      <c r="W235" s="393"/>
      <c r="X235" s="393"/>
      <c r="Y235" s="393"/>
      <c r="Z235" s="393"/>
    </row>
    <row r="236" ht="12.75" customHeight="1">
      <c r="A236" s="393"/>
      <c r="B236" s="393"/>
      <c r="C236" s="393"/>
      <c r="D236" s="393"/>
      <c r="E236" s="393"/>
      <c r="F236" s="393"/>
      <c r="G236" s="393"/>
      <c r="H236" s="393"/>
      <c r="I236" s="393"/>
      <c r="J236" s="393"/>
      <c r="K236" s="393"/>
      <c r="L236" s="393"/>
      <c r="M236" s="393"/>
      <c r="N236" s="393"/>
      <c r="O236" s="393"/>
      <c r="P236" s="393"/>
      <c r="Q236" s="393"/>
      <c r="R236" s="393"/>
      <c r="S236" s="393"/>
      <c r="T236" s="393"/>
      <c r="U236" s="393"/>
      <c r="V236" s="393"/>
      <c r="W236" s="393"/>
      <c r="X236" s="393"/>
      <c r="Y236" s="393"/>
      <c r="Z236" s="393"/>
    </row>
    <row r="237" ht="12.75" customHeight="1">
      <c r="A237" s="393"/>
      <c r="B237" s="393"/>
      <c r="C237" s="393"/>
      <c r="D237" s="393"/>
      <c r="E237" s="393"/>
      <c r="F237" s="393"/>
      <c r="G237" s="393"/>
      <c r="H237" s="393"/>
      <c r="I237" s="393"/>
      <c r="J237" s="393"/>
      <c r="K237" s="393"/>
      <c r="L237" s="393"/>
      <c r="M237" s="393"/>
      <c r="N237" s="393"/>
      <c r="O237" s="393"/>
      <c r="P237" s="393"/>
      <c r="Q237" s="393"/>
      <c r="R237" s="393"/>
      <c r="S237" s="393"/>
      <c r="T237" s="393"/>
      <c r="U237" s="393"/>
      <c r="V237" s="393"/>
      <c r="W237" s="393"/>
      <c r="X237" s="393"/>
      <c r="Y237" s="393"/>
      <c r="Z237" s="393"/>
    </row>
    <row r="238" ht="12.75" customHeight="1">
      <c r="A238" s="393"/>
      <c r="B238" s="393"/>
      <c r="C238" s="393"/>
      <c r="D238" s="393"/>
      <c r="E238" s="393"/>
      <c r="F238" s="393"/>
      <c r="G238" s="393"/>
      <c r="H238" s="393"/>
      <c r="I238" s="393"/>
      <c r="J238" s="393"/>
      <c r="K238" s="393"/>
      <c r="L238" s="393"/>
      <c r="M238" s="393"/>
      <c r="N238" s="393"/>
      <c r="O238" s="393"/>
      <c r="P238" s="393"/>
      <c r="Q238" s="393"/>
      <c r="R238" s="393"/>
      <c r="S238" s="393"/>
      <c r="T238" s="393"/>
      <c r="U238" s="393"/>
      <c r="V238" s="393"/>
      <c r="W238" s="393"/>
      <c r="X238" s="393"/>
      <c r="Y238" s="393"/>
      <c r="Z238" s="393"/>
    </row>
    <row r="239" ht="12.75" customHeight="1">
      <c r="A239" s="393"/>
      <c r="B239" s="393"/>
      <c r="C239" s="393"/>
      <c r="D239" s="393"/>
      <c r="E239" s="393"/>
      <c r="F239" s="393"/>
      <c r="G239" s="393"/>
      <c r="H239" s="393"/>
      <c r="I239" s="393"/>
      <c r="J239" s="393"/>
      <c r="K239" s="393"/>
      <c r="L239" s="393"/>
      <c r="M239" s="393"/>
      <c r="N239" s="393"/>
      <c r="O239" s="393"/>
      <c r="P239" s="393"/>
      <c r="Q239" s="393"/>
      <c r="R239" s="393"/>
      <c r="S239" s="393"/>
      <c r="T239" s="393"/>
      <c r="U239" s="393"/>
      <c r="V239" s="393"/>
      <c r="W239" s="393"/>
      <c r="X239" s="393"/>
      <c r="Y239" s="393"/>
      <c r="Z239" s="393"/>
    </row>
    <row r="240" ht="12.75" customHeight="1">
      <c r="A240" s="393"/>
      <c r="B240" s="393"/>
      <c r="C240" s="393"/>
      <c r="D240" s="393"/>
      <c r="E240" s="393"/>
      <c r="F240" s="393"/>
      <c r="G240" s="393"/>
      <c r="H240" s="393"/>
      <c r="I240" s="393"/>
      <c r="J240" s="393"/>
      <c r="K240" s="393"/>
      <c r="L240" s="393"/>
      <c r="M240" s="393"/>
      <c r="N240" s="393"/>
      <c r="O240" s="393"/>
      <c r="P240" s="393"/>
      <c r="Q240" s="393"/>
      <c r="R240" s="393"/>
      <c r="S240" s="393"/>
      <c r="T240" s="393"/>
      <c r="U240" s="393"/>
      <c r="V240" s="393"/>
      <c r="W240" s="393"/>
      <c r="X240" s="393"/>
      <c r="Y240" s="393"/>
      <c r="Z240" s="393"/>
    </row>
    <row r="241" ht="12.75" customHeight="1">
      <c r="A241" s="393"/>
      <c r="B241" s="393"/>
      <c r="C241" s="393"/>
      <c r="D241" s="393"/>
      <c r="E241" s="393"/>
      <c r="F241" s="393"/>
      <c r="G241" s="393"/>
      <c r="H241" s="393"/>
      <c r="I241" s="393"/>
      <c r="J241" s="393"/>
      <c r="K241" s="393"/>
      <c r="L241" s="393"/>
      <c r="M241" s="393"/>
      <c r="N241" s="393"/>
      <c r="O241" s="393"/>
      <c r="P241" s="393"/>
      <c r="Q241" s="393"/>
      <c r="R241" s="393"/>
      <c r="S241" s="393"/>
      <c r="T241" s="393"/>
      <c r="U241" s="393"/>
      <c r="V241" s="393"/>
      <c r="W241" s="393"/>
      <c r="X241" s="393"/>
      <c r="Y241" s="393"/>
      <c r="Z241" s="393"/>
    </row>
    <row r="242" ht="12.75" customHeight="1">
      <c r="A242" s="393"/>
      <c r="B242" s="393"/>
      <c r="C242" s="393"/>
      <c r="D242" s="393"/>
      <c r="E242" s="393"/>
      <c r="F242" s="393"/>
      <c r="G242" s="393"/>
      <c r="H242" s="393"/>
      <c r="I242" s="393"/>
      <c r="J242" s="393"/>
      <c r="K242" s="393"/>
      <c r="L242" s="393"/>
      <c r="M242" s="393"/>
      <c r="N242" s="393"/>
      <c r="O242" s="393"/>
      <c r="P242" s="393"/>
      <c r="Q242" s="393"/>
      <c r="R242" s="393"/>
      <c r="S242" s="393"/>
      <c r="T242" s="393"/>
      <c r="U242" s="393"/>
      <c r="V242" s="393"/>
      <c r="W242" s="393"/>
      <c r="X242" s="393"/>
      <c r="Y242" s="393"/>
      <c r="Z242" s="393"/>
    </row>
    <row r="243" ht="12.75" customHeight="1">
      <c r="A243" s="393"/>
      <c r="B243" s="393"/>
      <c r="C243" s="393"/>
      <c r="D243" s="393"/>
      <c r="E243" s="393"/>
      <c r="F243" s="393"/>
      <c r="G243" s="393"/>
      <c r="H243" s="393"/>
      <c r="I243" s="393"/>
      <c r="J243" s="393"/>
      <c r="K243" s="393"/>
      <c r="L243" s="393"/>
      <c r="M243" s="393"/>
      <c r="N243" s="393"/>
      <c r="O243" s="393"/>
      <c r="P243" s="393"/>
      <c r="Q243" s="393"/>
      <c r="R243" s="393"/>
      <c r="S243" s="393"/>
      <c r="T243" s="393"/>
      <c r="U243" s="393"/>
      <c r="V243" s="393"/>
      <c r="W243" s="393"/>
      <c r="X243" s="393"/>
      <c r="Y243" s="393"/>
      <c r="Z243" s="393"/>
    </row>
    <row r="244" ht="12.75" customHeight="1">
      <c r="A244" s="393"/>
      <c r="B244" s="393"/>
      <c r="C244" s="393"/>
      <c r="D244" s="393"/>
      <c r="E244" s="393"/>
      <c r="F244" s="393"/>
      <c r="G244" s="393"/>
      <c r="H244" s="393"/>
      <c r="I244" s="393"/>
      <c r="J244" s="393"/>
      <c r="K244" s="393"/>
      <c r="L244" s="393"/>
      <c r="M244" s="393"/>
      <c r="N244" s="393"/>
      <c r="O244" s="393"/>
      <c r="P244" s="393"/>
      <c r="Q244" s="393"/>
      <c r="R244" s="393"/>
      <c r="S244" s="393"/>
      <c r="T244" s="393"/>
      <c r="U244" s="393"/>
      <c r="V244" s="393"/>
      <c r="W244" s="393"/>
      <c r="X244" s="393"/>
      <c r="Y244" s="393"/>
      <c r="Z244" s="393"/>
    </row>
    <row r="245" ht="12.75" customHeight="1">
      <c r="A245" s="393"/>
      <c r="B245" s="393"/>
      <c r="C245" s="393"/>
      <c r="D245" s="393"/>
      <c r="E245" s="393"/>
      <c r="F245" s="393"/>
      <c r="G245" s="393"/>
      <c r="H245" s="393"/>
      <c r="I245" s="393"/>
      <c r="J245" s="393"/>
      <c r="K245" s="393"/>
      <c r="L245" s="393"/>
      <c r="M245" s="393"/>
      <c r="N245" s="393"/>
      <c r="O245" s="393"/>
      <c r="P245" s="393"/>
      <c r="Q245" s="393"/>
      <c r="R245" s="393"/>
      <c r="S245" s="393"/>
      <c r="T245" s="393"/>
      <c r="U245" s="393"/>
      <c r="V245" s="393"/>
      <c r="W245" s="393"/>
      <c r="X245" s="393"/>
      <c r="Y245" s="393"/>
      <c r="Z245" s="393"/>
    </row>
    <row r="246" ht="12.75" customHeight="1">
      <c r="A246" s="393"/>
      <c r="B246" s="393"/>
      <c r="C246" s="393"/>
      <c r="D246" s="393"/>
      <c r="E246" s="393"/>
      <c r="F246" s="393"/>
      <c r="G246" s="393"/>
      <c r="H246" s="393"/>
      <c r="I246" s="393"/>
      <c r="J246" s="393"/>
      <c r="K246" s="393"/>
      <c r="L246" s="393"/>
      <c r="M246" s="393"/>
      <c r="N246" s="393"/>
      <c r="O246" s="393"/>
      <c r="P246" s="393"/>
      <c r="Q246" s="393"/>
      <c r="R246" s="393"/>
      <c r="S246" s="393"/>
      <c r="T246" s="393"/>
      <c r="U246" s="393"/>
      <c r="V246" s="393"/>
      <c r="W246" s="393"/>
      <c r="X246" s="393"/>
      <c r="Y246" s="393"/>
      <c r="Z246" s="393"/>
    </row>
    <row r="247" ht="12.75" customHeight="1">
      <c r="A247" s="393"/>
      <c r="B247" s="393"/>
      <c r="C247" s="393"/>
      <c r="D247" s="393"/>
      <c r="E247" s="393"/>
      <c r="F247" s="393"/>
      <c r="G247" s="393"/>
      <c r="H247" s="393"/>
      <c r="I247" s="393"/>
      <c r="J247" s="393"/>
      <c r="K247" s="393"/>
      <c r="L247" s="393"/>
      <c r="M247" s="393"/>
      <c r="N247" s="393"/>
      <c r="O247" s="393"/>
      <c r="P247" s="393"/>
      <c r="Q247" s="393"/>
      <c r="R247" s="393"/>
      <c r="S247" s="393"/>
      <c r="T247" s="393"/>
      <c r="U247" s="393"/>
      <c r="V247" s="393"/>
      <c r="W247" s="393"/>
      <c r="X247" s="393"/>
      <c r="Y247" s="393"/>
      <c r="Z247" s="393"/>
    </row>
    <row r="248" ht="12.75" customHeight="1">
      <c r="A248" s="393"/>
      <c r="B248" s="393"/>
      <c r="C248" s="393"/>
      <c r="D248" s="393"/>
      <c r="E248" s="393"/>
      <c r="F248" s="393"/>
      <c r="G248" s="393"/>
      <c r="H248" s="393"/>
      <c r="I248" s="393"/>
      <c r="J248" s="393"/>
      <c r="K248" s="393"/>
      <c r="L248" s="393"/>
      <c r="M248" s="393"/>
      <c r="N248" s="393"/>
      <c r="O248" s="393"/>
      <c r="P248" s="393"/>
      <c r="Q248" s="393"/>
      <c r="R248" s="393"/>
      <c r="S248" s="393"/>
      <c r="T248" s="393"/>
      <c r="U248" s="393"/>
      <c r="V248" s="393"/>
      <c r="W248" s="393"/>
      <c r="X248" s="393"/>
      <c r="Y248" s="393"/>
      <c r="Z248" s="393"/>
    </row>
    <row r="249" ht="12.75" customHeight="1">
      <c r="A249" s="393"/>
      <c r="B249" s="393"/>
      <c r="C249" s="393"/>
      <c r="D249" s="393"/>
      <c r="E249" s="393"/>
      <c r="F249" s="393"/>
      <c r="G249" s="393"/>
      <c r="H249" s="393"/>
      <c r="I249" s="393"/>
      <c r="J249" s="393"/>
      <c r="K249" s="393"/>
      <c r="L249" s="393"/>
      <c r="M249" s="393"/>
      <c r="N249" s="393"/>
      <c r="O249" s="393"/>
      <c r="P249" s="393"/>
      <c r="Q249" s="393"/>
      <c r="R249" s="393"/>
      <c r="S249" s="393"/>
      <c r="T249" s="393"/>
      <c r="U249" s="393"/>
      <c r="V249" s="393"/>
      <c r="W249" s="393"/>
      <c r="X249" s="393"/>
      <c r="Y249" s="393"/>
      <c r="Z249" s="393"/>
    </row>
    <row r="250" ht="12.75" customHeight="1">
      <c r="A250" s="393"/>
      <c r="B250" s="393"/>
      <c r="C250" s="393"/>
      <c r="D250" s="393"/>
      <c r="E250" s="393"/>
      <c r="F250" s="393"/>
      <c r="G250" s="393"/>
      <c r="H250" s="393"/>
      <c r="I250" s="393"/>
      <c r="J250" s="393"/>
      <c r="K250" s="393"/>
      <c r="L250" s="393"/>
      <c r="M250" s="393"/>
      <c r="N250" s="393"/>
      <c r="O250" s="393"/>
      <c r="P250" s="393"/>
      <c r="Q250" s="393"/>
      <c r="R250" s="393"/>
      <c r="S250" s="393"/>
      <c r="T250" s="393"/>
      <c r="U250" s="393"/>
      <c r="V250" s="393"/>
      <c r="W250" s="393"/>
      <c r="X250" s="393"/>
      <c r="Y250" s="393"/>
      <c r="Z250" s="393"/>
    </row>
    <row r="251" ht="12.75" customHeight="1">
      <c r="A251" s="393"/>
      <c r="B251" s="393"/>
      <c r="C251" s="393"/>
      <c r="D251" s="393"/>
      <c r="E251" s="393"/>
      <c r="F251" s="393"/>
      <c r="G251" s="393"/>
      <c r="H251" s="393"/>
      <c r="I251" s="393"/>
      <c r="J251" s="393"/>
      <c r="K251" s="393"/>
      <c r="L251" s="393"/>
      <c r="M251" s="393"/>
      <c r="N251" s="393"/>
      <c r="O251" s="393"/>
      <c r="P251" s="393"/>
      <c r="Q251" s="393"/>
      <c r="R251" s="393"/>
      <c r="S251" s="393"/>
      <c r="T251" s="393"/>
      <c r="U251" s="393"/>
      <c r="V251" s="393"/>
      <c r="W251" s="393"/>
      <c r="X251" s="393"/>
      <c r="Y251" s="393"/>
      <c r="Z251" s="393"/>
    </row>
    <row r="252" ht="12.75" customHeight="1">
      <c r="A252" s="393"/>
      <c r="B252" s="393"/>
      <c r="C252" s="393"/>
      <c r="D252" s="393"/>
      <c r="E252" s="393"/>
      <c r="F252" s="393"/>
      <c r="G252" s="393"/>
      <c r="H252" s="393"/>
      <c r="I252" s="393"/>
      <c r="J252" s="393"/>
      <c r="K252" s="393"/>
      <c r="L252" s="393"/>
      <c r="M252" s="393"/>
      <c r="N252" s="393"/>
      <c r="O252" s="393"/>
      <c r="P252" s="393"/>
      <c r="Q252" s="393"/>
      <c r="R252" s="393"/>
      <c r="S252" s="393"/>
      <c r="T252" s="393"/>
      <c r="U252" s="393"/>
      <c r="V252" s="393"/>
      <c r="W252" s="393"/>
      <c r="X252" s="393"/>
      <c r="Y252" s="393"/>
      <c r="Z252" s="393"/>
    </row>
    <row r="253" ht="12.75" customHeight="1">
      <c r="A253" s="393"/>
      <c r="B253" s="393"/>
      <c r="C253" s="393"/>
      <c r="D253" s="393"/>
      <c r="E253" s="393"/>
      <c r="F253" s="393"/>
      <c r="G253" s="393"/>
      <c r="H253" s="393"/>
      <c r="I253" s="393"/>
      <c r="J253" s="393"/>
      <c r="K253" s="393"/>
      <c r="L253" s="393"/>
      <c r="M253" s="393"/>
      <c r="N253" s="393"/>
      <c r="O253" s="393"/>
      <c r="P253" s="393"/>
      <c r="Q253" s="393"/>
      <c r="R253" s="393"/>
      <c r="S253" s="393"/>
      <c r="T253" s="393"/>
      <c r="U253" s="393"/>
      <c r="V253" s="393"/>
      <c r="W253" s="393"/>
      <c r="X253" s="393"/>
      <c r="Y253" s="393"/>
      <c r="Z253" s="393"/>
    </row>
    <row r="254" ht="12.75" customHeight="1">
      <c r="A254" s="393"/>
      <c r="B254" s="393"/>
      <c r="C254" s="393"/>
      <c r="D254" s="393"/>
      <c r="E254" s="393"/>
      <c r="F254" s="393"/>
      <c r="G254" s="393"/>
      <c r="H254" s="393"/>
      <c r="I254" s="393"/>
      <c r="J254" s="393"/>
      <c r="K254" s="393"/>
      <c r="L254" s="393"/>
      <c r="M254" s="393"/>
      <c r="N254" s="393"/>
      <c r="O254" s="393"/>
      <c r="P254" s="393"/>
      <c r="Q254" s="393"/>
      <c r="R254" s="393"/>
      <c r="S254" s="393"/>
      <c r="T254" s="393"/>
      <c r="U254" s="393"/>
      <c r="V254" s="393"/>
      <c r="W254" s="393"/>
      <c r="X254" s="393"/>
      <c r="Y254" s="393"/>
      <c r="Z254" s="393"/>
    </row>
    <row r="255" ht="12.75" customHeight="1">
      <c r="A255" s="393"/>
      <c r="B255" s="393"/>
      <c r="C255" s="393"/>
      <c r="D255" s="393"/>
      <c r="E255" s="393"/>
      <c r="F255" s="393"/>
      <c r="G255" s="393"/>
      <c r="H255" s="393"/>
      <c r="I255" s="393"/>
      <c r="J255" s="393"/>
      <c r="K255" s="393"/>
      <c r="L255" s="393"/>
      <c r="M255" s="393"/>
      <c r="N255" s="393"/>
      <c r="O255" s="393"/>
      <c r="P255" s="393"/>
      <c r="Q255" s="393"/>
      <c r="R255" s="393"/>
      <c r="S255" s="393"/>
      <c r="T255" s="393"/>
      <c r="U255" s="393"/>
      <c r="V255" s="393"/>
      <c r="W255" s="393"/>
      <c r="X255" s="393"/>
      <c r="Y255" s="393"/>
      <c r="Z255" s="393"/>
    </row>
    <row r="256" ht="12.75" customHeight="1">
      <c r="A256" s="393"/>
      <c r="B256" s="393"/>
      <c r="C256" s="393"/>
      <c r="D256" s="393"/>
      <c r="E256" s="393"/>
      <c r="F256" s="393"/>
      <c r="G256" s="393"/>
      <c r="H256" s="393"/>
      <c r="I256" s="393"/>
      <c r="J256" s="393"/>
      <c r="K256" s="393"/>
      <c r="L256" s="393"/>
      <c r="M256" s="393"/>
      <c r="N256" s="393"/>
      <c r="O256" s="393"/>
      <c r="P256" s="393"/>
      <c r="Q256" s="393"/>
      <c r="R256" s="393"/>
      <c r="S256" s="393"/>
      <c r="T256" s="393"/>
      <c r="U256" s="393"/>
      <c r="V256" s="393"/>
      <c r="W256" s="393"/>
      <c r="X256" s="393"/>
      <c r="Y256" s="393"/>
      <c r="Z256" s="393"/>
    </row>
    <row r="257" ht="12.75" customHeight="1">
      <c r="A257" s="393"/>
      <c r="B257" s="393"/>
      <c r="C257" s="393"/>
      <c r="D257" s="393"/>
      <c r="E257" s="393"/>
      <c r="F257" s="393"/>
      <c r="G257" s="393"/>
      <c r="H257" s="393"/>
      <c r="I257" s="393"/>
      <c r="J257" s="393"/>
      <c r="K257" s="393"/>
      <c r="L257" s="393"/>
      <c r="M257" s="393"/>
      <c r="N257" s="393"/>
      <c r="O257" s="393"/>
      <c r="P257" s="393"/>
      <c r="Q257" s="393"/>
      <c r="R257" s="393"/>
      <c r="S257" s="393"/>
      <c r="T257" s="393"/>
      <c r="U257" s="393"/>
      <c r="V257" s="393"/>
      <c r="W257" s="393"/>
      <c r="X257" s="393"/>
      <c r="Y257" s="393"/>
      <c r="Z257" s="393"/>
    </row>
    <row r="258" ht="12.75" customHeight="1">
      <c r="A258" s="393"/>
      <c r="B258" s="393"/>
      <c r="C258" s="393"/>
      <c r="D258" s="393"/>
      <c r="E258" s="393"/>
      <c r="F258" s="393"/>
      <c r="G258" s="393"/>
      <c r="H258" s="393"/>
      <c r="I258" s="393"/>
      <c r="J258" s="393"/>
      <c r="K258" s="393"/>
      <c r="L258" s="393"/>
      <c r="M258" s="393"/>
      <c r="N258" s="393"/>
      <c r="O258" s="393"/>
      <c r="P258" s="393"/>
      <c r="Q258" s="393"/>
      <c r="R258" s="393"/>
      <c r="S258" s="393"/>
      <c r="T258" s="393"/>
      <c r="U258" s="393"/>
      <c r="V258" s="393"/>
      <c r="W258" s="393"/>
      <c r="X258" s="393"/>
      <c r="Y258" s="393"/>
      <c r="Z258" s="393"/>
    </row>
    <row r="259" ht="12.75" customHeight="1">
      <c r="A259" s="393"/>
      <c r="B259" s="393"/>
      <c r="C259" s="393"/>
      <c r="D259" s="393"/>
      <c r="E259" s="393"/>
      <c r="F259" s="393"/>
      <c r="G259" s="393"/>
      <c r="H259" s="393"/>
      <c r="I259" s="393"/>
      <c r="J259" s="393"/>
      <c r="K259" s="393"/>
      <c r="L259" s="393"/>
      <c r="M259" s="393"/>
      <c r="N259" s="393"/>
      <c r="O259" s="393"/>
      <c r="P259" s="393"/>
      <c r="Q259" s="393"/>
      <c r="R259" s="393"/>
      <c r="S259" s="393"/>
      <c r="T259" s="393"/>
      <c r="U259" s="393"/>
      <c r="V259" s="393"/>
      <c r="W259" s="393"/>
      <c r="X259" s="393"/>
      <c r="Y259" s="393"/>
      <c r="Z259" s="393"/>
    </row>
    <row r="260" ht="12.75" customHeight="1">
      <c r="A260" s="393"/>
      <c r="B260" s="393"/>
      <c r="C260" s="393"/>
      <c r="D260" s="393"/>
      <c r="E260" s="393"/>
      <c r="F260" s="393"/>
      <c r="G260" s="393"/>
      <c r="H260" s="393"/>
      <c r="I260" s="393"/>
      <c r="J260" s="393"/>
      <c r="K260" s="393"/>
      <c r="L260" s="393"/>
      <c r="M260" s="393"/>
      <c r="N260" s="393"/>
      <c r="O260" s="393"/>
      <c r="P260" s="393"/>
      <c r="Q260" s="393"/>
      <c r="R260" s="393"/>
      <c r="S260" s="393"/>
      <c r="T260" s="393"/>
      <c r="U260" s="393"/>
      <c r="V260" s="393"/>
      <c r="W260" s="393"/>
      <c r="X260" s="393"/>
      <c r="Y260" s="393"/>
      <c r="Z260" s="393"/>
    </row>
    <row r="261" ht="12.75" customHeight="1">
      <c r="A261" s="393"/>
      <c r="B261" s="393"/>
      <c r="C261" s="393"/>
      <c r="D261" s="393"/>
      <c r="E261" s="393"/>
      <c r="F261" s="393"/>
      <c r="G261" s="393"/>
      <c r="H261" s="393"/>
      <c r="I261" s="393"/>
      <c r="J261" s="393"/>
      <c r="K261" s="393"/>
      <c r="L261" s="393"/>
      <c r="M261" s="393"/>
      <c r="N261" s="393"/>
      <c r="O261" s="393"/>
      <c r="P261" s="393"/>
      <c r="Q261" s="393"/>
      <c r="R261" s="393"/>
      <c r="S261" s="393"/>
      <c r="T261" s="393"/>
      <c r="U261" s="393"/>
      <c r="V261" s="393"/>
      <c r="W261" s="393"/>
      <c r="X261" s="393"/>
      <c r="Y261" s="393"/>
      <c r="Z261" s="393"/>
    </row>
    <row r="262" ht="12.75" customHeight="1">
      <c r="A262" s="393"/>
      <c r="B262" s="393"/>
      <c r="C262" s="393"/>
      <c r="D262" s="393"/>
      <c r="E262" s="393"/>
      <c r="F262" s="393"/>
      <c r="G262" s="393"/>
      <c r="H262" s="393"/>
      <c r="I262" s="393"/>
      <c r="J262" s="393"/>
      <c r="K262" s="393"/>
      <c r="L262" s="393"/>
      <c r="M262" s="393"/>
      <c r="N262" s="393"/>
      <c r="O262" s="393"/>
      <c r="P262" s="393"/>
      <c r="Q262" s="393"/>
      <c r="R262" s="393"/>
      <c r="S262" s="393"/>
      <c r="T262" s="393"/>
      <c r="U262" s="393"/>
      <c r="V262" s="393"/>
      <c r="W262" s="393"/>
      <c r="X262" s="393"/>
      <c r="Y262" s="393"/>
      <c r="Z262" s="393"/>
    </row>
    <row r="263" ht="12.75" customHeight="1">
      <c r="A263" s="393"/>
      <c r="B263" s="393"/>
      <c r="C263" s="393"/>
      <c r="D263" s="393"/>
      <c r="E263" s="393"/>
      <c r="F263" s="393"/>
      <c r="G263" s="393"/>
      <c r="H263" s="393"/>
      <c r="I263" s="393"/>
      <c r="J263" s="393"/>
      <c r="K263" s="393"/>
      <c r="L263" s="393"/>
      <c r="M263" s="393"/>
      <c r="N263" s="393"/>
      <c r="O263" s="393"/>
      <c r="P263" s="393"/>
      <c r="Q263" s="393"/>
      <c r="R263" s="393"/>
      <c r="S263" s="393"/>
      <c r="T263" s="393"/>
      <c r="U263" s="393"/>
      <c r="V263" s="393"/>
      <c r="W263" s="393"/>
      <c r="X263" s="393"/>
      <c r="Y263" s="393"/>
      <c r="Z263" s="393"/>
    </row>
    <row r="264" ht="12.75" customHeight="1">
      <c r="A264" s="393"/>
      <c r="B264" s="393"/>
      <c r="C264" s="393"/>
      <c r="D264" s="393"/>
      <c r="E264" s="393"/>
      <c r="F264" s="393"/>
      <c r="G264" s="393"/>
      <c r="H264" s="393"/>
      <c r="I264" s="393"/>
      <c r="J264" s="393"/>
      <c r="K264" s="393"/>
      <c r="L264" s="393"/>
      <c r="M264" s="393"/>
      <c r="N264" s="393"/>
      <c r="O264" s="393"/>
      <c r="P264" s="393"/>
      <c r="Q264" s="393"/>
      <c r="R264" s="393"/>
      <c r="S264" s="393"/>
      <c r="T264" s="393"/>
      <c r="U264" s="393"/>
      <c r="V264" s="393"/>
      <c r="W264" s="393"/>
      <c r="X264" s="393"/>
      <c r="Y264" s="393"/>
      <c r="Z264" s="393"/>
    </row>
    <row r="265" ht="12.75" customHeight="1">
      <c r="A265" s="393"/>
      <c r="B265" s="393"/>
      <c r="C265" s="393"/>
      <c r="D265" s="393"/>
      <c r="E265" s="393"/>
      <c r="F265" s="393"/>
      <c r="G265" s="393"/>
      <c r="H265" s="393"/>
      <c r="I265" s="393"/>
      <c r="J265" s="393"/>
      <c r="K265" s="393"/>
      <c r="L265" s="393"/>
      <c r="M265" s="393"/>
      <c r="N265" s="393"/>
      <c r="O265" s="393"/>
      <c r="P265" s="393"/>
      <c r="Q265" s="393"/>
      <c r="R265" s="393"/>
      <c r="S265" s="393"/>
      <c r="T265" s="393"/>
      <c r="U265" s="393"/>
      <c r="V265" s="393"/>
      <c r="W265" s="393"/>
      <c r="X265" s="393"/>
      <c r="Y265" s="393"/>
      <c r="Z265" s="393"/>
    </row>
    <row r="266" ht="12.75" customHeight="1">
      <c r="A266" s="393"/>
      <c r="B266" s="393"/>
      <c r="C266" s="393"/>
      <c r="D266" s="393"/>
      <c r="E266" s="393"/>
      <c r="F266" s="393"/>
      <c r="G266" s="393"/>
      <c r="H266" s="393"/>
      <c r="I266" s="393"/>
      <c r="J266" s="393"/>
      <c r="K266" s="393"/>
      <c r="L266" s="393"/>
      <c r="M266" s="393"/>
      <c r="N266" s="393"/>
      <c r="O266" s="393"/>
      <c r="P266" s="393"/>
      <c r="Q266" s="393"/>
      <c r="R266" s="393"/>
      <c r="S266" s="393"/>
      <c r="T266" s="393"/>
      <c r="U266" s="393"/>
      <c r="V266" s="393"/>
      <c r="W266" s="393"/>
      <c r="X266" s="393"/>
      <c r="Y266" s="393"/>
      <c r="Z266" s="393"/>
    </row>
    <row r="267" ht="12.75" customHeight="1">
      <c r="A267" s="393"/>
      <c r="B267" s="393"/>
      <c r="C267" s="393"/>
      <c r="D267" s="393"/>
      <c r="E267" s="393"/>
      <c r="F267" s="393"/>
      <c r="G267" s="393"/>
      <c r="H267" s="393"/>
      <c r="I267" s="393"/>
      <c r="J267" s="393"/>
      <c r="K267" s="393"/>
      <c r="L267" s="393"/>
      <c r="M267" s="393"/>
      <c r="N267" s="393"/>
      <c r="O267" s="393"/>
      <c r="P267" s="393"/>
      <c r="Q267" s="393"/>
      <c r="R267" s="393"/>
      <c r="S267" s="393"/>
      <c r="T267" s="393"/>
      <c r="U267" s="393"/>
      <c r="V267" s="393"/>
      <c r="W267" s="393"/>
      <c r="X267" s="393"/>
      <c r="Y267" s="393"/>
      <c r="Z267" s="393"/>
    </row>
    <row r="268" ht="12.75" customHeight="1">
      <c r="A268" s="393"/>
      <c r="B268" s="393"/>
      <c r="C268" s="393"/>
      <c r="D268" s="393"/>
      <c r="E268" s="393"/>
      <c r="F268" s="393"/>
      <c r="G268" s="393"/>
      <c r="H268" s="393"/>
      <c r="I268" s="393"/>
      <c r="J268" s="393"/>
      <c r="K268" s="393"/>
      <c r="L268" s="393"/>
      <c r="M268" s="393"/>
      <c r="N268" s="393"/>
      <c r="O268" s="393"/>
      <c r="P268" s="393"/>
      <c r="Q268" s="393"/>
      <c r="R268" s="393"/>
      <c r="S268" s="393"/>
      <c r="T268" s="393"/>
      <c r="U268" s="393"/>
      <c r="V268" s="393"/>
      <c r="W268" s="393"/>
      <c r="X268" s="393"/>
      <c r="Y268" s="393"/>
      <c r="Z268" s="393"/>
    </row>
    <row r="269" ht="12.75" customHeight="1">
      <c r="A269" s="393"/>
      <c r="B269" s="393"/>
      <c r="C269" s="393"/>
      <c r="D269" s="393"/>
      <c r="E269" s="393"/>
      <c r="F269" s="393"/>
      <c r="G269" s="393"/>
      <c r="H269" s="393"/>
      <c r="I269" s="393"/>
      <c r="J269" s="393"/>
      <c r="K269" s="393"/>
      <c r="L269" s="393"/>
      <c r="M269" s="393"/>
      <c r="N269" s="393"/>
      <c r="O269" s="393"/>
      <c r="P269" s="393"/>
      <c r="Q269" s="393"/>
      <c r="R269" s="393"/>
      <c r="S269" s="393"/>
      <c r="T269" s="393"/>
      <c r="U269" s="393"/>
      <c r="V269" s="393"/>
      <c r="W269" s="393"/>
      <c r="X269" s="393"/>
      <c r="Y269" s="393"/>
      <c r="Z269" s="393"/>
    </row>
    <row r="270" ht="12.75" customHeight="1">
      <c r="A270" s="393"/>
      <c r="B270" s="393"/>
      <c r="C270" s="393"/>
      <c r="D270" s="393"/>
      <c r="E270" s="393"/>
      <c r="F270" s="393"/>
      <c r="G270" s="393"/>
      <c r="H270" s="393"/>
      <c r="I270" s="393"/>
      <c r="J270" s="393"/>
      <c r="K270" s="393"/>
      <c r="L270" s="393"/>
      <c r="M270" s="393"/>
      <c r="N270" s="393"/>
      <c r="O270" s="393"/>
      <c r="P270" s="393"/>
      <c r="Q270" s="393"/>
      <c r="R270" s="393"/>
      <c r="S270" s="393"/>
      <c r="T270" s="393"/>
      <c r="U270" s="393"/>
      <c r="V270" s="393"/>
      <c r="W270" s="393"/>
      <c r="X270" s="393"/>
      <c r="Y270" s="393"/>
      <c r="Z270" s="393"/>
    </row>
    <row r="271" ht="12.75" customHeight="1">
      <c r="A271" s="393"/>
      <c r="B271" s="393"/>
      <c r="C271" s="393"/>
      <c r="D271" s="393"/>
      <c r="E271" s="393"/>
      <c r="F271" s="393"/>
      <c r="G271" s="393"/>
      <c r="H271" s="393"/>
      <c r="I271" s="393"/>
      <c r="J271" s="393"/>
      <c r="K271" s="393"/>
      <c r="L271" s="393"/>
      <c r="M271" s="393"/>
      <c r="N271" s="393"/>
      <c r="O271" s="393"/>
      <c r="P271" s="393"/>
      <c r="Q271" s="393"/>
      <c r="R271" s="393"/>
      <c r="S271" s="393"/>
      <c r="T271" s="393"/>
      <c r="U271" s="393"/>
      <c r="V271" s="393"/>
      <c r="W271" s="393"/>
      <c r="X271" s="393"/>
      <c r="Y271" s="393"/>
      <c r="Z271" s="393"/>
    </row>
    <row r="272" ht="12.75" customHeight="1">
      <c r="A272" s="393"/>
      <c r="B272" s="393"/>
      <c r="C272" s="393"/>
      <c r="D272" s="393"/>
      <c r="E272" s="393"/>
      <c r="F272" s="393"/>
      <c r="G272" s="393"/>
      <c r="H272" s="393"/>
      <c r="I272" s="393"/>
      <c r="J272" s="393"/>
      <c r="K272" s="393"/>
      <c r="L272" s="393"/>
      <c r="M272" s="393"/>
      <c r="N272" s="393"/>
      <c r="O272" s="393"/>
      <c r="P272" s="393"/>
      <c r="Q272" s="393"/>
      <c r="R272" s="393"/>
      <c r="S272" s="393"/>
      <c r="T272" s="393"/>
      <c r="U272" s="393"/>
      <c r="V272" s="393"/>
      <c r="W272" s="393"/>
      <c r="X272" s="393"/>
      <c r="Y272" s="393"/>
      <c r="Z272" s="393"/>
    </row>
    <row r="273" ht="12.75" customHeight="1">
      <c r="A273" s="393"/>
      <c r="B273" s="393"/>
      <c r="C273" s="393"/>
      <c r="D273" s="393"/>
      <c r="E273" s="393"/>
      <c r="F273" s="393"/>
      <c r="G273" s="393"/>
      <c r="H273" s="393"/>
      <c r="I273" s="393"/>
      <c r="J273" s="393"/>
      <c r="K273" s="393"/>
      <c r="L273" s="393"/>
      <c r="M273" s="393"/>
      <c r="N273" s="393"/>
      <c r="O273" s="393"/>
      <c r="P273" s="393"/>
      <c r="Q273" s="393"/>
      <c r="R273" s="393"/>
      <c r="S273" s="393"/>
      <c r="T273" s="393"/>
      <c r="U273" s="393"/>
      <c r="V273" s="393"/>
      <c r="W273" s="393"/>
      <c r="X273" s="393"/>
      <c r="Y273" s="393"/>
      <c r="Z273" s="393"/>
    </row>
    <row r="274" ht="12.75" customHeight="1">
      <c r="A274" s="393"/>
      <c r="B274" s="393"/>
      <c r="C274" s="393"/>
      <c r="D274" s="393"/>
      <c r="E274" s="393"/>
      <c r="F274" s="393"/>
      <c r="G274" s="393"/>
      <c r="H274" s="393"/>
      <c r="I274" s="393"/>
      <c r="J274" s="393"/>
      <c r="K274" s="393"/>
      <c r="L274" s="393"/>
      <c r="M274" s="393"/>
      <c r="N274" s="393"/>
      <c r="O274" s="393"/>
      <c r="P274" s="393"/>
      <c r="Q274" s="393"/>
      <c r="R274" s="393"/>
      <c r="S274" s="393"/>
      <c r="T274" s="393"/>
      <c r="U274" s="393"/>
      <c r="V274" s="393"/>
      <c r="W274" s="393"/>
      <c r="X274" s="393"/>
      <c r="Y274" s="393"/>
      <c r="Z274" s="393"/>
    </row>
    <row r="275" ht="12.75" customHeight="1">
      <c r="A275" s="393"/>
      <c r="B275" s="393"/>
      <c r="C275" s="393"/>
      <c r="D275" s="393"/>
      <c r="E275" s="393"/>
      <c r="F275" s="393"/>
      <c r="G275" s="393"/>
      <c r="H275" s="393"/>
      <c r="I275" s="393"/>
      <c r="J275" s="393"/>
      <c r="K275" s="393"/>
      <c r="L275" s="393"/>
      <c r="M275" s="393"/>
      <c r="N275" s="393"/>
      <c r="O275" s="393"/>
      <c r="P275" s="393"/>
      <c r="Q275" s="393"/>
      <c r="R275" s="393"/>
      <c r="S275" s="393"/>
      <c r="T275" s="393"/>
      <c r="U275" s="393"/>
      <c r="V275" s="393"/>
      <c r="W275" s="393"/>
      <c r="X275" s="393"/>
      <c r="Y275" s="393"/>
      <c r="Z275" s="393"/>
    </row>
    <row r="276" ht="12.75" customHeight="1">
      <c r="A276" s="393"/>
      <c r="B276" s="393"/>
      <c r="C276" s="393"/>
      <c r="D276" s="393"/>
      <c r="E276" s="393"/>
      <c r="F276" s="393"/>
      <c r="G276" s="393"/>
      <c r="H276" s="393"/>
      <c r="I276" s="393"/>
      <c r="J276" s="393"/>
      <c r="K276" s="393"/>
      <c r="L276" s="393"/>
      <c r="M276" s="393"/>
      <c r="N276" s="393"/>
      <c r="O276" s="393"/>
      <c r="P276" s="393"/>
      <c r="Q276" s="393"/>
      <c r="R276" s="393"/>
      <c r="S276" s="393"/>
      <c r="T276" s="393"/>
      <c r="U276" s="393"/>
      <c r="V276" s="393"/>
      <c r="W276" s="393"/>
      <c r="X276" s="393"/>
      <c r="Y276" s="393"/>
      <c r="Z276" s="393"/>
    </row>
    <row r="277" ht="12.75" customHeight="1">
      <c r="A277" s="393"/>
      <c r="B277" s="393"/>
      <c r="C277" s="393"/>
      <c r="D277" s="393"/>
      <c r="E277" s="393"/>
      <c r="F277" s="393"/>
      <c r="G277" s="393"/>
      <c r="H277" s="393"/>
      <c r="I277" s="393"/>
      <c r="J277" s="393"/>
      <c r="K277" s="393"/>
      <c r="L277" s="393"/>
      <c r="M277" s="393"/>
      <c r="N277" s="393"/>
      <c r="O277" s="393"/>
      <c r="P277" s="393"/>
      <c r="Q277" s="393"/>
      <c r="R277" s="393"/>
      <c r="S277" s="393"/>
      <c r="T277" s="393"/>
      <c r="U277" s="393"/>
      <c r="V277" s="393"/>
      <c r="W277" s="393"/>
      <c r="X277" s="393"/>
      <c r="Y277" s="393"/>
      <c r="Z277" s="393"/>
    </row>
    <row r="278" ht="12.75" customHeight="1">
      <c r="A278" s="393"/>
      <c r="B278" s="393"/>
      <c r="C278" s="393"/>
      <c r="D278" s="393"/>
      <c r="E278" s="393"/>
      <c r="F278" s="393"/>
      <c r="G278" s="393"/>
      <c r="H278" s="393"/>
      <c r="I278" s="393"/>
      <c r="J278" s="393"/>
      <c r="K278" s="393"/>
      <c r="L278" s="393"/>
      <c r="M278" s="393"/>
      <c r="N278" s="393"/>
      <c r="O278" s="393"/>
      <c r="P278" s="393"/>
      <c r="Q278" s="393"/>
      <c r="R278" s="393"/>
      <c r="S278" s="393"/>
      <c r="T278" s="393"/>
      <c r="U278" s="393"/>
      <c r="V278" s="393"/>
      <c r="W278" s="393"/>
      <c r="X278" s="393"/>
      <c r="Y278" s="393"/>
      <c r="Z278" s="393"/>
    </row>
    <row r="279" ht="12.75" customHeight="1">
      <c r="A279" s="393"/>
      <c r="B279" s="393"/>
      <c r="C279" s="393"/>
      <c r="D279" s="393"/>
      <c r="E279" s="393"/>
      <c r="F279" s="393"/>
      <c r="G279" s="393"/>
      <c r="H279" s="393"/>
      <c r="I279" s="393"/>
      <c r="J279" s="393"/>
      <c r="K279" s="393"/>
      <c r="L279" s="393"/>
      <c r="M279" s="393"/>
      <c r="N279" s="393"/>
      <c r="O279" s="393"/>
      <c r="P279" s="393"/>
      <c r="Q279" s="393"/>
      <c r="R279" s="393"/>
      <c r="S279" s="393"/>
      <c r="T279" s="393"/>
      <c r="U279" s="393"/>
      <c r="V279" s="393"/>
      <c r="W279" s="393"/>
      <c r="X279" s="393"/>
      <c r="Y279" s="393"/>
      <c r="Z279" s="393"/>
    </row>
    <row r="280" ht="12.75" customHeight="1">
      <c r="A280" s="393"/>
      <c r="B280" s="393"/>
      <c r="C280" s="393"/>
      <c r="D280" s="393"/>
      <c r="E280" s="393"/>
      <c r="F280" s="393"/>
      <c r="G280" s="393"/>
      <c r="H280" s="393"/>
      <c r="I280" s="393"/>
      <c r="J280" s="393"/>
      <c r="K280" s="393"/>
      <c r="L280" s="393"/>
      <c r="M280" s="393"/>
      <c r="N280" s="393"/>
      <c r="O280" s="393"/>
      <c r="P280" s="393"/>
      <c r="Q280" s="393"/>
      <c r="R280" s="393"/>
      <c r="S280" s="393"/>
      <c r="T280" s="393"/>
      <c r="U280" s="393"/>
      <c r="V280" s="393"/>
      <c r="W280" s="393"/>
      <c r="X280" s="393"/>
      <c r="Y280" s="393"/>
      <c r="Z280" s="393"/>
    </row>
    <row r="281" ht="12.75" customHeight="1">
      <c r="A281" s="393"/>
      <c r="B281" s="393"/>
      <c r="C281" s="393"/>
      <c r="D281" s="393"/>
      <c r="E281" s="393"/>
      <c r="F281" s="393"/>
      <c r="G281" s="393"/>
      <c r="H281" s="393"/>
      <c r="I281" s="393"/>
      <c r="J281" s="393"/>
      <c r="K281" s="393"/>
      <c r="L281" s="393"/>
      <c r="M281" s="393"/>
      <c r="N281" s="393"/>
      <c r="O281" s="393"/>
      <c r="P281" s="393"/>
      <c r="Q281" s="393"/>
      <c r="R281" s="393"/>
      <c r="S281" s="393"/>
      <c r="T281" s="393"/>
      <c r="U281" s="393"/>
      <c r="V281" s="393"/>
      <c r="W281" s="393"/>
      <c r="X281" s="393"/>
      <c r="Y281" s="393"/>
      <c r="Z281" s="393"/>
    </row>
    <row r="282" ht="12.75" customHeight="1">
      <c r="A282" s="393"/>
      <c r="B282" s="393"/>
      <c r="C282" s="393"/>
      <c r="D282" s="393"/>
      <c r="E282" s="393"/>
      <c r="F282" s="393"/>
      <c r="G282" s="393"/>
      <c r="H282" s="393"/>
      <c r="I282" s="393"/>
      <c r="J282" s="393"/>
      <c r="K282" s="393"/>
      <c r="L282" s="393"/>
      <c r="M282" s="393"/>
      <c r="N282" s="393"/>
      <c r="O282" s="393"/>
      <c r="P282" s="393"/>
      <c r="Q282" s="393"/>
      <c r="R282" s="393"/>
      <c r="S282" s="393"/>
      <c r="T282" s="393"/>
      <c r="U282" s="393"/>
      <c r="V282" s="393"/>
      <c r="W282" s="393"/>
      <c r="X282" s="393"/>
      <c r="Y282" s="393"/>
      <c r="Z282" s="393"/>
    </row>
    <row r="283" ht="12.75" customHeight="1">
      <c r="A283" s="393"/>
      <c r="B283" s="393"/>
      <c r="C283" s="393"/>
      <c r="D283" s="393"/>
      <c r="E283" s="393"/>
      <c r="F283" s="393"/>
      <c r="G283" s="393"/>
      <c r="H283" s="393"/>
      <c r="I283" s="393"/>
      <c r="J283" s="393"/>
      <c r="K283" s="393"/>
      <c r="L283" s="393"/>
      <c r="M283" s="393"/>
      <c r="N283" s="393"/>
      <c r="O283" s="393"/>
      <c r="P283" s="393"/>
      <c r="Q283" s="393"/>
      <c r="R283" s="393"/>
      <c r="S283" s="393"/>
      <c r="T283" s="393"/>
      <c r="U283" s="393"/>
      <c r="V283" s="393"/>
      <c r="W283" s="393"/>
      <c r="X283" s="393"/>
      <c r="Y283" s="393"/>
      <c r="Z283" s="393"/>
    </row>
    <row r="284" ht="12.75" customHeight="1">
      <c r="A284" s="393"/>
      <c r="B284" s="393"/>
      <c r="C284" s="393"/>
      <c r="D284" s="393"/>
      <c r="E284" s="393"/>
      <c r="F284" s="393"/>
      <c r="G284" s="393"/>
      <c r="H284" s="393"/>
      <c r="I284" s="393"/>
      <c r="J284" s="393"/>
      <c r="K284" s="393"/>
      <c r="L284" s="393"/>
      <c r="M284" s="393"/>
      <c r="N284" s="393"/>
      <c r="O284" s="393"/>
      <c r="P284" s="393"/>
      <c r="Q284" s="393"/>
      <c r="R284" s="393"/>
      <c r="S284" s="393"/>
      <c r="T284" s="393"/>
      <c r="U284" s="393"/>
      <c r="V284" s="393"/>
      <c r="W284" s="393"/>
      <c r="X284" s="393"/>
      <c r="Y284" s="393"/>
      <c r="Z284" s="393"/>
    </row>
    <row r="285" ht="12.75" customHeight="1">
      <c r="A285" s="393"/>
      <c r="B285" s="393"/>
      <c r="C285" s="393"/>
      <c r="D285" s="393"/>
      <c r="E285" s="393"/>
      <c r="F285" s="393"/>
      <c r="G285" s="393"/>
      <c r="H285" s="393"/>
      <c r="I285" s="393"/>
      <c r="J285" s="393"/>
      <c r="K285" s="393"/>
      <c r="L285" s="393"/>
      <c r="M285" s="393"/>
      <c r="N285" s="393"/>
      <c r="O285" s="393"/>
      <c r="P285" s="393"/>
      <c r="Q285" s="393"/>
      <c r="R285" s="393"/>
      <c r="S285" s="393"/>
      <c r="T285" s="393"/>
      <c r="U285" s="393"/>
      <c r="V285" s="393"/>
      <c r="W285" s="393"/>
      <c r="X285" s="393"/>
      <c r="Y285" s="393"/>
      <c r="Z285" s="393"/>
    </row>
    <row r="286" ht="12.75" customHeight="1">
      <c r="A286" s="393"/>
      <c r="B286" s="393"/>
      <c r="C286" s="393"/>
      <c r="D286" s="393"/>
      <c r="E286" s="393"/>
      <c r="F286" s="393"/>
      <c r="G286" s="393"/>
      <c r="H286" s="393"/>
      <c r="I286" s="393"/>
      <c r="J286" s="393"/>
      <c r="K286" s="393"/>
      <c r="L286" s="393"/>
      <c r="M286" s="393"/>
      <c r="N286" s="393"/>
      <c r="O286" s="393"/>
      <c r="P286" s="393"/>
      <c r="Q286" s="393"/>
      <c r="R286" s="393"/>
      <c r="S286" s="393"/>
      <c r="T286" s="393"/>
      <c r="U286" s="393"/>
      <c r="V286" s="393"/>
      <c r="W286" s="393"/>
      <c r="X286" s="393"/>
      <c r="Y286" s="393"/>
      <c r="Z286" s="393"/>
    </row>
    <row r="287" ht="12.75" customHeight="1">
      <c r="A287" s="393"/>
      <c r="B287" s="393"/>
      <c r="C287" s="393"/>
      <c r="D287" s="393"/>
      <c r="E287" s="393"/>
      <c r="F287" s="393"/>
      <c r="G287" s="393"/>
      <c r="H287" s="393"/>
      <c r="I287" s="393"/>
      <c r="J287" s="393"/>
      <c r="K287" s="393"/>
      <c r="L287" s="393"/>
      <c r="M287" s="393"/>
      <c r="N287" s="393"/>
      <c r="O287" s="393"/>
      <c r="P287" s="393"/>
      <c r="Q287" s="393"/>
      <c r="R287" s="393"/>
      <c r="S287" s="393"/>
      <c r="T287" s="393"/>
      <c r="U287" s="393"/>
      <c r="V287" s="393"/>
      <c r="W287" s="393"/>
      <c r="X287" s="393"/>
      <c r="Y287" s="393"/>
      <c r="Z287" s="393"/>
    </row>
    <row r="288" ht="12.75" customHeight="1">
      <c r="A288" s="393"/>
      <c r="B288" s="393"/>
      <c r="C288" s="393"/>
      <c r="D288" s="393"/>
      <c r="E288" s="393"/>
      <c r="F288" s="393"/>
      <c r="G288" s="393"/>
      <c r="H288" s="393"/>
      <c r="I288" s="393"/>
      <c r="J288" s="393"/>
      <c r="K288" s="393"/>
      <c r="L288" s="393"/>
      <c r="M288" s="393"/>
      <c r="N288" s="393"/>
      <c r="O288" s="393"/>
      <c r="P288" s="393"/>
      <c r="Q288" s="393"/>
      <c r="R288" s="393"/>
      <c r="S288" s="393"/>
      <c r="T288" s="393"/>
      <c r="U288" s="393"/>
      <c r="V288" s="393"/>
      <c r="W288" s="393"/>
      <c r="X288" s="393"/>
      <c r="Y288" s="393"/>
      <c r="Z288" s="393"/>
    </row>
    <row r="289" ht="12.75" customHeight="1">
      <c r="A289" s="393"/>
      <c r="B289" s="393"/>
      <c r="C289" s="393"/>
      <c r="D289" s="393"/>
      <c r="E289" s="393"/>
      <c r="F289" s="393"/>
      <c r="G289" s="393"/>
      <c r="H289" s="393"/>
      <c r="I289" s="393"/>
      <c r="J289" s="393"/>
      <c r="K289" s="393"/>
      <c r="L289" s="393"/>
      <c r="M289" s="393"/>
      <c r="N289" s="393"/>
      <c r="O289" s="393"/>
      <c r="P289" s="393"/>
      <c r="Q289" s="393"/>
      <c r="R289" s="393"/>
      <c r="S289" s="393"/>
      <c r="T289" s="393"/>
      <c r="U289" s="393"/>
      <c r="V289" s="393"/>
      <c r="W289" s="393"/>
      <c r="X289" s="393"/>
      <c r="Y289" s="393"/>
      <c r="Z289" s="393"/>
    </row>
    <row r="290" ht="12.75" customHeight="1">
      <c r="A290" s="393"/>
      <c r="B290" s="393"/>
      <c r="C290" s="393"/>
      <c r="D290" s="393"/>
      <c r="E290" s="393"/>
      <c r="F290" s="393"/>
      <c r="G290" s="393"/>
      <c r="H290" s="393"/>
      <c r="I290" s="393"/>
      <c r="J290" s="393"/>
      <c r="K290" s="393"/>
      <c r="L290" s="393"/>
      <c r="M290" s="393"/>
      <c r="N290" s="393"/>
      <c r="O290" s="393"/>
      <c r="P290" s="393"/>
      <c r="Q290" s="393"/>
      <c r="R290" s="393"/>
      <c r="S290" s="393"/>
      <c r="T290" s="393"/>
      <c r="U290" s="393"/>
      <c r="V290" s="393"/>
      <c r="W290" s="393"/>
      <c r="X290" s="393"/>
      <c r="Y290" s="393"/>
      <c r="Z290" s="393"/>
    </row>
    <row r="291" ht="12.75" customHeight="1">
      <c r="A291" s="393"/>
      <c r="B291" s="393"/>
      <c r="C291" s="393"/>
      <c r="D291" s="393"/>
      <c r="E291" s="393"/>
      <c r="F291" s="393"/>
      <c r="G291" s="393"/>
      <c r="H291" s="393"/>
      <c r="I291" s="393"/>
      <c r="J291" s="393"/>
      <c r="K291" s="393"/>
      <c r="L291" s="393"/>
      <c r="M291" s="393"/>
      <c r="N291" s="393"/>
      <c r="O291" s="393"/>
      <c r="P291" s="393"/>
      <c r="Q291" s="393"/>
      <c r="R291" s="393"/>
      <c r="S291" s="393"/>
      <c r="T291" s="393"/>
      <c r="U291" s="393"/>
      <c r="V291" s="393"/>
      <c r="W291" s="393"/>
      <c r="X291" s="393"/>
      <c r="Y291" s="393"/>
      <c r="Z291" s="393"/>
    </row>
    <row r="292" ht="12.75" customHeight="1">
      <c r="A292" s="393"/>
      <c r="B292" s="393"/>
      <c r="C292" s="393"/>
      <c r="D292" s="393"/>
      <c r="E292" s="393"/>
      <c r="F292" s="393"/>
      <c r="G292" s="393"/>
      <c r="H292" s="393"/>
      <c r="I292" s="393"/>
      <c r="J292" s="393"/>
      <c r="K292" s="393"/>
      <c r="L292" s="393"/>
      <c r="M292" s="393"/>
      <c r="N292" s="393"/>
      <c r="O292" s="393"/>
      <c r="P292" s="393"/>
      <c r="Q292" s="393"/>
      <c r="R292" s="393"/>
      <c r="S292" s="393"/>
      <c r="T292" s="393"/>
      <c r="U292" s="393"/>
      <c r="V292" s="393"/>
      <c r="W292" s="393"/>
      <c r="X292" s="393"/>
      <c r="Y292" s="393"/>
      <c r="Z292" s="393"/>
    </row>
    <row r="293" ht="12.75" customHeight="1">
      <c r="A293" s="393"/>
      <c r="B293" s="393"/>
      <c r="C293" s="393"/>
      <c r="D293" s="393"/>
      <c r="E293" s="393"/>
      <c r="F293" s="393"/>
      <c r="G293" s="393"/>
      <c r="H293" s="393"/>
      <c r="I293" s="393"/>
      <c r="J293" s="393"/>
      <c r="K293" s="393"/>
      <c r="L293" s="393"/>
      <c r="M293" s="393"/>
      <c r="N293" s="393"/>
      <c r="O293" s="393"/>
      <c r="P293" s="393"/>
      <c r="Q293" s="393"/>
      <c r="R293" s="393"/>
      <c r="S293" s="393"/>
      <c r="T293" s="393"/>
      <c r="U293" s="393"/>
      <c r="V293" s="393"/>
      <c r="W293" s="393"/>
      <c r="X293" s="393"/>
      <c r="Y293" s="393"/>
      <c r="Z293" s="393"/>
    </row>
    <row r="294" ht="12.75" customHeight="1">
      <c r="A294" s="393"/>
      <c r="B294" s="393"/>
      <c r="C294" s="393"/>
      <c r="D294" s="393"/>
      <c r="E294" s="393"/>
      <c r="F294" s="393"/>
      <c r="G294" s="393"/>
      <c r="H294" s="393"/>
      <c r="I294" s="393"/>
      <c r="J294" s="393"/>
      <c r="K294" s="393"/>
      <c r="L294" s="393"/>
      <c r="M294" s="393"/>
      <c r="N294" s="393"/>
      <c r="O294" s="393"/>
      <c r="P294" s="393"/>
      <c r="Q294" s="393"/>
      <c r="R294" s="393"/>
      <c r="S294" s="393"/>
      <c r="T294" s="393"/>
      <c r="U294" s="393"/>
      <c r="V294" s="393"/>
      <c r="W294" s="393"/>
      <c r="X294" s="393"/>
      <c r="Y294" s="393"/>
      <c r="Z294" s="393"/>
    </row>
    <row r="295" ht="12.75" customHeight="1">
      <c r="A295" s="393"/>
      <c r="B295" s="393"/>
      <c r="C295" s="393"/>
      <c r="D295" s="393"/>
      <c r="E295" s="393"/>
      <c r="F295" s="393"/>
      <c r="G295" s="393"/>
      <c r="H295" s="393"/>
      <c r="I295" s="393"/>
      <c r="J295" s="393"/>
      <c r="K295" s="393"/>
      <c r="L295" s="393"/>
      <c r="M295" s="393"/>
      <c r="N295" s="393"/>
      <c r="O295" s="393"/>
      <c r="P295" s="393"/>
      <c r="Q295" s="393"/>
      <c r="R295" s="393"/>
      <c r="S295" s="393"/>
      <c r="T295" s="393"/>
      <c r="U295" s="393"/>
      <c r="V295" s="393"/>
      <c r="W295" s="393"/>
      <c r="X295" s="393"/>
      <c r="Y295" s="393"/>
      <c r="Z295" s="393"/>
    </row>
    <row r="296" ht="12.75" customHeight="1">
      <c r="A296" s="393"/>
      <c r="B296" s="393"/>
      <c r="C296" s="393"/>
      <c r="D296" s="393"/>
      <c r="E296" s="393"/>
      <c r="F296" s="393"/>
      <c r="G296" s="393"/>
      <c r="H296" s="393"/>
      <c r="I296" s="393"/>
      <c r="J296" s="393"/>
      <c r="K296" s="393"/>
      <c r="L296" s="393"/>
      <c r="M296" s="393"/>
      <c r="N296" s="393"/>
      <c r="O296" s="393"/>
      <c r="P296" s="393"/>
      <c r="Q296" s="393"/>
      <c r="R296" s="393"/>
      <c r="S296" s="393"/>
      <c r="T296" s="393"/>
      <c r="U296" s="393"/>
      <c r="V296" s="393"/>
      <c r="W296" s="393"/>
      <c r="X296" s="393"/>
      <c r="Y296" s="393"/>
      <c r="Z296" s="393"/>
    </row>
    <row r="297" ht="12.75" customHeight="1">
      <c r="A297" s="393"/>
      <c r="B297" s="393"/>
      <c r="C297" s="393"/>
      <c r="D297" s="393"/>
      <c r="E297" s="393"/>
      <c r="F297" s="393"/>
      <c r="G297" s="393"/>
      <c r="H297" s="393"/>
      <c r="I297" s="393"/>
      <c r="J297" s="393"/>
      <c r="K297" s="393"/>
      <c r="L297" s="393"/>
      <c r="M297" s="393"/>
      <c r="N297" s="393"/>
      <c r="O297" s="393"/>
      <c r="P297" s="393"/>
      <c r="Q297" s="393"/>
      <c r="R297" s="393"/>
      <c r="S297" s="393"/>
      <c r="T297" s="393"/>
      <c r="U297" s="393"/>
      <c r="V297" s="393"/>
      <c r="W297" s="393"/>
      <c r="X297" s="393"/>
      <c r="Y297" s="393"/>
      <c r="Z297" s="393"/>
    </row>
    <row r="298" ht="12.75" customHeight="1">
      <c r="A298" s="393"/>
      <c r="B298" s="393"/>
      <c r="C298" s="393"/>
      <c r="D298" s="393"/>
      <c r="E298" s="393"/>
      <c r="F298" s="393"/>
      <c r="G298" s="393"/>
      <c r="H298" s="393"/>
      <c r="I298" s="393"/>
      <c r="J298" s="393"/>
      <c r="K298" s="393"/>
      <c r="L298" s="393"/>
      <c r="M298" s="393"/>
      <c r="N298" s="393"/>
      <c r="O298" s="393"/>
      <c r="P298" s="393"/>
      <c r="Q298" s="393"/>
      <c r="R298" s="393"/>
      <c r="S298" s="393"/>
      <c r="T298" s="393"/>
      <c r="U298" s="393"/>
      <c r="V298" s="393"/>
      <c r="W298" s="393"/>
      <c r="X298" s="393"/>
      <c r="Y298" s="393"/>
      <c r="Z298" s="393"/>
    </row>
    <row r="299" ht="12.75" customHeight="1">
      <c r="A299" s="393"/>
      <c r="B299" s="393"/>
      <c r="C299" s="393"/>
      <c r="D299" s="393"/>
      <c r="E299" s="393"/>
      <c r="F299" s="393"/>
      <c r="G299" s="393"/>
      <c r="H299" s="393"/>
      <c r="I299" s="393"/>
      <c r="J299" s="393"/>
      <c r="K299" s="393"/>
      <c r="L299" s="393"/>
      <c r="M299" s="393"/>
      <c r="N299" s="393"/>
      <c r="O299" s="393"/>
      <c r="P299" s="393"/>
      <c r="Q299" s="393"/>
      <c r="R299" s="393"/>
      <c r="S299" s="393"/>
      <c r="T299" s="393"/>
      <c r="U299" s="393"/>
      <c r="V299" s="393"/>
      <c r="W299" s="393"/>
      <c r="X299" s="393"/>
      <c r="Y299" s="393"/>
      <c r="Z299" s="393"/>
    </row>
    <row r="300" ht="12.75" customHeight="1">
      <c r="A300" s="393"/>
      <c r="B300" s="393"/>
      <c r="C300" s="393"/>
      <c r="D300" s="393"/>
      <c r="E300" s="393"/>
      <c r="F300" s="393"/>
      <c r="G300" s="393"/>
      <c r="H300" s="393"/>
      <c r="I300" s="393"/>
      <c r="J300" s="393"/>
      <c r="K300" s="393"/>
      <c r="L300" s="393"/>
      <c r="M300" s="393"/>
      <c r="N300" s="393"/>
      <c r="O300" s="393"/>
      <c r="P300" s="393"/>
      <c r="Q300" s="393"/>
      <c r="R300" s="393"/>
      <c r="S300" s="393"/>
      <c r="T300" s="393"/>
      <c r="U300" s="393"/>
      <c r="V300" s="393"/>
      <c r="W300" s="393"/>
      <c r="X300" s="393"/>
      <c r="Y300" s="393"/>
      <c r="Z300" s="393"/>
    </row>
    <row r="301" ht="12.75" customHeight="1">
      <c r="A301" s="393"/>
      <c r="B301" s="393"/>
      <c r="C301" s="393"/>
      <c r="D301" s="393"/>
      <c r="E301" s="393"/>
      <c r="F301" s="393"/>
      <c r="G301" s="393"/>
      <c r="H301" s="393"/>
      <c r="I301" s="393"/>
      <c r="J301" s="393"/>
      <c r="K301" s="393"/>
      <c r="L301" s="393"/>
      <c r="M301" s="393"/>
      <c r="N301" s="393"/>
      <c r="O301" s="393"/>
      <c r="P301" s="393"/>
      <c r="Q301" s="393"/>
      <c r="R301" s="393"/>
      <c r="S301" s="393"/>
      <c r="T301" s="393"/>
      <c r="U301" s="393"/>
      <c r="V301" s="393"/>
      <c r="W301" s="393"/>
      <c r="X301" s="393"/>
      <c r="Y301" s="393"/>
      <c r="Z301" s="393"/>
    </row>
    <row r="302" ht="12.75" customHeight="1">
      <c r="A302" s="393"/>
      <c r="B302" s="393"/>
      <c r="C302" s="393"/>
      <c r="D302" s="393"/>
      <c r="E302" s="393"/>
      <c r="F302" s="393"/>
      <c r="G302" s="393"/>
      <c r="H302" s="393"/>
      <c r="I302" s="393"/>
      <c r="J302" s="393"/>
      <c r="K302" s="393"/>
      <c r="L302" s="393"/>
      <c r="M302" s="393"/>
      <c r="N302" s="393"/>
      <c r="O302" s="393"/>
      <c r="P302" s="393"/>
      <c r="Q302" s="393"/>
      <c r="R302" s="393"/>
      <c r="S302" s="393"/>
      <c r="T302" s="393"/>
      <c r="U302" s="393"/>
      <c r="V302" s="393"/>
      <c r="W302" s="393"/>
      <c r="X302" s="393"/>
      <c r="Y302" s="393"/>
      <c r="Z302" s="393"/>
    </row>
    <row r="303" ht="12.75" customHeight="1">
      <c r="A303" s="393"/>
      <c r="B303" s="393"/>
      <c r="C303" s="393"/>
      <c r="D303" s="393"/>
      <c r="E303" s="393"/>
      <c r="F303" s="393"/>
      <c r="G303" s="393"/>
      <c r="H303" s="393"/>
      <c r="I303" s="393"/>
      <c r="J303" s="393"/>
      <c r="K303" s="393"/>
      <c r="L303" s="393"/>
      <c r="M303" s="393"/>
      <c r="N303" s="393"/>
      <c r="O303" s="393"/>
      <c r="P303" s="393"/>
      <c r="Q303" s="393"/>
      <c r="R303" s="393"/>
      <c r="S303" s="393"/>
      <c r="T303" s="393"/>
      <c r="U303" s="393"/>
      <c r="V303" s="393"/>
      <c r="W303" s="393"/>
      <c r="X303" s="393"/>
      <c r="Y303" s="393"/>
      <c r="Z303" s="393"/>
    </row>
    <row r="304" ht="12.75" customHeight="1">
      <c r="A304" s="393"/>
      <c r="B304" s="393"/>
      <c r="C304" s="393"/>
      <c r="D304" s="393"/>
      <c r="E304" s="393"/>
      <c r="F304" s="393"/>
      <c r="G304" s="393"/>
      <c r="H304" s="393"/>
      <c r="I304" s="393"/>
      <c r="J304" s="393"/>
      <c r="K304" s="393"/>
      <c r="L304" s="393"/>
      <c r="M304" s="393"/>
      <c r="N304" s="393"/>
      <c r="O304" s="393"/>
      <c r="P304" s="393"/>
      <c r="Q304" s="393"/>
      <c r="R304" s="393"/>
      <c r="S304" s="393"/>
      <c r="T304" s="393"/>
      <c r="U304" s="393"/>
      <c r="V304" s="393"/>
      <c r="W304" s="393"/>
      <c r="X304" s="393"/>
      <c r="Y304" s="393"/>
      <c r="Z304" s="393"/>
    </row>
    <row r="305" ht="12.75" customHeight="1">
      <c r="A305" s="393"/>
      <c r="B305" s="393"/>
      <c r="C305" s="393"/>
      <c r="D305" s="393"/>
      <c r="E305" s="393"/>
      <c r="F305" s="393"/>
      <c r="G305" s="393"/>
      <c r="H305" s="393"/>
      <c r="I305" s="393"/>
      <c r="J305" s="393"/>
      <c r="K305" s="393"/>
      <c r="L305" s="393"/>
      <c r="M305" s="393"/>
      <c r="N305" s="393"/>
      <c r="O305" s="393"/>
      <c r="P305" s="393"/>
      <c r="Q305" s="393"/>
      <c r="R305" s="393"/>
      <c r="S305" s="393"/>
      <c r="T305" s="393"/>
      <c r="U305" s="393"/>
      <c r="V305" s="393"/>
      <c r="W305" s="393"/>
      <c r="X305" s="393"/>
      <c r="Y305" s="393"/>
      <c r="Z305" s="393"/>
    </row>
    <row r="306" ht="12.75" customHeight="1">
      <c r="A306" s="393"/>
      <c r="B306" s="393"/>
      <c r="C306" s="393"/>
      <c r="D306" s="393"/>
      <c r="E306" s="393"/>
      <c r="F306" s="393"/>
      <c r="G306" s="393"/>
      <c r="H306" s="393"/>
      <c r="I306" s="393"/>
      <c r="J306" s="393"/>
      <c r="K306" s="393"/>
      <c r="L306" s="393"/>
      <c r="M306" s="393"/>
      <c r="N306" s="393"/>
      <c r="O306" s="393"/>
      <c r="P306" s="393"/>
      <c r="Q306" s="393"/>
      <c r="R306" s="393"/>
      <c r="S306" s="393"/>
      <c r="T306" s="393"/>
      <c r="U306" s="393"/>
      <c r="V306" s="393"/>
      <c r="W306" s="393"/>
      <c r="X306" s="393"/>
      <c r="Y306" s="393"/>
      <c r="Z306" s="393"/>
    </row>
    <row r="307" ht="12.75" customHeight="1">
      <c r="A307" s="393"/>
      <c r="B307" s="393"/>
      <c r="C307" s="393"/>
      <c r="D307" s="393"/>
      <c r="E307" s="393"/>
      <c r="F307" s="393"/>
      <c r="G307" s="393"/>
      <c r="H307" s="393"/>
      <c r="I307" s="393"/>
      <c r="J307" s="393"/>
      <c r="K307" s="393"/>
      <c r="L307" s="393"/>
      <c r="M307" s="393"/>
      <c r="N307" s="393"/>
      <c r="O307" s="393"/>
      <c r="P307" s="393"/>
      <c r="Q307" s="393"/>
      <c r="R307" s="393"/>
      <c r="S307" s="393"/>
      <c r="T307" s="393"/>
      <c r="U307" s="393"/>
      <c r="V307" s="393"/>
      <c r="W307" s="393"/>
      <c r="X307" s="393"/>
      <c r="Y307" s="393"/>
      <c r="Z307" s="393"/>
    </row>
    <row r="308" ht="12.75" customHeight="1">
      <c r="A308" s="393"/>
      <c r="B308" s="393"/>
      <c r="C308" s="393"/>
      <c r="D308" s="393"/>
      <c r="E308" s="393"/>
      <c r="F308" s="393"/>
      <c r="G308" s="393"/>
      <c r="H308" s="393"/>
      <c r="I308" s="393"/>
      <c r="J308" s="393"/>
      <c r="K308" s="393"/>
      <c r="L308" s="393"/>
      <c r="M308" s="393"/>
      <c r="N308" s="393"/>
      <c r="O308" s="393"/>
      <c r="P308" s="393"/>
      <c r="Q308" s="393"/>
      <c r="R308" s="393"/>
      <c r="S308" s="393"/>
      <c r="T308" s="393"/>
      <c r="U308" s="393"/>
      <c r="V308" s="393"/>
      <c r="W308" s="393"/>
      <c r="X308" s="393"/>
      <c r="Y308" s="393"/>
      <c r="Z308" s="393"/>
    </row>
    <row r="309" ht="12.75" customHeight="1">
      <c r="A309" s="393"/>
      <c r="B309" s="393"/>
      <c r="C309" s="393"/>
      <c r="D309" s="393"/>
      <c r="E309" s="393"/>
      <c r="F309" s="393"/>
      <c r="G309" s="393"/>
      <c r="H309" s="393"/>
      <c r="I309" s="393"/>
      <c r="J309" s="393"/>
      <c r="K309" s="393"/>
      <c r="L309" s="393"/>
      <c r="M309" s="393"/>
      <c r="N309" s="393"/>
      <c r="O309" s="393"/>
      <c r="P309" s="393"/>
      <c r="Q309" s="393"/>
      <c r="R309" s="393"/>
      <c r="S309" s="393"/>
      <c r="T309" s="393"/>
      <c r="U309" s="393"/>
      <c r="V309" s="393"/>
      <c r="W309" s="393"/>
      <c r="X309" s="393"/>
      <c r="Y309" s="393"/>
      <c r="Z309" s="393"/>
    </row>
    <row r="310" ht="12.75" customHeight="1">
      <c r="A310" s="393"/>
      <c r="B310" s="393"/>
      <c r="C310" s="393"/>
      <c r="D310" s="393"/>
      <c r="E310" s="393"/>
      <c r="F310" s="393"/>
      <c r="G310" s="393"/>
      <c r="H310" s="393"/>
      <c r="I310" s="393"/>
      <c r="J310" s="393"/>
      <c r="K310" s="393"/>
      <c r="L310" s="393"/>
      <c r="M310" s="393"/>
      <c r="N310" s="393"/>
      <c r="O310" s="393"/>
      <c r="P310" s="393"/>
      <c r="Q310" s="393"/>
      <c r="R310" s="393"/>
      <c r="S310" s="393"/>
      <c r="T310" s="393"/>
      <c r="U310" s="393"/>
      <c r="V310" s="393"/>
      <c r="W310" s="393"/>
      <c r="X310" s="393"/>
      <c r="Y310" s="393"/>
      <c r="Z310" s="393"/>
    </row>
    <row r="311" ht="12.75" customHeight="1">
      <c r="A311" s="393"/>
      <c r="B311" s="393"/>
      <c r="C311" s="393"/>
      <c r="D311" s="393"/>
      <c r="E311" s="393"/>
      <c r="F311" s="393"/>
      <c r="G311" s="393"/>
      <c r="H311" s="393"/>
      <c r="I311" s="393"/>
      <c r="J311" s="393"/>
      <c r="K311" s="393"/>
      <c r="L311" s="393"/>
      <c r="M311" s="393"/>
      <c r="N311" s="393"/>
      <c r="O311" s="393"/>
      <c r="P311" s="393"/>
      <c r="Q311" s="393"/>
      <c r="R311" s="393"/>
      <c r="S311" s="393"/>
      <c r="T311" s="393"/>
      <c r="U311" s="393"/>
      <c r="V311" s="393"/>
      <c r="W311" s="393"/>
      <c r="X311" s="393"/>
      <c r="Y311" s="393"/>
      <c r="Z311" s="393"/>
    </row>
    <row r="312" ht="12.75" customHeight="1">
      <c r="A312" s="393"/>
      <c r="B312" s="393"/>
      <c r="C312" s="393"/>
      <c r="D312" s="393"/>
      <c r="E312" s="393"/>
      <c r="F312" s="393"/>
      <c r="G312" s="393"/>
      <c r="H312" s="393"/>
      <c r="I312" s="393"/>
      <c r="J312" s="393"/>
      <c r="K312" s="393"/>
      <c r="L312" s="393"/>
      <c r="M312" s="393"/>
      <c r="N312" s="393"/>
      <c r="O312" s="393"/>
      <c r="P312" s="393"/>
      <c r="Q312" s="393"/>
      <c r="R312" s="393"/>
      <c r="S312" s="393"/>
      <c r="T312" s="393"/>
      <c r="U312" s="393"/>
      <c r="V312" s="393"/>
      <c r="W312" s="393"/>
      <c r="X312" s="393"/>
      <c r="Y312" s="393"/>
      <c r="Z312" s="393"/>
    </row>
    <row r="313" ht="12.75" customHeight="1">
      <c r="A313" s="393"/>
      <c r="B313" s="393"/>
      <c r="C313" s="393"/>
      <c r="D313" s="393"/>
      <c r="E313" s="393"/>
      <c r="F313" s="393"/>
      <c r="G313" s="393"/>
      <c r="H313" s="393"/>
      <c r="I313" s="393"/>
      <c r="J313" s="393"/>
      <c r="K313" s="393"/>
      <c r="L313" s="393"/>
      <c r="M313" s="393"/>
      <c r="N313" s="393"/>
      <c r="O313" s="393"/>
      <c r="P313" s="393"/>
      <c r="Q313" s="393"/>
      <c r="R313" s="393"/>
      <c r="S313" s="393"/>
      <c r="T313" s="393"/>
      <c r="U313" s="393"/>
      <c r="V313" s="393"/>
      <c r="W313" s="393"/>
      <c r="X313" s="393"/>
      <c r="Y313" s="393"/>
      <c r="Z313" s="393"/>
    </row>
    <row r="314" ht="12.75" customHeight="1">
      <c r="A314" s="393"/>
      <c r="B314" s="393"/>
      <c r="C314" s="393"/>
      <c r="D314" s="393"/>
      <c r="E314" s="393"/>
      <c r="F314" s="393"/>
      <c r="G314" s="393"/>
      <c r="H314" s="393"/>
      <c r="I314" s="393"/>
      <c r="J314" s="393"/>
      <c r="K314" s="393"/>
      <c r="L314" s="393"/>
      <c r="M314" s="393"/>
      <c r="N314" s="393"/>
      <c r="O314" s="393"/>
      <c r="P314" s="393"/>
      <c r="Q314" s="393"/>
      <c r="R314" s="393"/>
      <c r="S314" s="393"/>
      <c r="T314" s="393"/>
      <c r="U314" s="393"/>
      <c r="V314" s="393"/>
      <c r="W314" s="393"/>
      <c r="X314" s="393"/>
      <c r="Y314" s="393"/>
      <c r="Z314" s="393"/>
    </row>
    <row r="315" ht="12.75" customHeight="1">
      <c r="A315" s="393"/>
      <c r="B315" s="393"/>
      <c r="C315" s="393"/>
      <c r="D315" s="393"/>
      <c r="E315" s="393"/>
      <c r="F315" s="393"/>
      <c r="G315" s="393"/>
      <c r="H315" s="393"/>
      <c r="I315" s="393"/>
      <c r="J315" s="393"/>
      <c r="K315" s="393"/>
      <c r="L315" s="393"/>
      <c r="M315" s="393"/>
      <c r="N315" s="393"/>
      <c r="O315" s="393"/>
      <c r="P315" s="393"/>
      <c r="Q315" s="393"/>
      <c r="R315" s="393"/>
      <c r="S315" s="393"/>
      <c r="T315" s="393"/>
      <c r="U315" s="393"/>
      <c r="V315" s="393"/>
      <c r="W315" s="393"/>
      <c r="X315" s="393"/>
      <c r="Y315" s="393"/>
      <c r="Z315" s="393"/>
    </row>
    <row r="316" ht="12.75" customHeight="1">
      <c r="A316" s="393"/>
      <c r="B316" s="393"/>
      <c r="C316" s="393"/>
      <c r="D316" s="393"/>
      <c r="E316" s="393"/>
      <c r="F316" s="393"/>
      <c r="G316" s="393"/>
      <c r="H316" s="393"/>
      <c r="I316" s="393"/>
      <c r="J316" s="393"/>
      <c r="K316" s="393"/>
      <c r="L316" s="393"/>
      <c r="M316" s="393"/>
      <c r="N316" s="393"/>
      <c r="O316" s="393"/>
      <c r="P316" s="393"/>
      <c r="Q316" s="393"/>
      <c r="R316" s="393"/>
      <c r="S316" s="393"/>
      <c r="T316" s="393"/>
      <c r="U316" s="393"/>
      <c r="V316" s="393"/>
      <c r="W316" s="393"/>
      <c r="X316" s="393"/>
      <c r="Y316" s="393"/>
      <c r="Z316" s="393"/>
    </row>
    <row r="317" ht="12.75" customHeight="1">
      <c r="A317" s="393"/>
      <c r="B317" s="393"/>
      <c r="C317" s="393"/>
      <c r="D317" s="393"/>
      <c r="E317" s="393"/>
      <c r="F317" s="393"/>
      <c r="G317" s="393"/>
      <c r="H317" s="393"/>
      <c r="I317" s="393"/>
      <c r="J317" s="393"/>
      <c r="K317" s="393"/>
      <c r="L317" s="393"/>
      <c r="M317" s="393"/>
      <c r="N317" s="393"/>
      <c r="O317" s="393"/>
      <c r="P317" s="393"/>
      <c r="Q317" s="393"/>
      <c r="R317" s="393"/>
      <c r="S317" s="393"/>
      <c r="T317" s="393"/>
      <c r="U317" s="393"/>
      <c r="V317" s="393"/>
      <c r="W317" s="393"/>
      <c r="X317" s="393"/>
      <c r="Y317" s="393"/>
      <c r="Z317" s="393"/>
    </row>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14:M114">
    <cfRule type="cellIs" dxfId="0" priority="1" operator="lessThan">
      <formula>0</formula>
    </cfRule>
  </conditionalFormatting>
  <conditionalFormatting sqref="B114:M114">
    <cfRule type="cellIs" dxfId="1" priority="2" operator="greaterThan">
      <formula>0</formula>
    </cfRule>
  </conditionalFormatting>
  <conditionalFormatting sqref="B114:M114">
    <cfRule type="cellIs" dxfId="2" priority="3" operator="lessThan">
      <formula>0</formula>
    </cfRule>
  </conditionalFormatting>
  <conditionalFormatting sqref="B86:N93">
    <cfRule type="cellIs" dxfId="0" priority="4" operator="lessThan">
      <formula>0</formula>
    </cfRule>
  </conditionalFormatting>
  <conditionalFormatting sqref="B86:N93">
    <cfRule type="cellIs" dxfId="1" priority="5" operator="greaterThan">
      <formula>0</formula>
    </cfRule>
  </conditionalFormatting>
  <conditionalFormatting sqref="B86:N93">
    <cfRule type="cellIs" dxfId="2" priority="6" operator="lessThan">
      <formula>0</formula>
    </cfRule>
  </conditionalFormatting>
  <conditionalFormatting sqref="B96:N103">
    <cfRule type="cellIs" dxfId="0" priority="7" operator="lessThan">
      <formula>0</formula>
    </cfRule>
  </conditionalFormatting>
  <conditionalFormatting sqref="B96:N103">
    <cfRule type="cellIs" dxfId="1" priority="8" operator="greaterThan">
      <formula>0</formula>
    </cfRule>
  </conditionalFormatting>
  <conditionalFormatting sqref="B96:N103">
    <cfRule type="cellIs" dxfId="2" priority="9" operator="lessThan">
      <formula>0</formula>
    </cfRule>
  </conditionalFormatting>
  <conditionalFormatting sqref="B106:N113">
    <cfRule type="cellIs" dxfId="0" priority="10" operator="lessThan">
      <formula>0</formula>
    </cfRule>
  </conditionalFormatting>
  <conditionalFormatting sqref="B106:N113">
    <cfRule type="cellIs" dxfId="1" priority="11" operator="greaterThan">
      <formula>0</formula>
    </cfRule>
  </conditionalFormatting>
  <conditionalFormatting sqref="B106:N113">
    <cfRule type="cellIs" dxfId="2" priority="12" operator="lessThan">
      <formula>0</formula>
    </cfRule>
  </conditionalFormatting>
  <printOptions horizontalCentered="1"/>
  <pageMargins bottom="1.0" footer="0.0" header="0.0" left="0.25" right="0.25" top="0.75"/>
  <pageSetup fitToHeight="0" paperSize="9"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outlineLevelRow="1"/>
  <cols>
    <col customWidth="1" min="1" max="1" width="50.38"/>
    <col customWidth="1" min="2" max="2" width="9.88"/>
    <col customWidth="1" min="3" max="4" width="12.5"/>
    <col customWidth="1" min="5" max="5" width="13.13"/>
    <col customWidth="1" min="6" max="50" width="13.5"/>
    <col customWidth="1" min="51" max="51" width="14.5"/>
    <col customWidth="1" min="52" max="71" width="11.5"/>
  </cols>
  <sheetData>
    <row r="1" ht="11.25" customHeight="1">
      <c r="A1" s="393"/>
      <c r="B1" s="393"/>
      <c r="C1" s="393"/>
      <c r="D1" s="393"/>
      <c r="E1" s="393"/>
      <c r="F1" s="393"/>
      <c r="G1" s="393"/>
      <c r="H1" s="393"/>
      <c r="I1" s="393"/>
      <c r="J1" s="393"/>
      <c r="K1" s="393"/>
      <c r="L1" s="393"/>
      <c r="M1" s="393"/>
      <c r="N1" s="393"/>
      <c r="O1" s="393"/>
      <c r="P1" s="393"/>
      <c r="Q1" s="393"/>
      <c r="R1" s="393"/>
      <c r="S1" s="393"/>
      <c r="T1" s="393"/>
      <c r="U1" s="393"/>
      <c r="V1" s="393"/>
      <c r="W1" s="393"/>
      <c r="X1" s="393"/>
      <c r="Y1" s="393"/>
      <c r="Z1" s="393"/>
      <c r="AA1" s="393"/>
      <c r="AB1" s="393"/>
      <c r="AC1" s="393"/>
      <c r="AD1" s="393"/>
      <c r="AE1" s="393"/>
      <c r="AF1" s="393"/>
      <c r="AG1" s="393"/>
      <c r="AH1" s="393"/>
      <c r="AI1" s="393"/>
      <c r="AJ1" s="393"/>
      <c r="AK1" s="393"/>
      <c r="AL1" s="393"/>
      <c r="AM1" s="393"/>
      <c r="AN1" s="393"/>
      <c r="AO1" s="393"/>
      <c r="AP1" s="393"/>
      <c r="AQ1" s="393"/>
      <c r="AR1" s="393"/>
      <c r="AS1" s="393"/>
      <c r="AT1" s="393"/>
      <c r="AU1" s="393"/>
      <c r="AV1" s="393"/>
      <c r="AW1" s="393"/>
      <c r="AX1" s="393"/>
      <c r="AY1" s="403"/>
      <c r="AZ1" s="403"/>
      <c r="BA1" s="403"/>
      <c r="BB1" s="403"/>
      <c r="BC1" s="403"/>
      <c r="BD1" s="403"/>
      <c r="BE1" s="403"/>
      <c r="BF1" s="403"/>
      <c r="BG1" s="403"/>
      <c r="BH1" s="403"/>
      <c r="BI1" s="403"/>
      <c r="BJ1" s="403"/>
      <c r="BK1" s="403"/>
      <c r="BL1" s="403"/>
      <c r="BM1" s="403"/>
      <c r="BN1" s="403"/>
      <c r="BO1" s="403"/>
      <c r="BP1" s="403"/>
      <c r="BQ1" s="403"/>
      <c r="BR1" s="403"/>
      <c r="BS1" s="403"/>
    </row>
    <row r="2" ht="30.0" customHeight="1">
      <c r="A2" s="467" t="s">
        <v>1503</v>
      </c>
      <c r="B2" s="468" t="s">
        <v>1504</v>
      </c>
      <c r="C2" s="469"/>
      <c r="D2" s="469"/>
      <c r="E2" s="470"/>
      <c r="F2" s="471" t="s">
        <v>1505</v>
      </c>
      <c r="G2" s="469"/>
      <c r="H2" s="470"/>
      <c r="I2" s="472" t="s">
        <v>1506</v>
      </c>
      <c r="J2" s="469"/>
      <c r="K2" s="470"/>
      <c r="L2" s="472" t="s">
        <v>1507</v>
      </c>
      <c r="M2" s="469"/>
      <c r="N2" s="470"/>
      <c r="O2" s="472" t="s">
        <v>1508</v>
      </c>
      <c r="P2" s="469"/>
      <c r="Q2" s="470"/>
      <c r="R2" s="472" t="s">
        <v>1509</v>
      </c>
      <c r="S2" s="469"/>
      <c r="T2" s="470"/>
      <c r="U2" s="472" t="s">
        <v>1510</v>
      </c>
      <c r="V2" s="469"/>
      <c r="W2" s="470"/>
      <c r="X2" s="472" t="s">
        <v>1511</v>
      </c>
      <c r="Y2" s="469"/>
      <c r="Z2" s="470"/>
      <c r="AA2" s="472" t="s">
        <v>1512</v>
      </c>
      <c r="AB2" s="469"/>
      <c r="AC2" s="470"/>
      <c r="AD2" s="472" t="s">
        <v>1513</v>
      </c>
      <c r="AE2" s="469"/>
      <c r="AF2" s="470"/>
      <c r="AG2" s="472" t="s">
        <v>1514</v>
      </c>
      <c r="AH2" s="469"/>
      <c r="AI2" s="470"/>
      <c r="AJ2" s="472" t="s">
        <v>1515</v>
      </c>
      <c r="AK2" s="469"/>
      <c r="AL2" s="470"/>
      <c r="AM2" s="472" t="s">
        <v>1516</v>
      </c>
      <c r="AN2" s="469"/>
      <c r="AO2" s="470"/>
      <c r="AP2" s="472" t="s">
        <v>1517</v>
      </c>
      <c r="AQ2" s="469"/>
      <c r="AR2" s="470"/>
      <c r="AS2" s="472" t="s">
        <v>1518</v>
      </c>
      <c r="AT2" s="469"/>
      <c r="AU2" s="470"/>
      <c r="AV2" s="472" t="s">
        <v>1519</v>
      </c>
      <c r="AW2" s="469"/>
      <c r="AX2" s="470"/>
      <c r="AY2" s="403"/>
      <c r="AZ2" s="403"/>
      <c r="BA2" s="403"/>
      <c r="BB2" s="403"/>
      <c r="BC2" s="403"/>
      <c r="BD2" s="403"/>
      <c r="BE2" s="403"/>
      <c r="BF2" s="403"/>
      <c r="BG2" s="403"/>
      <c r="BH2" s="403"/>
      <c r="BI2" s="403"/>
      <c r="BJ2" s="403"/>
      <c r="BK2" s="403"/>
      <c r="BL2" s="403"/>
      <c r="BM2" s="403"/>
      <c r="BN2" s="403"/>
      <c r="BO2" s="403"/>
      <c r="BP2" s="403"/>
      <c r="BQ2" s="403"/>
      <c r="BR2" s="403"/>
      <c r="BS2" s="403"/>
    </row>
    <row r="3" ht="27.75" customHeight="1">
      <c r="A3" s="473"/>
      <c r="B3" s="474" t="s">
        <v>1520</v>
      </c>
      <c r="C3" s="475" t="s">
        <v>1521</v>
      </c>
      <c r="D3" s="475" t="s">
        <v>1522</v>
      </c>
      <c r="E3" s="476" t="s">
        <v>1523</v>
      </c>
      <c r="F3" s="477" t="s">
        <v>1520</v>
      </c>
      <c r="G3" s="478" t="s">
        <v>1524</v>
      </c>
      <c r="H3" s="479" t="s">
        <v>1525</v>
      </c>
      <c r="I3" s="480" t="s">
        <v>1520</v>
      </c>
      <c r="J3" s="478" t="s">
        <v>1524</v>
      </c>
      <c r="K3" s="479" t="s">
        <v>1525</v>
      </c>
      <c r="L3" s="480" t="s">
        <v>1520</v>
      </c>
      <c r="M3" s="478" t="s">
        <v>1524</v>
      </c>
      <c r="N3" s="479" t="s">
        <v>1525</v>
      </c>
      <c r="O3" s="480" t="s">
        <v>1520</v>
      </c>
      <c r="P3" s="478" t="s">
        <v>1524</v>
      </c>
      <c r="Q3" s="479" t="s">
        <v>1525</v>
      </c>
      <c r="R3" s="480" t="s">
        <v>1520</v>
      </c>
      <c r="S3" s="478" t="s">
        <v>1524</v>
      </c>
      <c r="T3" s="479" t="s">
        <v>1525</v>
      </c>
      <c r="U3" s="480" t="s">
        <v>1520</v>
      </c>
      <c r="V3" s="478" t="s">
        <v>1524</v>
      </c>
      <c r="W3" s="479" t="s">
        <v>1525</v>
      </c>
      <c r="X3" s="480" t="s">
        <v>1520</v>
      </c>
      <c r="Y3" s="478" t="s">
        <v>1524</v>
      </c>
      <c r="Z3" s="479" t="s">
        <v>1525</v>
      </c>
      <c r="AA3" s="480" t="s">
        <v>1520</v>
      </c>
      <c r="AB3" s="478" t="s">
        <v>1524</v>
      </c>
      <c r="AC3" s="479" t="s">
        <v>1525</v>
      </c>
      <c r="AD3" s="480" t="s">
        <v>1520</v>
      </c>
      <c r="AE3" s="478" t="s">
        <v>1524</v>
      </c>
      <c r="AF3" s="479" t="s">
        <v>1525</v>
      </c>
      <c r="AG3" s="480" t="s">
        <v>1520</v>
      </c>
      <c r="AH3" s="478" t="s">
        <v>1524</v>
      </c>
      <c r="AI3" s="479" t="s">
        <v>1525</v>
      </c>
      <c r="AJ3" s="480" t="s">
        <v>1520</v>
      </c>
      <c r="AK3" s="478" t="s">
        <v>1524</v>
      </c>
      <c r="AL3" s="479" t="s">
        <v>1525</v>
      </c>
      <c r="AM3" s="480" t="s">
        <v>1520</v>
      </c>
      <c r="AN3" s="478" t="s">
        <v>1524</v>
      </c>
      <c r="AO3" s="479" t="s">
        <v>1525</v>
      </c>
      <c r="AP3" s="480" t="s">
        <v>1520</v>
      </c>
      <c r="AQ3" s="478" t="s">
        <v>1524</v>
      </c>
      <c r="AR3" s="479" t="s">
        <v>1525</v>
      </c>
      <c r="AS3" s="480" t="s">
        <v>1520</v>
      </c>
      <c r="AT3" s="478" t="s">
        <v>1524</v>
      </c>
      <c r="AU3" s="479" t="s">
        <v>1525</v>
      </c>
      <c r="AV3" s="480" t="s">
        <v>1520</v>
      </c>
      <c r="AW3" s="478" t="s">
        <v>1524</v>
      </c>
      <c r="AX3" s="479" t="s">
        <v>1525</v>
      </c>
      <c r="AY3" s="403"/>
      <c r="AZ3" s="403"/>
      <c r="BA3" s="403"/>
      <c r="BB3" s="403"/>
      <c r="BC3" s="403"/>
      <c r="BD3" s="403"/>
      <c r="BE3" s="403"/>
      <c r="BF3" s="403"/>
      <c r="BG3" s="403"/>
      <c r="BH3" s="403"/>
      <c r="BI3" s="403"/>
      <c r="BJ3" s="403"/>
      <c r="BK3" s="403"/>
      <c r="BL3" s="403"/>
      <c r="BM3" s="403"/>
      <c r="BN3" s="403"/>
      <c r="BO3" s="403"/>
      <c r="BP3" s="403"/>
      <c r="BQ3" s="403"/>
      <c r="BR3" s="403"/>
      <c r="BS3" s="403"/>
    </row>
    <row r="4" ht="15.0" customHeight="1">
      <c r="A4" s="481" t="s">
        <v>1526</v>
      </c>
      <c r="B4" s="482">
        <v>1.0</v>
      </c>
      <c r="C4" s="483">
        <v>7134253.369835206</v>
      </c>
      <c r="D4" s="483">
        <f t="shared" ref="D4:D8" si="1">C4*$D$15</f>
        <v>7248401.424</v>
      </c>
      <c r="E4" s="484">
        <f t="shared" ref="E4:E7" si="2">B4*D4</f>
        <v>7248401.424</v>
      </c>
      <c r="F4" s="485">
        <f t="shared" ref="F4:F11" si="3">+B4</f>
        <v>1</v>
      </c>
      <c r="G4" s="483">
        <f t="shared" ref="G4:G9" si="4">+D4*$G$15</f>
        <v>7407866.255</v>
      </c>
      <c r="H4" s="486">
        <f t="shared" ref="H4:H7" si="5">+G4*F4</f>
        <v>7407866.255</v>
      </c>
      <c r="I4" s="487">
        <f t="shared" ref="I4:I11" si="6">+F4</f>
        <v>1</v>
      </c>
      <c r="J4" s="483">
        <f t="shared" ref="J4:J9" si="7">+G4*$J$15</f>
        <v>7578247.179</v>
      </c>
      <c r="K4" s="486">
        <f t="shared" ref="K4:K7" si="8">+J4*I4</f>
        <v>7578247.179</v>
      </c>
      <c r="L4" s="487">
        <f t="shared" ref="L4:L11" si="9">+I4</f>
        <v>1</v>
      </c>
      <c r="M4" s="483">
        <f t="shared" ref="M4:M9" si="10">+J4*$M$15</f>
        <v>7729812.123</v>
      </c>
      <c r="N4" s="486">
        <f t="shared" ref="N4:N7" si="11">+M4*L4</f>
        <v>7729812.123</v>
      </c>
      <c r="O4" s="487">
        <f t="shared" ref="O4:O9" si="12">+L4</f>
        <v>1</v>
      </c>
      <c r="P4" s="483">
        <f t="shared" ref="P4:P9" si="13">+M4*$P$15</f>
        <v>7884408.365</v>
      </c>
      <c r="Q4" s="486">
        <f t="shared" ref="Q4:Q7" si="14">+P4*O4</f>
        <v>7884408.365</v>
      </c>
      <c r="R4" s="487">
        <f t="shared" ref="R4:R11" si="15">+O4</f>
        <v>1</v>
      </c>
      <c r="S4" s="483">
        <f t="shared" ref="S4:S10" si="16">+P4*$S$15</f>
        <v>8113056.208</v>
      </c>
      <c r="T4" s="486">
        <f t="shared" ref="T4:T7" si="17">+S4*R4</f>
        <v>8113056.208</v>
      </c>
      <c r="U4" s="487">
        <f t="shared" ref="U4:U11" si="18">+R4</f>
        <v>1</v>
      </c>
      <c r="V4" s="483">
        <f>+S4*V15</f>
        <v>8348334.838</v>
      </c>
      <c r="W4" s="486">
        <f t="shared" ref="W4:W7" si="19">+V4*U4</f>
        <v>8348334.838</v>
      </c>
      <c r="X4" s="487">
        <f t="shared" ref="X4:X11" si="20">+U4</f>
        <v>1</v>
      </c>
      <c r="Y4" s="483">
        <f>+V4*Y15</f>
        <v>8632178.222</v>
      </c>
      <c r="Z4" s="486">
        <f t="shared" ref="Z4:Z7" si="21">+Y4*X4</f>
        <v>8632178.222</v>
      </c>
      <c r="AA4" s="487">
        <f t="shared" ref="AA4:AA11" si="22">+X4</f>
        <v>1</v>
      </c>
      <c r="AB4" s="483">
        <f>+Y4*AB15</f>
        <v>8856614.856</v>
      </c>
      <c r="AC4" s="486">
        <f t="shared" ref="AC4:AC7" si="23">+AB4*AA4</f>
        <v>8856614.856</v>
      </c>
      <c r="AD4" s="487">
        <f t="shared" ref="AD4:AD11" si="24">+AA4</f>
        <v>1</v>
      </c>
      <c r="AE4" s="483">
        <f>+AB4*AE15</f>
        <v>9113456.687</v>
      </c>
      <c r="AF4" s="486">
        <f t="shared" ref="AF4:AF7" si="25">+AE4*AD4</f>
        <v>9113456.687</v>
      </c>
      <c r="AG4" s="487">
        <f t="shared" ref="AG4:AG11" si="26">+AD4</f>
        <v>1</v>
      </c>
      <c r="AH4" s="483">
        <f>+AE4*AH15</f>
        <v>9377746.931</v>
      </c>
      <c r="AI4" s="486">
        <f t="shared" ref="AI4:AI7" si="27">+AH4*AG4</f>
        <v>9377746.931</v>
      </c>
      <c r="AJ4" s="487">
        <f t="shared" ref="AJ4:AJ11" si="28">+AG4</f>
        <v>1</v>
      </c>
      <c r="AK4" s="483">
        <f>+AH4*AK15</f>
        <v>9649701.592</v>
      </c>
      <c r="AL4" s="486">
        <f t="shared" ref="AL4:AL7" si="29">+AK4*AJ4</f>
        <v>9649701.592</v>
      </c>
      <c r="AM4" s="487">
        <f t="shared" ref="AM4:AM11" si="30">+AJ4</f>
        <v>1</v>
      </c>
      <c r="AN4" s="483">
        <f>+AK4*AN15</f>
        <v>9929542.938</v>
      </c>
      <c r="AO4" s="486">
        <f t="shared" ref="AO4:AO7" si="31">+AN4*AM4</f>
        <v>9929542.938</v>
      </c>
      <c r="AP4" s="487">
        <f t="shared" ref="AP4:AP11" si="32">+AM4</f>
        <v>1</v>
      </c>
      <c r="AQ4" s="483">
        <f>+AN4*AQ15</f>
        <v>10217499.68</v>
      </c>
      <c r="AR4" s="486">
        <f t="shared" ref="AR4:AR7" si="33">+AQ4*AP4</f>
        <v>10217499.68</v>
      </c>
      <c r="AS4" s="487">
        <f t="shared" ref="AS4:AS11" si="34">+AP4</f>
        <v>1</v>
      </c>
      <c r="AT4" s="483">
        <f>+AQ4*AT15</f>
        <v>10513807.17</v>
      </c>
      <c r="AU4" s="486">
        <f t="shared" ref="AU4:AU7" si="35">+AT4*AS4</f>
        <v>10513807.17</v>
      </c>
      <c r="AV4" s="487">
        <f t="shared" ref="AV4:AV11" si="36">+AS4</f>
        <v>1</v>
      </c>
      <c r="AW4" s="483">
        <f>+AT4*AW15</f>
        <v>10818707.58</v>
      </c>
      <c r="AX4" s="486">
        <f t="shared" ref="AX4:AX7" si="37">+AW4*AV4</f>
        <v>10818707.58</v>
      </c>
      <c r="AY4" s="403"/>
      <c r="AZ4" s="403"/>
      <c r="BA4" s="403"/>
      <c r="BB4" s="403"/>
      <c r="BC4" s="403"/>
      <c r="BD4" s="403"/>
      <c r="BE4" s="403"/>
      <c r="BF4" s="403"/>
      <c r="BG4" s="403"/>
      <c r="BH4" s="403"/>
      <c r="BI4" s="403"/>
      <c r="BJ4" s="403"/>
      <c r="BK4" s="403"/>
      <c r="BL4" s="403"/>
      <c r="BM4" s="403"/>
      <c r="BN4" s="403"/>
      <c r="BO4" s="403"/>
      <c r="BP4" s="403"/>
      <c r="BQ4" s="403"/>
      <c r="BR4" s="403"/>
      <c r="BS4" s="403"/>
    </row>
    <row r="5" ht="15.0" customHeight="1">
      <c r="A5" s="481" t="s">
        <v>1527</v>
      </c>
      <c r="B5" s="488">
        <v>4299.0</v>
      </c>
      <c r="C5" s="483">
        <v>563.0587445402997</v>
      </c>
      <c r="D5" s="483">
        <f t="shared" si="1"/>
        <v>572.0676845</v>
      </c>
      <c r="E5" s="484">
        <f t="shared" si="2"/>
        <v>2459318.975</v>
      </c>
      <c r="F5" s="489">
        <f t="shared" si="3"/>
        <v>4299</v>
      </c>
      <c r="G5" s="483">
        <f t="shared" si="4"/>
        <v>584.6531735</v>
      </c>
      <c r="H5" s="486">
        <f t="shared" si="5"/>
        <v>2513423.993</v>
      </c>
      <c r="I5" s="490">
        <f t="shared" si="6"/>
        <v>4299</v>
      </c>
      <c r="J5" s="483">
        <f t="shared" si="7"/>
        <v>598.1001965</v>
      </c>
      <c r="K5" s="486">
        <f t="shared" si="8"/>
        <v>2571232.745</v>
      </c>
      <c r="L5" s="490">
        <f t="shared" si="9"/>
        <v>4299</v>
      </c>
      <c r="M5" s="483">
        <f t="shared" si="10"/>
        <v>610.0622004</v>
      </c>
      <c r="N5" s="486">
        <f t="shared" si="11"/>
        <v>2622657.4</v>
      </c>
      <c r="O5" s="490">
        <f t="shared" si="12"/>
        <v>4299</v>
      </c>
      <c r="P5" s="483">
        <f t="shared" si="13"/>
        <v>622.2634444</v>
      </c>
      <c r="Q5" s="486">
        <f t="shared" si="14"/>
        <v>2675110.548</v>
      </c>
      <c r="R5" s="490">
        <f t="shared" si="15"/>
        <v>4299</v>
      </c>
      <c r="S5" s="483">
        <f t="shared" si="16"/>
        <v>640.3090843</v>
      </c>
      <c r="T5" s="486">
        <f t="shared" si="17"/>
        <v>2752688.754</v>
      </c>
      <c r="U5" s="490">
        <f t="shared" si="18"/>
        <v>4299</v>
      </c>
      <c r="V5" s="483">
        <f>+S5*V15</f>
        <v>658.8780478</v>
      </c>
      <c r="W5" s="486">
        <f t="shared" si="19"/>
        <v>2832516.727</v>
      </c>
      <c r="X5" s="490">
        <f t="shared" si="20"/>
        <v>4299</v>
      </c>
      <c r="Y5" s="483">
        <f>+V5*Y15</f>
        <v>681.2799014</v>
      </c>
      <c r="Z5" s="486">
        <f t="shared" si="21"/>
        <v>2928822.296</v>
      </c>
      <c r="AA5" s="490">
        <f t="shared" si="22"/>
        <v>4299</v>
      </c>
      <c r="AB5" s="483">
        <f>+Y5*AB15</f>
        <v>698.9931788</v>
      </c>
      <c r="AC5" s="486">
        <f t="shared" si="23"/>
        <v>3004971.676</v>
      </c>
      <c r="AD5" s="490">
        <f t="shared" si="24"/>
        <v>4299</v>
      </c>
      <c r="AE5" s="483">
        <f>+AB5*AE15</f>
        <v>719.263981</v>
      </c>
      <c r="AF5" s="486">
        <f t="shared" si="25"/>
        <v>3092115.854</v>
      </c>
      <c r="AG5" s="490">
        <f t="shared" si="26"/>
        <v>4299</v>
      </c>
      <c r="AH5" s="483">
        <f>+AE5*AH15</f>
        <v>740.1226365</v>
      </c>
      <c r="AI5" s="486">
        <f t="shared" si="27"/>
        <v>3181787.214</v>
      </c>
      <c r="AJ5" s="490">
        <f t="shared" si="28"/>
        <v>4299</v>
      </c>
      <c r="AK5" s="483">
        <f>+AH5*AK15</f>
        <v>761.5861929</v>
      </c>
      <c r="AL5" s="486">
        <f t="shared" si="29"/>
        <v>3274059.043</v>
      </c>
      <c r="AM5" s="490">
        <f t="shared" si="30"/>
        <v>4299</v>
      </c>
      <c r="AN5" s="483">
        <f>+AK5*AN15</f>
        <v>783.6721925</v>
      </c>
      <c r="AO5" s="486">
        <f t="shared" si="31"/>
        <v>3369006.756</v>
      </c>
      <c r="AP5" s="490">
        <f t="shared" si="32"/>
        <v>4299</v>
      </c>
      <c r="AQ5" s="483">
        <f>+AN5*AQ15</f>
        <v>806.3986861</v>
      </c>
      <c r="AR5" s="486">
        <f t="shared" si="33"/>
        <v>3466707.952</v>
      </c>
      <c r="AS5" s="490">
        <f t="shared" si="34"/>
        <v>4299</v>
      </c>
      <c r="AT5" s="483">
        <f>+AQ5*AT15</f>
        <v>829.784248</v>
      </c>
      <c r="AU5" s="486">
        <f t="shared" si="35"/>
        <v>3567242.482</v>
      </c>
      <c r="AV5" s="490">
        <f t="shared" si="36"/>
        <v>4299</v>
      </c>
      <c r="AW5" s="483">
        <f>+AT5*AW15</f>
        <v>853.8479912</v>
      </c>
      <c r="AX5" s="486">
        <f t="shared" si="37"/>
        <v>3670692.514</v>
      </c>
      <c r="AY5" s="403"/>
      <c r="AZ5" s="403"/>
      <c r="BA5" s="403"/>
      <c r="BB5" s="403"/>
      <c r="BC5" s="403"/>
      <c r="BD5" s="403"/>
      <c r="BE5" s="403"/>
      <c r="BF5" s="403"/>
      <c r="BG5" s="403"/>
      <c r="BH5" s="403"/>
      <c r="BI5" s="403"/>
      <c r="BJ5" s="403"/>
      <c r="BK5" s="403"/>
      <c r="BL5" s="403"/>
      <c r="BM5" s="403"/>
      <c r="BN5" s="403"/>
      <c r="BO5" s="403"/>
      <c r="BP5" s="403"/>
      <c r="BQ5" s="403"/>
      <c r="BR5" s="403"/>
      <c r="BS5" s="403"/>
    </row>
    <row r="6" ht="15.0" customHeight="1">
      <c r="A6" s="481" t="s">
        <v>1528</v>
      </c>
      <c r="B6" s="491">
        <v>1.0</v>
      </c>
      <c r="C6" s="483">
        <v>632964.5665526951</v>
      </c>
      <c r="D6" s="483">
        <f t="shared" si="1"/>
        <v>643091.9996</v>
      </c>
      <c r="E6" s="484">
        <f t="shared" si="2"/>
        <v>643091.9996</v>
      </c>
      <c r="F6" s="492">
        <f t="shared" si="3"/>
        <v>1</v>
      </c>
      <c r="G6" s="483">
        <f t="shared" si="4"/>
        <v>657240.0236</v>
      </c>
      <c r="H6" s="486">
        <f t="shared" si="5"/>
        <v>657240.0236</v>
      </c>
      <c r="I6" s="493">
        <f t="shared" si="6"/>
        <v>1</v>
      </c>
      <c r="J6" s="483">
        <f t="shared" si="7"/>
        <v>672356.5442</v>
      </c>
      <c r="K6" s="486">
        <f t="shared" si="8"/>
        <v>672356.5442</v>
      </c>
      <c r="L6" s="493">
        <f t="shared" si="9"/>
        <v>1</v>
      </c>
      <c r="M6" s="483">
        <f t="shared" si="10"/>
        <v>685803.675</v>
      </c>
      <c r="N6" s="486">
        <f t="shared" si="11"/>
        <v>685803.675</v>
      </c>
      <c r="O6" s="493">
        <f t="shared" si="12"/>
        <v>1</v>
      </c>
      <c r="P6" s="483">
        <f t="shared" si="13"/>
        <v>699519.7485</v>
      </c>
      <c r="Q6" s="486">
        <f t="shared" si="14"/>
        <v>699519.7485</v>
      </c>
      <c r="R6" s="493">
        <f t="shared" si="15"/>
        <v>1</v>
      </c>
      <c r="S6" s="483">
        <f t="shared" si="16"/>
        <v>719805.8212</v>
      </c>
      <c r="T6" s="486">
        <f t="shared" si="17"/>
        <v>719805.8212</v>
      </c>
      <c r="U6" s="493">
        <f t="shared" si="18"/>
        <v>1</v>
      </c>
      <c r="V6" s="483">
        <f>+S6*V15</f>
        <v>740680.1901</v>
      </c>
      <c r="W6" s="486">
        <f t="shared" si="19"/>
        <v>740680.1901</v>
      </c>
      <c r="X6" s="493">
        <f t="shared" si="20"/>
        <v>1</v>
      </c>
      <c r="Y6" s="483">
        <f>+V6*Y15</f>
        <v>765863.3165</v>
      </c>
      <c r="Z6" s="486">
        <f t="shared" si="21"/>
        <v>765863.3165</v>
      </c>
      <c r="AA6" s="493">
        <f t="shared" si="22"/>
        <v>1</v>
      </c>
      <c r="AB6" s="483">
        <f>+Y6*AB15</f>
        <v>785775.7628</v>
      </c>
      <c r="AC6" s="486">
        <f t="shared" si="23"/>
        <v>785775.7628</v>
      </c>
      <c r="AD6" s="493">
        <f t="shared" si="24"/>
        <v>1</v>
      </c>
      <c r="AE6" s="483">
        <f>+AB6*AE15</f>
        <v>808563.2599</v>
      </c>
      <c r="AF6" s="486">
        <f t="shared" si="25"/>
        <v>808563.2599</v>
      </c>
      <c r="AG6" s="493">
        <f t="shared" si="26"/>
        <v>1</v>
      </c>
      <c r="AH6" s="483">
        <f>+AE6*AH15</f>
        <v>832011.5944</v>
      </c>
      <c r="AI6" s="486">
        <f t="shared" si="27"/>
        <v>832011.5944</v>
      </c>
      <c r="AJ6" s="493">
        <f t="shared" si="28"/>
        <v>1</v>
      </c>
      <c r="AK6" s="483">
        <f>+AH6*AK15</f>
        <v>856139.9306</v>
      </c>
      <c r="AL6" s="486">
        <f t="shared" si="29"/>
        <v>856139.9306</v>
      </c>
      <c r="AM6" s="493">
        <f t="shared" si="30"/>
        <v>1</v>
      </c>
      <c r="AN6" s="483">
        <f>+AK6*AN15</f>
        <v>880967.9886</v>
      </c>
      <c r="AO6" s="486">
        <f t="shared" si="31"/>
        <v>880967.9886</v>
      </c>
      <c r="AP6" s="493">
        <f t="shared" si="32"/>
        <v>1</v>
      </c>
      <c r="AQ6" s="483">
        <f>+AN6*AQ15</f>
        <v>906516.0603</v>
      </c>
      <c r="AR6" s="486">
        <f t="shared" si="33"/>
        <v>906516.0603</v>
      </c>
      <c r="AS6" s="493">
        <f t="shared" si="34"/>
        <v>1</v>
      </c>
      <c r="AT6" s="483">
        <f>+AQ6*AT15</f>
        <v>932805.0261</v>
      </c>
      <c r="AU6" s="486">
        <f t="shared" si="35"/>
        <v>932805.0261</v>
      </c>
      <c r="AV6" s="493">
        <f t="shared" si="36"/>
        <v>1</v>
      </c>
      <c r="AW6" s="483">
        <f>+AT6*AW15</f>
        <v>959856.3718</v>
      </c>
      <c r="AX6" s="486">
        <f t="shared" si="37"/>
        <v>959856.3718</v>
      </c>
      <c r="AY6" s="403"/>
      <c r="AZ6" s="403"/>
      <c r="BA6" s="403"/>
      <c r="BB6" s="403"/>
      <c r="BC6" s="403"/>
      <c r="BD6" s="403"/>
      <c r="BE6" s="403"/>
      <c r="BF6" s="403"/>
      <c r="BG6" s="403"/>
      <c r="BH6" s="403"/>
      <c r="BI6" s="403"/>
      <c r="BJ6" s="403"/>
      <c r="BK6" s="403"/>
      <c r="BL6" s="403"/>
      <c r="BM6" s="403"/>
      <c r="BN6" s="403"/>
      <c r="BO6" s="403"/>
      <c r="BP6" s="403"/>
      <c r="BQ6" s="403"/>
      <c r="BR6" s="403"/>
      <c r="BS6" s="403"/>
    </row>
    <row r="7" ht="15.0" customHeight="1">
      <c r="A7" s="481" t="s">
        <v>1529</v>
      </c>
      <c r="B7" s="491">
        <v>34.0</v>
      </c>
      <c r="C7" s="483">
        <v>31106.73254634702</v>
      </c>
      <c r="D7" s="483">
        <f t="shared" si="1"/>
        <v>31604.44027</v>
      </c>
      <c r="E7" s="484">
        <f t="shared" si="2"/>
        <v>1074550.969</v>
      </c>
      <c r="F7" s="492">
        <f t="shared" si="3"/>
        <v>34</v>
      </c>
      <c r="G7" s="483">
        <f t="shared" si="4"/>
        <v>32299.73795</v>
      </c>
      <c r="H7" s="486">
        <f t="shared" si="5"/>
        <v>1098191.09</v>
      </c>
      <c r="I7" s="493">
        <f t="shared" si="6"/>
        <v>34</v>
      </c>
      <c r="J7" s="483">
        <f t="shared" si="7"/>
        <v>33042.63193</v>
      </c>
      <c r="K7" s="486">
        <f t="shared" si="8"/>
        <v>1123449.485</v>
      </c>
      <c r="L7" s="493">
        <f t="shared" si="9"/>
        <v>34</v>
      </c>
      <c r="M7" s="483">
        <f t="shared" si="10"/>
        <v>33703.48456</v>
      </c>
      <c r="N7" s="486">
        <f t="shared" si="11"/>
        <v>1145918.475</v>
      </c>
      <c r="O7" s="493">
        <f t="shared" si="12"/>
        <v>34</v>
      </c>
      <c r="P7" s="483">
        <f t="shared" si="13"/>
        <v>34377.55426</v>
      </c>
      <c r="Q7" s="486">
        <f t="shared" si="14"/>
        <v>1168836.845</v>
      </c>
      <c r="R7" s="493">
        <f t="shared" si="15"/>
        <v>34</v>
      </c>
      <c r="S7" s="483">
        <f t="shared" si="16"/>
        <v>35374.50333</v>
      </c>
      <c r="T7" s="486">
        <f t="shared" si="17"/>
        <v>1202733.113</v>
      </c>
      <c r="U7" s="493">
        <f t="shared" si="18"/>
        <v>34</v>
      </c>
      <c r="V7" s="483">
        <f>+S7*V15</f>
        <v>36400.36393</v>
      </c>
      <c r="W7" s="486">
        <f t="shared" si="19"/>
        <v>1237612.373</v>
      </c>
      <c r="X7" s="493">
        <f t="shared" si="20"/>
        <v>34</v>
      </c>
      <c r="Y7" s="483">
        <f>+V7*Y15</f>
        <v>37637.9763</v>
      </c>
      <c r="Z7" s="486">
        <f t="shared" si="21"/>
        <v>1279691.194</v>
      </c>
      <c r="AA7" s="493">
        <f t="shared" si="22"/>
        <v>34</v>
      </c>
      <c r="AB7" s="483">
        <f>+Y7*AB15</f>
        <v>38616.56368</v>
      </c>
      <c r="AC7" s="486">
        <f t="shared" si="23"/>
        <v>1312963.165</v>
      </c>
      <c r="AD7" s="493">
        <f t="shared" si="24"/>
        <v>34</v>
      </c>
      <c r="AE7" s="483">
        <f>+AB7*AE15</f>
        <v>39736.44403</v>
      </c>
      <c r="AF7" s="486">
        <f t="shared" si="25"/>
        <v>1351039.097</v>
      </c>
      <c r="AG7" s="493">
        <f t="shared" si="26"/>
        <v>34</v>
      </c>
      <c r="AH7" s="483">
        <f>+AE7*AH15</f>
        <v>40888.80091</v>
      </c>
      <c r="AI7" s="486">
        <f t="shared" si="27"/>
        <v>1390219.231</v>
      </c>
      <c r="AJ7" s="493">
        <f t="shared" si="28"/>
        <v>34</v>
      </c>
      <c r="AK7" s="483">
        <f>+AH7*AK15</f>
        <v>42074.57613</v>
      </c>
      <c r="AL7" s="486">
        <f t="shared" si="29"/>
        <v>1430535.589</v>
      </c>
      <c r="AM7" s="493">
        <f t="shared" si="30"/>
        <v>34</v>
      </c>
      <c r="AN7" s="483">
        <f>+AK7*AN15</f>
        <v>43294.73884</v>
      </c>
      <c r="AO7" s="486">
        <f t="shared" si="31"/>
        <v>1472021.121</v>
      </c>
      <c r="AP7" s="493">
        <f t="shared" si="32"/>
        <v>34</v>
      </c>
      <c r="AQ7" s="483">
        <f>+AN7*AQ15</f>
        <v>44550.28627</v>
      </c>
      <c r="AR7" s="486">
        <f t="shared" si="33"/>
        <v>1514709.733</v>
      </c>
      <c r="AS7" s="493">
        <f t="shared" si="34"/>
        <v>34</v>
      </c>
      <c r="AT7" s="483">
        <f>+AQ7*AT15</f>
        <v>45842.24457</v>
      </c>
      <c r="AU7" s="486">
        <f t="shared" si="35"/>
        <v>1558636.315</v>
      </c>
      <c r="AV7" s="493">
        <f t="shared" si="36"/>
        <v>34</v>
      </c>
      <c r="AW7" s="483">
        <f>+AT7*AW15</f>
        <v>47171.66966</v>
      </c>
      <c r="AX7" s="486">
        <f t="shared" si="37"/>
        <v>1603836.768</v>
      </c>
      <c r="AY7" s="403"/>
      <c r="AZ7" s="403"/>
      <c r="BA7" s="403"/>
      <c r="BB7" s="403"/>
      <c r="BC7" s="403"/>
      <c r="BD7" s="403"/>
      <c r="BE7" s="403"/>
      <c r="BF7" s="403"/>
      <c r="BG7" s="403"/>
      <c r="BH7" s="403"/>
      <c r="BI7" s="403"/>
      <c r="BJ7" s="403"/>
      <c r="BK7" s="403"/>
      <c r="BL7" s="403"/>
      <c r="BM7" s="403"/>
      <c r="BN7" s="403"/>
      <c r="BO7" s="403"/>
      <c r="BP7" s="403"/>
      <c r="BQ7" s="403"/>
      <c r="BR7" s="403"/>
      <c r="BS7" s="403"/>
    </row>
    <row r="8" ht="15.0" customHeight="1">
      <c r="A8" s="481" t="s">
        <v>1530</v>
      </c>
      <c r="B8" s="491">
        <v>1.0</v>
      </c>
      <c r="C8" s="483">
        <v>1164072.863274517</v>
      </c>
      <c r="D8" s="483">
        <f t="shared" si="1"/>
        <v>1182698.029</v>
      </c>
      <c r="E8" s="484">
        <f t="shared" ref="E8:E9" si="38">(B8*D8)/2</f>
        <v>591349.0145</v>
      </c>
      <c r="F8" s="492">
        <f t="shared" si="3"/>
        <v>1</v>
      </c>
      <c r="G8" s="483">
        <f t="shared" si="4"/>
        <v>1208717.386</v>
      </c>
      <c r="H8" s="486">
        <f t="shared" ref="H8:H9" si="39">+G8*F8*0.5</f>
        <v>604358.6929</v>
      </c>
      <c r="I8" s="493">
        <f t="shared" si="6"/>
        <v>1</v>
      </c>
      <c r="J8" s="483">
        <f t="shared" si="7"/>
        <v>1236517.886</v>
      </c>
      <c r="K8" s="486">
        <f t="shared" ref="K8:K9" si="40">+J8*I8*0.5</f>
        <v>618258.9428</v>
      </c>
      <c r="L8" s="493">
        <f t="shared" si="9"/>
        <v>1</v>
      </c>
      <c r="M8" s="483">
        <f t="shared" si="10"/>
        <v>1261248.243</v>
      </c>
      <c r="N8" s="486">
        <f t="shared" ref="N8:N9" si="41">+M8*L8*0.5</f>
        <v>630624.1217</v>
      </c>
      <c r="O8" s="493">
        <f t="shared" si="12"/>
        <v>1</v>
      </c>
      <c r="P8" s="483">
        <f t="shared" si="13"/>
        <v>1286473.208</v>
      </c>
      <c r="Q8" s="486">
        <f t="shared" ref="Q8:Q9" si="42">+P8*O8*0.5</f>
        <v>643236.6041</v>
      </c>
      <c r="R8" s="493">
        <f t="shared" si="15"/>
        <v>1</v>
      </c>
      <c r="S8" s="483">
        <f t="shared" si="16"/>
        <v>1323780.931</v>
      </c>
      <c r="T8" s="486">
        <f t="shared" ref="T8:T9" si="43">+S8*R8*0.5</f>
        <v>661890.4656</v>
      </c>
      <c r="U8" s="493">
        <f t="shared" si="18"/>
        <v>1</v>
      </c>
      <c r="V8" s="483">
        <f>+S8*V15</f>
        <v>1362170.578</v>
      </c>
      <c r="W8" s="486">
        <f t="shared" ref="W8:W9" si="44">+V8*U8*0.5</f>
        <v>681085.2891</v>
      </c>
      <c r="X8" s="493">
        <f t="shared" si="20"/>
        <v>1</v>
      </c>
      <c r="Y8" s="483">
        <f>+V8*Y15</f>
        <v>1408484.378</v>
      </c>
      <c r="Z8" s="486">
        <f t="shared" ref="Z8:Z9" si="45">+Y8*X8*0.5</f>
        <v>704242.1889</v>
      </c>
      <c r="AA8" s="493">
        <f t="shared" si="22"/>
        <v>1</v>
      </c>
      <c r="AB8" s="483">
        <f>+Y8*AB15</f>
        <v>1445104.972</v>
      </c>
      <c r="AC8" s="486">
        <f t="shared" ref="AC8:AC9" si="46">+AB8*AA8*0.5</f>
        <v>722552.4859</v>
      </c>
      <c r="AD8" s="493">
        <f t="shared" si="24"/>
        <v>1</v>
      </c>
      <c r="AE8" s="483">
        <f>+AB8*AE15</f>
        <v>1487013.016</v>
      </c>
      <c r="AF8" s="486">
        <f t="shared" ref="AF8:AF9" si="47">+AE8*AD8*0.5</f>
        <v>743506.5079</v>
      </c>
      <c r="AG8" s="493">
        <f t="shared" si="26"/>
        <v>1</v>
      </c>
      <c r="AH8" s="483">
        <f>+AE8*AH15</f>
        <v>1530136.393</v>
      </c>
      <c r="AI8" s="486">
        <f t="shared" ref="AI8:AI9" si="48">+AH8*AG8*0.5</f>
        <v>765068.1967</v>
      </c>
      <c r="AJ8" s="493">
        <f t="shared" si="28"/>
        <v>1</v>
      </c>
      <c r="AK8" s="483">
        <f>+AH8*AK15</f>
        <v>1574510.349</v>
      </c>
      <c r="AL8" s="486">
        <f t="shared" ref="AL8:AL9" si="49">+AK8*AJ8*0.5</f>
        <v>787255.1744</v>
      </c>
      <c r="AM8" s="493">
        <f t="shared" si="30"/>
        <v>1</v>
      </c>
      <c r="AN8" s="483">
        <f>+AK8*AN15</f>
        <v>1620171.149</v>
      </c>
      <c r="AO8" s="486">
        <f t="shared" ref="AO8:AO9" si="50">+AN8*AM8*0.5</f>
        <v>810085.5744</v>
      </c>
      <c r="AP8" s="493">
        <f t="shared" si="32"/>
        <v>1</v>
      </c>
      <c r="AQ8" s="483">
        <f>+AN8*AQ15</f>
        <v>1667156.112</v>
      </c>
      <c r="AR8" s="486">
        <f t="shared" ref="AR8:AR9" si="51">+AQ8*AP8*0.5</f>
        <v>833578.0561</v>
      </c>
      <c r="AS8" s="493">
        <f t="shared" si="34"/>
        <v>1</v>
      </c>
      <c r="AT8" s="483">
        <f>+AQ8*AT15</f>
        <v>1715503.639</v>
      </c>
      <c r="AU8" s="486">
        <f t="shared" ref="AU8:AU9" si="52">+AT8*AS8*0.5</f>
        <v>857751.8197</v>
      </c>
      <c r="AV8" s="493">
        <f t="shared" si="36"/>
        <v>1</v>
      </c>
      <c r="AW8" s="483">
        <f>+AT8*AW15</f>
        <v>1765253.245</v>
      </c>
      <c r="AX8" s="486">
        <f t="shared" ref="AX8:AX9" si="53">+AW8*AV8*0.5</f>
        <v>882626.6225</v>
      </c>
      <c r="AY8" s="403"/>
      <c r="AZ8" s="403"/>
      <c r="BA8" s="403"/>
      <c r="BB8" s="403"/>
      <c r="BC8" s="403"/>
      <c r="BD8" s="403"/>
      <c r="BE8" s="403"/>
      <c r="BF8" s="403"/>
      <c r="BG8" s="403"/>
      <c r="BH8" s="403"/>
      <c r="BI8" s="403"/>
      <c r="BJ8" s="403"/>
      <c r="BK8" s="403"/>
      <c r="BL8" s="403"/>
      <c r="BM8" s="403"/>
      <c r="BN8" s="403"/>
      <c r="BO8" s="403"/>
      <c r="BP8" s="403"/>
      <c r="BQ8" s="403"/>
      <c r="BR8" s="403"/>
      <c r="BS8" s="403"/>
    </row>
    <row r="9" ht="15.0" customHeight="1">
      <c r="A9" s="481" t="s">
        <v>1531</v>
      </c>
      <c r="B9" s="488">
        <v>4299.0</v>
      </c>
      <c r="C9" s="494">
        <v>97.08412288060869</v>
      </c>
      <c r="D9" s="494">
        <f>C9*D15</f>
        <v>98.63746885</v>
      </c>
      <c r="E9" s="484">
        <f t="shared" si="38"/>
        <v>212021.2393</v>
      </c>
      <c r="F9" s="489">
        <f t="shared" si="3"/>
        <v>4299</v>
      </c>
      <c r="G9" s="483">
        <f t="shared" si="4"/>
        <v>100.8074932</v>
      </c>
      <c r="H9" s="486">
        <f t="shared" si="39"/>
        <v>216685.7066</v>
      </c>
      <c r="I9" s="490">
        <f t="shared" si="6"/>
        <v>4299</v>
      </c>
      <c r="J9" s="483">
        <f t="shared" si="7"/>
        <v>103.1260655</v>
      </c>
      <c r="K9" s="486">
        <f t="shared" si="40"/>
        <v>221669.4778</v>
      </c>
      <c r="L9" s="490">
        <f t="shared" si="9"/>
        <v>4299</v>
      </c>
      <c r="M9" s="483">
        <f t="shared" si="10"/>
        <v>105.1885868</v>
      </c>
      <c r="N9" s="486">
        <f t="shared" si="41"/>
        <v>226102.8674</v>
      </c>
      <c r="O9" s="490">
        <f t="shared" si="12"/>
        <v>4299</v>
      </c>
      <c r="P9" s="483">
        <f t="shared" si="13"/>
        <v>107.2923586</v>
      </c>
      <c r="Q9" s="486">
        <f t="shared" si="42"/>
        <v>230624.9247</v>
      </c>
      <c r="R9" s="490">
        <f t="shared" si="15"/>
        <v>4299</v>
      </c>
      <c r="S9" s="483">
        <f t="shared" si="16"/>
        <v>110.4038369</v>
      </c>
      <c r="T9" s="486">
        <f t="shared" si="43"/>
        <v>237313.0475</v>
      </c>
      <c r="U9" s="490">
        <f t="shared" si="18"/>
        <v>4299</v>
      </c>
      <c r="V9" s="483">
        <f>+S9*V15</f>
        <v>113.6055482</v>
      </c>
      <c r="W9" s="486">
        <f t="shared" si="44"/>
        <v>244195.1259</v>
      </c>
      <c r="X9" s="490">
        <f t="shared" si="20"/>
        <v>4299</v>
      </c>
      <c r="Y9" s="483">
        <f>+V9*Y15</f>
        <v>117.4681369</v>
      </c>
      <c r="Z9" s="486">
        <f t="shared" si="45"/>
        <v>252497.7602</v>
      </c>
      <c r="AA9" s="490">
        <f t="shared" si="22"/>
        <v>4299</v>
      </c>
      <c r="AB9" s="483">
        <f>+Y9*AB15</f>
        <v>120.5223084</v>
      </c>
      <c r="AC9" s="486">
        <f t="shared" si="46"/>
        <v>259062.7019</v>
      </c>
      <c r="AD9" s="490">
        <f t="shared" si="24"/>
        <v>4299</v>
      </c>
      <c r="AE9" s="483">
        <f>+AB9*AE15</f>
        <v>124.0174554</v>
      </c>
      <c r="AF9" s="486">
        <f t="shared" si="47"/>
        <v>266575.5203</v>
      </c>
      <c r="AG9" s="490">
        <f t="shared" si="26"/>
        <v>4299</v>
      </c>
      <c r="AH9" s="483">
        <f>+AE9*AH15</f>
        <v>127.6139616</v>
      </c>
      <c r="AI9" s="486">
        <f t="shared" si="48"/>
        <v>274306.2104</v>
      </c>
      <c r="AJ9" s="490">
        <f t="shared" si="28"/>
        <v>4299</v>
      </c>
      <c r="AK9" s="483">
        <f>+AH9*AK15</f>
        <v>131.3147665</v>
      </c>
      <c r="AL9" s="486">
        <f t="shared" si="49"/>
        <v>282261.0905</v>
      </c>
      <c r="AM9" s="490">
        <f t="shared" si="30"/>
        <v>4299</v>
      </c>
      <c r="AN9" s="483">
        <f>+AK9*AN15</f>
        <v>135.1228947</v>
      </c>
      <c r="AO9" s="486">
        <f t="shared" si="50"/>
        <v>290446.6621</v>
      </c>
      <c r="AP9" s="490">
        <f t="shared" si="32"/>
        <v>4299</v>
      </c>
      <c r="AQ9" s="483">
        <f>+AN9*AQ15</f>
        <v>139.0414586</v>
      </c>
      <c r="AR9" s="486">
        <f t="shared" si="51"/>
        <v>298869.6153</v>
      </c>
      <c r="AS9" s="490">
        <f t="shared" si="34"/>
        <v>4299</v>
      </c>
      <c r="AT9" s="483">
        <f>+AQ9*AT15</f>
        <v>143.0736609</v>
      </c>
      <c r="AU9" s="486">
        <f t="shared" si="52"/>
        <v>307536.8342</v>
      </c>
      <c r="AV9" s="490">
        <f t="shared" si="36"/>
        <v>4299</v>
      </c>
      <c r="AW9" s="483">
        <f>+AT9*AW15</f>
        <v>147.2227971</v>
      </c>
      <c r="AX9" s="486">
        <f t="shared" si="53"/>
        <v>316455.4024</v>
      </c>
      <c r="AY9" s="403"/>
      <c r="AZ9" s="403"/>
      <c r="BA9" s="403"/>
      <c r="BB9" s="403"/>
      <c r="BC9" s="403"/>
      <c r="BD9" s="403"/>
      <c r="BE9" s="403"/>
      <c r="BF9" s="403"/>
      <c r="BG9" s="403"/>
      <c r="BH9" s="403"/>
      <c r="BI9" s="403"/>
      <c r="BJ9" s="403"/>
      <c r="BK9" s="403"/>
      <c r="BL9" s="403"/>
      <c r="BM9" s="403"/>
      <c r="BN9" s="403"/>
      <c r="BO9" s="403"/>
      <c r="BP9" s="403"/>
      <c r="BQ9" s="403"/>
      <c r="BR9" s="403"/>
      <c r="BS9" s="403"/>
    </row>
    <row r="10" ht="15.0" customHeight="1">
      <c r="A10" s="481" t="s">
        <v>1532</v>
      </c>
      <c r="B10" s="491">
        <v>3.0</v>
      </c>
      <c r="C10" s="495"/>
      <c r="D10" s="494">
        <v>40000.0</v>
      </c>
      <c r="E10" s="484">
        <f t="shared" ref="E10:E11" si="54">(B10*D10)</f>
        <v>120000</v>
      </c>
      <c r="F10" s="489">
        <f t="shared" si="3"/>
        <v>3</v>
      </c>
      <c r="G10" s="483">
        <v>46000.0</v>
      </c>
      <c r="H10" s="486">
        <f t="shared" ref="H10:H11" si="55">+G10*F10</f>
        <v>138000</v>
      </c>
      <c r="I10" s="489">
        <f t="shared" si="6"/>
        <v>3</v>
      </c>
      <c r="J10" s="483">
        <f>+G10</f>
        <v>46000</v>
      </c>
      <c r="K10" s="486">
        <f t="shared" ref="K10:K11" si="56">+J10*I10</f>
        <v>138000</v>
      </c>
      <c r="L10" s="489">
        <f t="shared" si="9"/>
        <v>3</v>
      </c>
      <c r="M10" s="483">
        <f>+J10</f>
        <v>46000</v>
      </c>
      <c r="N10" s="486">
        <f t="shared" ref="N10:N11" si="57">+M10*L10</f>
        <v>138000</v>
      </c>
      <c r="O10" s="495"/>
      <c r="P10" s="495"/>
      <c r="Q10" s="496">
        <f t="shared" ref="Q10:Q11" si="58">+P10*O10</f>
        <v>0</v>
      </c>
      <c r="R10" s="495" t="str">
        <f t="shared" si="15"/>
        <v/>
      </c>
      <c r="S10" s="495">
        <f t="shared" si="16"/>
        <v>0</v>
      </c>
      <c r="T10" s="496">
        <f t="shared" ref="T10:T11" si="59">+S10*R10</f>
        <v>0</v>
      </c>
      <c r="U10" s="495" t="str">
        <f t="shared" si="18"/>
        <v/>
      </c>
      <c r="V10" s="495"/>
      <c r="W10" s="496"/>
      <c r="X10" s="495" t="str">
        <f t="shared" si="20"/>
        <v/>
      </c>
      <c r="Y10" s="495"/>
      <c r="Z10" s="496"/>
      <c r="AA10" s="495" t="str">
        <f t="shared" si="22"/>
        <v/>
      </c>
      <c r="AB10" s="495"/>
      <c r="AC10" s="496"/>
      <c r="AD10" s="495" t="str">
        <f t="shared" si="24"/>
        <v/>
      </c>
      <c r="AE10" s="495"/>
      <c r="AF10" s="496"/>
      <c r="AG10" s="495" t="str">
        <f t="shared" si="26"/>
        <v/>
      </c>
      <c r="AH10" s="495"/>
      <c r="AI10" s="496"/>
      <c r="AJ10" s="495" t="str">
        <f t="shared" si="28"/>
        <v/>
      </c>
      <c r="AK10" s="495"/>
      <c r="AL10" s="496"/>
      <c r="AM10" s="495" t="str">
        <f t="shared" si="30"/>
        <v/>
      </c>
      <c r="AN10" s="495"/>
      <c r="AO10" s="496"/>
      <c r="AP10" s="495" t="str">
        <f t="shared" si="32"/>
        <v/>
      </c>
      <c r="AQ10" s="495"/>
      <c r="AR10" s="496"/>
      <c r="AS10" s="495" t="str">
        <f t="shared" si="34"/>
        <v/>
      </c>
      <c r="AT10" s="495"/>
      <c r="AU10" s="496"/>
      <c r="AV10" s="495" t="str">
        <f t="shared" si="36"/>
        <v/>
      </c>
      <c r="AW10" s="495"/>
      <c r="AX10" s="496"/>
      <c r="AY10" s="403"/>
      <c r="AZ10" s="403"/>
      <c r="BA10" s="403"/>
      <c r="BB10" s="403"/>
      <c r="BC10" s="403"/>
      <c r="BD10" s="403"/>
      <c r="BE10" s="403"/>
      <c r="BF10" s="403"/>
      <c r="BG10" s="403"/>
      <c r="BH10" s="403"/>
      <c r="BI10" s="403"/>
      <c r="BJ10" s="403"/>
      <c r="BK10" s="403"/>
      <c r="BL10" s="403"/>
      <c r="BM10" s="403"/>
      <c r="BN10" s="403"/>
      <c r="BO10" s="403"/>
      <c r="BP10" s="403"/>
      <c r="BQ10" s="403"/>
      <c r="BR10" s="403"/>
      <c r="BS10" s="403"/>
    </row>
    <row r="11" ht="15.0" customHeight="1">
      <c r="A11" s="481" t="s">
        <v>1533</v>
      </c>
      <c r="B11" s="497">
        <v>3.0</v>
      </c>
      <c r="C11" s="498"/>
      <c r="D11" s="499">
        <v>2553412.7</v>
      </c>
      <c r="E11" s="484">
        <f t="shared" si="54"/>
        <v>7660238.1</v>
      </c>
      <c r="F11" s="500">
        <f t="shared" si="3"/>
        <v>3</v>
      </c>
      <c r="G11" s="501">
        <f>+D11+24790.41</f>
        <v>2578203.11</v>
      </c>
      <c r="H11" s="486">
        <f t="shared" si="55"/>
        <v>7734609.33</v>
      </c>
      <c r="I11" s="493">
        <f t="shared" si="6"/>
        <v>3</v>
      </c>
      <c r="J11" s="502">
        <f>+G11+24790.41</f>
        <v>2602993.52</v>
      </c>
      <c r="K11" s="486">
        <f t="shared" si="56"/>
        <v>7808980.56</v>
      </c>
      <c r="L11" s="493">
        <f t="shared" si="9"/>
        <v>3</v>
      </c>
      <c r="M11" s="502">
        <f>+J11+24790.41</f>
        <v>2627783.93</v>
      </c>
      <c r="N11" s="486">
        <f t="shared" si="57"/>
        <v>7883351.79</v>
      </c>
      <c r="O11" s="493">
        <f>+L11</f>
        <v>3</v>
      </c>
      <c r="P11" s="483">
        <f>+M11*$P$16</f>
        <v>2654061.769</v>
      </c>
      <c r="Q11" s="486">
        <f t="shared" si="58"/>
        <v>7962185.308</v>
      </c>
      <c r="R11" s="493">
        <f t="shared" si="15"/>
        <v>3</v>
      </c>
      <c r="S11" s="483">
        <f>+P11*$S$16</f>
        <v>2680602.387</v>
      </c>
      <c r="T11" s="486">
        <f t="shared" si="59"/>
        <v>8041807.161</v>
      </c>
      <c r="U11" s="493">
        <f t="shared" si="18"/>
        <v>3</v>
      </c>
      <c r="V11" s="483">
        <f>+S11*V16</f>
        <v>2707408.411</v>
      </c>
      <c r="W11" s="486">
        <f>+V11*U11</f>
        <v>8122225.233</v>
      </c>
      <c r="X11" s="493">
        <f t="shared" si="20"/>
        <v>3</v>
      </c>
      <c r="Y11" s="483">
        <f>+V11*Y16</f>
        <v>2734482.495</v>
      </c>
      <c r="Z11" s="486">
        <f>+Y11*X11</f>
        <v>8203447.485</v>
      </c>
      <c r="AA11" s="493">
        <f t="shared" si="22"/>
        <v>3</v>
      </c>
      <c r="AB11" s="483">
        <f>+Y11*AB16</f>
        <v>2761827.32</v>
      </c>
      <c r="AC11" s="486">
        <f>+AB11*AA11</f>
        <v>8285481.96</v>
      </c>
      <c r="AD11" s="493">
        <f t="shared" si="24"/>
        <v>3</v>
      </c>
      <c r="AE11" s="483">
        <f>+AB11*AE16</f>
        <v>2789445.593</v>
      </c>
      <c r="AF11" s="486">
        <f>+AE11*AD11</f>
        <v>8368336.779</v>
      </c>
      <c r="AG11" s="493">
        <f t="shared" si="26"/>
        <v>3</v>
      </c>
      <c r="AH11" s="483">
        <f>+AE11*AH16</f>
        <v>2817340.049</v>
      </c>
      <c r="AI11" s="486">
        <f>+AH11*AG11</f>
        <v>8452020.147</v>
      </c>
      <c r="AJ11" s="493">
        <f t="shared" si="28"/>
        <v>3</v>
      </c>
      <c r="AK11" s="483">
        <f>+AH11*AK16</f>
        <v>2845513.45</v>
      </c>
      <c r="AL11" s="486">
        <f>+AK11*AJ11</f>
        <v>8536540.349</v>
      </c>
      <c r="AM11" s="493">
        <f t="shared" si="30"/>
        <v>3</v>
      </c>
      <c r="AN11" s="483">
        <f>+AK11*AN16</f>
        <v>2873968.584</v>
      </c>
      <c r="AO11" s="486">
        <f>+AN11*AM11</f>
        <v>8621905.752</v>
      </c>
      <c r="AP11" s="493">
        <f t="shared" si="32"/>
        <v>3</v>
      </c>
      <c r="AQ11" s="483">
        <f>+AN11*AQ16</f>
        <v>2902708.27</v>
      </c>
      <c r="AR11" s="486">
        <f>+AQ11*AP11</f>
        <v>8708124.81</v>
      </c>
      <c r="AS11" s="493">
        <f t="shared" si="34"/>
        <v>3</v>
      </c>
      <c r="AT11" s="483">
        <f>+AQ11*AT16</f>
        <v>2931735.353</v>
      </c>
      <c r="AU11" s="486">
        <f>+AT11*AS11</f>
        <v>8795206.058</v>
      </c>
      <c r="AV11" s="493">
        <f t="shared" si="36"/>
        <v>3</v>
      </c>
      <c r="AW11" s="483">
        <f>+AT11*AW16</f>
        <v>2961052.706</v>
      </c>
      <c r="AX11" s="486">
        <f>+AW11*AV11</f>
        <v>8883158.118</v>
      </c>
      <c r="AY11" s="403"/>
      <c r="AZ11" s="403"/>
      <c r="BA11" s="403"/>
      <c r="BB11" s="403"/>
      <c r="BC11" s="403"/>
      <c r="BD11" s="403"/>
      <c r="BE11" s="403"/>
      <c r="BF11" s="403"/>
      <c r="BG11" s="403"/>
      <c r="BH11" s="403"/>
      <c r="BI11" s="403"/>
      <c r="BJ11" s="403"/>
      <c r="BK11" s="403"/>
      <c r="BL11" s="403"/>
      <c r="BM11" s="403"/>
      <c r="BN11" s="403"/>
      <c r="BO11" s="403"/>
      <c r="BP11" s="403"/>
      <c r="BQ11" s="403"/>
      <c r="BR11" s="403"/>
      <c r="BS11" s="403"/>
    </row>
    <row r="12" ht="11.25" customHeight="1">
      <c r="A12" s="503" t="s">
        <v>1525</v>
      </c>
      <c r="B12" s="504"/>
      <c r="C12" s="505"/>
      <c r="D12" s="506"/>
      <c r="E12" s="507">
        <f>SUM(E4:E11)</f>
        <v>20008971.72</v>
      </c>
      <c r="F12" s="508"/>
      <c r="G12" s="509"/>
      <c r="H12" s="510">
        <f>SUM(H4:H11)</f>
        <v>20370375.09</v>
      </c>
      <c r="I12" s="508"/>
      <c r="J12" s="509"/>
      <c r="K12" s="510">
        <f>SUM(K4:K11)</f>
        <v>20732194.93</v>
      </c>
      <c r="L12" s="508"/>
      <c r="M12" s="509"/>
      <c r="N12" s="510">
        <f>SUM(N4:N11)</f>
        <v>21062270.45</v>
      </c>
      <c r="O12" s="508"/>
      <c r="P12" s="509"/>
      <c r="Q12" s="510">
        <f>SUM(Q4:Q11)</f>
        <v>21263922.34</v>
      </c>
      <c r="R12" s="508"/>
      <c r="S12" s="509"/>
      <c r="T12" s="510">
        <f>SUM(T4:T11)</f>
        <v>21729294.57</v>
      </c>
      <c r="U12" s="508"/>
      <c r="V12" s="509"/>
      <c r="W12" s="510">
        <f>SUM(W4:W11)</f>
        <v>22206649.78</v>
      </c>
      <c r="X12" s="508"/>
      <c r="Y12" s="509"/>
      <c r="Z12" s="510">
        <f>SUM(Z4:Z11)</f>
        <v>22766742.46</v>
      </c>
      <c r="AA12" s="508"/>
      <c r="AB12" s="509"/>
      <c r="AC12" s="510">
        <f>SUM(AC4:AC11)</f>
        <v>23227422.61</v>
      </c>
      <c r="AD12" s="508"/>
      <c r="AE12" s="509"/>
      <c r="AF12" s="510">
        <f>SUM(AF4:AF11)</f>
        <v>23743593.71</v>
      </c>
      <c r="AG12" s="508"/>
      <c r="AH12" s="509"/>
      <c r="AI12" s="510">
        <f>SUM(AI4:AI11)</f>
        <v>24273159.52</v>
      </c>
      <c r="AJ12" s="508"/>
      <c r="AK12" s="509"/>
      <c r="AL12" s="510">
        <f>SUM(AL4:AL11)</f>
        <v>24816492.77</v>
      </c>
      <c r="AM12" s="508"/>
      <c r="AN12" s="509"/>
      <c r="AO12" s="510">
        <f>SUM(AO4:AO11)</f>
        <v>25373976.79</v>
      </c>
      <c r="AP12" s="508"/>
      <c r="AQ12" s="509"/>
      <c r="AR12" s="510">
        <f>SUM(AR4:AR11)</f>
        <v>25946005.91</v>
      </c>
      <c r="AS12" s="508"/>
      <c r="AT12" s="509"/>
      <c r="AU12" s="510">
        <f>SUM(AU4:AU11)</f>
        <v>26532985.71</v>
      </c>
      <c r="AV12" s="508"/>
      <c r="AW12" s="509"/>
      <c r="AX12" s="510">
        <f>SUM(AX4:AX11)</f>
        <v>27135333.38</v>
      </c>
      <c r="AY12" s="511">
        <f>SUM(O12:AX12)</f>
        <v>289015579.5</v>
      </c>
      <c r="AZ12" s="403"/>
      <c r="BA12" s="403"/>
      <c r="BB12" s="403"/>
      <c r="BC12" s="403"/>
      <c r="BD12" s="403"/>
      <c r="BE12" s="403"/>
      <c r="BF12" s="403"/>
      <c r="BG12" s="403"/>
      <c r="BH12" s="403"/>
      <c r="BI12" s="403"/>
      <c r="BJ12" s="403"/>
      <c r="BK12" s="403"/>
      <c r="BL12" s="403"/>
      <c r="BM12" s="403"/>
      <c r="BN12" s="403"/>
      <c r="BO12" s="403"/>
      <c r="BP12" s="403"/>
      <c r="BQ12" s="403"/>
      <c r="BR12" s="403"/>
      <c r="BS12" s="403"/>
    </row>
    <row r="13" ht="30.0" customHeight="1">
      <c r="A13" s="512" t="s">
        <v>1534</v>
      </c>
      <c r="B13" s="513"/>
      <c r="C13" s="513"/>
      <c r="D13" s="513"/>
      <c r="E13" s="514"/>
      <c r="F13" s="515"/>
      <c r="G13" s="515"/>
      <c r="H13" s="393"/>
      <c r="I13" s="516"/>
      <c r="J13" s="517"/>
      <c r="K13" s="518"/>
      <c r="L13" s="515"/>
      <c r="M13" s="515"/>
      <c r="N13" s="393"/>
      <c r="O13" s="393"/>
      <c r="P13" s="393"/>
      <c r="Q13" s="393"/>
      <c r="R13" s="393"/>
      <c r="S13" s="393"/>
      <c r="T13" s="393"/>
      <c r="U13" s="393"/>
      <c r="V13" s="393"/>
      <c r="W13" s="393"/>
      <c r="X13" s="393"/>
      <c r="Y13" s="393"/>
      <c r="Z13" s="393"/>
      <c r="AA13" s="393"/>
      <c r="AB13" s="393"/>
      <c r="AC13" s="393"/>
      <c r="AD13" s="393"/>
      <c r="AE13" s="393"/>
      <c r="AF13" s="393"/>
      <c r="AG13" s="393"/>
      <c r="AH13" s="393"/>
      <c r="AI13" s="393"/>
      <c r="AJ13" s="393"/>
      <c r="AK13" s="393"/>
      <c r="AL13" s="393"/>
      <c r="AM13" s="393"/>
      <c r="AN13" s="393"/>
      <c r="AO13" s="393"/>
      <c r="AP13" s="393"/>
      <c r="AQ13" s="393"/>
      <c r="AR13" s="393"/>
      <c r="AS13" s="393"/>
      <c r="AT13" s="393"/>
      <c r="AU13" s="393"/>
      <c r="AV13" s="393"/>
      <c r="AW13" s="393"/>
      <c r="AX13" s="393"/>
      <c r="AY13" s="511"/>
      <c r="AZ13" s="403"/>
      <c r="BA13" s="403"/>
      <c r="BB13" s="403"/>
      <c r="BC13" s="403"/>
      <c r="BD13" s="403"/>
      <c r="BE13" s="403"/>
      <c r="BF13" s="403"/>
      <c r="BG13" s="403"/>
      <c r="BH13" s="403"/>
      <c r="BI13" s="403"/>
      <c r="BJ13" s="403"/>
      <c r="BK13" s="403"/>
      <c r="BL13" s="403"/>
      <c r="BM13" s="403"/>
      <c r="BN13" s="403"/>
      <c r="BO13" s="403"/>
      <c r="BP13" s="403"/>
      <c r="BQ13" s="403"/>
      <c r="BR13" s="403"/>
      <c r="BS13" s="403"/>
    </row>
    <row r="14" ht="22.5" customHeight="1">
      <c r="A14" s="519" t="s">
        <v>303</v>
      </c>
      <c r="B14" s="513"/>
      <c r="C14" s="513"/>
      <c r="D14" s="520">
        <v>45894.0</v>
      </c>
      <c r="E14" s="514"/>
      <c r="F14" s="515"/>
      <c r="G14" s="520">
        <v>45925.0</v>
      </c>
      <c r="H14" s="393"/>
      <c r="I14" s="516"/>
      <c r="J14" s="520">
        <v>45955.0</v>
      </c>
      <c r="K14" s="518"/>
      <c r="L14" s="515"/>
      <c r="M14" s="520">
        <v>45986.0</v>
      </c>
      <c r="N14" s="393"/>
      <c r="O14" s="393"/>
      <c r="P14" s="520">
        <v>46016.0</v>
      </c>
      <c r="Q14" s="393"/>
      <c r="R14" s="393"/>
      <c r="S14" s="520">
        <v>46048.0</v>
      </c>
      <c r="T14" s="393"/>
      <c r="U14" s="393"/>
      <c r="V14" s="520">
        <v>46079.0</v>
      </c>
      <c r="W14" s="393"/>
      <c r="X14" s="393"/>
      <c r="Y14" s="520">
        <v>46107.0</v>
      </c>
      <c r="Z14" s="393"/>
      <c r="AA14" s="393"/>
      <c r="AB14" s="520">
        <v>46138.0</v>
      </c>
      <c r="AC14" s="393"/>
      <c r="AD14" s="393"/>
      <c r="AE14" s="520">
        <v>46168.0</v>
      </c>
      <c r="AF14" s="393"/>
      <c r="AG14" s="393"/>
      <c r="AH14" s="520">
        <v>46199.0</v>
      </c>
      <c r="AI14" s="393"/>
      <c r="AJ14" s="393"/>
      <c r="AK14" s="520">
        <v>46229.0</v>
      </c>
      <c r="AL14" s="393"/>
      <c r="AM14" s="393"/>
      <c r="AN14" s="520">
        <v>46260.0</v>
      </c>
      <c r="AO14" s="393"/>
      <c r="AP14" s="393"/>
      <c r="AQ14" s="520">
        <v>46291.0</v>
      </c>
      <c r="AR14" s="393"/>
      <c r="AS14" s="393"/>
      <c r="AT14" s="520">
        <v>46321.0</v>
      </c>
      <c r="AU14" s="393"/>
      <c r="AV14" s="393"/>
      <c r="AW14" s="520">
        <v>46352.0</v>
      </c>
      <c r="AX14" s="393"/>
      <c r="AY14" s="511"/>
      <c r="AZ14" s="403"/>
      <c r="BA14" s="403"/>
      <c r="BB14" s="403"/>
      <c r="BC14" s="403"/>
      <c r="BD14" s="403"/>
      <c r="BE14" s="403"/>
      <c r="BF14" s="403"/>
      <c r="BG14" s="403"/>
      <c r="BH14" s="403"/>
      <c r="BI14" s="403"/>
      <c r="BJ14" s="403"/>
      <c r="BK14" s="403"/>
      <c r="BL14" s="403"/>
      <c r="BM14" s="403"/>
      <c r="BN14" s="403"/>
      <c r="BO14" s="403"/>
      <c r="BP14" s="403"/>
      <c r="BQ14" s="403"/>
      <c r="BR14" s="403"/>
      <c r="BS14" s="403"/>
    </row>
    <row r="15" ht="11.25" customHeight="1">
      <c r="A15" s="422" t="s">
        <v>1535</v>
      </c>
      <c r="B15" s="513"/>
      <c r="C15" s="513"/>
      <c r="D15" s="521">
        <v>1.016</v>
      </c>
      <c r="E15" s="393"/>
      <c r="F15" s="515"/>
      <c r="G15" s="521">
        <v>1.022</v>
      </c>
      <c r="H15" s="393"/>
      <c r="I15" s="516"/>
      <c r="J15" s="522">
        <f>1+Flk!K34</f>
        <v>1.023</v>
      </c>
      <c r="K15" s="518"/>
      <c r="L15" s="515"/>
      <c r="M15" s="522">
        <f>1+Flk!L34</f>
        <v>1.02</v>
      </c>
      <c r="N15" s="393"/>
      <c r="O15" s="393"/>
      <c r="P15" s="522">
        <f>1+Flk!M34</f>
        <v>1.02</v>
      </c>
      <c r="Q15" s="393"/>
      <c r="R15" s="393"/>
      <c r="S15" s="522">
        <f>1+ipcene</f>
        <v>1.029</v>
      </c>
      <c r="T15" s="393"/>
      <c r="U15" s="393"/>
      <c r="V15" s="522">
        <f>1+'REAL-BDGT2026'!J194</f>
        <v>1.029</v>
      </c>
      <c r="W15" s="393"/>
      <c r="X15" s="393"/>
      <c r="Y15" s="522">
        <f>1+'REAL-BDGT2026'!K194</f>
        <v>1.034</v>
      </c>
      <c r="Z15" s="393"/>
      <c r="AA15" s="393"/>
      <c r="AB15" s="522">
        <f>1+'REAL-BDGT2026'!L194</f>
        <v>1.026</v>
      </c>
      <c r="AC15" s="393"/>
      <c r="AD15" s="393"/>
      <c r="AE15" s="522">
        <f>1+'REAL-BDGT2026'!M194</f>
        <v>1.029</v>
      </c>
      <c r="AF15" s="393"/>
      <c r="AG15" s="393"/>
      <c r="AH15" s="522">
        <f>1+'REAL-BDGT2026'!N194</f>
        <v>1.029</v>
      </c>
      <c r="AI15" s="393"/>
      <c r="AJ15" s="393"/>
      <c r="AK15" s="522">
        <f>1+'REAL-BDGT2026'!O194</f>
        <v>1.029</v>
      </c>
      <c r="AL15" s="393"/>
      <c r="AM15" s="393"/>
      <c r="AN15" s="522">
        <f>1+'REAL-BDGT2026'!P194</f>
        <v>1.029</v>
      </c>
      <c r="AO15" s="393"/>
      <c r="AP15" s="393"/>
      <c r="AQ15" s="522">
        <f>1+'REAL-BDGT2026'!Q194</f>
        <v>1.029</v>
      </c>
      <c r="AR15" s="393"/>
      <c r="AS15" s="393"/>
      <c r="AT15" s="522">
        <f>1+'REAL-BDGT2026'!R194</f>
        <v>1.029</v>
      </c>
      <c r="AU15" s="393"/>
      <c r="AV15" s="393"/>
      <c r="AW15" s="522">
        <f>1+'REAL-BDGT2026'!S194</f>
        <v>1.029</v>
      </c>
      <c r="AX15" s="393"/>
      <c r="AY15" s="511"/>
      <c r="AZ15" s="403"/>
      <c r="BA15" s="403"/>
      <c r="BB15" s="403"/>
      <c r="BC15" s="403"/>
      <c r="BD15" s="403"/>
      <c r="BE15" s="403"/>
      <c r="BF15" s="403"/>
      <c r="BG15" s="403"/>
      <c r="BH15" s="403"/>
      <c r="BI15" s="403"/>
      <c r="BJ15" s="403"/>
      <c r="BK15" s="403"/>
      <c r="BL15" s="403"/>
      <c r="BM15" s="403"/>
      <c r="BN15" s="403"/>
      <c r="BO15" s="403"/>
      <c r="BP15" s="403"/>
      <c r="BQ15" s="403"/>
      <c r="BR15" s="403"/>
      <c r="BS15" s="403"/>
    </row>
    <row r="16" ht="11.25" customHeight="1">
      <c r="A16" s="422" t="s">
        <v>1536</v>
      </c>
      <c r="B16" s="513"/>
      <c r="C16" s="513"/>
      <c r="D16" s="521"/>
      <c r="E16" s="393"/>
      <c r="F16" s="515"/>
      <c r="G16" s="523">
        <v>1.01</v>
      </c>
      <c r="H16" s="393"/>
      <c r="I16" s="393"/>
      <c r="J16" s="524">
        <f>+G16</f>
        <v>1.01</v>
      </c>
      <c r="K16" s="393"/>
      <c r="L16" s="393"/>
      <c r="M16" s="524">
        <f>+J16</f>
        <v>1.01</v>
      </c>
      <c r="N16" s="393"/>
      <c r="O16" s="393"/>
      <c r="P16" s="524">
        <f>+M16</f>
        <v>1.01</v>
      </c>
      <c r="Q16" s="393"/>
      <c r="R16" s="393"/>
      <c r="S16" s="524">
        <f>+P16</f>
        <v>1.01</v>
      </c>
      <c r="T16" s="393"/>
      <c r="U16" s="393"/>
      <c r="V16" s="524">
        <f>+S16</f>
        <v>1.01</v>
      </c>
      <c r="W16" s="393"/>
      <c r="X16" s="393"/>
      <c r="Y16" s="524">
        <f>+V16</f>
        <v>1.01</v>
      </c>
      <c r="Z16" s="393"/>
      <c r="AA16" s="393"/>
      <c r="AB16" s="524">
        <f>+Y16</f>
        <v>1.01</v>
      </c>
      <c r="AC16" s="393"/>
      <c r="AD16" s="393"/>
      <c r="AE16" s="524">
        <f>+AB16</f>
        <v>1.01</v>
      </c>
      <c r="AF16" s="393"/>
      <c r="AG16" s="393"/>
      <c r="AH16" s="524">
        <f>+AE16</f>
        <v>1.01</v>
      </c>
      <c r="AI16" s="393"/>
      <c r="AJ16" s="393"/>
      <c r="AK16" s="524">
        <f>+AH16</f>
        <v>1.01</v>
      </c>
      <c r="AL16" s="393"/>
      <c r="AM16" s="393"/>
      <c r="AN16" s="524">
        <f>+AK16</f>
        <v>1.01</v>
      </c>
      <c r="AO16" s="393"/>
      <c r="AP16" s="393"/>
      <c r="AQ16" s="524">
        <f>+AN16</f>
        <v>1.01</v>
      </c>
      <c r="AR16" s="393"/>
      <c r="AS16" s="393"/>
      <c r="AT16" s="524">
        <f>+AQ16</f>
        <v>1.01</v>
      </c>
      <c r="AU16" s="393"/>
      <c r="AV16" s="393"/>
      <c r="AW16" s="524">
        <f>+AT16</f>
        <v>1.01</v>
      </c>
      <c r="AX16" s="393"/>
      <c r="AY16" s="511"/>
      <c r="AZ16" s="403"/>
      <c r="BA16" s="403"/>
      <c r="BB16" s="403"/>
      <c r="BC16" s="403"/>
      <c r="BD16" s="403"/>
      <c r="BE16" s="403"/>
      <c r="BF16" s="403"/>
      <c r="BG16" s="403"/>
      <c r="BH16" s="403"/>
      <c r="BI16" s="403"/>
      <c r="BJ16" s="403"/>
      <c r="BK16" s="403"/>
      <c r="BL16" s="403"/>
      <c r="BM16" s="403"/>
      <c r="BN16" s="403"/>
      <c r="BO16" s="403"/>
      <c r="BP16" s="403"/>
      <c r="BQ16" s="403"/>
      <c r="BR16" s="403"/>
      <c r="BS16" s="403"/>
    </row>
    <row r="17" ht="11.25" customHeight="1">
      <c r="A17" s="525"/>
      <c r="B17" s="526"/>
      <c r="C17" s="526"/>
      <c r="D17" s="526"/>
      <c r="E17" s="527"/>
      <c r="F17" s="528"/>
      <c r="G17" s="529" t="s">
        <v>1537</v>
      </c>
      <c r="H17" s="427"/>
      <c r="I17" s="530"/>
      <c r="J17" s="531"/>
      <c r="K17" s="532"/>
      <c r="L17" s="528"/>
      <c r="M17" s="528"/>
      <c r="N17" s="427"/>
      <c r="O17" s="427"/>
      <c r="P17" s="427"/>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533"/>
      <c r="AZ17" s="534"/>
      <c r="BA17" s="534"/>
      <c r="BB17" s="534"/>
      <c r="BC17" s="534"/>
      <c r="BD17" s="534"/>
      <c r="BE17" s="534"/>
      <c r="BF17" s="534"/>
      <c r="BG17" s="534"/>
      <c r="BH17" s="534"/>
      <c r="BI17" s="534"/>
      <c r="BJ17" s="534"/>
      <c r="BK17" s="534"/>
      <c r="BL17" s="534"/>
      <c r="BM17" s="534"/>
      <c r="BN17" s="534"/>
      <c r="BO17" s="534"/>
      <c r="BP17" s="534"/>
      <c r="BQ17" s="534"/>
      <c r="BR17" s="534"/>
      <c r="BS17" s="534"/>
    </row>
    <row r="18" ht="11.25" customHeight="1">
      <c r="A18" s="535"/>
      <c r="B18" s="513"/>
      <c r="C18" s="513"/>
      <c r="D18" s="513"/>
      <c r="E18" s="514"/>
      <c r="F18" s="515"/>
      <c r="G18" s="393"/>
      <c r="H18" s="393"/>
      <c r="I18" s="516"/>
      <c r="J18" s="517"/>
      <c r="K18" s="518"/>
      <c r="L18" s="515"/>
      <c r="M18" s="515"/>
      <c r="N18" s="393"/>
      <c r="O18" s="393"/>
      <c r="P18" s="393"/>
      <c r="Q18" s="393"/>
      <c r="R18" s="393"/>
      <c r="S18" s="393"/>
      <c r="T18" s="393"/>
      <c r="U18" s="393"/>
      <c r="V18" s="393"/>
      <c r="W18" s="393"/>
      <c r="X18" s="393"/>
      <c r="Y18" s="393"/>
      <c r="Z18" s="393"/>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511"/>
      <c r="AZ18" s="403"/>
      <c r="BA18" s="403"/>
      <c r="BB18" s="403"/>
      <c r="BC18" s="403"/>
      <c r="BD18" s="403"/>
      <c r="BE18" s="403"/>
      <c r="BF18" s="403"/>
      <c r="BG18" s="403"/>
      <c r="BH18" s="403"/>
      <c r="BI18" s="403"/>
      <c r="BJ18" s="403"/>
      <c r="BK18" s="403"/>
      <c r="BL18" s="403"/>
      <c r="BM18" s="403"/>
      <c r="BN18" s="403"/>
      <c r="BO18" s="403"/>
      <c r="BP18" s="403"/>
      <c r="BQ18" s="403"/>
      <c r="BR18" s="403"/>
      <c r="BS18" s="403"/>
    </row>
    <row r="19" ht="18.75" customHeight="1">
      <c r="A19" s="536" t="s">
        <v>1538</v>
      </c>
      <c r="B19" s="537" t="s">
        <v>1539</v>
      </c>
      <c r="C19" s="277"/>
      <c r="D19" s="277"/>
      <c r="E19" s="278"/>
      <c r="F19" s="538" t="str">
        <f>+F2</f>
        <v>Octubre 2025 RFC</v>
      </c>
      <c r="G19" s="277"/>
      <c r="H19" s="278"/>
      <c r="I19" s="538" t="str">
        <f>+I2</f>
        <v>Noviembre 2025 RFC</v>
      </c>
      <c r="J19" s="277"/>
      <c r="K19" s="278"/>
      <c r="L19" s="538" t="str">
        <f>+L2</f>
        <v>Diciembre 2025 RFC</v>
      </c>
      <c r="M19" s="277"/>
      <c r="N19" s="278"/>
      <c r="O19" s="538" t="str">
        <f>+O2</f>
        <v>Enero 2026 RFC</v>
      </c>
      <c r="P19" s="277"/>
      <c r="Q19" s="278"/>
      <c r="R19" s="538" t="str">
        <f>+R2</f>
        <v>Febrero 2026 RFC</v>
      </c>
      <c r="S19" s="277"/>
      <c r="T19" s="278"/>
      <c r="U19" s="538" t="str">
        <f>+U2</f>
        <v>Marzo 2026 RFC</v>
      </c>
      <c r="V19" s="277"/>
      <c r="W19" s="278"/>
      <c r="X19" s="538" t="str">
        <f>+X2</f>
        <v>Abril 2026 RFC</v>
      </c>
      <c r="Y19" s="277"/>
      <c r="Z19" s="278"/>
      <c r="AA19" s="538" t="str">
        <f>+AA2</f>
        <v>Mayo 2026 RFC</v>
      </c>
      <c r="AB19" s="277"/>
      <c r="AC19" s="278"/>
      <c r="AD19" s="538" t="str">
        <f>+AD2</f>
        <v>Junio 2026 RFC</v>
      </c>
      <c r="AE19" s="277"/>
      <c r="AF19" s="278"/>
      <c r="AG19" s="538" t="str">
        <f>+AG2</f>
        <v>Julio 2026 RFC</v>
      </c>
      <c r="AH19" s="277"/>
      <c r="AI19" s="278"/>
      <c r="AJ19" s="538" t="str">
        <f>+AJ2</f>
        <v>Agosto 2026 RFC</v>
      </c>
      <c r="AK19" s="277"/>
      <c r="AL19" s="278"/>
      <c r="AM19" s="538" t="str">
        <f>+AM2</f>
        <v>Septiembre 2026 RFC</v>
      </c>
      <c r="AN19" s="277"/>
      <c r="AO19" s="278"/>
      <c r="AP19" s="538" t="str">
        <f>+AP2</f>
        <v>Octubre 2026 RFC</v>
      </c>
      <c r="AQ19" s="277"/>
      <c r="AR19" s="278"/>
      <c r="AS19" s="538" t="str">
        <f>+AS2</f>
        <v>Noviembre 2026 RFC</v>
      </c>
      <c r="AT19" s="277"/>
      <c r="AU19" s="278"/>
      <c r="AV19" s="538" t="str">
        <f>+AV2</f>
        <v>Diciembre 2026 RFC</v>
      </c>
      <c r="AW19" s="277"/>
      <c r="AX19" s="278"/>
      <c r="AY19" s="511"/>
      <c r="AZ19" s="403"/>
      <c r="BA19" s="403"/>
      <c r="BB19" s="403"/>
      <c r="BC19" s="403"/>
      <c r="BD19" s="403"/>
      <c r="BE19" s="403"/>
      <c r="BF19" s="403"/>
      <c r="BG19" s="403"/>
      <c r="BH19" s="403"/>
      <c r="BI19" s="403"/>
      <c r="BJ19" s="403"/>
      <c r="BK19" s="403"/>
      <c r="BL19" s="403"/>
      <c r="BM19" s="403"/>
      <c r="BN19" s="403"/>
      <c r="BO19" s="403"/>
      <c r="BP19" s="403"/>
      <c r="BQ19" s="403"/>
      <c r="BR19" s="403"/>
      <c r="BS19" s="403"/>
    </row>
    <row r="20" ht="22.5" customHeight="1">
      <c r="A20" s="539" t="s">
        <v>104</v>
      </c>
      <c r="B20" s="540" t="s">
        <v>1520</v>
      </c>
      <c r="C20" s="541"/>
      <c r="D20" s="542" t="s">
        <v>1522</v>
      </c>
      <c r="E20" s="543" t="s">
        <v>1523</v>
      </c>
      <c r="F20" s="477" t="s">
        <v>1520</v>
      </c>
      <c r="G20" s="478" t="s">
        <v>1524</v>
      </c>
      <c r="H20" s="544" t="s">
        <v>1525</v>
      </c>
      <c r="I20" s="477" t="s">
        <v>1520</v>
      </c>
      <c r="J20" s="478" t="s">
        <v>1524</v>
      </c>
      <c r="K20" s="544" t="s">
        <v>1525</v>
      </c>
      <c r="L20" s="477" t="s">
        <v>1520</v>
      </c>
      <c r="M20" s="478" t="s">
        <v>1524</v>
      </c>
      <c r="N20" s="544" t="s">
        <v>1525</v>
      </c>
      <c r="O20" s="477" t="s">
        <v>1520</v>
      </c>
      <c r="P20" s="478" t="s">
        <v>1524</v>
      </c>
      <c r="Q20" s="544" t="s">
        <v>1525</v>
      </c>
      <c r="R20" s="477" t="s">
        <v>1520</v>
      </c>
      <c r="S20" s="478" t="s">
        <v>1524</v>
      </c>
      <c r="T20" s="544" t="s">
        <v>1525</v>
      </c>
      <c r="U20" s="477" t="s">
        <v>1520</v>
      </c>
      <c r="V20" s="478" t="s">
        <v>1524</v>
      </c>
      <c r="W20" s="544" t="s">
        <v>1525</v>
      </c>
      <c r="X20" s="477" t="s">
        <v>1520</v>
      </c>
      <c r="Y20" s="478" t="s">
        <v>1524</v>
      </c>
      <c r="Z20" s="544" t="s">
        <v>1525</v>
      </c>
      <c r="AA20" s="477" t="s">
        <v>1520</v>
      </c>
      <c r="AB20" s="478" t="s">
        <v>1524</v>
      </c>
      <c r="AC20" s="544" t="s">
        <v>1525</v>
      </c>
      <c r="AD20" s="477" t="s">
        <v>1520</v>
      </c>
      <c r="AE20" s="478" t="s">
        <v>1524</v>
      </c>
      <c r="AF20" s="544" t="s">
        <v>1525</v>
      </c>
      <c r="AG20" s="477" t="s">
        <v>1520</v>
      </c>
      <c r="AH20" s="478" t="s">
        <v>1524</v>
      </c>
      <c r="AI20" s="544" t="s">
        <v>1525</v>
      </c>
      <c r="AJ20" s="477" t="s">
        <v>1520</v>
      </c>
      <c r="AK20" s="478" t="s">
        <v>1524</v>
      </c>
      <c r="AL20" s="544" t="s">
        <v>1525</v>
      </c>
      <c r="AM20" s="477" t="s">
        <v>1520</v>
      </c>
      <c r="AN20" s="478" t="s">
        <v>1524</v>
      </c>
      <c r="AO20" s="544" t="s">
        <v>1525</v>
      </c>
      <c r="AP20" s="477" t="s">
        <v>1520</v>
      </c>
      <c r="AQ20" s="478" t="s">
        <v>1524</v>
      </c>
      <c r="AR20" s="544" t="s">
        <v>1525</v>
      </c>
      <c r="AS20" s="477" t="s">
        <v>1520</v>
      </c>
      <c r="AT20" s="478" t="s">
        <v>1524</v>
      </c>
      <c r="AU20" s="544" t="s">
        <v>1525</v>
      </c>
      <c r="AV20" s="477" t="s">
        <v>1520</v>
      </c>
      <c r="AW20" s="478" t="s">
        <v>1524</v>
      </c>
      <c r="AX20" s="544" t="s">
        <v>1525</v>
      </c>
      <c r="AY20" s="511"/>
      <c r="AZ20" s="403"/>
      <c r="BA20" s="403"/>
      <c r="BB20" s="403"/>
      <c r="BC20" s="403"/>
      <c r="BD20" s="403"/>
      <c r="BE20" s="403"/>
      <c r="BF20" s="403"/>
      <c r="BG20" s="403"/>
      <c r="BH20" s="403"/>
      <c r="BI20" s="403"/>
      <c r="BJ20" s="403"/>
      <c r="BK20" s="403"/>
      <c r="BL20" s="403"/>
      <c r="BM20" s="403"/>
      <c r="BN20" s="403"/>
      <c r="BO20" s="403"/>
      <c r="BP20" s="403"/>
      <c r="BQ20" s="403"/>
      <c r="BR20" s="403"/>
      <c r="BS20" s="403"/>
    </row>
    <row r="21" ht="15.0" customHeight="1">
      <c r="A21" s="545" t="s">
        <v>1540</v>
      </c>
      <c r="B21" s="546">
        <v>1.0</v>
      </c>
      <c r="C21" s="547"/>
      <c r="D21" s="548">
        <v>1620021.69</v>
      </c>
      <c r="E21" s="549">
        <f t="shared" ref="E21:E22" si="60">+D21*B21</f>
        <v>1620021.69</v>
      </c>
      <c r="F21" s="546">
        <v>1.0</v>
      </c>
      <c r="G21" s="550">
        <f>+D21*G15</f>
        <v>1655662.167</v>
      </c>
      <c r="H21" s="551">
        <f t="shared" ref="H21:H22" si="61">+G21*F21</f>
        <v>1655662.167</v>
      </c>
      <c r="I21" s="546">
        <v>1.0</v>
      </c>
      <c r="J21" s="550">
        <f>+G21*J15</f>
        <v>1693742.397</v>
      </c>
      <c r="K21" s="551">
        <f t="shared" ref="K21:K22" si="62">+J21*I21</f>
        <v>1693742.397</v>
      </c>
      <c r="L21" s="546">
        <v>1.0</v>
      </c>
      <c r="M21" s="550">
        <f>+J21*M15</f>
        <v>1727617.245</v>
      </c>
      <c r="N21" s="551">
        <f t="shared" ref="N21:N22" si="63">+M21*L21</f>
        <v>1727617.245</v>
      </c>
      <c r="O21" s="546">
        <v>1.0</v>
      </c>
      <c r="P21" s="550">
        <f>+M21*P15</f>
        <v>1762169.59</v>
      </c>
      <c r="Q21" s="551">
        <f t="shared" ref="Q21:Q22" si="64">+P21*O21</f>
        <v>1762169.59</v>
      </c>
      <c r="R21" s="546">
        <v>1.0</v>
      </c>
      <c r="S21" s="550">
        <f>+P21*S15</f>
        <v>1813272.508</v>
      </c>
      <c r="T21" s="551">
        <f t="shared" ref="T21:T22" si="65">+S21*R21</f>
        <v>1813272.508</v>
      </c>
      <c r="U21" s="546">
        <v>1.0</v>
      </c>
      <c r="V21" s="550">
        <f>+S21*V15</f>
        <v>1865857.411</v>
      </c>
      <c r="W21" s="551">
        <f t="shared" ref="W21:W22" si="66">+V21*U21</f>
        <v>1865857.411</v>
      </c>
      <c r="X21" s="546">
        <v>1.0</v>
      </c>
      <c r="Y21" s="550">
        <f>+V21*Y15</f>
        <v>1929296.563</v>
      </c>
      <c r="Z21" s="551">
        <f t="shared" ref="Z21:Z22" si="67">+Y21*X21</f>
        <v>1929296.563</v>
      </c>
      <c r="AA21" s="546">
        <v>1.0</v>
      </c>
      <c r="AB21" s="550">
        <f>+Y21*AB15</f>
        <v>1979458.273</v>
      </c>
      <c r="AC21" s="551">
        <f t="shared" ref="AC21:AC22" si="68">+AB21*AA21</f>
        <v>1979458.273</v>
      </c>
      <c r="AD21" s="546">
        <v>1.0</v>
      </c>
      <c r="AE21" s="550">
        <f>+AB21*AE15</f>
        <v>2036862.563</v>
      </c>
      <c r="AF21" s="551">
        <f t="shared" ref="AF21:AF22" si="69">+AE21*AD21</f>
        <v>2036862.563</v>
      </c>
      <c r="AG21" s="546">
        <v>1.0</v>
      </c>
      <c r="AH21" s="550">
        <f>+AE21*AH15</f>
        <v>2095931.578</v>
      </c>
      <c r="AI21" s="551">
        <f t="shared" ref="AI21:AI22" si="70">+AH21*AG21</f>
        <v>2095931.578</v>
      </c>
      <c r="AJ21" s="546">
        <v>1.0</v>
      </c>
      <c r="AK21" s="550">
        <f>+AH21*AK15</f>
        <v>2156713.593</v>
      </c>
      <c r="AL21" s="551">
        <f t="shared" ref="AL21:AL22" si="71">+AK21*AJ21</f>
        <v>2156713.593</v>
      </c>
      <c r="AM21" s="546">
        <v>1.0</v>
      </c>
      <c r="AN21" s="550">
        <f>+AK21*AN15</f>
        <v>2219258.288</v>
      </c>
      <c r="AO21" s="551">
        <f t="shared" ref="AO21:AO22" si="72">+AN21*AM21</f>
        <v>2219258.288</v>
      </c>
      <c r="AP21" s="546">
        <v>1.0</v>
      </c>
      <c r="AQ21" s="550">
        <f>+AN21*AQ15</f>
        <v>2283616.778</v>
      </c>
      <c r="AR21" s="551">
        <f t="shared" ref="AR21:AR22" si="73">+AQ21*AP21</f>
        <v>2283616.778</v>
      </c>
      <c r="AS21" s="546">
        <v>1.0</v>
      </c>
      <c r="AT21" s="550">
        <f>+AQ21*AT15</f>
        <v>2349841.664</v>
      </c>
      <c r="AU21" s="551">
        <f t="shared" ref="AU21:AU22" si="74">+AT21*AS21</f>
        <v>2349841.664</v>
      </c>
      <c r="AV21" s="546">
        <v>1.0</v>
      </c>
      <c r="AW21" s="550">
        <f>+AT21*AW15</f>
        <v>2417987.073</v>
      </c>
      <c r="AX21" s="551">
        <f t="shared" ref="AX21:AX22" si="75">+AW21*AV21</f>
        <v>2417987.073</v>
      </c>
      <c r="AY21" s="511"/>
      <c r="AZ21" s="403"/>
      <c r="BA21" s="403"/>
      <c r="BB21" s="403"/>
      <c r="BC21" s="403"/>
      <c r="BD21" s="403"/>
      <c r="BE21" s="403"/>
      <c r="BF21" s="403"/>
      <c r="BG21" s="403"/>
      <c r="BH21" s="403"/>
      <c r="BI21" s="403"/>
      <c r="BJ21" s="403"/>
      <c r="BK21" s="403"/>
      <c r="BL21" s="403"/>
      <c r="BM21" s="403"/>
      <c r="BN21" s="403"/>
      <c r="BO21" s="403"/>
      <c r="BP21" s="403"/>
      <c r="BQ21" s="403"/>
      <c r="BR21" s="403"/>
      <c r="BS21" s="403"/>
    </row>
    <row r="22" ht="15.0" customHeight="1">
      <c r="A22" s="552" t="s">
        <v>1541</v>
      </c>
      <c r="B22" s="553">
        <v>6299.0</v>
      </c>
      <c r="C22" s="513"/>
      <c r="D22" s="548">
        <v>151.63</v>
      </c>
      <c r="E22" s="554">
        <f t="shared" si="60"/>
        <v>955117.37</v>
      </c>
      <c r="F22" s="553">
        <v>6299.0</v>
      </c>
      <c r="G22" s="550">
        <f>+D22*G15</f>
        <v>154.96586</v>
      </c>
      <c r="H22" s="555">
        <f t="shared" si="61"/>
        <v>976129.9521</v>
      </c>
      <c r="I22" s="556">
        <v>6299.0</v>
      </c>
      <c r="J22" s="550">
        <f>+G22*J15</f>
        <v>158.5300748</v>
      </c>
      <c r="K22" s="555">
        <f t="shared" si="62"/>
        <v>998580.941</v>
      </c>
      <c r="L22" s="556">
        <v>6299.0</v>
      </c>
      <c r="M22" s="550">
        <f>+J22*M15</f>
        <v>161.7006763</v>
      </c>
      <c r="N22" s="555">
        <f t="shared" si="63"/>
        <v>1018552.56</v>
      </c>
      <c r="O22" s="556">
        <v>6299.0</v>
      </c>
      <c r="P22" s="550">
        <f>+M22*P15</f>
        <v>164.9346898</v>
      </c>
      <c r="Q22" s="555">
        <f t="shared" si="64"/>
        <v>1038923.611</v>
      </c>
      <c r="R22" s="556">
        <v>6299.0</v>
      </c>
      <c r="S22" s="550">
        <f>+P22*S15</f>
        <v>169.7177958</v>
      </c>
      <c r="T22" s="555">
        <f t="shared" si="65"/>
        <v>1069052.396</v>
      </c>
      <c r="U22" s="556">
        <v>6299.0</v>
      </c>
      <c r="V22" s="550">
        <f>+S22*V15</f>
        <v>174.6396119</v>
      </c>
      <c r="W22" s="555">
        <f t="shared" si="66"/>
        <v>1100054.915</v>
      </c>
      <c r="X22" s="556">
        <v>6299.0</v>
      </c>
      <c r="Y22" s="550">
        <f>+V22*Y15</f>
        <v>180.5773587</v>
      </c>
      <c r="Z22" s="555">
        <f t="shared" si="67"/>
        <v>1137456.782</v>
      </c>
      <c r="AA22" s="556">
        <v>6299.0</v>
      </c>
      <c r="AB22" s="550">
        <f>+Y22*AB15</f>
        <v>185.27237</v>
      </c>
      <c r="AC22" s="555">
        <f t="shared" si="68"/>
        <v>1167030.659</v>
      </c>
      <c r="AD22" s="556">
        <v>6299.0</v>
      </c>
      <c r="AE22" s="550">
        <f>+AB22*AE15</f>
        <v>190.6452687</v>
      </c>
      <c r="AF22" s="555">
        <f t="shared" si="69"/>
        <v>1200874.548</v>
      </c>
      <c r="AG22" s="556">
        <v>6299.0</v>
      </c>
      <c r="AH22" s="550">
        <f>+AE22*AH15</f>
        <v>196.1739815</v>
      </c>
      <c r="AI22" s="555">
        <f t="shared" si="70"/>
        <v>1235699.91</v>
      </c>
      <c r="AJ22" s="556">
        <v>6299.0</v>
      </c>
      <c r="AK22" s="550">
        <f>+AH22*AK15</f>
        <v>201.863027</v>
      </c>
      <c r="AL22" s="555">
        <f t="shared" si="71"/>
        <v>1271535.207</v>
      </c>
      <c r="AM22" s="556">
        <v>6299.0</v>
      </c>
      <c r="AN22" s="550">
        <f>+AK22*AN15</f>
        <v>207.7170548</v>
      </c>
      <c r="AO22" s="555">
        <f t="shared" si="72"/>
        <v>1308409.728</v>
      </c>
      <c r="AP22" s="556">
        <v>6299.0</v>
      </c>
      <c r="AQ22" s="550">
        <f>+AN22*AQ15</f>
        <v>213.7408494</v>
      </c>
      <c r="AR22" s="555">
        <f t="shared" si="73"/>
        <v>1346353.61</v>
      </c>
      <c r="AS22" s="556">
        <v>6299.0</v>
      </c>
      <c r="AT22" s="550">
        <f>+AQ22*AT15</f>
        <v>219.939334</v>
      </c>
      <c r="AU22" s="555">
        <f t="shared" si="74"/>
        <v>1385397.865</v>
      </c>
      <c r="AV22" s="556">
        <v>6299.0</v>
      </c>
      <c r="AW22" s="550">
        <f>+AT22*AW15</f>
        <v>226.3175747</v>
      </c>
      <c r="AX22" s="555">
        <f t="shared" si="75"/>
        <v>1425574.403</v>
      </c>
      <c r="AY22" s="511"/>
      <c r="AZ22" s="403"/>
      <c r="BA22" s="403"/>
      <c r="BB22" s="403"/>
      <c r="BC22" s="403"/>
      <c r="BD22" s="403"/>
      <c r="BE22" s="403"/>
      <c r="BF22" s="403"/>
      <c r="BG22" s="403"/>
      <c r="BH22" s="403"/>
      <c r="BI22" s="403"/>
      <c r="BJ22" s="403"/>
      <c r="BK22" s="403"/>
      <c r="BL22" s="403"/>
      <c r="BM22" s="403"/>
      <c r="BN22" s="403"/>
      <c r="BO22" s="403"/>
      <c r="BP22" s="403"/>
      <c r="BQ22" s="403"/>
      <c r="BR22" s="403"/>
      <c r="BS22" s="403"/>
    </row>
    <row r="23" ht="15.0" customHeight="1">
      <c r="A23" s="503" t="s">
        <v>1542</v>
      </c>
      <c r="B23" s="504"/>
      <c r="C23" s="505"/>
      <c r="D23" s="506"/>
      <c r="E23" s="507">
        <f>SUM(E21:E22)</f>
        <v>2575139.06</v>
      </c>
      <c r="F23" s="557"/>
      <c r="G23" s="558"/>
      <c r="H23" s="559">
        <f>SUM(H21:H22)</f>
        <v>2631792.119</v>
      </c>
      <c r="I23" s="557"/>
      <c r="J23" s="558"/>
      <c r="K23" s="559">
        <f>SUM(K21:K22)</f>
        <v>2692323.338</v>
      </c>
      <c r="L23" s="557"/>
      <c r="M23" s="558"/>
      <c r="N23" s="559">
        <f>SUM(N21:N22)</f>
        <v>2746169.805</v>
      </c>
      <c r="O23" s="557"/>
      <c r="P23" s="558"/>
      <c r="Q23" s="559">
        <f>SUM(Q21:Q22)</f>
        <v>2801093.201</v>
      </c>
      <c r="R23" s="557"/>
      <c r="S23" s="558"/>
      <c r="T23" s="559">
        <f>SUM(T21:T22)</f>
        <v>2882324.904</v>
      </c>
      <c r="U23" s="557"/>
      <c r="V23" s="558"/>
      <c r="W23" s="559">
        <f>SUM(W21:W22)</f>
        <v>2965912.326</v>
      </c>
      <c r="X23" s="557"/>
      <c r="Y23" s="558"/>
      <c r="Z23" s="559">
        <f>SUM(Z21:Z22)</f>
        <v>3066753.345</v>
      </c>
      <c r="AA23" s="557"/>
      <c r="AB23" s="558"/>
      <c r="AC23" s="559">
        <f>SUM(AC21:AC22)</f>
        <v>3146488.932</v>
      </c>
      <c r="AD23" s="557"/>
      <c r="AE23" s="558"/>
      <c r="AF23" s="559">
        <f>SUM(AF21:AF22)</f>
        <v>3237737.111</v>
      </c>
      <c r="AG23" s="557"/>
      <c r="AH23" s="558"/>
      <c r="AI23" s="559">
        <f>SUM(AI21:AI22)</f>
        <v>3331631.487</v>
      </c>
      <c r="AJ23" s="557"/>
      <c r="AK23" s="558"/>
      <c r="AL23" s="559">
        <f>SUM(AL21:AL22)</f>
        <v>3428248.8</v>
      </c>
      <c r="AM23" s="557"/>
      <c r="AN23" s="558"/>
      <c r="AO23" s="559">
        <f>SUM(AO21:AO22)</f>
        <v>3527668.016</v>
      </c>
      <c r="AP23" s="557"/>
      <c r="AQ23" s="558"/>
      <c r="AR23" s="559">
        <f>SUM(AR21:AR22)</f>
        <v>3629970.388</v>
      </c>
      <c r="AS23" s="557"/>
      <c r="AT23" s="558"/>
      <c r="AU23" s="559">
        <f>SUM(AU21:AU22)</f>
        <v>3735239.529</v>
      </c>
      <c r="AV23" s="557"/>
      <c r="AW23" s="558"/>
      <c r="AX23" s="559">
        <f>SUM(AX21:AX22)</f>
        <v>3843561.476</v>
      </c>
      <c r="AY23" s="511">
        <f>SUM(O23:AX23)</f>
        <v>39596629.51</v>
      </c>
      <c r="AZ23" s="403"/>
      <c r="BA23" s="403"/>
      <c r="BB23" s="403"/>
      <c r="BC23" s="403"/>
      <c r="BD23" s="403"/>
      <c r="BE23" s="403"/>
      <c r="BF23" s="403"/>
      <c r="BG23" s="403"/>
      <c r="BH23" s="403"/>
      <c r="BI23" s="403"/>
      <c r="BJ23" s="403"/>
      <c r="BK23" s="403"/>
      <c r="BL23" s="403"/>
      <c r="BM23" s="403"/>
      <c r="BN23" s="403"/>
      <c r="BO23" s="403"/>
      <c r="BP23" s="403"/>
      <c r="BQ23" s="403"/>
      <c r="BR23" s="403"/>
      <c r="BS23" s="403"/>
    </row>
    <row r="24" ht="11.25" customHeight="1">
      <c r="A24" s="519"/>
      <c r="B24" s="560"/>
      <c r="C24" s="513"/>
      <c r="D24" s="513"/>
      <c r="E24" s="514"/>
      <c r="F24" s="515"/>
      <c r="G24" s="515"/>
      <c r="H24" s="393"/>
      <c r="I24" s="516"/>
      <c r="J24" s="517"/>
      <c r="K24" s="518"/>
      <c r="L24" s="515"/>
      <c r="M24" s="515"/>
      <c r="N24" s="393"/>
      <c r="O24" s="393"/>
      <c r="P24" s="393"/>
      <c r="Q24" s="393"/>
      <c r="R24" s="393"/>
      <c r="S24" s="393"/>
      <c r="T24" s="393"/>
      <c r="U24" s="393"/>
      <c r="V24" s="393"/>
      <c r="W24" s="393"/>
      <c r="X24" s="393"/>
      <c r="Y24" s="393"/>
      <c r="Z24" s="393"/>
      <c r="AA24" s="393"/>
      <c r="AB24" s="393"/>
      <c r="AC24" s="393"/>
      <c r="AD24" s="393"/>
      <c r="AE24" s="393"/>
      <c r="AF24" s="393"/>
      <c r="AG24" s="393"/>
      <c r="AH24" s="393"/>
      <c r="AI24" s="393"/>
      <c r="AJ24" s="393"/>
      <c r="AK24" s="393"/>
      <c r="AL24" s="393"/>
      <c r="AM24" s="393"/>
      <c r="AN24" s="393"/>
      <c r="AO24" s="393"/>
      <c r="AP24" s="393"/>
      <c r="AQ24" s="393"/>
      <c r="AR24" s="393"/>
      <c r="AS24" s="393"/>
      <c r="AT24" s="393"/>
      <c r="AU24" s="393"/>
      <c r="AV24" s="393"/>
      <c r="AW24" s="393"/>
      <c r="AX24" s="393"/>
      <c r="AY24" s="511"/>
      <c r="AZ24" s="403"/>
      <c r="BA24" s="403"/>
      <c r="BB24" s="403"/>
      <c r="BC24" s="403"/>
      <c r="BD24" s="403"/>
      <c r="BE24" s="403"/>
      <c r="BF24" s="403"/>
      <c r="BG24" s="403"/>
      <c r="BH24" s="403"/>
      <c r="BI24" s="403"/>
      <c r="BJ24" s="403"/>
      <c r="BK24" s="403"/>
      <c r="BL24" s="403"/>
      <c r="BM24" s="403"/>
      <c r="BN24" s="403"/>
      <c r="BO24" s="403"/>
      <c r="BP24" s="403"/>
      <c r="BQ24" s="403"/>
      <c r="BR24" s="403"/>
      <c r="BS24" s="403"/>
    </row>
    <row r="25" ht="24.0" customHeight="1">
      <c r="A25" s="561" t="s">
        <v>107</v>
      </c>
      <c r="B25" s="562" t="s">
        <v>1520</v>
      </c>
      <c r="C25" s="563"/>
      <c r="D25" s="564" t="s">
        <v>1522</v>
      </c>
      <c r="E25" s="565" t="s">
        <v>1523</v>
      </c>
      <c r="F25" s="477" t="str">
        <f t="shared" ref="F25:AX25" si="76">+F20</f>
        <v>Cantidad</v>
      </c>
      <c r="G25" s="478" t="str">
        <f t="shared" si="76"/>
        <v>Precio Unitario</v>
      </c>
      <c r="H25" s="544" t="str">
        <f t="shared" si="76"/>
        <v>Total</v>
      </c>
      <c r="I25" s="477" t="str">
        <f t="shared" si="76"/>
        <v>Cantidad</v>
      </c>
      <c r="J25" s="478" t="str">
        <f t="shared" si="76"/>
        <v>Precio Unitario</v>
      </c>
      <c r="K25" s="544" t="str">
        <f t="shared" si="76"/>
        <v>Total</v>
      </c>
      <c r="L25" s="477" t="str">
        <f t="shared" si="76"/>
        <v>Cantidad</v>
      </c>
      <c r="M25" s="478" t="str">
        <f t="shared" si="76"/>
        <v>Precio Unitario</v>
      </c>
      <c r="N25" s="544" t="str">
        <f t="shared" si="76"/>
        <v>Total</v>
      </c>
      <c r="O25" s="477" t="str">
        <f t="shared" si="76"/>
        <v>Cantidad</v>
      </c>
      <c r="P25" s="478" t="str">
        <f t="shared" si="76"/>
        <v>Precio Unitario</v>
      </c>
      <c r="Q25" s="544" t="str">
        <f t="shared" si="76"/>
        <v>Total</v>
      </c>
      <c r="R25" s="477" t="str">
        <f t="shared" si="76"/>
        <v>Cantidad</v>
      </c>
      <c r="S25" s="478" t="str">
        <f t="shared" si="76"/>
        <v>Precio Unitario</v>
      </c>
      <c r="T25" s="544" t="str">
        <f t="shared" si="76"/>
        <v>Total</v>
      </c>
      <c r="U25" s="477" t="str">
        <f t="shared" si="76"/>
        <v>Cantidad</v>
      </c>
      <c r="V25" s="478" t="str">
        <f t="shared" si="76"/>
        <v>Precio Unitario</v>
      </c>
      <c r="W25" s="544" t="str">
        <f t="shared" si="76"/>
        <v>Total</v>
      </c>
      <c r="X25" s="477" t="str">
        <f t="shared" si="76"/>
        <v>Cantidad</v>
      </c>
      <c r="Y25" s="478" t="str">
        <f t="shared" si="76"/>
        <v>Precio Unitario</v>
      </c>
      <c r="Z25" s="544" t="str">
        <f t="shared" si="76"/>
        <v>Total</v>
      </c>
      <c r="AA25" s="477" t="str">
        <f t="shared" si="76"/>
        <v>Cantidad</v>
      </c>
      <c r="AB25" s="478" t="str">
        <f t="shared" si="76"/>
        <v>Precio Unitario</v>
      </c>
      <c r="AC25" s="544" t="str">
        <f t="shared" si="76"/>
        <v>Total</v>
      </c>
      <c r="AD25" s="477" t="str">
        <f t="shared" si="76"/>
        <v>Cantidad</v>
      </c>
      <c r="AE25" s="478" t="str">
        <f t="shared" si="76"/>
        <v>Precio Unitario</v>
      </c>
      <c r="AF25" s="544" t="str">
        <f t="shared" si="76"/>
        <v>Total</v>
      </c>
      <c r="AG25" s="477" t="str">
        <f t="shared" si="76"/>
        <v>Cantidad</v>
      </c>
      <c r="AH25" s="478" t="str">
        <f t="shared" si="76"/>
        <v>Precio Unitario</v>
      </c>
      <c r="AI25" s="544" t="str">
        <f t="shared" si="76"/>
        <v>Total</v>
      </c>
      <c r="AJ25" s="477" t="str">
        <f t="shared" si="76"/>
        <v>Cantidad</v>
      </c>
      <c r="AK25" s="478" t="str">
        <f t="shared" si="76"/>
        <v>Precio Unitario</v>
      </c>
      <c r="AL25" s="544" t="str">
        <f t="shared" si="76"/>
        <v>Total</v>
      </c>
      <c r="AM25" s="477" t="str">
        <f t="shared" si="76"/>
        <v>Cantidad</v>
      </c>
      <c r="AN25" s="478" t="str">
        <f t="shared" si="76"/>
        <v>Precio Unitario</v>
      </c>
      <c r="AO25" s="544" t="str">
        <f t="shared" si="76"/>
        <v>Total</v>
      </c>
      <c r="AP25" s="477" t="str">
        <f t="shared" si="76"/>
        <v>Cantidad</v>
      </c>
      <c r="AQ25" s="478" t="str">
        <f t="shared" si="76"/>
        <v>Precio Unitario</v>
      </c>
      <c r="AR25" s="544" t="str">
        <f t="shared" si="76"/>
        <v>Total</v>
      </c>
      <c r="AS25" s="477" t="str">
        <f t="shared" si="76"/>
        <v>Cantidad</v>
      </c>
      <c r="AT25" s="478" t="str">
        <f t="shared" si="76"/>
        <v>Precio Unitario</v>
      </c>
      <c r="AU25" s="544" t="str">
        <f t="shared" si="76"/>
        <v>Total</v>
      </c>
      <c r="AV25" s="477" t="str">
        <f t="shared" si="76"/>
        <v>Cantidad</v>
      </c>
      <c r="AW25" s="478" t="str">
        <f t="shared" si="76"/>
        <v>Precio Unitario</v>
      </c>
      <c r="AX25" s="544" t="str">
        <f t="shared" si="76"/>
        <v>Total</v>
      </c>
      <c r="AY25" s="511"/>
      <c r="AZ25" s="403"/>
      <c r="BA25" s="403"/>
      <c r="BB25" s="403"/>
      <c r="BC25" s="403"/>
      <c r="BD25" s="403"/>
      <c r="BE25" s="403"/>
      <c r="BF25" s="403"/>
      <c r="BG25" s="403"/>
      <c r="BH25" s="403"/>
      <c r="BI25" s="403"/>
      <c r="BJ25" s="403"/>
      <c r="BK25" s="403"/>
      <c r="BL25" s="403"/>
      <c r="BM25" s="403"/>
      <c r="BN25" s="403"/>
      <c r="BO25" s="403"/>
      <c r="BP25" s="403"/>
      <c r="BQ25" s="403"/>
      <c r="BR25" s="403"/>
      <c r="BS25" s="403"/>
    </row>
    <row r="26" ht="16.5" customHeight="1">
      <c r="A26" s="566" t="s">
        <v>1543</v>
      </c>
      <c r="B26" s="546">
        <v>3.0</v>
      </c>
      <c r="C26" s="567"/>
      <c r="D26" s="568">
        <v>1937633.4180552</v>
      </c>
      <c r="E26" s="568">
        <f t="shared" ref="E26:E27" si="77">+D26*B26</f>
        <v>5812900.254</v>
      </c>
      <c r="F26" s="546">
        <f t="shared" ref="F26:F27" si="78">+B26</f>
        <v>3</v>
      </c>
      <c r="G26" s="569">
        <f>+D26+18811.97</f>
        <v>1956445.388</v>
      </c>
      <c r="H26" s="551">
        <f t="shared" ref="H26:H27" si="79">+G26*F26</f>
        <v>5869336.164</v>
      </c>
      <c r="I26" s="546">
        <f t="shared" ref="I26:I27" si="80">+F26</f>
        <v>3</v>
      </c>
      <c r="J26" s="569">
        <f>+G26+18811.97</f>
        <v>1975257.358</v>
      </c>
      <c r="K26" s="551">
        <f t="shared" ref="K26:K27" si="81">+J26*I26</f>
        <v>5925772.074</v>
      </c>
      <c r="L26" s="546">
        <f t="shared" ref="L26:L27" si="82">+I26</f>
        <v>3</v>
      </c>
      <c r="M26" s="569">
        <f>+J26+18811.97</f>
        <v>1994069.328</v>
      </c>
      <c r="N26" s="551">
        <f t="shared" ref="N26:N27" si="83">+M26*L26</f>
        <v>5982207.984</v>
      </c>
      <c r="O26" s="546">
        <f>+L26</f>
        <v>3</v>
      </c>
      <c r="P26" s="550">
        <f>+M26*P16</f>
        <v>2014010.021</v>
      </c>
      <c r="Q26" s="551">
        <f t="shared" ref="Q26:Q27" si="84">+P26*O26</f>
        <v>6042030.064</v>
      </c>
      <c r="R26" s="546">
        <f>+O26</f>
        <v>3</v>
      </c>
      <c r="S26" s="550">
        <f>+P26*S16</f>
        <v>2034150.122</v>
      </c>
      <c r="T26" s="551">
        <f t="shared" ref="T26:T27" si="85">+S26*R26</f>
        <v>6102450.365</v>
      </c>
      <c r="U26" s="546">
        <f>+R26</f>
        <v>3</v>
      </c>
      <c r="V26" s="550">
        <f>+S26*V16</f>
        <v>2054491.623</v>
      </c>
      <c r="W26" s="551">
        <f t="shared" ref="W26:W27" si="86">+V26*U26</f>
        <v>6163474.868</v>
      </c>
      <c r="X26" s="546">
        <f>+U26</f>
        <v>3</v>
      </c>
      <c r="Y26" s="550">
        <f>+V26*Y16</f>
        <v>2075036.539</v>
      </c>
      <c r="Z26" s="551">
        <f t="shared" ref="Z26:Z27" si="87">+Y26*X26</f>
        <v>6225109.617</v>
      </c>
      <c r="AA26" s="546">
        <f>+X26</f>
        <v>3</v>
      </c>
      <c r="AB26" s="550">
        <f>+Y26*AB16</f>
        <v>2095786.904</v>
      </c>
      <c r="AC26" s="551">
        <f t="shared" ref="AC26:AC27" si="88">+AB26*AA26</f>
        <v>6287360.713</v>
      </c>
      <c r="AD26" s="546">
        <f>+AA26</f>
        <v>3</v>
      </c>
      <c r="AE26" s="550">
        <f>+AB26*AE16</f>
        <v>2116744.773</v>
      </c>
      <c r="AF26" s="551">
        <f t="shared" ref="AF26:AF27" si="89">+AE26*AD26</f>
        <v>6350234.32</v>
      </c>
      <c r="AG26" s="546">
        <f>+AD26</f>
        <v>3</v>
      </c>
      <c r="AH26" s="550">
        <f>+AE26*AH16</f>
        <v>2137912.221</v>
      </c>
      <c r="AI26" s="551">
        <f t="shared" ref="AI26:AI27" si="90">+AH26*AG26</f>
        <v>6413736.663</v>
      </c>
      <c r="AJ26" s="546">
        <f>+AG26</f>
        <v>3</v>
      </c>
      <c r="AK26" s="550">
        <f>+AH26*AK16</f>
        <v>2159291.343</v>
      </c>
      <c r="AL26" s="551">
        <f t="shared" ref="AL26:AL27" si="91">+AK26*AJ26</f>
        <v>6477874.03</v>
      </c>
      <c r="AM26" s="546">
        <f>+AJ26</f>
        <v>3</v>
      </c>
      <c r="AN26" s="550">
        <f>+AK26*AN16</f>
        <v>2180884.257</v>
      </c>
      <c r="AO26" s="551">
        <f t="shared" ref="AO26:AO27" si="92">+AN26*AM26</f>
        <v>6542652.77</v>
      </c>
      <c r="AP26" s="546">
        <f>+AM26</f>
        <v>3</v>
      </c>
      <c r="AQ26" s="550">
        <f>+AN26*AQ16</f>
        <v>2202693.099</v>
      </c>
      <c r="AR26" s="551">
        <f t="shared" ref="AR26:AR27" si="93">+AQ26*AP26</f>
        <v>6608079.298</v>
      </c>
      <c r="AS26" s="546">
        <f>+AP26</f>
        <v>3</v>
      </c>
      <c r="AT26" s="550">
        <f>+AQ26*AT16</f>
        <v>2224720.03</v>
      </c>
      <c r="AU26" s="551">
        <f t="shared" ref="AU26:AU27" si="94">+AT26*AS26</f>
        <v>6674160.091</v>
      </c>
      <c r="AV26" s="546">
        <f>+AS26</f>
        <v>3</v>
      </c>
      <c r="AW26" s="550">
        <f>+AT26*AW16</f>
        <v>2246967.231</v>
      </c>
      <c r="AX26" s="551">
        <f t="shared" ref="AX26:AX27" si="95">+AW26*AV26</f>
        <v>6740901.692</v>
      </c>
      <c r="AY26" s="511"/>
      <c r="AZ26" s="403"/>
      <c r="BA26" s="403"/>
      <c r="BB26" s="403"/>
      <c r="BC26" s="403"/>
      <c r="BD26" s="403"/>
      <c r="BE26" s="403"/>
      <c r="BF26" s="403"/>
      <c r="BG26" s="403"/>
      <c r="BH26" s="403"/>
      <c r="BI26" s="403"/>
      <c r="BJ26" s="403"/>
      <c r="BK26" s="403"/>
      <c r="BL26" s="403"/>
      <c r="BM26" s="403"/>
      <c r="BN26" s="403"/>
      <c r="BO26" s="403"/>
      <c r="BP26" s="403"/>
      <c r="BQ26" s="403"/>
      <c r="BR26" s="403"/>
      <c r="BS26" s="403"/>
    </row>
    <row r="27" ht="16.5" customHeight="1">
      <c r="A27" s="519" t="s">
        <v>1544</v>
      </c>
      <c r="B27" s="560">
        <v>3.0</v>
      </c>
      <c r="C27" s="570"/>
      <c r="D27" s="548">
        <v>40000.0</v>
      </c>
      <c r="E27" s="548">
        <f t="shared" si="77"/>
        <v>120000</v>
      </c>
      <c r="F27" s="553">
        <f t="shared" si="78"/>
        <v>3</v>
      </c>
      <c r="G27" s="550">
        <f>+D27</f>
        <v>40000</v>
      </c>
      <c r="H27" s="555">
        <f t="shared" si="79"/>
        <v>120000</v>
      </c>
      <c r="I27" s="553">
        <f t="shared" si="80"/>
        <v>3</v>
      </c>
      <c r="J27" s="550">
        <f>+G27</f>
        <v>40000</v>
      </c>
      <c r="K27" s="555">
        <f t="shared" si="81"/>
        <v>120000</v>
      </c>
      <c r="L27" s="553">
        <f t="shared" si="82"/>
        <v>3</v>
      </c>
      <c r="M27" s="550">
        <f>+J27</f>
        <v>40000</v>
      </c>
      <c r="N27" s="555">
        <f t="shared" si="83"/>
        <v>120000</v>
      </c>
      <c r="O27" s="553"/>
      <c r="P27" s="550"/>
      <c r="Q27" s="555">
        <f t="shared" si="84"/>
        <v>0</v>
      </c>
      <c r="R27" s="553"/>
      <c r="S27" s="550"/>
      <c r="T27" s="555">
        <f t="shared" si="85"/>
        <v>0</v>
      </c>
      <c r="U27" s="553"/>
      <c r="V27" s="550"/>
      <c r="W27" s="555">
        <f t="shared" si="86"/>
        <v>0</v>
      </c>
      <c r="X27" s="553"/>
      <c r="Y27" s="550"/>
      <c r="Z27" s="555">
        <f t="shared" si="87"/>
        <v>0</v>
      </c>
      <c r="AA27" s="553"/>
      <c r="AB27" s="550"/>
      <c r="AC27" s="555">
        <f t="shared" si="88"/>
        <v>0</v>
      </c>
      <c r="AD27" s="553"/>
      <c r="AE27" s="550"/>
      <c r="AF27" s="555">
        <f t="shared" si="89"/>
        <v>0</v>
      </c>
      <c r="AG27" s="553"/>
      <c r="AH27" s="550"/>
      <c r="AI27" s="555">
        <f t="shared" si="90"/>
        <v>0</v>
      </c>
      <c r="AJ27" s="553"/>
      <c r="AK27" s="550"/>
      <c r="AL27" s="555">
        <f t="shared" si="91"/>
        <v>0</v>
      </c>
      <c r="AM27" s="553"/>
      <c r="AN27" s="550"/>
      <c r="AO27" s="555">
        <f t="shared" si="92"/>
        <v>0</v>
      </c>
      <c r="AP27" s="553"/>
      <c r="AQ27" s="550"/>
      <c r="AR27" s="555">
        <f t="shared" si="93"/>
        <v>0</v>
      </c>
      <c r="AS27" s="553"/>
      <c r="AT27" s="550"/>
      <c r="AU27" s="555">
        <f t="shared" si="94"/>
        <v>0</v>
      </c>
      <c r="AV27" s="553"/>
      <c r="AW27" s="550"/>
      <c r="AX27" s="555">
        <f t="shared" si="95"/>
        <v>0</v>
      </c>
      <c r="AY27" s="511"/>
      <c r="AZ27" s="403"/>
      <c r="BA27" s="403"/>
      <c r="BB27" s="403"/>
      <c r="BC27" s="403"/>
      <c r="BD27" s="403"/>
      <c r="BE27" s="403"/>
      <c r="BF27" s="403"/>
      <c r="BG27" s="403"/>
      <c r="BH27" s="403"/>
      <c r="BI27" s="403"/>
      <c r="BJ27" s="403"/>
      <c r="BK27" s="403"/>
      <c r="BL27" s="403"/>
      <c r="BM27" s="403"/>
      <c r="BN27" s="403"/>
      <c r="BO27" s="403"/>
      <c r="BP27" s="403"/>
      <c r="BQ27" s="403"/>
      <c r="BR27" s="403"/>
      <c r="BS27" s="403"/>
    </row>
    <row r="28" ht="15.0" customHeight="1">
      <c r="A28" s="503" t="s">
        <v>1545</v>
      </c>
      <c r="B28" s="504"/>
      <c r="C28" s="505"/>
      <c r="D28" s="506"/>
      <c r="E28" s="507">
        <f>SUM(E26:E27)</f>
        <v>5932900.254</v>
      </c>
      <c r="F28" s="557"/>
      <c r="G28" s="558"/>
      <c r="H28" s="559">
        <f>SUM(H26:H27)</f>
        <v>5989336.164</v>
      </c>
      <c r="I28" s="557"/>
      <c r="J28" s="558"/>
      <c r="K28" s="559">
        <f>SUM(K26:K27)</f>
        <v>6045772.074</v>
      </c>
      <c r="L28" s="557"/>
      <c r="M28" s="558"/>
      <c r="N28" s="559">
        <f>SUM(N26:N27)</f>
        <v>6102207.984</v>
      </c>
      <c r="O28" s="557"/>
      <c r="P28" s="558"/>
      <c r="Q28" s="559">
        <f>SUM(Q26:Q27)</f>
        <v>6042030.064</v>
      </c>
      <c r="R28" s="557"/>
      <c r="S28" s="558"/>
      <c r="T28" s="559">
        <f>SUM(T26:T27)</f>
        <v>6102450.365</v>
      </c>
      <c r="U28" s="557"/>
      <c r="V28" s="558"/>
      <c r="W28" s="559">
        <f>SUM(W26:W27)</f>
        <v>6163474.868</v>
      </c>
      <c r="X28" s="557"/>
      <c r="Y28" s="558"/>
      <c r="Z28" s="559">
        <f>SUM(Z26:Z27)</f>
        <v>6225109.617</v>
      </c>
      <c r="AA28" s="557"/>
      <c r="AB28" s="558"/>
      <c r="AC28" s="559">
        <f>SUM(AC26:AC27)</f>
        <v>6287360.713</v>
      </c>
      <c r="AD28" s="557"/>
      <c r="AE28" s="558"/>
      <c r="AF28" s="559">
        <f>SUM(AF26:AF27)</f>
        <v>6350234.32</v>
      </c>
      <c r="AG28" s="557"/>
      <c r="AH28" s="558"/>
      <c r="AI28" s="559">
        <f>SUM(AI26:AI27)</f>
        <v>6413736.663</v>
      </c>
      <c r="AJ28" s="557"/>
      <c r="AK28" s="558"/>
      <c r="AL28" s="559">
        <f>SUM(AL26:AL27)</f>
        <v>6477874.03</v>
      </c>
      <c r="AM28" s="557"/>
      <c r="AN28" s="558"/>
      <c r="AO28" s="559">
        <f>SUM(AO26:AO27)</f>
        <v>6542652.77</v>
      </c>
      <c r="AP28" s="557"/>
      <c r="AQ28" s="558"/>
      <c r="AR28" s="559">
        <f>SUM(AR26:AR27)</f>
        <v>6608079.298</v>
      </c>
      <c r="AS28" s="557"/>
      <c r="AT28" s="558"/>
      <c r="AU28" s="559">
        <f>SUM(AU26:AU27)</f>
        <v>6674160.091</v>
      </c>
      <c r="AV28" s="557"/>
      <c r="AW28" s="558"/>
      <c r="AX28" s="559">
        <f>SUM(AX26:AX27)</f>
        <v>6740901.692</v>
      </c>
      <c r="AY28" s="511">
        <f>SUM(O28:AX28)</f>
        <v>76628064.49</v>
      </c>
      <c r="AZ28" s="403"/>
      <c r="BA28" s="403"/>
      <c r="BB28" s="403"/>
      <c r="BC28" s="403"/>
      <c r="BD28" s="403"/>
      <c r="BE28" s="403"/>
      <c r="BF28" s="403"/>
      <c r="BG28" s="403"/>
      <c r="BH28" s="403"/>
      <c r="BI28" s="403"/>
      <c r="BJ28" s="403"/>
      <c r="BK28" s="403"/>
      <c r="BL28" s="403"/>
      <c r="BM28" s="403"/>
      <c r="BN28" s="403"/>
      <c r="BO28" s="403"/>
      <c r="BP28" s="403"/>
      <c r="BQ28" s="403"/>
      <c r="BR28" s="403"/>
      <c r="BS28" s="403"/>
    </row>
    <row r="29" ht="11.25" customHeight="1">
      <c r="A29" s="571"/>
      <c r="B29" s="513"/>
      <c r="C29" s="513"/>
      <c r="D29" s="513"/>
      <c r="E29" s="514"/>
      <c r="F29" s="515"/>
      <c r="G29" s="515"/>
      <c r="H29" s="393"/>
      <c r="I29" s="516"/>
      <c r="J29" s="517"/>
      <c r="K29" s="518"/>
      <c r="L29" s="515"/>
      <c r="M29" s="515"/>
      <c r="N29" s="393"/>
      <c r="O29" s="393"/>
      <c r="P29" s="393"/>
      <c r="Q29" s="393"/>
      <c r="R29" s="393"/>
      <c r="S29" s="393"/>
      <c r="T29" s="393"/>
      <c r="U29" s="393"/>
      <c r="V29" s="393"/>
      <c r="W29" s="393"/>
      <c r="X29" s="393"/>
      <c r="Y29" s="393"/>
      <c r="Z29" s="393"/>
      <c r="AA29" s="393"/>
      <c r="AB29" s="393"/>
      <c r="AC29" s="393"/>
      <c r="AD29" s="393"/>
      <c r="AE29" s="393"/>
      <c r="AF29" s="393"/>
      <c r="AG29" s="393"/>
      <c r="AH29" s="393"/>
      <c r="AI29" s="393"/>
      <c r="AJ29" s="393"/>
      <c r="AK29" s="393"/>
      <c r="AL29" s="393"/>
      <c r="AM29" s="393"/>
      <c r="AN29" s="393"/>
      <c r="AO29" s="393"/>
      <c r="AP29" s="393"/>
      <c r="AQ29" s="393"/>
      <c r="AR29" s="393"/>
      <c r="AS29" s="393"/>
      <c r="AT29" s="393"/>
      <c r="AU29" s="393"/>
      <c r="AV29" s="393"/>
      <c r="AW29" s="393"/>
      <c r="AX29" s="393"/>
      <c r="AY29" s="403"/>
      <c r="AZ29" s="403"/>
      <c r="BA29" s="403"/>
      <c r="BB29" s="403"/>
      <c r="BC29" s="403"/>
      <c r="BD29" s="403"/>
      <c r="BE29" s="403"/>
      <c r="BF29" s="403"/>
      <c r="BG29" s="403"/>
      <c r="BH29" s="403"/>
      <c r="BI29" s="403"/>
      <c r="BJ29" s="403"/>
      <c r="BK29" s="403"/>
      <c r="BL29" s="403"/>
      <c r="BM29" s="403"/>
      <c r="BN29" s="403"/>
      <c r="BO29" s="403"/>
      <c r="BP29" s="403"/>
      <c r="BQ29" s="403"/>
      <c r="BR29" s="403"/>
      <c r="BS29" s="403"/>
    </row>
    <row r="30" ht="11.25" hidden="1" customHeight="1" outlineLevel="1">
      <c r="A30" s="393"/>
      <c r="B30" s="572" t="s">
        <v>1546</v>
      </c>
      <c r="C30" s="277"/>
      <c r="D30" s="277"/>
      <c r="E30" s="277"/>
      <c r="F30" s="277"/>
      <c r="G30" s="277"/>
      <c r="H30" s="277"/>
      <c r="I30" s="277"/>
      <c r="J30" s="277"/>
      <c r="K30" s="277"/>
      <c r="L30" s="277"/>
      <c r="M30" s="278"/>
      <c r="N30" s="393"/>
      <c r="O30" s="393"/>
      <c r="P30" s="393"/>
      <c r="Q30" s="393"/>
      <c r="R30" s="393"/>
      <c r="S30" s="393"/>
      <c r="T30" s="393"/>
      <c r="U30" s="393"/>
      <c r="V30" s="393"/>
      <c r="W30" s="393"/>
      <c r="X30" s="393"/>
      <c r="Y30" s="393"/>
      <c r="Z30" s="393"/>
      <c r="AA30" s="393"/>
      <c r="AB30" s="393"/>
      <c r="AC30" s="393"/>
      <c r="AD30" s="393"/>
      <c r="AE30" s="393"/>
      <c r="AF30" s="393"/>
      <c r="AG30" s="393"/>
      <c r="AH30" s="393"/>
      <c r="AI30" s="393"/>
      <c r="AJ30" s="393"/>
      <c r="AK30" s="393"/>
      <c r="AL30" s="393"/>
      <c r="AM30" s="393"/>
      <c r="AN30" s="393"/>
      <c r="AO30" s="393"/>
      <c r="AP30" s="393"/>
      <c r="AQ30" s="393"/>
      <c r="AR30" s="393"/>
      <c r="AS30" s="393"/>
      <c r="AT30" s="393"/>
      <c r="AU30" s="393"/>
      <c r="AV30" s="393"/>
      <c r="AW30" s="393"/>
      <c r="AX30" s="393"/>
      <c r="AY30" s="403"/>
      <c r="AZ30" s="403"/>
      <c r="BA30" s="403"/>
      <c r="BB30" s="403"/>
      <c r="BC30" s="403"/>
      <c r="BD30" s="403"/>
      <c r="BE30" s="403"/>
      <c r="BF30" s="403"/>
      <c r="BG30" s="403"/>
      <c r="BH30" s="403"/>
      <c r="BI30" s="403"/>
      <c r="BJ30" s="403"/>
      <c r="BK30" s="403"/>
      <c r="BL30" s="403"/>
      <c r="BM30" s="403"/>
      <c r="BN30" s="403"/>
      <c r="BO30" s="403"/>
      <c r="BP30" s="403"/>
      <c r="BQ30" s="403"/>
      <c r="BR30" s="403"/>
      <c r="BS30" s="403"/>
    </row>
    <row r="31" ht="11.25" hidden="1" customHeight="1" outlineLevel="1">
      <c r="A31" s="393"/>
      <c r="B31" s="573" t="s">
        <v>1547</v>
      </c>
      <c r="C31" s="573" t="s">
        <v>1548</v>
      </c>
      <c r="D31" s="573" t="s">
        <v>1549</v>
      </c>
      <c r="E31" s="573" t="s">
        <v>1550</v>
      </c>
      <c r="F31" s="573" t="s">
        <v>1551</v>
      </c>
      <c r="G31" s="573" t="s">
        <v>1552</v>
      </c>
      <c r="H31" s="573" t="s">
        <v>1553</v>
      </c>
      <c r="I31" s="573" t="s">
        <v>1554</v>
      </c>
      <c r="J31" s="573" t="s">
        <v>1555</v>
      </c>
      <c r="K31" s="573" t="s">
        <v>1556</v>
      </c>
      <c r="L31" s="573" t="s">
        <v>1557</v>
      </c>
      <c r="M31" s="573" t="s">
        <v>1558</v>
      </c>
      <c r="N31" s="393"/>
      <c r="O31" s="393"/>
      <c r="P31" s="393"/>
      <c r="Q31" s="393"/>
      <c r="R31" s="393"/>
      <c r="S31" s="393"/>
      <c r="T31" s="393"/>
      <c r="U31" s="393"/>
      <c r="V31" s="393"/>
      <c r="W31" s="393"/>
      <c r="X31" s="393"/>
      <c r="Y31" s="393"/>
      <c r="Z31" s="393"/>
      <c r="AA31" s="393"/>
      <c r="AB31" s="393"/>
      <c r="AC31" s="393"/>
      <c r="AD31" s="393"/>
      <c r="AE31" s="393"/>
      <c r="AF31" s="393"/>
      <c r="AG31" s="393"/>
      <c r="AH31" s="393"/>
      <c r="AI31" s="393"/>
      <c r="AJ31" s="393"/>
      <c r="AK31" s="393"/>
      <c r="AL31" s="393"/>
      <c r="AM31" s="393"/>
      <c r="AN31" s="393"/>
      <c r="AO31" s="393"/>
      <c r="AP31" s="393"/>
      <c r="AQ31" s="393"/>
      <c r="AR31" s="393"/>
      <c r="AS31" s="393"/>
      <c r="AT31" s="393"/>
      <c r="AU31" s="393"/>
      <c r="AV31" s="393"/>
      <c r="AW31" s="393"/>
      <c r="AX31" s="393"/>
      <c r="AY31" s="403"/>
      <c r="AZ31" s="403"/>
      <c r="BA31" s="403"/>
      <c r="BB31" s="403"/>
      <c r="BC31" s="403"/>
      <c r="BD31" s="403"/>
      <c r="BE31" s="403"/>
      <c r="BF31" s="403"/>
      <c r="BG31" s="403"/>
      <c r="BH31" s="403"/>
      <c r="BI31" s="403"/>
      <c r="BJ31" s="403"/>
      <c r="BK31" s="403"/>
      <c r="BL31" s="403"/>
      <c r="BM31" s="403"/>
      <c r="BN31" s="403"/>
      <c r="BO31" s="403"/>
      <c r="BP31" s="403"/>
      <c r="BQ31" s="403"/>
      <c r="BR31" s="403"/>
      <c r="BS31" s="403"/>
    </row>
    <row r="32" ht="11.25" hidden="1" customHeight="1" outlineLevel="1">
      <c r="A32" s="393"/>
      <c r="B32" s="574"/>
      <c r="C32" s="574" t="s">
        <v>1559</v>
      </c>
      <c r="D32" s="574" t="s">
        <v>1560</v>
      </c>
      <c r="E32" s="574" t="s">
        <v>1561</v>
      </c>
      <c r="F32" s="574" t="s">
        <v>1562</v>
      </c>
      <c r="G32" s="574" t="s">
        <v>1563</v>
      </c>
      <c r="H32" s="574" t="s">
        <v>1564</v>
      </c>
      <c r="I32" s="574" t="s">
        <v>1565</v>
      </c>
      <c r="J32" s="574" t="s">
        <v>1566</v>
      </c>
      <c r="K32" s="574" t="s">
        <v>1567</v>
      </c>
      <c r="L32" s="574" t="s">
        <v>1568</v>
      </c>
      <c r="M32" s="574" t="s">
        <v>1569</v>
      </c>
      <c r="N32" s="393"/>
      <c r="O32" s="393"/>
      <c r="P32" s="393"/>
      <c r="Q32" s="393"/>
      <c r="R32" s="393"/>
      <c r="S32" s="393"/>
      <c r="T32" s="393"/>
      <c r="U32" s="393"/>
      <c r="V32" s="393"/>
      <c r="W32" s="393"/>
      <c r="X32" s="393"/>
      <c r="Y32" s="393"/>
      <c r="Z32" s="393"/>
      <c r="AA32" s="393"/>
      <c r="AB32" s="393"/>
      <c r="AC32" s="393"/>
      <c r="AD32" s="393"/>
      <c r="AE32" s="393"/>
      <c r="AF32" s="393"/>
      <c r="AG32" s="393"/>
      <c r="AH32" s="393"/>
      <c r="AI32" s="393"/>
      <c r="AJ32" s="393"/>
      <c r="AK32" s="393"/>
      <c r="AL32" s="393"/>
      <c r="AM32" s="393"/>
      <c r="AN32" s="393"/>
      <c r="AO32" s="393"/>
      <c r="AP32" s="393"/>
      <c r="AQ32" s="393"/>
      <c r="AR32" s="393"/>
      <c r="AS32" s="393"/>
      <c r="AT32" s="393"/>
      <c r="AU32" s="393"/>
      <c r="AV32" s="393"/>
      <c r="AW32" s="393"/>
      <c r="AX32" s="393"/>
      <c r="AY32" s="403"/>
      <c r="AZ32" s="403"/>
      <c r="BA32" s="403"/>
      <c r="BB32" s="403"/>
      <c r="BC32" s="403"/>
      <c r="BD32" s="403"/>
      <c r="BE32" s="403"/>
      <c r="BF32" s="403"/>
      <c r="BG32" s="403"/>
      <c r="BH32" s="403"/>
      <c r="BI32" s="403"/>
      <c r="BJ32" s="403"/>
      <c r="BK32" s="403"/>
      <c r="BL32" s="403"/>
      <c r="BM32" s="403"/>
      <c r="BN32" s="403"/>
      <c r="BO32" s="403"/>
      <c r="BP32" s="403"/>
      <c r="BQ32" s="403"/>
      <c r="BR32" s="403"/>
      <c r="BS32" s="403"/>
    </row>
    <row r="33" ht="11.25" hidden="1" customHeight="1" outlineLevel="1">
      <c r="A33" s="574" t="s">
        <v>1570</v>
      </c>
      <c r="B33" s="575"/>
      <c r="C33" s="575">
        <v>1.053</v>
      </c>
      <c r="D33" s="575">
        <v>1.055</v>
      </c>
      <c r="E33" s="576">
        <v>1.051</v>
      </c>
      <c r="F33" s="576">
        <v>1.077</v>
      </c>
      <c r="G33" s="576">
        <v>1.062</v>
      </c>
      <c r="H33" s="576">
        <v>1.056</v>
      </c>
      <c r="I33" s="576">
        <v>1.07</v>
      </c>
      <c r="J33" s="576">
        <v>1.058</v>
      </c>
      <c r="K33" s="577">
        <v>1.058</v>
      </c>
      <c r="L33" s="576">
        <v>1.073</v>
      </c>
      <c r="M33" s="576">
        <v>1.06</v>
      </c>
      <c r="N33" s="393"/>
      <c r="O33" s="393"/>
      <c r="P33" s="393"/>
      <c r="Q33" s="393"/>
      <c r="R33" s="393"/>
      <c r="S33" s="393"/>
      <c r="T33" s="393"/>
      <c r="U33" s="393"/>
      <c r="V33" s="393"/>
      <c r="W33" s="393"/>
      <c r="X33" s="393"/>
      <c r="Y33" s="393"/>
      <c r="Z33" s="393"/>
      <c r="AA33" s="393"/>
      <c r="AB33" s="393"/>
      <c r="AC33" s="393"/>
      <c r="AD33" s="393"/>
      <c r="AE33" s="393"/>
      <c r="AF33" s="393"/>
      <c r="AG33" s="393"/>
      <c r="AH33" s="393"/>
      <c r="AI33" s="393"/>
      <c r="AJ33" s="393"/>
      <c r="AK33" s="393"/>
      <c r="AL33" s="393"/>
      <c r="AM33" s="393"/>
      <c r="AN33" s="393"/>
      <c r="AO33" s="393"/>
      <c r="AP33" s="393"/>
      <c r="AQ33" s="393"/>
      <c r="AR33" s="393"/>
      <c r="AS33" s="393"/>
      <c r="AT33" s="393"/>
      <c r="AU33" s="393"/>
      <c r="AV33" s="393"/>
      <c r="AW33" s="393"/>
      <c r="AX33" s="393"/>
      <c r="AY33" s="403"/>
      <c r="AZ33" s="403"/>
      <c r="BA33" s="403"/>
      <c r="BB33" s="403"/>
      <c r="BC33" s="403"/>
      <c r="BD33" s="403"/>
      <c r="BE33" s="403"/>
      <c r="BF33" s="403"/>
      <c r="BG33" s="403"/>
      <c r="BH33" s="403"/>
      <c r="BI33" s="403"/>
      <c r="BJ33" s="403"/>
      <c r="BK33" s="403"/>
      <c r="BL33" s="403"/>
      <c r="BM33" s="403"/>
      <c r="BN33" s="403"/>
      <c r="BO33" s="403"/>
      <c r="BP33" s="403"/>
      <c r="BQ33" s="403"/>
      <c r="BR33" s="403"/>
      <c r="BS33" s="403"/>
    </row>
    <row r="34" ht="11.25" hidden="1" customHeight="1" outlineLevel="1">
      <c r="A34" s="578" t="s">
        <v>1526</v>
      </c>
      <c r="B34" s="579">
        <v>506187.72</v>
      </c>
      <c r="C34" s="580">
        <f>B34*C33</f>
        <v>533015.6692</v>
      </c>
      <c r="D34" s="581">
        <f t="shared" ref="D34:D39" si="97">C34*$D$33</f>
        <v>562331.531</v>
      </c>
      <c r="E34" s="581">
        <f t="shared" ref="E34:E39" si="98">D34*$E$33</f>
        <v>591010.439</v>
      </c>
      <c r="F34" s="581">
        <f t="shared" ref="F34:F39" si="99">E34*$F$33</f>
        <v>636518.2428</v>
      </c>
      <c r="G34" s="581">
        <f t="shared" ref="G34:G39" si="100">F34*$G$33</f>
        <v>675982.3739</v>
      </c>
      <c r="H34" s="581">
        <f t="shared" ref="H34:H38" si="101">G34*$H$33</f>
        <v>713837.3868</v>
      </c>
      <c r="I34" s="581">
        <f t="shared" ref="I34:I39" si="102">H34*$I$33</f>
        <v>763806.0039</v>
      </c>
      <c r="J34" s="581">
        <f t="shared" ref="J34:K34" si="96">I34*$J$33</f>
        <v>808106.7522</v>
      </c>
      <c r="K34" s="582">
        <f t="shared" si="96"/>
        <v>854976.9438</v>
      </c>
      <c r="L34" s="583">
        <f t="shared" ref="L34:L39" si="104">K34*$L$33</f>
        <v>917390.2607</v>
      </c>
      <c r="M34" s="583">
        <f t="shared" ref="M34:M36" si="105">L34*M$33</f>
        <v>972433.6763</v>
      </c>
      <c r="N34" s="393"/>
      <c r="O34" s="393"/>
      <c r="P34" s="393"/>
      <c r="Q34" s="393"/>
      <c r="R34" s="393"/>
      <c r="S34" s="393"/>
      <c r="T34" s="393"/>
      <c r="U34" s="393"/>
      <c r="V34" s="393"/>
      <c r="W34" s="393"/>
      <c r="X34" s="393"/>
      <c r="Y34" s="393"/>
      <c r="Z34" s="393"/>
      <c r="AA34" s="393"/>
      <c r="AB34" s="393"/>
      <c r="AC34" s="393"/>
      <c r="AD34" s="393"/>
      <c r="AE34" s="393"/>
      <c r="AF34" s="393"/>
      <c r="AG34" s="393"/>
      <c r="AH34" s="393"/>
      <c r="AI34" s="393"/>
      <c r="AJ34" s="393"/>
      <c r="AK34" s="393"/>
      <c r="AL34" s="393"/>
      <c r="AM34" s="393"/>
      <c r="AN34" s="393"/>
      <c r="AO34" s="393"/>
      <c r="AP34" s="393"/>
      <c r="AQ34" s="393"/>
      <c r="AR34" s="393"/>
      <c r="AS34" s="393"/>
      <c r="AT34" s="393"/>
      <c r="AU34" s="393"/>
      <c r="AV34" s="393"/>
      <c r="AW34" s="393"/>
      <c r="AX34" s="393"/>
      <c r="AY34" s="403"/>
      <c r="AZ34" s="403"/>
      <c r="BA34" s="403"/>
      <c r="BB34" s="403"/>
      <c r="BC34" s="403"/>
      <c r="BD34" s="403"/>
      <c r="BE34" s="403"/>
      <c r="BF34" s="403"/>
      <c r="BG34" s="403"/>
      <c r="BH34" s="403"/>
      <c r="BI34" s="403"/>
      <c r="BJ34" s="403"/>
      <c r="BK34" s="403"/>
      <c r="BL34" s="403"/>
      <c r="BM34" s="403"/>
      <c r="BN34" s="403"/>
      <c r="BO34" s="403"/>
      <c r="BP34" s="403"/>
      <c r="BQ34" s="403"/>
      <c r="BR34" s="403"/>
      <c r="BS34" s="403"/>
    </row>
    <row r="35" ht="11.25" hidden="1" customHeight="1" outlineLevel="1">
      <c r="A35" s="578" t="s">
        <v>1527</v>
      </c>
      <c r="B35" s="579">
        <v>39.95</v>
      </c>
      <c r="C35" s="580">
        <f t="shared" ref="C35:C39" si="106">B35*$C$33</f>
        <v>42.06735</v>
      </c>
      <c r="D35" s="581">
        <f t="shared" si="97"/>
        <v>44.38105425</v>
      </c>
      <c r="E35" s="581">
        <f t="shared" si="98"/>
        <v>46.64448802</v>
      </c>
      <c r="F35" s="581">
        <f t="shared" si="99"/>
        <v>50.23611359</v>
      </c>
      <c r="G35" s="581">
        <f t="shared" si="100"/>
        <v>53.35075264</v>
      </c>
      <c r="H35" s="581">
        <f t="shared" si="101"/>
        <v>56.33839478</v>
      </c>
      <c r="I35" s="581">
        <f t="shared" si="102"/>
        <v>60.28208242</v>
      </c>
      <c r="J35" s="581">
        <f t="shared" ref="J35:K35" si="103">I35*$J$33</f>
        <v>63.7784432</v>
      </c>
      <c r="K35" s="582">
        <f t="shared" si="103"/>
        <v>67.47759291</v>
      </c>
      <c r="L35" s="583">
        <f t="shared" si="104"/>
        <v>72.40345719</v>
      </c>
      <c r="M35" s="583">
        <f t="shared" si="105"/>
        <v>76.74766462</v>
      </c>
      <c r="N35" s="393"/>
      <c r="O35" s="393"/>
      <c r="P35" s="393"/>
      <c r="Q35" s="393"/>
      <c r="R35" s="393"/>
      <c r="S35" s="393"/>
      <c r="T35" s="393"/>
      <c r="U35" s="393"/>
      <c r="V35" s="393"/>
      <c r="W35" s="393"/>
      <c r="X35" s="393"/>
      <c r="Y35" s="393"/>
      <c r="Z35" s="393"/>
      <c r="AA35" s="393"/>
      <c r="AB35" s="393"/>
      <c r="AC35" s="393"/>
      <c r="AD35" s="393"/>
      <c r="AE35" s="393"/>
      <c r="AF35" s="393"/>
      <c r="AG35" s="393"/>
      <c r="AH35" s="393"/>
      <c r="AI35" s="393"/>
      <c r="AJ35" s="393"/>
      <c r="AK35" s="393"/>
      <c r="AL35" s="393"/>
      <c r="AM35" s="393"/>
      <c r="AN35" s="393"/>
      <c r="AO35" s="393"/>
      <c r="AP35" s="393"/>
      <c r="AQ35" s="393"/>
      <c r="AR35" s="393"/>
      <c r="AS35" s="393"/>
      <c r="AT35" s="393"/>
      <c r="AU35" s="393"/>
      <c r="AV35" s="393"/>
      <c r="AW35" s="393"/>
      <c r="AX35" s="393"/>
      <c r="AY35" s="403"/>
      <c r="AZ35" s="403"/>
      <c r="BA35" s="403"/>
      <c r="BB35" s="403"/>
      <c r="BC35" s="403"/>
      <c r="BD35" s="403"/>
      <c r="BE35" s="403"/>
      <c r="BF35" s="403"/>
      <c r="BG35" s="403"/>
      <c r="BH35" s="403"/>
      <c r="BI35" s="403"/>
      <c r="BJ35" s="403"/>
      <c r="BK35" s="403"/>
      <c r="BL35" s="403"/>
      <c r="BM35" s="403"/>
      <c r="BN35" s="403"/>
      <c r="BO35" s="403"/>
      <c r="BP35" s="403"/>
      <c r="BQ35" s="403"/>
      <c r="BR35" s="403"/>
      <c r="BS35" s="403"/>
    </row>
    <row r="36" ht="11.25" hidden="1" customHeight="1" outlineLevel="1">
      <c r="A36" s="578" t="s">
        <v>1528</v>
      </c>
      <c r="B36" s="579">
        <v>44909.94</v>
      </c>
      <c r="C36" s="580">
        <f t="shared" si="106"/>
        <v>47290.16682</v>
      </c>
      <c r="D36" s="581">
        <f t="shared" si="97"/>
        <v>49891.126</v>
      </c>
      <c r="E36" s="581">
        <f t="shared" si="98"/>
        <v>52435.57342</v>
      </c>
      <c r="F36" s="581">
        <f t="shared" si="99"/>
        <v>56473.11257</v>
      </c>
      <c r="G36" s="581">
        <f t="shared" si="100"/>
        <v>59974.44555</v>
      </c>
      <c r="H36" s="581">
        <f t="shared" si="101"/>
        <v>63333.0145</v>
      </c>
      <c r="I36" s="581">
        <f t="shared" si="102"/>
        <v>67766.32552</v>
      </c>
      <c r="J36" s="581">
        <f t="shared" ref="J36:K36" si="107">I36*$J$33</f>
        <v>71696.7724</v>
      </c>
      <c r="K36" s="582">
        <f t="shared" si="107"/>
        <v>75855.1852</v>
      </c>
      <c r="L36" s="583">
        <f t="shared" si="104"/>
        <v>81392.61372</v>
      </c>
      <c r="M36" s="583">
        <f t="shared" si="105"/>
        <v>86276.17054</v>
      </c>
      <c r="N36" s="393"/>
      <c r="O36" s="393"/>
      <c r="P36" s="393"/>
      <c r="Q36" s="393"/>
      <c r="R36" s="393"/>
      <c r="S36" s="393"/>
      <c r="T36" s="393"/>
      <c r="U36" s="393"/>
      <c r="V36" s="393"/>
      <c r="W36" s="393"/>
      <c r="X36" s="393"/>
      <c r="Y36" s="393"/>
      <c r="Z36" s="393"/>
      <c r="AA36" s="393"/>
      <c r="AB36" s="393"/>
      <c r="AC36" s="393"/>
      <c r="AD36" s="393"/>
      <c r="AE36" s="393"/>
      <c r="AF36" s="393"/>
      <c r="AG36" s="393"/>
      <c r="AH36" s="393"/>
      <c r="AI36" s="393"/>
      <c r="AJ36" s="393"/>
      <c r="AK36" s="393"/>
      <c r="AL36" s="393"/>
      <c r="AM36" s="393"/>
      <c r="AN36" s="393"/>
      <c r="AO36" s="393"/>
      <c r="AP36" s="393"/>
      <c r="AQ36" s="393"/>
      <c r="AR36" s="393"/>
      <c r="AS36" s="393"/>
      <c r="AT36" s="393"/>
      <c r="AU36" s="393"/>
      <c r="AV36" s="393"/>
      <c r="AW36" s="393"/>
      <c r="AX36" s="393"/>
      <c r="AY36" s="403"/>
      <c r="AZ36" s="403"/>
      <c r="BA36" s="403"/>
      <c r="BB36" s="403"/>
      <c r="BC36" s="403"/>
      <c r="BD36" s="403"/>
      <c r="BE36" s="403"/>
      <c r="BF36" s="403"/>
      <c r="BG36" s="403"/>
      <c r="BH36" s="403"/>
      <c r="BI36" s="403"/>
      <c r="BJ36" s="403"/>
      <c r="BK36" s="403"/>
      <c r="BL36" s="403"/>
      <c r="BM36" s="403"/>
      <c r="BN36" s="403"/>
      <c r="BO36" s="403"/>
      <c r="BP36" s="403"/>
      <c r="BQ36" s="403"/>
      <c r="BR36" s="403"/>
      <c r="BS36" s="403"/>
    </row>
    <row r="37" ht="11.25" hidden="1" customHeight="1" outlineLevel="1">
      <c r="A37" s="578" t="s">
        <v>1529</v>
      </c>
      <c r="B37" s="579">
        <v>5210.0</v>
      </c>
      <c r="C37" s="580">
        <f t="shared" si="106"/>
        <v>5486.13</v>
      </c>
      <c r="D37" s="581">
        <f t="shared" si="97"/>
        <v>5787.86715</v>
      </c>
      <c r="E37" s="581">
        <f t="shared" si="98"/>
        <v>6083.048375</v>
      </c>
      <c r="F37" s="581">
        <f t="shared" si="99"/>
        <v>6551.443099</v>
      </c>
      <c r="G37" s="581">
        <f t="shared" si="100"/>
        <v>6957.632572</v>
      </c>
      <c r="H37" s="581">
        <f t="shared" si="101"/>
        <v>7347.259996</v>
      </c>
      <c r="I37" s="581">
        <f t="shared" si="102"/>
        <v>7861.568195</v>
      </c>
      <c r="J37" s="581">
        <f t="shared" ref="J37:K37" si="108">I37*$J$33</f>
        <v>8317.539151</v>
      </c>
      <c r="K37" s="582">
        <f t="shared" si="108"/>
        <v>8799.956421</v>
      </c>
      <c r="L37" s="583">
        <f t="shared" si="104"/>
        <v>9442.35324</v>
      </c>
      <c r="M37" s="583">
        <v>4240.0</v>
      </c>
      <c r="N37" s="393"/>
      <c r="O37" s="393"/>
      <c r="P37" s="393"/>
      <c r="Q37" s="393"/>
      <c r="R37" s="393"/>
      <c r="S37" s="393"/>
      <c r="T37" s="393"/>
      <c r="U37" s="393"/>
      <c r="V37" s="393"/>
      <c r="W37" s="393"/>
      <c r="X37" s="393"/>
      <c r="Y37" s="393"/>
      <c r="Z37" s="393"/>
      <c r="AA37" s="393"/>
      <c r="AB37" s="393"/>
      <c r="AC37" s="393"/>
      <c r="AD37" s="393"/>
      <c r="AE37" s="393"/>
      <c r="AF37" s="393"/>
      <c r="AG37" s="393"/>
      <c r="AH37" s="393"/>
      <c r="AI37" s="393"/>
      <c r="AJ37" s="393"/>
      <c r="AK37" s="393"/>
      <c r="AL37" s="393"/>
      <c r="AM37" s="393"/>
      <c r="AN37" s="393"/>
      <c r="AO37" s="393"/>
      <c r="AP37" s="393"/>
      <c r="AQ37" s="393"/>
      <c r="AR37" s="393"/>
      <c r="AS37" s="393"/>
      <c r="AT37" s="393"/>
      <c r="AU37" s="393"/>
      <c r="AV37" s="393"/>
      <c r="AW37" s="393"/>
      <c r="AX37" s="393"/>
      <c r="AY37" s="403"/>
      <c r="AZ37" s="403"/>
      <c r="BA37" s="403"/>
      <c r="BB37" s="403"/>
      <c r="BC37" s="403"/>
      <c r="BD37" s="403"/>
      <c r="BE37" s="403"/>
      <c r="BF37" s="403"/>
      <c r="BG37" s="403"/>
      <c r="BH37" s="403"/>
      <c r="BI37" s="403"/>
      <c r="BJ37" s="403"/>
      <c r="BK37" s="403"/>
      <c r="BL37" s="403"/>
      <c r="BM37" s="403"/>
      <c r="BN37" s="403"/>
      <c r="BO37" s="403"/>
      <c r="BP37" s="403"/>
      <c r="BQ37" s="403"/>
      <c r="BR37" s="403"/>
      <c r="BS37" s="403"/>
    </row>
    <row r="38" ht="11.25" hidden="1" customHeight="1" outlineLevel="1">
      <c r="A38" s="578" t="s">
        <v>1571</v>
      </c>
      <c r="B38" s="579">
        <v>82593.0</v>
      </c>
      <c r="C38" s="580">
        <f t="shared" si="106"/>
        <v>86970.429</v>
      </c>
      <c r="D38" s="581">
        <f t="shared" si="97"/>
        <v>91753.8026</v>
      </c>
      <c r="E38" s="581">
        <f t="shared" si="98"/>
        <v>96433.24653</v>
      </c>
      <c r="F38" s="581">
        <f t="shared" si="99"/>
        <v>103858.6065</v>
      </c>
      <c r="G38" s="581">
        <f t="shared" si="100"/>
        <v>110297.8401</v>
      </c>
      <c r="H38" s="581">
        <f t="shared" si="101"/>
        <v>116474.5192</v>
      </c>
      <c r="I38" s="581">
        <f t="shared" si="102"/>
        <v>124627.7355</v>
      </c>
      <c r="J38" s="581">
        <f t="shared" ref="J38:K38" si="109">I38*$J$33</f>
        <v>131856.1442</v>
      </c>
      <c r="K38" s="582">
        <f t="shared" si="109"/>
        <v>139503.8005</v>
      </c>
      <c r="L38" s="583">
        <f t="shared" si="104"/>
        <v>149687.578</v>
      </c>
      <c r="M38" s="583">
        <f t="shared" ref="M38:M39" si="111">L38*M$33</f>
        <v>158668.8326</v>
      </c>
      <c r="N38" s="393"/>
      <c r="O38" s="393"/>
      <c r="P38" s="393"/>
      <c r="Q38" s="393"/>
      <c r="R38" s="393"/>
      <c r="S38" s="393"/>
      <c r="T38" s="393"/>
      <c r="U38" s="393"/>
      <c r="V38" s="393"/>
      <c r="W38" s="393"/>
      <c r="X38" s="393"/>
      <c r="Y38" s="393"/>
      <c r="Z38" s="393"/>
      <c r="AA38" s="393"/>
      <c r="AB38" s="393"/>
      <c r="AC38" s="393"/>
      <c r="AD38" s="393"/>
      <c r="AE38" s="393"/>
      <c r="AF38" s="393"/>
      <c r="AG38" s="393"/>
      <c r="AH38" s="393"/>
      <c r="AI38" s="393"/>
      <c r="AJ38" s="393"/>
      <c r="AK38" s="393"/>
      <c r="AL38" s="393"/>
      <c r="AM38" s="393"/>
      <c r="AN38" s="393"/>
      <c r="AO38" s="393"/>
      <c r="AP38" s="393"/>
      <c r="AQ38" s="393"/>
      <c r="AR38" s="393"/>
      <c r="AS38" s="393"/>
      <c r="AT38" s="393"/>
      <c r="AU38" s="393"/>
      <c r="AV38" s="393"/>
      <c r="AW38" s="393"/>
      <c r="AX38" s="393"/>
      <c r="AY38" s="403"/>
      <c r="AZ38" s="403"/>
      <c r="BA38" s="403"/>
      <c r="BB38" s="403"/>
      <c r="BC38" s="403"/>
      <c r="BD38" s="403"/>
      <c r="BE38" s="403"/>
      <c r="BF38" s="403"/>
      <c r="BG38" s="403"/>
      <c r="BH38" s="403"/>
      <c r="BI38" s="403"/>
      <c r="BJ38" s="403"/>
      <c r="BK38" s="403"/>
      <c r="BL38" s="403"/>
      <c r="BM38" s="403"/>
      <c r="BN38" s="403"/>
      <c r="BO38" s="403"/>
      <c r="BP38" s="403"/>
      <c r="BQ38" s="403"/>
      <c r="BR38" s="403"/>
      <c r="BS38" s="403"/>
    </row>
    <row r="39" ht="11.25" hidden="1" customHeight="1" outlineLevel="1">
      <c r="A39" s="584" t="s">
        <v>1572</v>
      </c>
      <c r="B39" s="585">
        <v>6.89</v>
      </c>
      <c r="C39" s="586">
        <f t="shared" si="106"/>
        <v>7.25517</v>
      </c>
      <c r="D39" s="587">
        <f t="shared" si="97"/>
        <v>7.65420435</v>
      </c>
      <c r="E39" s="587">
        <f t="shared" si="98"/>
        <v>8.044568772</v>
      </c>
      <c r="F39" s="587">
        <f t="shared" si="99"/>
        <v>8.664000567</v>
      </c>
      <c r="G39" s="587">
        <f t="shared" si="100"/>
        <v>9.201168602</v>
      </c>
      <c r="H39" s="587">
        <v>9.71</v>
      </c>
      <c r="I39" s="587">
        <f t="shared" si="102"/>
        <v>10.3897</v>
      </c>
      <c r="J39" s="587">
        <f t="shared" ref="J39:K39" si="110">I39*$J$33</f>
        <v>10.9923026</v>
      </c>
      <c r="K39" s="588">
        <f t="shared" si="110"/>
        <v>11.62985615</v>
      </c>
      <c r="L39" s="583">
        <f t="shared" si="104"/>
        <v>12.47883565</v>
      </c>
      <c r="M39" s="583">
        <f t="shared" si="111"/>
        <v>13.22756579</v>
      </c>
      <c r="N39" s="393"/>
      <c r="O39" s="393"/>
      <c r="P39" s="393"/>
      <c r="Q39" s="393"/>
      <c r="R39" s="393"/>
      <c r="S39" s="393"/>
      <c r="T39" s="393"/>
      <c r="U39" s="393"/>
      <c r="V39" s="393"/>
      <c r="W39" s="393"/>
      <c r="X39" s="393"/>
      <c r="Y39" s="393"/>
      <c r="Z39" s="393"/>
      <c r="AA39" s="393"/>
      <c r="AB39" s="393"/>
      <c r="AC39" s="393"/>
      <c r="AD39" s="393"/>
      <c r="AE39" s="393"/>
      <c r="AF39" s="393"/>
      <c r="AG39" s="393"/>
      <c r="AH39" s="393"/>
      <c r="AI39" s="393"/>
      <c r="AJ39" s="393"/>
      <c r="AK39" s="393"/>
      <c r="AL39" s="393"/>
      <c r="AM39" s="393"/>
      <c r="AN39" s="393"/>
      <c r="AO39" s="393"/>
      <c r="AP39" s="393"/>
      <c r="AQ39" s="393"/>
      <c r="AR39" s="393"/>
      <c r="AS39" s="393"/>
      <c r="AT39" s="393"/>
      <c r="AU39" s="393"/>
      <c r="AV39" s="393"/>
      <c r="AW39" s="393"/>
      <c r="AX39" s="393"/>
      <c r="AY39" s="403"/>
      <c r="AZ39" s="403"/>
      <c r="BA39" s="403"/>
      <c r="BB39" s="403"/>
      <c r="BC39" s="403"/>
      <c r="BD39" s="403"/>
      <c r="BE39" s="403"/>
      <c r="BF39" s="403"/>
      <c r="BG39" s="403"/>
      <c r="BH39" s="403"/>
      <c r="BI39" s="403"/>
      <c r="BJ39" s="403"/>
      <c r="BK39" s="403"/>
      <c r="BL39" s="403"/>
      <c r="BM39" s="403"/>
      <c r="BN39" s="403"/>
      <c r="BO39" s="403"/>
      <c r="BP39" s="403"/>
      <c r="BQ39" s="403"/>
      <c r="BR39" s="403"/>
      <c r="BS39" s="403"/>
    </row>
    <row r="40" ht="11.25" hidden="1" customHeight="1" outlineLevel="1">
      <c r="A40" s="589"/>
      <c r="B40" s="572" t="s">
        <v>1546</v>
      </c>
      <c r="C40" s="277"/>
      <c r="D40" s="277"/>
      <c r="E40" s="277"/>
      <c r="F40" s="277"/>
      <c r="G40" s="277"/>
      <c r="H40" s="277"/>
      <c r="I40" s="277"/>
      <c r="J40" s="277"/>
      <c r="K40" s="277"/>
      <c r="L40" s="277"/>
      <c r="M40" s="278"/>
      <c r="N40" s="393"/>
      <c r="O40" s="393"/>
      <c r="P40" s="393"/>
      <c r="Q40" s="393"/>
      <c r="R40" s="393"/>
      <c r="S40" s="393"/>
      <c r="T40" s="393"/>
      <c r="U40" s="393"/>
      <c r="V40" s="393"/>
      <c r="W40" s="393"/>
      <c r="X40" s="393"/>
      <c r="Y40" s="393"/>
      <c r="Z40" s="393"/>
      <c r="AA40" s="393"/>
      <c r="AB40" s="393"/>
      <c r="AC40" s="393"/>
      <c r="AD40" s="393"/>
      <c r="AE40" s="393"/>
      <c r="AF40" s="393"/>
      <c r="AG40" s="393"/>
      <c r="AH40" s="393"/>
      <c r="AI40" s="393"/>
      <c r="AJ40" s="393"/>
      <c r="AK40" s="393"/>
      <c r="AL40" s="393"/>
      <c r="AM40" s="393"/>
      <c r="AN40" s="393"/>
      <c r="AO40" s="393"/>
      <c r="AP40" s="393"/>
      <c r="AQ40" s="393"/>
      <c r="AR40" s="393"/>
      <c r="AS40" s="393"/>
      <c r="AT40" s="393"/>
      <c r="AU40" s="393"/>
      <c r="AV40" s="393"/>
      <c r="AW40" s="393"/>
      <c r="AX40" s="393"/>
      <c r="AY40" s="403"/>
      <c r="AZ40" s="403"/>
      <c r="BA40" s="403"/>
      <c r="BB40" s="403"/>
      <c r="BC40" s="403"/>
      <c r="BD40" s="403"/>
      <c r="BE40" s="403"/>
      <c r="BF40" s="403"/>
      <c r="BG40" s="403"/>
      <c r="BH40" s="403"/>
      <c r="BI40" s="403"/>
      <c r="BJ40" s="403"/>
      <c r="BK40" s="403"/>
      <c r="BL40" s="403"/>
      <c r="BM40" s="403"/>
      <c r="BN40" s="403"/>
      <c r="BO40" s="403"/>
      <c r="BP40" s="403"/>
      <c r="BQ40" s="403"/>
      <c r="BR40" s="403"/>
      <c r="BS40" s="403"/>
    </row>
    <row r="41" ht="11.25" hidden="1" customHeight="1" outlineLevel="1">
      <c r="A41" s="393"/>
      <c r="B41" s="574" t="s">
        <v>1573</v>
      </c>
      <c r="C41" s="574" t="s">
        <v>1574</v>
      </c>
      <c r="D41" s="574" t="s">
        <v>1575</v>
      </c>
      <c r="E41" s="574" t="s">
        <v>1576</v>
      </c>
      <c r="F41" s="574" t="s">
        <v>1577</v>
      </c>
      <c r="G41" s="574" t="s">
        <v>1578</v>
      </c>
      <c r="H41" s="574" t="s">
        <v>1579</v>
      </c>
      <c r="I41" s="574" t="s">
        <v>1580</v>
      </c>
      <c r="J41" s="574" t="s">
        <v>1581</v>
      </c>
      <c r="K41" s="574" t="s">
        <v>1582</v>
      </c>
      <c r="L41" s="574" t="s">
        <v>1583</v>
      </c>
      <c r="M41" s="574" t="s">
        <v>1584</v>
      </c>
      <c r="N41" s="393"/>
      <c r="O41" s="393"/>
      <c r="P41" s="393"/>
      <c r="Q41" s="393"/>
      <c r="R41" s="393"/>
      <c r="S41" s="393"/>
      <c r="T41" s="393"/>
      <c r="U41" s="393"/>
      <c r="V41" s="393"/>
      <c r="W41" s="393"/>
      <c r="X41" s="393"/>
      <c r="Y41" s="393"/>
      <c r="Z41" s="393"/>
      <c r="AA41" s="393"/>
      <c r="AB41" s="393"/>
      <c r="AC41" s="393"/>
      <c r="AD41" s="393"/>
      <c r="AE41" s="393"/>
      <c r="AF41" s="393"/>
      <c r="AG41" s="393"/>
      <c r="AH41" s="393"/>
      <c r="AI41" s="393"/>
      <c r="AJ41" s="393"/>
      <c r="AK41" s="393"/>
      <c r="AL41" s="393"/>
      <c r="AM41" s="393"/>
      <c r="AN41" s="393"/>
      <c r="AO41" s="393"/>
      <c r="AP41" s="393"/>
      <c r="AQ41" s="393"/>
      <c r="AR41" s="393"/>
      <c r="AS41" s="393"/>
      <c r="AT41" s="393"/>
      <c r="AU41" s="393"/>
      <c r="AV41" s="393"/>
      <c r="AW41" s="393"/>
      <c r="AX41" s="393"/>
      <c r="AY41" s="403"/>
      <c r="AZ41" s="403"/>
      <c r="BA41" s="403"/>
      <c r="BB41" s="403"/>
      <c r="BC41" s="403"/>
      <c r="BD41" s="403"/>
      <c r="BE41" s="403"/>
      <c r="BF41" s="403"/>
      <c r="BG41" s="403"/>
      <c r="BH41" s="403"/>
      <c r="BI41" s="403"/>
      <c r="BJ41" s="403"/>
      <c r="BK41" s="403"/>
      <c r="BL41" s="403"/>
      <c r="BM41" s="403"/>
      <c r="BN41" s="403"/>
      <c r="BO41" s="403"/>
      <c r="BP41" s="403"/>
      <c r="BQ41" s="403"/>
      <c r="BR41" s="403"/>
      <c r="BS41" s="403"/>
    </row>
    <row r="42" ht="11.25" hidden="1" customHeight="1" outlineLevel="1">
      <c r="A42" s="393"/>
      <c r="B42" s="574" t="s">
        <v>1585</v>
      </c>
      <c r="C42" s="574" t="s">
        <v>1586</v>
      </c>
      <c r="D42" s="574" t="s">
        <v>1587</v>
      </c>
      <c r="E42" s="574" t="s">
        <v>1588</v>
      </c>
      <c r="F42" s="574" t="s">
        <v>1589</v>
      </c>
      <c r="G42" s="574" t="s">
        <v>1590</v>
      </c>
      <c r="H42" s="574" t="s">
        <v>1591</v>
      </c>
      <c r="I42" s="574" t="s">
        <v>1592</v>
      </c>
      <c r="J42" s="574" t="s">
        <v>1593</v>
      </c>
      <c r="K42" s="574" t="s">
        <v>1594</v>
      </c>
      <c r="L42" s="574" t="s">
        <v>1595</v>
      </c>
      <c r="M42" s="574" t="s">
        <v>1596</v>
      </c>
      <c r="N42" s="393"/>
      <c r="O42" s="393"/>
      <c r="P42" s="393"/>
      <c r="Q42" s="393"/>
      <c r="R42" s="393"/>
      <c r="S42" s="393"/>
      <c r="T42" s="393"/>
      <c r="U42" s="393"/>
      <c r="V42" s="393"/>
      <c r="W42" s="393"/>
      <c r="X42" s="393"/>
      <c r="Y42" s="393"/>
      <c r="Z42" s="393"/>
      <c r="AA42" s="393"/>
      <c r="AB42" s="393"/>
      <c r="AC42" s="393"/>
      <c r="AD42" s="393"/>
      <c r="AE42" s="393"/>
      <c r="AF42" s="393"/>
      <c r="AG42" s="393"/>
      <c r="AH42" s="393"/>
      <c r="AI42" s="393"/>
      <c r="AJ42" s="393"/>
      <c r="AK42" s="393"/>
      <c r="AL42" s="393"/>
      <c r="AM42" s="393"/>
      <c r="AN42" s="393"/>
      <c r="AO42" s="393"/>
      <c r="AP42" s="393"/>
      <c r="AQ42" s="393"/>
      <c r="AR42" s="393"/>
      <c r="AS42" s="393"/>
      <c r="AT42" s="393"/>
      <c r="AU42" s="393"/>
      <c r="AV42" s="393"/>
      <c r="AW42" s="393"/>
      <c r="AX42" s="393"/>
      <c r="AY42" s="403"/>
      <c r="AZ42" s="403"/>
      <c r="BA42" s="403"/>
      <c r="BB42" s="403"/>
      <c r="BC42" s="403"/>
      <c r="BD42" s="403"/>
      <c r="BE42" s="403"/>
      <c r="BF42" s="403"/>
      <c r="BG42" s="403"/>
      <c r="BH42" s="403"/>
      <c r="BI42" s="403"/>
      <c r="BJ42" s="403"/>
      <c r="BK42" s="403"/>
      <c r="BL42" s="403"/>
      <c r="BM42" s="403"/>
      <c r="BN42" s="403"/>
      <c r="BO42" s="403"/>
      <c r="BP42" s="403"/>
      <c r="BQ42" s="403"/>
      <c r="BR42" s="403"/>
      <c r="BS42" s="403"/>
    </row>
    <row r="43" ht="11.25" hidden="1" customHeight="1" outlineLevel="1">
      <c r="A43" s="574" t="s">
        <v>1570</v>
      </c>
      <c r="B43" s="576">
        <v>1.071</v>
      </c>
      <c r="C43" s="576">
        <v>1.078</v>
      </c>
      <c r="D43" s="576">
        <v>1.075</v>
      </c>
      <c r="E43" s="576">
        <v>1.071</v>
      </c>
      <c r="F43" s="576">
        <v>1.073</v>
      </c>
      <c r="G43" s="576">
        <v>1.108</v>
      </c>
      <c r="H43" s="576">
        <v>1.12</v>
      </c>
      <c r="I43" s="576">
        <v>1.094</v>
      </c>
      <c r="J43" s="576">
        <v>1.119</v>
      </c>
      <c r="K43" s="576">
        <v>1.211</v>
      </c>
      <c r="L43" s="576">
        <v>1.217</v>
      </c>
      <c r="M43" s="576">
        <v>1.141</v>
      </c>
      <c r="N43" s="393"/>
      <c r="O43" s="393"/>
      <c r="P43" s="393"/>
      <c r="Q43" s="393"/>
      <c r="R43" s="393"/>
      <c r="S43" s="393"/>
      <c r="T43" s="393"/>
      <c r="U43" s="393"/>
      <c r="V43" s="393"/>
      <c r="W43" s="393"/>
      <c r="X43" s="393"/>
      <c r="Y43" s="393"/>
      <c r="Z43" s="393"/>
      <c r="AA43" s="393"/>
      <c r="AB43" s="393"/>
      <c r="AC43" s="393"/>
      <c r="AD43" s="393"/>
      <c r="AE43" s="393"/>
      <c r="AF43" s="393"/>
      <c r="AG43" s="393"/>
      <c r="AH43" s="393"/>
      <c r="AI43" s="393"/>
      <c r="AJ43" s="393"/>
      <c r="AK43" s="393"/>
      <c r="AL43" s="393"/>
      <c r="AM43" s="393"/>
      <c r="AN43" s="393"/>
      <c r="AO43" s="393"/>
      <c r="AP43" s="393"/>
      <c r="AQ43" s="393"/>
      <c r="AR43" s="393"/>
      <c r="AS43" s="393"/>
      <c r="AT43" s="393"/>
      <c r="AU43" s="393"/>
      <c r="AV43" s="393"/>
      <c r="AW43" s="393"/>
      <c r="AX43" s="393"/>
      <c r="AY43" s="403"/>
      <c r="AZ43" s="403"/>
      <c r="BA43" s="403"/>
      <c r="BB43" s="403"/>
      <c r="BC43" s="403"/>
      <c r="BD43" s="403"/>
      <c r="BE43" s="403"/>
      <c r="BF43" s="403"/>
      <c r="BG43" s="403"/>
      <c r="BH43" s="403"/>
      <c r="BI43" s="403"/>
      <c r="BJ43" s="403"/>
      <c r="BK43" s="403"/>
      <c r="BL43" s="403"/>
      <c r="BM43" s="403"/>
      <c r="BN43" s="403"/>
      <c r="BO43" s="403"/>
      <c r="BP43" s="403"/>
      <c r="BQ43" s="403"/>
      <c r="BR43" s="403"/>
      <c r="BS43" s="403"/>
    </row>
    <row r="44" ht="11.25" hidden="1" customHeight="1" outlineLevel="1">
      <c r="A44" s="578" t="s">
        <v>1526</v>
      </c>
      <c r="B44" s="583">
        <f t="shared" ref="B44:B49" si="113">M34*$B$43</f>
        <v>1041476.467</v>
      </c>
      <c r="C44" s="583">
        <f t="shared" ref="C44:C49" si="114">B44*$C$43</f>
        <v>1122711.632</v>
      </c>
      <c r="D44" s="583">
        <f t="shared" ref="D44:D48" si="115">C44*$D$43</f>
        <v>1206915.004</v>
      </c>
      <c r="E44" s="583">
        <f t="shared" ref="E44:E49" si="116">D44*$E$43</f>
        <v>1292605.969</v>
      </c>
      <c r="F44" s="583">
        <f t="shared" ref="F44:F49" si="117">E44*$F$43</f>
        <v>1386966.205</v>
      </c>
      <c r="G44" s="583">
        <f t="shared" ref="G44:G49" si="118">F44*$G$43</f>
        <v>1536758.555</v>
      </c>
      <c r="H44" s="583">
        <f t="shared" ref="H44:M44" si="112">G44*H$43</f>
        <v>1721169.582</v>
      </c>
      <c r="I44" s="583">
        <f t="shared" si="112"/>
        <v>1882959.523</v>
      </c>
      <c r="J44" s="583">
        <f t="shared" si="112"/>
        <v>2107031.706</v>
      </c>
      <c r="K44" s="583">
        <f t="shared" si="112"/>
        <v>2551615.396</v>
      </c>
      <c r="L44" s="583">
        <f t="shared" si="112"/>
        <v>3105315.937</v>
      </c>
      <c r="M44" s="583">
        <f t="shared" si="112"/>
        <v>3543165.484</v>
      </c>
      <c r="N44" s="393"/>
      <c r="O44" s="393"/>
      <c r="P44" s="393"/>
      <c r="Q44" s="393"/>
      <c r="R44" s="393"/>
      <c r="S44" s="393"/>
      <c r="T44" s="393"/>
      <c r="U44" s="393"/>
      <c r="V44" s="393"/>
      <c r="W44" s="393"/>
      <c r="X44" s="393"/>
      <c r="Y44" s="393"/>
      <c r="Z44" s="393"/>
      <c r="AA44" s="393"/>
      <c r="AB44" s="393"/>
      <c r="AC44" s="393"/>
      <c r="AD44" s="393"/>
      <c r="AE44" s="393"/>
      <c r="AF44" s="393"/>
      <c r="AG44" s="393"/>
      <c r="AH44" s="393"/>
      <c r="AI44" s="393"/>
      <c r="AJ44" s="393"/>
      <c r="AK44" s="393"/>
      <c r="AL44" s="393"/>
      <c r="AM44" s="393"/>
      <c r="AN44" s="393"/>
      <c r="AO44" s="393"/>
      <c r="AP44" s="393"/>
      <c r="AQ44" s="393"/>
      <c r="AR44" s="393"/>
      <c r="AS44" s="393"/>
      <c r="AT44" s="393"/>
      <c r="AU44" s="393"/>
      <c r="AV44" s="393"/>
      <c r="AW44" s="393"/>
      <c r="AX44" s="393"/>
      <c r="AY44" s="403"/>
      <c r="AZ44" s="403"/>
      <c r="BA44" s="403"/>
      <c r="BB44" s="403"/>
      <c r="BC44" s="403"/>
      <c r="BD44" s="403"/>
      <c r="BE44" s="403"/>
      <c r="BF44" s="403"/>
      <c r="BG44" s="403"/>
      <c r="BH44" s="403"/>
      <c r="BI44" s="403"/>
      <c r="BJ44" s="403"/>
      <c r="BK44" s="403"/>
      <c r="BL44" s="403"/>
      <c r="BM44" s="403"/>
      <c r="BN44" s="403"/>
      <c r="BO44" s="403"/>
      <c r="BP44" s="403"/>
      <c r="BQ44" s="403"/>
      <c r="BR44" s="403"/>
      <c r="BS44" s="403"/>
    </row>
    <row r="45" ht="11.25" hidden="1" customHeight="1" outlineLevel="1">
      <c r="A45" s="578" t="s">
        <v>1527</v>
      </c>
      <c r="B45" s="583">
        <f t="shared" si="113"/>
        <v>82.19674881</v>
      </c>
      <c r="C45" s="583">
        <f t="shared" si="114"/>
        <v>88.60809521</v>
      </c>
      <c r="D45" s="583">
        <f t="shared" si="115"/>
        <v>95.25370235</v>
      </c>
      <c r="E45" s="583">
        <f t="shared" si="116"/>
        <v>102.0167152</v>
      </c>
      <c r="F45" s="583">
        <f t="shared" si="117"/>
        <v>109.4639354</v>
      </c>
      <c r="G45" s="583">
        <f t="shared" si="118"/>
        <v>121.2860405</v>
      </c>
      <c r="H45" s="583">
        <f t="shared" ref="H45:M45" si="119">G45*H$43</f>
        <v>135.8403653</v>
      </c>
      <c r="I45" s="583">
        <f t="shared" si="119"/>
        <v>148.6093597</v>
      </c>
      <c r="J45" s="583">
        <f t="shared" si="119"/>
        <v>166.2938735</v>
      </c>
      <c r="K45" s="583">
        <f t="shared" si="119"/>
        <v>201.3818808</v>
      </c>
      <c r="L45" s="583">
        <f t="shared" si="119"/>
        <v>245.0817489</v>
      </c>
      <c r="M45" s="583">
        <f t="shared" si="119"/>
        <v>279.6382755</v>
      </c>
      <c r="N45" s="393"/>
      <c r="O45" s="393"/>
      <c r="P45" s="393"/>
      <c r="Q45" s="393"/>
      <c r="R45" s="393"/>
      <c r="S45" s="393"/>
      <c r="T45" s="393"/>
      <c r="U45" s="393"/>
      <c r="V45" s="393"/>
      <c r="W45" s="393"/>
      <c r="X45" s="393"/>
      <c r="Y45" s="393"/>
      <c r="Z45" s="393"/>
      <c r="AA45" s="393"/>
      <c r="AB45" s="393"/>
      <c r="AC45" s="393"/>
      <c r="AD45" s="393"/>
      <c r="AE45" s="393"/>
      <c r="AF45" s="393"/>
      <c r="AG45" s="393"/>
      <c r="AH45" s="393"/>
      <c r="AI45" s="393"/>
      <c r="AJ45" s="393"/>
      <c r="AK45" s="393"/>
      <c r="AL45" s="393"/>
      <c r="AM45" s="393"/>
      <c r="AN45" s="393"/>
      <c r="AO45" s="393"/>
      <c r="AP45" s="393"/>
      <c r="AQ45" s="393"/>
      <c r="AR45" s="393"/>
      <c r="AS45" s="393"/>
      <c r="AT45" s="393"/>
      <c r="AU45" s="393"/>
      <c r="AV45" s="393"/>
      <c r="AW45" s="393"/>
      <c r="AX45" s="393"/>
      <c r="AY45" s="403"/>
      <c r="AZ45" s="403"/>
      <c r="BA45" s="403"/>
      <c r="BB45" s="403"/>
      <c r="BC45" s="403"/>
      <c r="BD45" s="403"/>
      <c r="BE45" s="403"/>
      <c r="BF45" s="403"/>
      <c r="BG45" s="403"/>
      <c r="BH45" s="403"/>
      <c r="BI45" s="403"/>
      <c r="BJ45" s="403"/>
      <c r="BK45" s="403"/>
      <c r="BL45" s="403"/>
      <c r="BM45" s="403"/>
      <c r="BN45" s="403"/>
      <c r="BO45" s="403"/>
      <c r="BP45" s="403"/>
      <c r="BQ45" s="403"/>
      <c r="BR45" s="403"/>
      <c r="BS45" s="403"/>
    </row>
    <row r="46" ht="11.25" hidden="1" customHeight="1" outlineLevel="1">
      <c r="A46" s="578" t="s">
        <v>1528</v>
      </c>
      <c r="B46" s="583">
        <f t="shared" si="113"/>
        <v>92401.77865</v>
      </c>
      <c r="C46" s="583">
        <f t="shared" si="114"/>
        <v>99609.11739</v>
      </c>
      <c r="D46" s="583">
        <f t="shared" si="115"/>
        <v>107079.8012</v>
      </c>
      <c r="E46" s="583">
        <f t="shared" si="116"/>
        <v>114682.4671</v>
      </c>
      <c r="F46" s="583">
        <f t="shared" si="117"/>
        <v>123054.2872</v>
      </c>
      <c r="G46" s="583">
        <f t="shared" si="118"/>
        <v>136344.1502</v>
      </c>
      <c r="H46" s="583">
        <f t="shared" ref="H46:M46" si="120">G46*H$43</f>
        <v>152705.4482</v>
      </c>
      <c r="I46" s="583">
        <f t="shared" si="120"/>
        <v>167059.7603</v>
      </c>
      <c r="J46" s="583">
        <f t="shared" si="120"/>
        <v>186939.8718</v>
      </c>
      <c r="K46" s="583">
        <f t="shared" si="120"/>
        <v>226384.1848</v>
      </c>
      <c r="L46" s="583">
        <f t="shared" si="120"/>
        <v>275509.5529</v>
      </c>
      <c r="M46" s="583">
        <f t="shared" si="120"/>
        <v>314356.3998</v>
      </c>
      <c r="N46" s="393"/>
      <c r="O46" s="393"/>
      <c r="P46" s="393"/>
      <c r="Q46" s="393"/>
      <c r="R46" s="393"/>
      <c r="S46" s="393"/>
      <c r="T46" s="393"/>
      <c r="U46" s="393"/>
      <c r="V46" s="393"/>
      <c r="W46" s="393"/>
      <c r="X46" s="393"/>
      <c r="Y46" s="393"/>
      <c r="Z46" s="393"/>
      <c r="AA46" s="393"/>
      <c r="AB46" s="393"/>
      <c r="AC46" s="393"/>
      <c r="AD46" s="393"/>
      <c r="AE46" s="393"/>
      <c r="AF46" s="393"/>
      <c r="AG46" s="393"/>
      <c r="AH46" s="393"/>
      <c r="AI46" s="393"/>
      <c r="AJ46" s="393"/>
      <c r="AK46" s="393"/>
      <c r="AL46" s="393"/>
      <c r="AM46" s="393"/>
      <c r="AN46" s="393"/>
      <c r="AO46" s="393"/>
      <c r="AP46" s="393"/>
      <c r="AQ46" s="393"/>
      <c r="AR46" s="393"/>
      <c r="AS46" s="393"/>
      <c r="AT46" s="393"/>
      <c r="AU46" s="393"/>
      <c r="AV46" s="393"/>
      <c r="AW46" s="393"/>
      <c r="AX46" s="393"/>
      <c r="AY46" s="403"/>
      <c r="AZ46" s="403"/>
      <c r="BA46" s="403"/>
      <c r="BB46" s="403"/>
      <c r="BC46" s="403"/>
      <c r="BD46" s="403"/>
      <c r="BE46" s="403"/>
      <c r="BF46" s="403"/>
      <c r="BG46" s="403"/>
      <c r="BH46" s="403"/>
      <c r="BI46" s="403"/>
      <c r="BJ46" s="403"/>
      <c r="BK46" s="403"/>
      <c r="BL46" s="403"/>
      <c r="BM46" s="403"/>
      <c r="BN46" s="403"/>
      <c r="BO46" s="403"/>
      <c r="BP46" s="403"/>
      <c r="BQ46" s="403"/>
      <c r="BR46" s="403"/>
      <c r="BS46" s="403"/>
    </row>
    <row r="47" ht="11.25" hidden="1" customHeight="1" outlineLevel="1">
      <c r="A47" s="578" t="s">
        <v>1529</v>
      </c>
      <c r="B47" s="583">
        <f t="shared" si="113"/>
        <v>4541.04</v>
      </c>
      <c r="C47" s="583">
        <f t="shared" si="114"/>
        <v>4895.24112</v>
      </c>
      <c r="D47" s="583">
        <f t="shared" si="115"/>
        <v>5262.384204</v>
      </c>
      <c r="E47" s="583">
        <f t="shared" si="116"/>
        <v>5636.013482</v>
      </c>
      <c r="F47" s="583">
        <f t="shared" si="117"/>
        <v>6047.442467</v>
      </c>
      <c r="G47" s="583">
        <f t="shared" si="118"/>
        <v>6700.566253</v>
      </c>
      <c r="H47" s="583">
        <f t="shared" ref="H47:M47" si="121">G47*H$43</f>
        <v>7504.634203</v>
      </c>
      <c r="I47" s="583">
        <f t="shared" si="121"/>
        <v>8210.069819</v>
      </c>
      <c r="J47" s="583">
        <f t="shared" si="121"/>
        <v>9187.068127</v>
      </c>
      <c r="K47" s="583">
        <f t="shared" si="121"/>
        <v>11125.5395</v>
      </c>
      <c r="L47" s="583">
        <f t="shared" si="121"/>
        <v>13539.78157</v>
      </c>
      <c r="M47" s="583">
        <f t="shared" si="121"/>
        <v>15448.89078</v>
      </c>
      <c r="N47" s="393"/>
      <c r="O47" s="393"/>
      <c r="P47" s="393"/>
      <c r="Q47" s="393"/>
      <c r="R47" s="393"/>
      <c r="S47" s="393"/>
      <c r="T47" s="393"/>
      <c r="U47" s="393"/>
      <c r="V47" s="393"/>
      <c r="W47" s="393"/>
      <c r="X47" s="393"/>
      <c r="Y47" s="393"/>
      <c r="Z47" s="393"/>
      <c r="AA47" s="393"/>
      <c r="AB47" s="393"/>
      <c r="AC47" s="393"/>
      <c r="AD47" s="393"/>
      <c r="AE47" s="393"/>
      <c r="AF47" s="393"/>
      <c r="AG47" s="393"/>
      <c r="AH47" s="393"/>
      <c r="AI47" s="393"/>
      <c r="AJ47" s="393"/>
      <c r="AK47" s="393"/>
      <c r="AL47" s="393"/>
      <c r="AM47" s="393"/>
      <c r="AN47" s="393"/>
      <c r="AO47" s="393"/>
      <c r="AP47" s="393"/>
      <c r="AQ47" s="393"/>
      <c r="AR47" s="393"/>
      <c r="AS47" s="393"/>
      <c r="AT47" s="393"/>
      <c r="AU47" s="393"/>
      <c r="AV47" s="393"/>
      <c r="AW47" s="393"/>
      <c r="AX47" s="393"/>
      <c r="AY47" s="403"/>
      <c r="AZ47" s="403"/>
      <c r="BA47" s="403"/>
      <c r="BB47" s="403"/>
      <c r="BC47" s="403"/>
      <c r="BD47" s="403"/>
      <c r="BE47" s="403"/>
      <c r="BF47" s="403"/>
      <c r="BG47" s="403"/>
      <c r="BH47" s="403"/>
      <c r="BI47" s="403"/>
      <c r="BJ47" s="403"/>
      <c r="BK47" s="403"/>
      <c r="BL47" s="403"/>
      <c r="BM47" s="403"/>
      <c r="BN47" s="403"/>
      <c r="BO47" s="403"/>
      <c r="BP47" s="403"/>
      <c r="BQ47" s="403"/>
      <c r="BR47" s="403"/>
      <c r="BS47" s="403"/>
    </row>
    <row r="48" ht="11.25" hidden="1" customHeight="1" outlineLevel="1">
      <c r="A48" s="578" t="s">
        <v>1571</v>
      </c>
      <c r="B48" s="583">
        <f t="shared" si="113"/>
        <v>169934.3198</v>
      </c>
      <c r="C48" s="583">
        <f t="shared" si="114"/>
        <v>183189.1967</v>
      </c>
      <c r="D48" s="583">
        <f t="shared" si="115"/>
        <v>196928.3864</v>
      </c>
      <c r="E48" s="583">
        <f t="shared" si="116"/>
        <v>210910.3019</v>
      </c>
      <c r="F48" s="583">
        <f t="shared" si="117"/>
        <v>226306.7539</v>
      </c>
      <c r="G48" s="583">
        <f t="shared" si="118"/>
        <v>250747.8833</v>
      </c>
      <c r="H48" s="583">
        <f t="shared" ref="H48:M48" si="122">G48*H$43</f>
        <v>280837.6293</v>
      </c>
      <c r="I48" s="583">
        <f t="shared" si="122"/>
        <v>307236.3665</v>
      </c>
      <c r="J48" s="583">
        <f t="shared" si="122"/>
        <v>343797.4941</v>
      </c>
      <c r="K48" s="583">
        <f t="shared" si="122"/>
        <v>416338.7654</v>
      </c>
      <c r="L48" s="583">
        <f t="shared" si="122"/>
        <v>506684.2775</v>
      </c>
      <c r="M48" s="583">
        <f t="shared" si="122"/>
        <v>578126.7606</v>
      </c>
      <c r="N48" s="393"/>
      <c r="O48" s="393"/>
      <c r="P48" s="393"/>
      <c r="Q48" s="393"/>
      <c r="R48" s="393"/>
      <c r="S48" s="393"/>
      <c r="T48" s="393"/>
      <c r="U48" s="393"/>
      <c r="V48" s="393"/>
      <c r="W48" s="393"/>
      <c r="X48" s="393"/>
      <c r="Y48" s="393"/>
      <c r="Z48" s="393"/>
      <c r="AA48" s="393"/>
      <c r="AB48" s="393"/>
      <c r="AC48" s="393"/>
      <c r="AD48" s="393"/>
      <c r="AE48" s="393"/>
      <c r="AF48" s="393"/>
      <c r="AG48" s="393"/>
      <c r="AH48" s="393"/>
      <c r="AI48" s="393"/>
      <c r="AJ48" s="393"/>
      <c r="AK48" s="393"/>
      <c r="AL48" s="393"/>
      <c r="AM48" s="393"/>
      <c r="AN48" s="393"/>
      <c r="AO48" s="393"/>
      <c r="AP48" s="393"/>
      <c r="AQ48" s="393"/>
      <c r="AR48" s="393"/>
      <c r="AS48" s="393"/>
      <c r="AT48" s="393"/>
      <c r="AU48" s="393"/>
      <c r="AV48" s="393"/>
      <c r="AW48" s="393"/>
      <c r="AX48" s="393"/>
      <c r="AY48" s="403"/>
      <c r="AZ48" s="403"/>
      <c r="BA48" s="403"/>
      <c r="BB48" s="403"/>
      <c r="BC48" s="403"/>
      <c r="BD48" s="403"/>
      <c r="BE48" s="403"/>
      <c r="BF48" s="403"/>
      <c r="BG48" s="403"/>
      <c r="BH48" s="403"/>
      <c r="BI48" s="403"/>
      <c r="BJ48" s="403"/>
      <c r="BK48" s="403"/>
      <c r="BL48" s="403"/>
      <c r="BM48" s="403"/>
      <c r="BN48" s="403"/>
      <c r="BO48" s="403"/>
      <c r="BP48" s="403"/>
      <c r="BQ48" s="403"/>
      <c r="BR48" s="403"/>
      <c r="BS48" s="403"/>
    </row>
    <row r="49" ht="11.25" hidden="1" customHeight="1" outlineLevel="1">
      <c r="A49" s="578" t="s">
        <v>1572</v>
      </c>
      <c r="B49" s="583">
        <f t="shared" si="113"/>
        <v>14.16672296</v>
      </c>
      <c r="C49" s="583">
        <f t="shared" si="114"/>
        <v>15.27172735</v>
      </c>
      <c r="D49" s="583">
        <v>16.42</v>
      </c>
      <c r="E49" s="583">
        <f t="shared" si="116"/>
        <v>17.58582</v>
      </c>
      <c r="F49" s="583">
        <f t="shared" si="117"/>
        <v>18.86958486</v>
      </c>
      <c r="G49" s="583">
        <f t="shared" si="118"/>
        <v>20.90750002</v>
      </c>
      <c r="H49" s="583">
        <f t="shared" ref="H49:J49" si="123">G49*H$43</f>
        <v>23.41640003</v>
      </c>
      <c r="I49" s="583">
        <f t="shared" si="123"/>
        <v>25.61754163</v>
      </c>
      <c r="J49" s="583">
        <f t="shared" si="123"/>
        <v>28.66602908</v>
      </c>
      <c r="K49" s="583">
        <v>34.72</v>
      </c>
      <c r="L49" s="583">
        <v>42.257</v>
      </c>
      <c r="M49" s="583">
        <f>L49*M$43</f>
        <v>48.215237</v>
      </c>
      <c r="N49" s="393"/>
      <c r="O49" s="393"/>
      <c r="P49" s="393"/>
      <c r="Q49" s="393"/>
      <c r="R49" s="393"/>
      <c r="S49" s="393"/>
      <c r="T49" s="393"/>
      <c r="U49" s="393"/>
      <c r="V49" s="393"/>
      <c r="W49" s="393"/>
      <c r="X49" s="393"/>
      <c r="Y49" s="393"/>
      <c r="Z49" s="393"/>
      <c r="AA49" s="393"/>
      <c r="AB49" s="393"/>
      <c r="AC49" s="393"/>
      <c r="AD49" s="393"/>
      <c r="AE49" s="393"/>
      <c r="AF49" s="393"/>
      <c r="AG49" s="393"/>
      <c r="AH49" s="393"/>
      <c r="AI49" s="393"/>
      <c r="AJ49" s="393"/>
      <c r="AK49" s="393"/>
      <c r="AL49" s="393"/>
      <c r="AM49" s="393"/>
      <c r="AN49" s="393"/>
      <c r="AO49" s="393"/>
      <c r="AP49" s="393"/>
      <c r="AQ49" s="393"/>
      <c r="AR49" s="393"/>
      <c r="AS49" s="393"/>
      <c r="AT49" s="393"/>
      <c r="AU49" s="393"/>
      <c r="AV49" s="393"/>
      <c r="AW49" s="393"/>
      <c r="AX49" s="393"/>
      <c r="AY49" s="403"/>
      <c r="AZ49" s="403"/>
      <c r="BA49" s="403"/>
      <c r="BB49" s="403"/>
      <c r="BC49" s="403"/>
      <c r="BD49" s="403"/>
      <c r="BE49" s="403"/>
      <c r="BF49" s="403"/>
      <c r="BG49" s="403"/>
      <c r="BH49" s="403"/>
      <c r="BI49" s="403"/>
      <c r="BJ49" s="403"/>
      <c r="BK49" s="403"/>
      <c r="BL49" s="403"/>
      <c r="BM49" s="403"/>
      <c r="BN49" s="403"/>
      <c r="BO49" s="403"/>
      <c r="BP49" s="403"/>
      <c r="BQ49" s="403"/>
      <c r="BR49" s="403"/>
      <c r="BS49" s="403"/>
    </row>
    <row r="50" ht="11.25" hidden="1" customHeight="1" outlineLevel="1">
      <c r="A50" s="589"/>
      <c r="B50" s="572" t="s">
        <v>1546</v>
      </c>
      <c r="C50" s="277"/>
      <c r="D50" s="277"/>
      <c r="E50" s="277"/>
      <c r="F50" s="277"/>
      <c r="G50" s="277"/>
      <c r="H50" s="277"/>
      <c r="I50" s="277"/>
      <c r="J50" s="277"/>
      <c r="K50" s="277"/>
      <c r="L50" s="277"/>
      <c r="M50" s="278"/>
      <c r="N50" s="393"/>
      <c r="O50" s="393"/>
      <c r="P50" s="393"/>
      <c r="Q50" s="393"/>
      <c r="R50" s="393"/>
      <c r="S50" s="393"/>
      <c r="T50" s="393"/>
      <c r="U50" s="393"/>
      <c r="V50" s="393"/>
      <c r="W50" s="393"/>
      <c r="X50" s="393"/>
      <c r="Y50" s="393"/>
      <c r="Z50" s="393"/>
      <c r="AA50" s="393"/>
      <c r="AB50" s="393"/>
      <c r="AC50" s="393"/>
      <c r="AD50" s="393"/>
      <c r="AE50" s="393"/>
      <c r="AF50" s="393"/>
      <c r="AG50" s="393"/>
      <c r="AH50" s="393"/>
      <c r="AI50" s="393"/>
      <c r="AJ50" s="393"/>
      <c r="AK50" s="393"/>
      <c r="AL50" s="393"/>
      <c r="AM50" s="393"/>
      <c r="AN50" s="393"/>
      <c r="AO50" s="393"/>
      <c r="AP50" s="393"/>
      <c r="AQ50" s="393"/>
      <c r="AR50" s="393"/>
      <c r="AS50" s="393"/>
      <c r="AT50" s="393"/>
      <c r="AU50" s="393"/>
      <c r="AV50" s="393"/>
      <c r="AW50" s="393"/>
      <c r="AX50" s="393"/>
      <c r="AY50" s="403"/>
      <c r="AZ50" s="403"/>
      <c r="BA50" s="403"/>
      <c r="BB50" s="403"/>
      <c r="BC50" s="403"/>
      <c r="BD50" s="403"/>
      <c r="BE50" s="403"/>
      <c r="BF50" s="403"/>
      <c r="BG50" s="403"/>
      <c r="BH50" s="403"/>
      <c r="BI50" s="403"/>
      <c r="BJ50" s="403"/>
      <c r="BK50" s="403"/>
      <c r="BL50" s="403"/>
      <c r="BM50" s="403"/>
      <c r="BN50" s="403"/>
      <c r="BO50" s="403"/>
      <c r="BP50" s="403"/>
      <c r="BQ50" s="403"/>
      <c r="BR50" s="403"/>
      <c r="BS50" s="403"/>
    </row>
    <row r="51" ht="11.25" hidden="1" customHeight="1" outlineLevel="1">
      <c r="A51" s="283"/>
      <c r="B51" s="574" t="s">
        <v>1597</v>
      </c>
      <c r="C51" s="574" t="s">
        <v>1598</v>
      </c>
      <c r="D51" s="574" t="s">
        <v>1599</v>
      </c>
      <c r="E51" s="574" t="s">
        <v>1600</v>
      </c>
      <c r="F51" s="574" t="s">
        <v>1601</v>
      </c>
      <c r="G51" s="574" t="s">
        <v>1602</v>
      </c>
      <c r="H51" s="574" t="s">
        <v>1603</v>
      </c>
      <c r="I51" s="574" t="s">
        <v>1604</v>
      </c>
      <c r="J51" s="574" t="s">
        <v>1605</v>
      </c>
      <c r="K51" s="574" t="s">
        <v>1606</v>
      </c>
      <c r="L51" s="574" t="s">
        <v>1607</v>
      </c>
      <c r="M51" s="574" t="s">
        <v>1608</v>
      </c>
      <c r="N51" s="393"/>
      <c r="O51" s="393"/>
      <c r="P51" s="393"/>
      <c r="Q51" s="393"/>
      <c r="R51" s="393"/>
      <c r="S51" s="393"/>
      <c r="T51" s="393"/>
      <c r="U51" s="393"/>
      <c r="V51" s="393"/>
      <c r="W51" s="393"/>
      <c r="X51" s="393"/>
      <c r="Y51" s="393"/>
      <c r="Z51" s="393"/>
      <c r="AA51" s="393"/>
      <c r="AB51" s="393"/>
      <c r="AC51" s="393"/>
      <c r="AD51" s="393"/>
      <c r="AE51" s="393"/>
      <c r="AF51" s="393"/>
      <c r="AG51" s="393"/>
      <c r="AH51" s="393"/>
      <c r="AI51" s="393"/>
      <c r="AJ51" s="393"/>
      <c r="AK51" s="393"/>
      <c r="AL51" s="393"/>
      <c r="AM51" s="393"/>
      <c r="AN51" s="393"/>
      <c r="AO51" s="393"/>
      <c r="AP51" s="393"/>
      <c r="AQ51" s="393"/>
      <c r="AR51" s="393"/>
      <c r="AS51" s="393"/>
      <c r="AT51" s="393"/>
      <c r="AU51" s="393"/>
      <c r="AV51" s="393"/>
      <c r="AW51" s="393"/>
      <c r="AX51" s="393"/>
      <c r="AY51" s="403"/>
      <c r="AZ51" s="403"/>
      <c r="BA51" s="403"/>
      <c r="BB51" s="403"/>
      <c r="BC51" s="403"/>
      <c r="BD51" s="403"/>
      <c r="BE51" s="403"/>
      <c r="BF51" s="403"/>
      <c r="BG51" s="403"/>
      <c r="BH51" s="403"/>
      <c r="BI51" s="403"/>
      <c r="BJ51" s="403"/>
      <c r="BK51" s="403"/>
      <c r="BL51" s="403"/>
      <c r="BM51" s="403"/>
      <c r="BN51" s="403"/>
      <c r="BO51" s="403"/>
      <c r="BP51" s="403"/>
      <c r="BQ51" s="403"/>
      <c r="BR51" s="403"/>
      <c r="BS51" s="403"/>
    </row>
    <row r="52" ht="34.5" hidden="1" customHeight="1" outlineLevel="1">
      <c r="A52" s="283"/>
      <c r="B52" s="574" t="s">
        <v>1609</v>
      </c>
      <c r="C52" s="574" t="s">
        <v>1610</v>
      </c>
      <c r="D52" s="574" t="s">
        <v>1611</v>
      </c>
      <c r="E52" s="574" t="s">
        <v>1612</v>
      </c>
      <c r="F52" s="574" t="s">
        <v>1613</v>
      </c>
      <c r="G52" s="574" t="s">
        <v>1614</v>
      </c>
      <c r="H52" s="574" t="s">
        <v>1615</v>
      </c>
      <c r="I52" s="574" t="s">
        <v>1616</v>
      </c>
      <c r="J52" s="574" t="s">
        <v>1617</v>
      </c>
      <c r="K52" s="574" t="s">
        <v>1618</v>
      </c>
      <c r="L52" s="574" t="s">
        <v>1619</v>
      </c>
      <c r="M52" s="574" t="s">
        <v>1620</v>
      </c>
      <c r="N52" s="393"/>
      <c r="O52" s="393"/>
      <c r="P52" s="393"/>
      <c r="Q52" s="393"/>
      <c r="R52" s="393"/>
      <c r="S52" s="393"/>
      <c r="T52" s="393"/>
      <c r="U52" s="393"/>
      <c r="V52" s="393"/>
      <c r="W52" s="393"/>
      <c r="X52" s="393"/>
      <c r="Y52" s="393"/>
      <c r="Z52" s="393"/>
      <c r="AA52" s="393"/>
      <c r="AB52" s="393"/>
      <c r="AC52" s="393"/>
      <c r="AD52" s="393"/>
      <c r="AE52" s="393"/>
      <c r="AF52" s="393"/>
      <c r="AG52" s="393"/>
      <c r="AH52" s="393"/>
      <c r="AI52" s="393"/>
      <c r="AJ52" s="393"/>
      <c r="AK52" s="393"/>
      <c r="AL52" s="393"/>
      <c r="AM52" s="393"/>
      <c r="AN52" s="393"/>
      <c r="AO52" s="393"/>
      <c r="AP52" s="393"/>
      <c r="AQ52" s="393"/>
      <c r="AR52" s="393"/>
      <c r="AS52" s="393"/>
      <c r="AT52" s="393"/>
      <c r="AU52" s="393"/>
      <c r="AV52" s="393"/>
      <c r="AW52" s="393"/>
      <c r="AX52" s="393"/>
      <c r="AY52" s="403"/>
      <c r="AZ52" s="403"/>
      <c r="BA52" s="403"/>
      <c r="BB52" s="403"/>
      <c r="BC52" s="403"/>
      <c r="BD52" s="403"/>
      <c r="BE52" s="403"/>
      <c r="BF52" s="403"/>
      <c r="BG52" s="403"/>
      <c r="BH52" s="403"/>
      <c r="BI52" s="403"/>
      <c r="BJ52" s="403"/>
      <c r="BK52" s="403"/>
      <c r="BL52" s="403"/>
      <c r="BM52" s="403"/>
      <c r="BN52" s="403"/>
      <c r="BO52" s="403"/>
      <c r="BP52" s="403"/>
      <c r="BQ52" s="403"/>
      <c r="BR52" s="403"/>
      <c r="BS52" s="403"/>
    </row>
    <row r="53" ht="11.25" hidden="1" customHeight="1" outlineLevel="1">
      <c r="A53" s="574" t="s">
        <v>1570</v>
      </c>
      <c r="B53" s="576">
        <v>1.132</v>
      </c>
      <c r="C53" s="576">
        <v>1.098</v>
      </c>
      <c r="D53" s="576">
        <v>1.044</v>
      </c>
      <c r="E53" s="576">
        <v>1.048</v>
      </c>
      <c r="F53" s="576">
        <v>1.051</v>
      </c>
      <c r="G53" s="576">
        <v>1.042</v>
      </c>
      <c r="H53" s="576">
        <v>1.04</v>
      </c>
      <c r="I53" s="576">
        <v>1.032</v>
      </c>
      <c r="J53" s="576">
        <v>1.032</v>
      </c>
      <c r="K53" s="576">
        <v>1.033</v>
      </c>
      <c r="L53" s="576">
        <v>1.031</v>
      </c>
      <c r="M53" s="576">
        <v>1.021</v>
      </c>
      <c r="N53" s="393"/>
      <c r="O53" s="393"/>
      <c r="P53" s="393"/>
      <c r="Q53" s="393"/>
      <c r="R53" s="393"/>
      <c r="S53" s="393"/>
      <c r="T53" s="393"/>
      <c r="U53" s="393"/>
      <c r="V53" s="393"/>
      <c r="W53" s="393"/>
      <c r="X53" s="393"/>
      <c r="Y53" s="393"/>
      <c r="Z53" s="393"/>
      <c r="AA53" s="393"/>
      <c r="AB53" s="393"/>
      <c r="AC53" s="393"/>
      <c r="AD53" s="393"/>
      <c r="AE53" s="393"/>
      <c r="AF53" s="393"/>
      <c r="AG53" s="393"/>
      <c r="AH53" s="393"/>
      <c r="AI53" s="393"/>
      <c r="AJ53" s="393"/>
      <c r="AK53" s="393"/>
      <c r="AL53" s="393"/>
      <c r="AM53" s="393"/>
      <c r="AN53" s="393"/>
      <c r="AO53" s="393"/>
      <c r="AP53" s="393"/>
      <c r="AQ53" s="393"/>
      <c r="AR53" s="393"/>
      <c r="AS53" s="393"/>
      <c r="AT53" s="393"/>
      <c r="AU53" s="393"/>
      <c r="AV53" s="393"/>
      <c r="AW53" s="393"/>
      <c r="AX53" s="393"/>
      <c r="AY53" s="403"/>
      <c r="AZ53" s="403"/>
      <c r="BA53" s="403"/>
      <c r="BB53" s="403"/>
      <c r="BC53" s="403"/>
      <c r="BD53" s="403"/>
      <c r="BE53" s="403"/>
      <c r="BF53" s="403"/>
      <c r="BG53" s="403"/>
      <c r="BH53" s="403"/>
      <c r="BI53" s="403"/>
      <c r="BJ53" s="403"/>
      <c r="BK53" s="403"/>
      <c r="BL53" s="403"/>
      <c r="BM53" s="403"/>
      <c r="BN53" s="403"/>
      <c r="BO53" s="403"/>
      <c r="BP53" s="403"/>
      <c r="BQ53" s="403"/>
      <c r="BR53" s="403"/>
      <c r="BS53" s="403"/>
    </row>
    <row r="54" ht="11.25" hidden="1" customHeight="1" outlineLevel="1">
      <c r="A54" s="578" t="s">
        <v>1526</v>
      </c>
      <c r="B54" s="583">
        <f>M44*$B$53</f>
        <v>4010863.328</v>
      </c>
      <c r="C54" s="583">
        <f t="shared" ref="C54:C59" si="125">B54*$C$53</f>
        <v>4403927.934</v>
      </c>
      <c r="D54" s="583">
        <f t="shared" ref="D54:D59" si="126">C54*$D$53</f>
        <v>4597700.763</v>
      </c>
      <c r="E54" s="583">
        <f t="shared" ref="E54:E59" si="127">D54*$E$53</f>
        <v>4818390.4</v>
      </c>
      <c r="F54" s="583">
        <f t="shared" ref="F54:F59" si="128">E54*$F$53</f>
        <v>5064128.31</v>
      </c>
      <c r="G54" s="583">
        <f t="shared" ref="G54:G59" si="129">F54*$G$53</f>
        <v>5276821.699</v>
      </c>
      <c r="H54" s="583">
        <f t="shared" ref="H54:H59" si="130">G54*$H$53</f>
        <v>5487894.567</v>
      </c>
      <c r="I54" s="583">
        <f t="shared" ref="I54:J54" si="124">H54*$I$53</f>
        <v>5663507.193</v>
      </c>
      <c r="J54" s="583">
        <f t="shared" si="124"/>
        <v>5844739.423</v>
      </c>
      <c r="K54" s="583">
        <f t="shared" ref="K54:K59" si="132">J54*$K$53</f>
        <v>6037615.824</v>
      </c>
      <c r="L54" s="583">
        <f t="shared" ref="L54:L59" si="133">K54*$L$53</f>
        <v>6224781.915</v>
      </c>
      <c r="M54" s="583">
        <f t="shared" ref="M54:M59" si="134">L54*$M$53</f>
        <v>6355502.335</v>
      </c>
      <c r="N54" s="393"/>
      <c r="O54" s="393"/>
      <c r="P54" s="393"/>
      <c r="Q54" s="393"/>
      <c r="R54" s="393"/>
      <c r="S54" s="393"/>
      <c r="T54" s="393"/>
      <c r="U54" s="393"/>
      <c r="V54" s="393"/>
      <c r="W54" s="393"/>
      <c r="X54" s="393"/>
      <c r="Y54" s="393"/>
      <c r="Z54" s="393"/>
      <c r="AA54" s="393"/>
      <c r="AB54" s="393"/>
      <c r="AC54" s="393"/>
      <c r="AD54" s="393"/>
      <c r="AE54" s="393"/>
      <c r="AF54" s="393"/>
      <c r="AG54" s="393"/>
      <c r="AH54" s="393"/>
      <c r="AI54" s="393"/>
      <c r="AJ54" s="393"/>
      <c r="AK54" s="393"/>
      <c r="AL54" s="393"/>
      <c r="AM54" s="393"/>
      <c r="AN54" s="393"/>
      <c r="AO54" s="393"/>
      <c r="AP54" s="393"/>
      <c r="AQ54" s="393"/>
      <c r="AR54" s="393"/>
      <c r="AS54" s="393"/>
      <c r="AT54" s="393"/>
      <c r="AU54" s="393"/>
      <c r="AV54" s="393"/>
      <c r="AW54" s="393"/>
      <c r="AX54" s="393"/>
      <c r="AY54" s="403"/>
      <c r="AZ54" s="403"/>
      <c r="BA54" s="403"/>
      <c r="BB54" s="403"/>
      <c r="BC54" s="403"/>
      <c r="BD54" s="403"/>
      <c r="BE54" s="403"/>
      <c r="BF54" s="403"/>
      <c r="BG54" s="403"/>
      <c r="BH54" s="403"/>
      <c r="BI54" s="403"/>
      <c r="BJ54" s="403"/>
      <c r="BK54" s="403"/>
      <c r="BL54" s="403"/>
      <c r="BM54" s="403"/>
      <c r="BN54" s="403"/>
      <c r="BO54" s="403"/>
      <c r="BP54" s="403"/>
      <c r="BQ54" s="403"/>
      <c r="BR54" s="403"/>
      <c r="BS54" s="403"/>
    </row>
    <row r="55" ht="11.25" hidden="1" customHeight="1" outlineLevel="1">
      <c r="A55" s="578" t="s">
        <v>1527</v>
      </c>
      <c r="B55" s="583">
        <f>M45*B53</f>
        <v>316.5505278</v>
      </c>
      <c r="C55" s="583">
        <f t="shared" si="125"/>
        <v>347.5724796</v>
      </c>
      <c r="D55" s="583">
        <f t="shared" si="126"/>
        <v>362.8656687</v>
      </c>
      <c r="E55" s="583">
        <f t="shared" si="127"/>
        <v>380.2832208</v>
      </c>
      <c r="F55" s="583">
        <f t="shared" si="128"/>
        <v>399.677665</v>
      </c>
      <c r="G55" s="583">
        <f t="shared" si="129"/>
        <v>416.4641269</v>
      </c>
      <c r="H55" s="583">
        <f t="shared" si="130"/>
        <v>433.122692</v>
      </c>
      <c r="I55" s="583">
        <f t="shared" ref="I55:J55" si="131">H55*$I$53</f>
        <v>446.9826182</v>
      </c>
      <c r="J55" s="583">
        <f t="shared" si="131"/>
        <v>461.2860619</v>
      </c>
      <c r="K55" s="583">
        <f t="shared" si="132"/>
        <v>476.508502</v>
      </c>
      <c r="L55" s="583">
        <f t="shared" si="133"/>
        <v>491.2802655</v>
      </c>
      <c r="M55" s="583">
        <f t="shared" si="134"/>
        <v>501.5971511</v>
      </c>
      <c r="N55" s="393"/>
      <c r="O55" s="393"/>
      <c r="P55" s="393"/>
      <c r="Q55" s="393"/>
      <c r="R55" s="393"/>
      <c r="S55" s="393"/>
      <c r="T55" s="393"/>
      <c r="U55" s="393"/>
      <c r="V55" s="393"/>
      <c r="W55" s="393"/>
      <c r="X55" s="393"/>
      <c r="Y55" s="393"/>
      <c r="Z55" s="393"/>
      <c r="AA55" s="393"/>
      <c r="AB55" s="393"/>
      <c r="AC55" s="393"/>
      <c r="AD55" s="393"/>
      <c r="AE55" s="393"/>
      <c r="AF55" s="393"/>
      <c r="AG55" s="393"/>
      <c r="AH55" s="393"/>
      <c r="AI55" s="393"/>
      <c r="AJ55" s="393"/>
      <c r="AK55" s="393"/>
      <c r="AL55" s="393"/>
      <c r="AM55" s="393"/>
      <c r="AN55" s="393"/>
      <c r="AO55" s="393"/>
      <c r="AP55" s="393"/>
      <c r="AQ55" s="393"/>
      <c r="AR55" s="393"/>
      <c r="AS55" s="393"/>
      <c r="AT55" s="393"/>
      <c r="AU55" s="393"/>
      <c r="AV55" s="393"/>
      <c r="AW55" s="393"/>
      <c r="AX55" s="393"/>
      <c r="AY55" s="403"/>
      <c r="AZ55" s="403"/>
      <c r="BA55" s="403"/>
      <c r="BB55" s="403"/>
      <c r="BC55" s="403"/>
      <c r="BD55" s="403"/>
      <c r="BE55" s="403"/>
      <c r="BF55" s="403"/>
      <c r="BG55" s="403"/>
      <c r="BH55" s="403"/>
      <c r="BI55" s="403"/>
      <c r="BJ55" s="403"/>
      <c r="BK55" s="403"/>
      <c r="BL55" s="403"/>
      <c r="BM55" s="403"/>
      <c r="BN55" s="403"/>
      <c r="BO55" s="403"/>
      <c r="BP55" s="403"/>
      <c r="BQ55" s="403"/>
      <c r="BR55" s="403"/>
      <c r="BS55" s="403"/>
    </row>
    <row r="56" ht="11.25" hidden="1" customHeight="1" outlineLevel="1">
      <c r="A56" s="578" t="s">
        <v>1528</v>
      </c>
      <c r="B56" s="583">
        <f t="shared" ref="B56:B59" si="136">M46*$B$53</f>
        <v>355851.4446</v>
      </c>
      <c r="C56" s="583">
        <f t="shared" si="125"/>
        <v>390724.8862</v>
      </c>
      <c r="D56" s="583">
        <f t="shared" si="126"/>
        <v>407916.7812</v>
      </c>
      <c r="E56" s="583">
        <f t="shared" si="127"/>
        <v>427496.7867</v>
      </c>
      <c r="F56" s="583">
        <f t="shared" si="128"/>
        <v>449299.1228</v>
      </c>
      <c r="G56" s="583">
        <f t="shared" si="129"/>
        <v>468169.6859</v>
      </c>
      <c r="H56" s="583">
        <f t="shared" si="130"/>
        <v>486896.4734</v>
      </c>
      <c r="I56" s="583">
        <f t="shared" ref="I56:J56" si="135">H56*$I$53</f>
        <v>502477.1605</v>
      </c>
      <c r="J56" s="583">
        <f t="shared" si="135"/>
        <v>518556.4297</v>
      </c>
      <c r="K56" s="583">
        <f t="shared" si="132"/>
        <v>535668.7918</v>
      </c>
      <c r="L56" s="583">
        <f t="shared" si="133"/>
        <v>552274.5244</v>
      </c>
      <c r="M56" s="583">
        <f t="shared" si="134"/>
        <v>563872.2894</v>
      </c>
      <c r="N56" s="393"/>
      <c r="O56" s="393"/>
      <c r="P56" s="393"/>
      <c r="Q56" s="393"/>
      <c r="R56" s="393"/>
      <c r="S56" s="393"/>
      <c r="T56" s="393"/>
      <c r="U56" s="393"/>
      <c r="V56" s="393"/>
      <c r="W56" s="393"/>
      <c r="X56" s="393"/>
      <c r="Y56" s="393"/>
      <c r="Z56" s="393"/>
      <c r="AA56" s="393"/>
      <c r="AB56" s="393"/>
      <c r="AC56" s="393"/>
      <c r="AD56" s="393"/>
      <c r="AE56" s="393"/>
      <c r="AF56" s="393"/>
      <c r="AG56" s="393"/>
      <c r="AH56" s="393"/>
      <c r="AI56" s="393"/>
      <c r="AJ56" s="393"/>
      <c r="AK56" s="393"/>
      <c r="AL56" s="393"/>
      <c r="AM56" s="393"/>
      <c r="AN56" s="393"/>
      <c r="AO56" s="393"/>
      <c r="AP56" s="393"/>
      <c r="AQ56" s="393"/>
      <c r="AR56" s="393"/>
      <c r="AS56" s="393"/>
      <c r="AT56" s="393"/>
      <c r="AU56" s="393"/>
      <c r="AV56" s="393"/>
      <c r="AW56" s="393"/>
      <c r="AX56" s="393"/>
      <c r="AY56" s="403"/>
      <c r="AZ56" s="403"/>
      <c r="BA56" s="403"/>
      <c r="BB56" s="403"/>
      <c r="BC56" s="403"/>
      <c r="BD56" s="403"/>
      <c r="BE56" s="403"/>
      <c r="BF56" s="403"/>
      <c r="BG56" s="403"/>
      <c r="BH56" s="403"/>
      <c r="BI56" s="403"/>
      <c r="BJ56" s="403"/>
      <c r="BK56" s="403"/>
      <c r="BL56" s="403"/>
      <c r="BM56" s="403"/>
      <c r="BN56" s="403"/>
      <c r="BO56" s="403"/>
      <c r="BP56" s="403"/>
      <c r="BQ56" s="403"/>
      <c r="BR56" s="403"/>
      <c r="BS56" s="403"/>
    </row>
    <row r="57" ht="11.25" hidden="1" customHeight="1" outlineLevel="1">
      <c r="A57" s="578" t="s">
        <v>1529</v>
      </c>
      <c r="B57" s="583">
        <f t="shared" si="136"/>
        <v>17488.14436</v>
      </c>
      <c r="C57" s="583">
        <f t="shared" si="125"/>
        <v>19201.98251</v>
      </c>
      <c r="D57" s="583">
        <f t="shared" si="126"/>
        <v>20046.86974</v>
      </c>
      <c r="E57" s="583">
        <f t="shared" si="127"/>
        <v>21009.11948</v>
      </c>
      <c r="F57" s="583">
        <f t="shared" si="128"/>
        <v>22080.58458</v>
      </c>
      <c r="G57" s="583">
        <f t="shared" si="129"/>
        <v>23007.96913</v>
      </c>
      <c r="H57" s="583">
        <f t="shared" si="130"/>
        <v>23928.28789</v>
      </c>
      <c r="I57" s="583">
        <f t="shared" ref="I57:J57" si="137">H57*$I$53</f>
        <v>24693.99311</v>
      </c>
      <c r="J57" s="583">
        <f t="shared" si="137"/>
        <v>25484.20089</v>
      </c>
      <c r="K57" s="583">
        <f t="shared" si="132"/>
        <v>26325.17951</v>
      </c>
      <c r="L57" s="583">
        <f t="shared" si="133"/>
        <v>27141.26008</v>
      </c>
      <c r="M57" s="583">
        <f t="shared" si="134"/>
        <v>27711.22654</v>
      </c>
      <c r="N57" s="393"/>
      <c r="O57" s="393"/>
      <c r="P57" s="393"/>
      <c r="Q57" s="393"/>
      <c r="R57" s="393"/>
      <c r="S57" s="393"/>
      <c r="T57" s="393"/>
      <c r="U57" s="393"/>
      <c r="V57" s="393"/>
      <c r="W57" s="393"/>
      <c r="X57" s="393"/>
      <c r="Y57" s="393"/>
      <c r="Z57" s="393"/>
      <c r="AA57" s="393"/>
      <c r="AB57" s="393"/>
      <c r="AC57" s="393"/>
      <c r="AD57" s="393"/>
      <c r="AE57" s="393"/>
      <c r="AF57" s="393"/>
      <c r="AG57" s="393"/>
      <c r="AH57" s="393"/>
      <c r="AI57" s="393"/>
      <c r="AJ57" s="393"/>
      <c r="AK57" s="393"/>
      <c r="AL57" s="393"/>
      <c r="AM57" s="393"/>
      <c r="AN57" s="393"/>
      <c r="AO57" s="393"/>
      <c r="AP57" s="393"/>
      <c r="AQ57" s="393"/>
      <c r="AR57" s="393"/>
      <c r="AS57" s="393"/>
      <c r="AT57" s="393"/>
      <c r="AU57" s="393"/>
      <c r="AV57" s="393"/>
      <c r="AW57" s="393"/>
      <c r="AX57" s="393"/>
      <c r="AY57" s="403"/>
      <c r="AZ57" s="403"/>
      <c r="BA57" s="403"/>
      <c r="BB57" s="403"/>
      <c r="BC57" s="403"/>
      <c r="BD57" s="403"/>
      <c r="BE57" s="403"/>
      <c r="BF57" s="403"/>
      <c r="BG57" s="403"/>
      <c r="BH57" s="403"/>
      <c r="BI57" s="403"/>
      <c r="BJ57" s="403"/>
      <c r="BK57" s="403"/>
      <c r="BL57" s="403"/>
      <c r="BM57" s="403"/>
      <c r="BN57" s="403"/>
      <c r="BO57" s="403"/>
      <c r="BP57" s="403"/>
      <c r="BQ57" s="403"/>
      <c r="BR57" s="403"/>
      <c r="BS57" s="403"/>
    </row>
    <row r="58" ht="11.25" hidden="1" customHeight="1" outlineLevel="1">
      <c r="A58" s="578" t="s">
        <v>1571</v>
      </c>
      <c r="B58" s="583">
        <f t="shared" si="136"/>
        <v>654439.493</v>
      </c>
      <c r="C58" s="583">
        <f t="shared" si="125"/>
        <v>718574.5633</v>
      </c>
      <c r="D58" s="583">
        <f t="shared" si="126"/>
        <v>750191.8441</v>
      </c>
      <c r="E58" s="583">
        <f t="shared" si="127"/>
        <v>786201.0526</v>
      </c>
      <c r="F58" s="583">
        <f t="shared" si="128"/>
        <v>826297.3063</v>
      </c>
      <c r="G58" s="583">
        <f t="shared" si="129"/>
        <v>861001.7932</v>
      </c>
      <c r="H58" s="583">
        <f t="shared" si="130"/>
        <v>895441.8649</v>
      </c>
      <c r="I58" s="583">
        <f t="shared" ref="I58:J58" si="138">H58*$I$53</f>
        <v>924096.0046</v>
      </c>
      <c r="J58" s="583">
        <f t="shared" si="138"/>
        <v>953667.0767</v>
      </c>
      <c r="K58" s="583">
        <f t="shared" si="132"/>
        <v>985138.0902</v>
      </c>
      <c r="L58" s="583">
        <f t="shared" si="133"/>
        <v>1015677.371</v>
      </c>
      <c r="M58" s="583">
        <f t="shared" si="134"/>
        <v>1037006.596</v>
      </c>
      <c r="N58" s="393"/>
      <c r="O58" s="393"/>
      <c r="P58" s="393"/>
      <c r="Q58" s="393"/>
      <c r="R58" s="393"/>
      <c r="S58" s="393"/>
      <c r="T58" s="393"/>
      <c r="U58" s="393"/>
      <c r="V58" s="393"/>
      <c r="W58" s="393"/>
      <c r="X58" s="393"/>
      <c r="Y58" s="393"/>
      <c r="Z58" s="393"/>
      <c r="AA58" s="393"/>
      <c r="AB58" s="393"/>
      <c r="AC58" s="393"/>
      <c r="AD58" s="393"/>
      <c r="AE58" s="393"/>
      <c r="AF58" s="393"/>
      <c r="AG58" s="393"/>
      <c r="AH58" s="393"/>
      <c r="AI58" s="393"/>
      <c r="AJ58" s="393"/>
      <c r="AK58" s="393"/>
      <c r="AL58" s="393"/>
      <c r="AM58" s="393"/>
      <c r="AN58" s="393"/>
      <c r="AO58" s="393"/>
      <c r="AP58" s="393"/>
      <c r="AQ58" s="393"/>
      <c r="AR58" s="393"/>
      <c r="AS58" s="393"/>
      <c r="AT58" s="393"/>
      <c r="AU58" s="393"/>
      <c r="AV58" s="393"/>
      <c r="AW58" s="393"/>
      <c r="AX58" s="393"/>
      <c r="AY58" s="403"/>
      <c r="AZ58" s="403"/>
      <c r="BA58" s="403"/>
      <c r="BB58" s="403"/>
      <c r="BC58" s="403"/>
      <c r="BD58" s="403"/>
      <c r="BE58" s="403"/>
      <c r="BF58" s="403"/>
      <c r="BG58" s="403"/>
      <c r="BH58" s="403"/>
      <c r="BI58" s="403"/>
      <c r="BJ58" s="403"/>
      <c r="BK58" s="403"/>
      <c r="BL58" s="403"/>
      <c r="BM58" s="403"/>
      <c r="BN58" s="403"/>
      <c r="BO58" s="403"/>
      <c r="BP58" s="403"/>
      <c r="BQ58" s="403"/>
      <c r="BR58" s="403"/>
      <c r="BS58" s="403"/>
    </row>
    <row r="59" ht="11.25" hidden="1" customHeight="1" outlineLevel="1">
      <c r="A59" s="578" t="s">
        <v>1572</v>
      </c>
      <c r="B59" s="583">
        <f t="shared" si="136"/>
        <v>54.57964828</v>
      </c>
      <c r="C59" s="583">
        <f t="shared" si="125"/>
        <v>59.92845382</v>
      </c>
      <c r="D59" s="583">
        <f t="shared" si="126"/>
        <v>62.56530578</v>
      </c>
      <c r="E59" s="583">
        <f t="shared" si="127"/>
        <v>65.56844046</v>
      </c>
      <c r="F59" s="583">
        <f t="shared" si="128"/>
        <v>68.91243092</v>
      </c>
      <c r="G59" s="583">
        <f t="shared" si="129"/>
        <v>71.80675302</v>
      </c>
      <c r="H59" s="583">
        <f t="shared" si="130"/>
        <v>74.67902314</v>
      </c>
      <c r="I59" s="583">
        <f>H59*$I$53</f>
        <v>77.06875189</v>
      </c>
      <c r="J59" s="583">
        <v>79.54</v>
      </c>
      <c r="K59" s="583">
        <f t="shared" si="132"/>
        <v>82.16482</v>
      </c>
      <c r="L59" s="583">
        <f t="shared" si="133"/>
        <v>84.71192942</v>
      </c>
      <c r="M59" s="583">
        <f t="shared" si="134"/>
        <v>86.49087994</v>
      </c>
      <c r="N59" s="393"/>
      <c r="O59" s="393"/>
      <c r="P59" s="393"/>
      <c r="Q59" s="393"/>
      <c r="R59" s="393"/>
      <c r="S59" s="393"/>
      <c r="T59" s="393"/>
      <c r="U59" s="393"/>
      <c r="V59" s="393"/>
      <c r="W59" s="393"/>
      <c r="X59" s="393"/>
      <c r="Y59" s="393"/>
      <c r="Z59" s="393"/>
      <c r="AA59" s="393"/>
      <c r="AB59" s="393"/>
      <c r="AC59" s="393"/>
      <c r="AD59" s="393"/>
      <c r="AE59" s="393"/>
      <c r="AF59" s="393"/>
      <c r="AG59" s="393"/>
      <c r="AH59" s="393"/>
      <c r="AI59" s="393"/>
      <c r="AJ59" s="393"/>
      <c r="AK59" s="393"/>
      <c r="AL59" s="393"/>
      <c r="AM59" s="393"/>
      <c r="AN59" s="393"/>
      <c r="AO59" s="393"/>
      <c r="AP59" s="393"/>
      <c r="AQ59" s="393"/>
      <c r="AR59" s="393"/>
      <c r="AS59" s="393"/>
      <c r="AT59" s="393"/>
      <c r="AU59" s="393"/>
      <c r="AV59" s="393"/>
      <c r="AW59" s="393"/>
      <c r="AX59" s="393"/>
      <c r="AY59" s="403"/>
      <c r="AZ59" s="403"/>
      <c r="BA59" s="403"/>
      <c r="BB59" s="403"/>
      <c r="BC59" s="403"/>
      <c r="BD59" s="403"/>
      <c r="BE59" s="403"/>
      <c r="BF59" s="403"/>
      <c r="BG59" s="403"/>
      <c r="BH59" s="403"/>
      <c r="BI59" s="403"/>
      <c r="BJ59" s="403"/>
      <c r="BK59" s="403"/>
      <c r="BL59" s="403"/>
      <c r="BM59" s="403"/>
      <c r="BN59" s="403"/>
      <c r="BO59" s="403"/>
      <c r="BP59" s="403"/>
      <c r="BQ59" s="403"/>
      <c r="BR59" s="403"/>
      <c r="BS59" s="403"/>
    </row>
    <row r="60" ht="11.25" hidden="1" customHeight="1" outlineLevel="1">
      <c r="A60" s="589"/>
      <c r="B60" s="572"/>
      <c r="C60" s="277"/>
      <c r="D60" s="277"/>
      <c r="E60" s="277"/>
      <c r="F60" s="277"/>
      <c r="G60" s="277"/>
      <c r="H60" s="277"/>
      <c r="I60" s="277"/>
      <c r="J60" s="277"/>
      <c r="K60" s="277"/>
      <c r="L60" s="277"/>
      <c r="M60" s="278"/>
      <c r="N60" s="393"/>
      <c r="O60" s="393"/>
      <c r="P60" s="393"/>
      <c r="Q60" s="393"/>
      <c r="R60" s="393"/>
      <c r="S60" s="393"/>
      <c r="T60" s="393"/>
      <c r="U60" s="393"/>
      <c r="V60" s="393"/>
      <c r="W60" s="393"/>
      <c r="X60" s="393"/>
      <c r="Y60" s="393"/>
      <c r="Z60" s="393"/>
      <c r="AA60" s="393"/>
      <c r="AB60" s="393"/>
      <c r="AC60" s="393"/>
      <c r="AD60" s="393"/>
      <c r="AE60" s="393"/>
      <c r="AF60" s="393"/>
      <c r="AG60" s="393"/>
      <c r="AH60" s="393"/>
      <c r="AI60" s="393"/>
      <c r="AJ60" s="393"/>
      <c r="AK60" s="393"/>
      <c r="AL60" s="393"/>
      <c r="AM60" s="393"/>
      <c r="AN60" s="393"/>
      <c r="AO60" s="393"/>
      <c r="AP60" s="393"/>
      <c r="AQ60" s="393"/>
      <c r="AR60" s="393"/>
      <c r="AS60" s="393"/>
      <c r="AT60" s="393"/>
      <c r="AU60" s="393"/>
      <c r="AV60" s="393"/>
      <c r="AW60" s="393"/>
      <c r="AX60" s="393"/>
      <c r="AY60" s="403"/>
      <c r="AZ60" s="403"/>
      <c r="BA60" s="403"/>
      <c r="BB60" s="403"/>
      <c r="BC60" s="403"/>
      <c r="BD60" s="403"/>
      <c r="BE60" s="403"/>
      <c r="BF60" s="403"/>
      <c r="BG60" s="403"/>
      <c r="BH60" s="403"/>
      <c r="BI60" s="403"/>
      <c r="BJ60" s="403"/>
      <c r="BK60" s="403"/>
      <c r="BL60" s="403"/>
      <c r="BM60" s="403"/>
      <c r="BN60" s="403"/>
      <c r="BO60" s="403"/>
      <c r="BP60" s="403"/>
      <c r="BQ60" s="403"/>
      <c r="BR60" s="403"/>
      <c r="BS60" s="403"/>
    </row>
    <row r="61" ht="11.25" hidden="1" customHeight="1" outlineLevel="1">
      <c r="A61" s="283"/>
      <c r="B61" s="574" t="s">
        <v>1621</v>
      </c>
      <c r="C61" s="574" t="s">
        <v>1622</v>
      </c>
      <c r="D61" s="574" t="s">
        <v>1623</v>
      </c>
      <c r="E61" s="574" t="s">
        <v>1624</v>
      </c>
      <c r="F61" s="574" t="s">
        <v>1625</v>
      </c>
      <c r="G61" s="574" t="s">
        <v>1626</v>
      </c>
      <c r="H61" s="574" t="s">
        <v>1627</v>
      </c>
      <c r="I61" s="574" t="s">
        <v>1628</v>
      </c>
      <c r="J61" s="574" t="s">
        <v>1629</v>
      </c>
      <c r="K61" s="574"/>
      <c r="L61" s="574"/>
      <c r="M61" s="574"/>
      <c r="N61" s="393"/>
      <c r="O61" s="393"/>
      <c r="P61" s="393"/>
      <c r="Q61" s="393"/>
      <c r="R61" s="393"/>
      <c r="S61" s="393"/>
      <c r="T61" s="393"/>
      <c r="U61" s="393"/>
      <c r="V61" s="393"/>
      <c r="W61" s="393"/>
      <c r="X61" s="393"/>
      <c r="Y61" s="393"/>
      <c r="Z61" s="393"/>
      <c r="AA61" s="393"/>
      <c r="AB61" s="393"/>
      <c r="AC61" s="393"/>
      <c r="AD61" s="393"/>
      <c r="AE61" s="393"/>
      <c r="AF61" s="393"/>
      <c r="AG61" s="393"/>
      <c r="AH61" s="393"/>
      <c r="AI61" s="393"/>
      <c r="AJ61" s="393"/>
      <c r="AK61" s="393"/>
      <c r="AL61" s="393"/>
      <c r="AM61" s="393"/>
      <c r="AN61" s="393"/>
      <c r="AO61" s="393"/>
      <c r="AP61" s="393"/>
      <c r="AQ61" s="393"/>
      <c r="AR61" s="393"/>
      <c r="AS61" s="393"/>
      <c r="AT61" s="393"/>
      <c r="AU61" s="393"/>
      <c r="AV61" s="393"/>
      <c r="AW61" s="393"/>
      <c r="AX61" s="393"/>
      <c r="AY61" s="403"/>
      <c r="AZ61" s="403"/>
      <c r="BA61" s="403"/>
      <c r="BB61" s="403"/>
      <c r="BC61" s="403"/>
      <c r="BD61" s="403"/>
      <c r="BE61" s="403"/>
      <c r="BF61" s="403"/>
      <c r="BG61" s="403"/>
      <c r="BH61" s="403"/>
      <c r="BI61" s="403"/>
      <c r="BJ61" s="403"/>
      <c r="BK61" s="403"/>
      <c r="BL61" s="403"/>
      <c r="BM61" s="403"/>
      <c r="BN61" s="403"/>
      <c r="BO61" s="403"/>
      <c r="BP61" s="403"/>
      <c r="BQ61" s="403"/>
      <c r="BR61" s="403"/>
      <c r="BS61" s="403"/>
    </row>
    <row r="62" ht="11.25" hidden="1" customHeight="1" outlineLevel="1">
      <c r="A62" s="283"/>
      <c r="B62" s="574" t="s">
        <v>1630</v>
      </c>
      <c r="C62" s="574" t="s">
        <v>1631</v>
      </c>
      <c r="D62" s="574" t="s">
        <v>1632</v>
      </c>
      <c r="E62" s="574" t="s">
        <v>1633</v>
      </c>
      <c r="F62" s="574" t="s">
        <v>1634</v>
      </c>
      <c r="G62" s="574" t="s">
        <v>1635</v>
      </c>
      <c r="H62" s="574"/>
      <c r="I62" s="574"/>
      <c r="J62" s="574"/>
      <c r="K62" s="574"/>
      <c r="L62" s="574"/>
      <c r="M62" s="574"/>
      <c r="N62" s="393"/>
      <c r="O62" s="393"/>
      <c r="P62" s="393"/>
      <c r="Q62" s="393"/>
      <c r="R62" s="393"/>
      <c r="S62" s="393"/>
      <c r="T62" s="393"/>
      <c r="U62" s="393"/>
      <c r="V62" s="393"/>
      <c r="W62" s="393"/>
      <c r="X62" s="393"/>
      <c r="Y62" s="393"/>
      <c r="Z62" s="393"/>
      <c r="AA62" s="393"/>
      <c r="AB62" s="393"/>
      <c r="AC62" s="393"/>
      <c r="AD62" s="393"/>
      <c r="AE62" s="393"/>
      <c r="AF62" s="393"/>
      <c r="AG62" s="393"/>
      <c r="AH62" s="393"/>
      <c r="AI62" s="393"/>
      <c r="AJ62" s="393"/>
      <c r="AK62" s="393"/>
      <c r="AL62" s="393"/>
      <c r="AM62" s="393"/>
      <c r="AN62" s="393"/>
      <c r="AO62" s="393"/>
      <c r="AP62" s="393"/>
      <c r="AQ62" s="393"/>
      <c r="AR62" s="393"/>
      <c r="AS62" s="393"/>
      <c r="AT62" s="393"/>
      <c r="AU62" s="393"/>
      <c r="AV62" s="393"/>
      <c r="AW62" s="393"/>
      <c r="AX62" s="393"/>
      <c r="AY62" s="403"/>
      <c r="AZ62" s="403"/>
      <c r="BA62" s="403"/>
      <c r="BB62" s="403"/>
      <c r="BC62" s="403"/>
      <c r="BD62" s="403"/>
      <c r="BE62" s="403"/>
      <c r="BF62" s="403"/>
      <c r="BG62" s="403"/>
      <c r="BH62" s="403"/>
      <c r="BI62" s="403"/>
      <c r="BJ62" s="403"/>
      <c r="BK62" s="403"/>
      <c r="BL62" s="403"/>
      <c r="BM62" s="403"/>
      <c r="BN62" s="403"/>
      <c r="BO62" s="403"/>
      <c r="BP62" s="403"/>
      <c r="BQ62" s="403"/>
      <c r="BR62" s="403"/>
      <c r="BS62" s="403"/>
    </row>
    <row r="63" ht="11.25" hidden="1" customHeight="1" outlineLevel="1">
      <c r="A63" s="574" t="s">
        <v>1570</v>
      </c>
      <c r="B63" s="576">
        <v>1.032</v>
      </c>
      <c r="C63" s="576">
        <v>1.023</v>
      </c>
      <c r="D63" s="576">
        <v>1.016</v>
      </c>
      <c r="E63" s="576">
        <v>1.021</v>
      </c>
      <c r="F63" s="576">
        <v>1.025</v>
      </c>
      <c r="G63" s="576">
        <v>1.016</v>
      </c>
      <c r="H63" s="576"/>
      <c r="I63" s="576"/>
      <c r="J63" s="576"/>
      <c r="K63" s="576"/>
      <c r="L63" s="576"/>
      <c r="M63" s="576"/>
      <c r="N63" s="393"/>
      <c r="O63" s="393"/>
      <c r="P63" s="393"/>
      <c r="Q63" s="393"/>
      <c r="R63" s="393"/>
      <c r="S63" s="393"/>
      <c r="T63" s="393"/>
      <c r="U63" s="393"/>
      <c r="V63" s="393"/>
      <c r="W63" s="393"/>
      <c r="X63" s="393"/>
      <c r="Y63" s="393"/>
      <c r="Z63" s="393"/>
      <c r="AA63" s="393"/>
      <c r="AB63" s="393"/>
      <c r="AC63" s="393"/>
      <c r="AD63" s="393"/>
      <c r="AE63" s="393"/>
      <c r="AF63" s="393"/>
      <c r="AG63" s="393"/>
      <c r="AH63" s="393"/>
      <c r="AI63" s="393"/>
      <c r="AJ63" s="393"/>
      <c r="AK63" s="393"/>
      <c r="AL63" s="393"/>
      <c r="AM63" s="393"/>
      <c r="AN63" s="393"/>
      <c r="AO63" s="393"/>
      <c r="AP63" s="393"/>
      <c r="AQ63" s="393"/>
      <c r="AR63" s="393"/>
      <c r="AS63" s="393"/>
      <c r="AT63" s="393"/>
      <c r="AU63" s="393"/>
      <c r="AV63" s="393"/>
      <c r="AW63" s="393"/>
      <c r="AX63" s="393"/>
      <c r="AY63" s="403"/>
      <c r="AZ63" s="403"/>
      <c r="BA63" s="403"/>
      <c r="BB63" s="403"/>
      <c r="BC63" s="403"/>
      <c r="BD63" s="403"/>
      <c r="BE63" s="403"/>
      <c r="BF63" s="403"/>
      <c r="BG63" s="403"/>
      <c r="BH63" s="403"/>
      <c r="BI63" s="403"/>
      <c r="BJ63" s="403"/>
      <c r="BK63" s="403"/>
      <c r="BL63" s="403"/>
      <c r="BM63" s="403"/>
      <c r="BN63" s="403"/>
      <c r="BO63" s="403"/>
      <c r="BP63" s="403"/>
      <c r="BQ63" s="403"/>
      <c r="BR63" s="403"/>
      <c r="BS63" s="403"/>
    </row>
    <row r="64" ht="11.25" hidden="1" customHeight="1" outlineLevel="1">
      <c r="A64" s="578" t="s">
        <v>1526</v>
      </c>
      <c r="B64" s="583">
        <f>M54*B63</f>
        <v>6558878.41</v>
      </c>
      <c r="C64" s="583">
        <f>B64*C63</f>
        <v>6709732.613</v>
      </c>
      <c r="D64" s="583">
        <f t="shared" ref="D64:D69" si="139">C64*$D$63</f>
        <v>6817088.335</v>
      </c>
      <c r="E64" s="583">
        <f t="shared" ref="E64:E69" si="140">D64*E$63</f>
        <v>6960247.19</v>
      </c>
      <c r="F64" s="583">
        <f t="shared" ref="F64:F68" si="141">E64*$F$63</f>
        <v>7134253.37</v>
      </c>
      <c r="G64" s="583">
        <f t="shared" ref="G64:G69" si="142">F64*$G$63</f>
        <v>7248401.424</v>
      </c>
      <c r="H64" s="583"/>
      <c r="I64" s="583"/>
      <c r="J64" s="583"/>
      <c r="K64" s="583"/>
      <c r="L64" s="583"/>
      <c r="M64" s="583"/>
      <c r="N64" s="393"/>
      <c r="O64" s="393"/>
      <c r="P64" s="393"/>
      <c r="Q64" s="393"/>
      <c r="R64" s="393"/>
      <c r="S64" s="393"/>
      <c r="T64" s="393"/>
      <c r="U64" s="393"/>
      <c r="V64" s="393"/>
      <c r="W64" s="393"/>
      <c r="X64" s="393"/>
      <c r="Y64" s="393"/>
      <c r="Z64" s="393"/>
      <c r="AA64" s="393"/>
      <c r="AB64" s="393"/>
      <c r="AC64" s="393"/>
      <c r="AD64" s="393"/>
      <c r="AE64" s="393"/>
      <c r="AF64" s="393"/>
      <c r="AG64" s="393"/>
      <c r="AH64" s="393"/>
      <c r="AI64" s="393"/>
      <c r="AJ64" s="393"/>
      <c r="AK64" s="393"/>
      <c r="AL64" s="393"/>
      <c r="AM64" s="393"/>
      <c r="AN64" s="393"/>
      <c r="AO64" s="393"/>
      <c r="AP64" s="393"/>
      <c r="AQ64" s="393"/>
      <c r="AR64" s="393"/>
      <c r="AS64" s="393"/>
      <c r="AT64" s="393"/>
      <c r="AU64" s="393"/>
      <c r="AV64" s="393"/>
      <c r="AW64" s="393"/>
      <c r="AX64" s="393"/>
      <c r="AY64" s="403"/>
      <c r="AZ64" s="403"/>
      <c r="BA64" s="403"/>
      <c r="BB64" s="403"/>
      <c r="BC64" s="403"/>
      <c r="BD64" s="403"/>
      <c r="BE64" s="403"/>
      <c r="BF64" s="403"/>
      <c r="BG64" s="403"/>
      <c r="BH64" s="403"/>
      <c r="BI64" s="403"/>
      <c r="BJ64" s="403"/>
      <c r="BK64" s="403"/>
      <c r="BL64" s="403"/>
      <c r="BM64" s="403"/>
      <c r="BN64" s="403"/>
      <c r="BO64" s="403"/>
      <c r="BP64" s="403"/>
      <c r="BQ64" s="403"/>
      <c r="BR64" s="403"/>
      <c r="BS64" s="403"/>
    </row>
    <row r="65" ht="11.25" hidden="1" customHeight="1" outlineLevel="1">
      <c r="A65" s="578" t="s">
        <v>1527</v>
      </c>
      <c r="B65" s="583">
        <f>M55*B63</f>
        <v>517.64826</v>
      </c>
      <c r="C65" s="583">
        <f>B65*C63</f>
        <v>529.5541699</v>
      </c>
      <c r="D65" s="583">
        <f t="shared" si="139"/>
        <v>538.0270367</v>
      </c>
      <c r="E65" s="583">
        <f t="shared" si="140"/>
        <v>549.3256044</v>
      </c>
      <c r="F65" s="583">
        <f t="shared" si="141"/>
        <v>563.0587445</v>
      </c>
      <c r="G65" s="583">
        <f t="shared" si="142"/>
        <v>572.0676845</v>
      </c>
      <c r="H65" s="583"/>
      <c r="I65" s="583"/>
      <c r="J65" s="583"/>
      <c r="K65" s="583"/>
      <c r="L65" s="583"/>
      <c r="M65" s="583"/>
      <c r="N65" s="393"/>
      <c r="O65" s="393"/>
      <c r="P65" s="393"/>
      <c r="Q65" s="393"/>
      <c r="R65" s="393"/>
      <c r="S65" s="393"/>
      <c r="T65" s="393"/>
      <c r="U65" s="393"/>
      <c r="V65" s="393"/>
      <c r="W65" s="393"/>
      <c r="X65" s="393"/>
      <c r="Y65" s="393"/>
      <c r="Z65" s="393"/>
      <c r="AA65" s="393"/>
      <c r="AB65" s="393"/>
      <c r="AC65" s="393"/>
      <c r="AD65" s="393"/>
      <c r="AE65" s="393"/>
      <c r="AF65" s="393"/>
      <c r="AG65" s="393"/>
      <c r="AH65" s="393"/>
      <c r="AI65" s="393"/>
      <c r="AJ65" s="393"/>
      <c r="AK65" s="393"/>
      <c r="AL65" s="393"/>
      <c r="AM65" s="393"/>
      <c r="AN65" s="393"/>
      <c r="AO65" s="393"/>
      <c r="AP65" s="393"/>
      <c r="AQ65" s="393"/>
      <c r="AR65" s="393"/>
      <c r="AS65" s="393"/>
      <c r="AT65" s="393"/>
      <c r="AU65" s="393"/>
      <c r="AV65" s="393"/>
      <c r="AW65" s="393"/>
      <c r="AX65" s="393"/>
      <c r="AY65" s="403"/>
      <c r="AZ65" s="403"/>
      <c r="BA65" s="403"/>
      <c r="BB65" s="403"/>
      <c r="BC65" s="403"/>
      <c r="BD65" s="403"/>
      <c r="BE65" s="403"/>
      <c r="BF65" s="403"/>
      <c r="BG65" s="403"/>
      <c r="BH65" s="403"/>
      <c r="BI65" s="403"/>
      <c r="BJ65" s="403"/>
      <c r="BK65" s="403"/>
      <c r="BL65" s="403"/>
      <c r="BM65" s="403"/>
      <c r="BN65" s="403"/>
      <c r="BO65" s="403"/>
      <c r="BP65" s="403"/>
      <c r="BQ65" s="403"/>
      <c r="BR65" s="403"/>
      <c r="BS65" s="403"/>
    </row>
    <row r="66" ht="11.25" hidden="1" customHeight="1" outlineLevel="1">
      <c r="A66" s="578" t="s">
        <v>1528</v>
      </c>
      <c r="B66" s="583">
        <f>M56*B63</f>
        <v>581916.2027</v>
      </c>
      <c r="C66" s="583">
        <f>B66*C63</f>
        <v>595300.2753</v>
      </c>
      <c r="D66" s="583">
        <f t="shared" si="139"/>
        <v>604825.0797</v>
      </c>
      <c r="E66" s="583">
        <f t="shared" si="140"/>
        <v>617526.4064</v>
      </c>
      <c r="F66" s="583">
        <f t="shared" si="141"/>
        <v>632964.5666</v>
      </c>
      <c r="G66" s="583">
        <f t="shared" si="142"/>
        <v>643091.9996</v>
      </c>
      <c r="H66" s="583"/>
      <c r="I66" s="583"/>
      <c r="J66" s="583"/>
      <c r="K66" s="583"/>
      <c r="L66" s="583"/>
      <c r="M66" s="583"/>
      <c r="N66" s="393"/>
      <c r="O66" s="393"/>
      <c r="P66" s="393"/>
      <c r="Q66" s="393"/>
      <c r="R66" s="393"/>
      <c r="S66" s="393"/>
      <c r="T66" s="393"/>
      <c r="U66" s="393"/>
      <c r="V66" s="393"/>
      <c r="W66" s="393"/>
      <c r="X66" s="393"/>
      <c r="Y66" s="393"/>
      <c r="Z66" s="393"/>
      <c r="AA66" s="393"/>
      <c r="AB66" s="393"/>
      <c r="AC66" s="393"/>
      <c r="AD66" s="393"/>
      <c r="AE66" s="393"/>
      <c r="AF66" s="393"/>
      <c r="AG66" s="393"/>
      <c r="AH66" s="393"/>
      <c r="AI66" s="393"/>
      <c r="AJ66" s="393"/>
      <c r="AK66" s="393"/>
      <c r="AL66" s="393"/>
      <c r="AM66" s="393"/>
      <c r="AN66" s="393"/>
      <c r="AO66" s="393"/>
      <c r="AP66" s="393"/>
      <c r="AQ66" s="393"/>
      <c r="AR66" s="393"/>
      <c r="AS66" s="393"/>
      <c r="AT66" s="393"/>
      <c r="AU66" s="393"/>
      <c r="AV66" s="393"/>
      <c r="AW66" s="393"/>
      <c r="AX66" s="393"/>
      <c r="AY66" s="403"/>
      <c r="AZ66" s="403"/>
      <c r="BA66" s="403"/>
      <c r="BB66" s="403"/>
      <c r="BC66" s="403"/>
      <c r="BD66" s="403"/>
      <c r="BE66" s="403"/>
      <c r="BF66" s="403"/>
      <c r="BG66" s="403"/>
      <c r="BH66" s="403"/>
      <c r="BI66" s="403"/>
      <c r="BJ66" s="403"/>
      <c r="BK66" s="403"/>
      <c r="BL66" s="403"/>
      <c r="BM66" s="403"/>
      <c r="BN66" s="403"/>
      <c r="BO66" s="403"/>
      <c r="BP66" s="403"/>
      <c r="BQ66" s="403"/>
      <c r="BR66" s="403"/>
      <c r="BS66" s="403"/>
    </row>
    <row r="67" ht="11.25" hidden="1" customHeight="1" outlineLevel="1">
      <c r="A67" s="578" t="s">
        <v>1529</v>
      </c>
      <c r="B67" s="583">
        <f>M57*B63</f>
        <v>28597.98579</v>
      </c>
      <c r="C67" s="583">
        <f>B67*C63</f>
        <v>29255.73946</v>
      </c>
      <c r="D67" s="583">
        <f t="shared" si="139"/>
        <v>29723.8313</v>
      </c>
      <c r="E67" s="583">
        <f t="shared" si="140"/>
        <v>30348.03175</v>
      </c>
      <c r="F67" s="583">
        <f t="shared" si="141"/>
        <v>31106.73255</v>
      </c>
      <c r="G67" s="583">
        <f t="shared" si="142"/>
        <v>31604.44027</v>
      </c>
      <c r="H67" s="583"/>
      <c r="I67" s="583"/>
      <c r="J67" s="583"/>
      <c r="K67" s="583"/>
      <c r="L67" s="583"/>
      <c r="M67" s="583"/>
      <c r="N67" s="393"/>
      <c r="O67" s="393"/>
      <c r="P67" s="393"/>
      <c r="Q67" s="393"/>
      <c r="R67" s="393"/>
      <c r="S67" s="393"/>
      <c r="T67" s="393"/>
      <c r="U67" s="393"/>
      <c r="V67" s="393"/>
      <c r="W67" s="393"/>
      <c r="X67" s="393"/>
      <c r="Y67" s="393"/>
      <c r="Z67" s="393"/>
      <c r="AA67" s="393"/>
      <c r="AB67" s="393"/>
      <c r="AC67" s="393"/>
      <c r="AD67" s="393"/>
      <c r="AE67" s="393"/>
      <c r="AF67" s="393"/>
      <c r="AG67" s="393"/>
      <c r="AH67" s="393"/>
      <c r="AI67" s="393"/>
      <c r="AJ67" s="393"/>
      <c r="AK67" s="393"/>
      <c r="AL67" s="393"/>
      <c r="AM67" s="393"/>
      <c r="AN67" s="393"/>
      <c r="AO67" s="393"/>
      <c r="AP67" s="393"/>
      <c r="AQ67" s="393"/>
      <c r="AR67" s="393"/>
      <c r="AS67" s="393"/>
      <c r="AT67" s="393"/>
      <c r="AU67" s="393"/>
      <c r="AV67" s="393"/>
      <c r="AW67" s="393"/>
      <c r="AX67" s="393"/>
      <c r="AY67" s="403"/>
      <c r="AZ67" s="403"/>
      <c r="BA67" s="403"/>
      <c r="BB67" s="403"/>
      <c r="BC67" s="403"/>
      <c r="BD67" s="403"/>
      <c r="BE67" s="403"/>
      <c r="BF67" s="403"/>
      <c r="BG67" s="403"/>
      <c r="BH67" s="403"/>
      <c r="BI67" s="403"/>
      <c r="BJ67" s="403"/>
      <c r="BK67" s="403"/>
      <c r="BL67" s="403"/>
      <c r="BM67" s="403"/>
      <c r="BN67" s="403"/>
      <c r="BO67" s="403"/>
      <c r="BP67" s="403"/>
      <c r="BQ67" s="403"/>
      <c r="BR67" s="403"/>
      <c r="BS67" s="403"/>
    </row>
    <row r="68" ht="11.25" hidden="1" customHeight="1" outlineLevel="1">
      <c r="A68" s="578" t="s">
        <v>1571</v>
      </c>
      <c r="B68" s="583">
        <f>M58*B63</f>
        <v>1070190.807</v>
      </c>
      <c r="C68" s="583">
        <f>B68*C63</f>
        <v>1094805.195</v>
      </c>
      <c r="D68" s="583">
        <f t="shared" si="139"/>
        <v>1112322.079</v>
      </c>
      <c r="E68" s="583">
        <f t="shared" si="140"/>
        <v>1135680.842</v>
      </c>
      <c r="F68" s="583">
        <f t="shared" si="141"/>
        <v>1164072.863</v>
      </c>
      <c r="G68" s="583">
        <f t="shared" si="142"/>
        <v>1182698.029</v>
      </c>
      <c r="H68" s="583"/>
      <c r="I68" s="583"/>
      <c r="J68" s="583"/>
      <c r="K68" s="583"/>
      <c r="L68" s="583"/>
      <c r="M68" s="583"/>
      <c r="N68" s="393"/>
      <c r="O68" s="393"/>
      <c r="P68" s="393"/>
      <c r="Q68" s="393"/>
      <c r="R68" s="393"/>
      <c r="S68" s="393"/>
      <c r="T68" s="393"/>
      <c r="U68" s="393"/>
      <c r="V68" s="393"/>
      <c r="W68" s="393"/>
      <c r="X68" s="393"/>
      <c r="Y68" s="393"/>
      <c r="Z68" s="393"/>
      <c r="AA68" s="393"/>
      <c r="AB68" s="393"/>
      <c r="AC68" s="393"/>
      <c r="AD68" s="393"/>
      <c r="AE68" s="393"/>
      <c r="AF68" s="393"/>
      <c r="AG68" s="393"/>
      <c r="AH68" s="393"/>
      <c r="AI68" s="393"/>
      <c r="AJ68" s="393"/>
      <c r="AK68" s="393"/>
      <c r="AL68" s="393"/>
      <c r="AM68" s="393"/>
      <c r="AN68" s="393"/>
      <c r="AO68" s="393"/>
      <c r="AP68" s="393"/>
      <c r="AQ68" s="393"/>
      <c r="AR68" s="393"/>
      <c r="AS68" s="393"/>
      <c r="AT68" s="393"/>
      <c r="AU68" s="393"/>
      <c r="AV68" s="393"/>
      <c r="AW68" s="393"/>
      <c r="AX68" s="393"/>
      <c r="AY68" s="403"/>
      <c r="AZ68" s="403"/>
      <c r="BA68" s="403"/>
      <c r="BB68" s="403"/>
      <c r="BC68" s="403"/>
      <c r="BD68" s="403"/>
      <c r="BE68" s="403"/>
      <c r="BF68" s="403"/>
      <c r="BG68" s="403"/>
      <c r="BH68" s="403"/>
      <c r="BI68" s="403"/>
      <c r="BJ68" s="403"/>
      <c r="BK68" s="403"/>
      <c r="BL68" s="403"/>
      <c r="BM68" s="403"/>
      <c r="BN68" s="403"/>
      <c r="BO68" s="403"/>
      <c r="BP68" s="403"/>
      <c r="BQ68" s="403"/>
      <c r="BR68" s="403"/>
      <c r="BS68" s="403"/>
    </row>
    <row r="69" ht="11.25" hidden="1" customHeight="1" outlineLevel="1">
      <c r="A69" s="578" t="s">
        <v>1572</v>
      </c>
      <c r="B69" s="583">
        <v>89.25</v>
      </c>
      <c r="C69" s="583">
        <v>91.31</v>
      </c>
      <c r="D69" s="583">
        <f t="shared" si="139"/>
        <v>92.77096</v>
      </c>
      <c r="E69" s="583">
        <f t="shared" si="140"/>
        <v>94.71915016</v>
      </c>
      <c r="F69" s="583">
        <v>97.09</v>
      </c>
      <c r="G69" s="583">
        <f t="shared" si="142"/>
        <v>98.64344</v>
      </c>
      <c r="H69" s="583"/>
      <c r="I69" s="583"/>
      <c r="J69" s="583"/>
      <c r="K69" s="583"/>
      <c r="L69" s="583"/>
      <c r="M69" s="583"/>
      <c r="N69" s="393"/>
      <c r="O69" s="393"/>
      <c r="P69" s="393"/>
      <c r="Q69" s="393"/>
      <c r="R69" s="393"/>
      <c r="S69" s="393"/>
      <c r="T69" s="393"/>
      <c r="U69" s="393"/>
      <c r="V69" s="393"/>
      <c r="W69" s="393"/>
      <c r="X69" s="393"/>
      <c r="Y69" s="393"/>
      <c r="Z69" s="393"/>
      <c r="AA69" s="393"/>
      <c r="AB69" s="393"/>
      <c r="AC69" s="393"/>
      <c r="AD69" s="393"/>
      <c r="AE69" s="393"/>
      <c r="AF69" s="393"/>
      <c r="AG69" s="393"/>
      <c r="AH69" s="393"/>
      <c r="AI69" s="393"/>
      <c r="AJ69" s="393"/>
      <c r="AK69" s="393"/>
      <c r="AL69" s="393"/>
      <c r="AM69" s="393"/>
      <c r="AN69" s="393"/>
      <c r="AO69" s="393"/>
      <c r="AP69" s="393"/>
      <c r="AQ69" s="393"/>
      <c r="AR69" s="393"/>
      <c r="AS69" s="393"/>
      <c r="AT69" s="393"/>
      <c r="AU69" s="393"/>
      <c r="AV69" s="393"/>
      <c r="AW69" s="393"/>
      <c r="AX69" s="393"/>
      <c r="AY69" s="403"/>
      <c r="AZ69" s="403"/>
      <c r="BA69" s="403"/>
      <c r="BB69" s="403"/>
      <c r="BC69" s="403"/>
      <c r="BD69" s="403"/>
      <c r="BE69" s="403"/>
      <c r="BF69" s="403"/>
      <c r="BG69" s="403"/>
      <c r="BH69" s="403"/>
      <c r="BI69" s="403"/>
      <c r="BJ69" s="403"/>
      <c r="BK69" s="403"/>
      <c r="BL69" s="403"/>
      <c r="BM69" s="403"/>
      <c r="BN69" s="403"/>
      <c r="BO69" s="403"/>
      <c r="BP69" s="403"/>
      <c r="BQ69" s="403"/>
      <c r="BR69" s="403"/>
      <c r="BS69" s="403"/>
    </row>
    <row r="70" ht="11.25" hidden="1" customHeight="1" outlineLevel="1">
      <c r="A70" s="589"/>
      <c r="B70" s="572"/>
      <c r="C70" s="277"/>
      <c r="D70" s="277"/>
      <c r="E70" s="277"/>
      <c r="F70" s="277"/>
      <c r="G70" s="277"/>
      <c r="H70" s="277"/>
      <c r="I70" s="277"/>
      <c r="J70" s="277"/>
      <c r="K70" s="277"/>
      <c r="L70" s="277"/>
      <c r="M70" s="278"/>
      <c r="N70" s="393"/>
      <c r="O70" s="393"/>
      <c r="P70" s="393"/>
      <c r="Q70" s="393"/>
      <c r="R70" s="393"/>
      <c r="S70" s="393"/>
      <c r="T70" s="393"/>
      <c r="U70" s="393"/>
      <c r="V70" s="393"/>
      <c r="W70" s="393"/>
      <c r="X70" s="393"/>
      <c r="Y70" s="393"/>
      <c r="Z70" s="393"/>
      <c r="AA70" s="393"/>
      <c r="AB70" s="393"/>
      <c r="AC70" s="393"/>
      <c r="AD70" s="393"/>
      <c r="AE70" s="393"/>
      <c r="AF70" s="393"/>
      <c r="AG70" s="393"/>
      <c r="AH70" s="393"/>
      <c r="AI70" s="393"/>
      <c r="AJ70" s="393"/>
      <c r="AK70" s="393"/>
      <c r="AL70" s="393"/>
      <c r="AM70" s="393"/>
      <c r="AN70" s="393"/>
      <c r="AO70" s="393"/>
      <c r="AP70" s="393"/>
      <c r="AQ70" s="393"/>
      <c r="AR70" s="393"/>
      <c r="AS70" s="393"/>
      <c r="AT70" s="393"/>
      <c r="AU70" s="393"/>
      <c r="AV70" s="393"/>
      <c r="AW70" s="393"/>
      <c r="AX70" s="393"/>
      <c r="AY70" s="403"/>
      <c r="AZ70" s="403"/>
      <c r="BA70" s="403"/>
      <c r="BB70" s="403"/>
      <c r="BC70" s="403"/>
      <c r="BD70" s="403"/>
      <c r="BE70" s="403"/>
      <c r="BF70" s="403"/>
      <c r="BG70" s="403"/>
      <c r="BH70" s="403"/>
      <c r="BI70" s="403"/>
      <c r="BJ70" s="403"/>
      <c r="BK70" s="403"/>
      <c r="BL70" s="403"/>
      <c r="BM70" s="403"/>
      <c r="BN70" s="403"/>
      <c r="BO70" s="403"/>
      <c r="BP70" s="403"/>
      <c r="BQ70" s="403"/>
      <c r="BR70" s="403"/>
      <c r="BS70" s="403"/>
    </row>
    <row r="71" ht="11.25" hidden="1" customHeight="1" outlineLevel="1">
      <c r="A71" s="393"/>
      <c r="B71" s="393"/>
      <c r="C71" s="393"/>
      <c r="D71" s="393"/>
      <c r="E71" s="393"/>
      <c r="F71" s="393"/>
      <c r="G71" s="393"/>
      <c r="H71" s="393"/>
      <c r="I71" s="393"/>
      <c r="J71" s="393"/>
      <c r="K71" s="393"/>
      <c r="L71" s="393"/>
      <c r="M71" s="393"/>
      <c r="N71" s="393"/>
      <c r="O71" s="393"/>
      <c r="P71" s="393"/>
      <c r="Q71" s="393"/>
      <c r="R71" s="393"/>
      <c r="S71" s="393"/>
      <c r="T71" s="393"/>
      <c r="U71" s="393"/>
      <c r="V71" s="393"/>
      <c r="W71" s="393"/>
      <c r="X71" s="393"/>
      <c r="Y71" s="393"/>
      <c r="Z71" s="393"/>
      <c r="AA71" s="393"/>
      <c r="AB71" s="393"/>
      <c r="AC71" s="393"/>
      <c r="AD71" s="393"/>
      <c r="AE71" s="393"/>
      <c r="AF71" s="393"/>
      <c r="AG71" s="393"/>
      <c r="AH71" s="393"/>
      <c r="AI71" s="393"/>
      <c r="AJ71" s="393"/>
      <c r="AK71" s="393"/>
      <c r="AL71" s="393"/>
      <c r="AM71" s="393"/>
      <c r="AN71" s="393"/>
      <c r="AO71" s="393"/>
      <c r="AP71" s="393"/>
      <c r="AQ71" s="393"/>
      <c r="AR71" s="393"/>
      <c r="AS71" s="393"/>
      <c r="AT71" s="393"/>
      <c r="AU71" s="393"/>
      <c r="AV71" s="393"/>
      <c r="AW71" s="393"/>
      <c r="AX71" s="393"/>
      <c r="AY71" s="403"/>
      <c r="AZ71" s="403"/>
      <c r="BA71" s="403"/>
      <c r="BB71" s="403"/>
      <c r="BC71" s="403"/>
      <c r="BD71" s="403"/>
      <c r="BE71" s="403"/>
      <c r="BF71" s="403"/>
      <c r="BG71" s="403"/>
      <c r="BH71" s="403"/>
      <c r="BI71" s="403"/>
      <c r="BJ71" s="403"/>
      <c r="BK71" s="403"/>
      <c r="BL71" s="403"/>
      <c r="BM71" s="403"/>
      <c r="BN71" s="403"/>
      <c r="BO71" s="403"/>
      <c r="BP71" s="403"/>
      <c r="BQ71" s="403"/>
      <c r="BR71" s="403"/>
      <c r="BS71" s="403"/>
    </row>
    <row r="72" ht="11.25" hidden="1" customHeight="1" outlineLevel="1">
      <c r="A72" s="393"/>
      <c r="B72" s="393"/>
      <c r="C72" s="393"/>
      <c r="D72" s="393"/>
      <c r="E72" s="393"/>
      <c r="F72" s="393"/>
      <c r="G72" s="393"/>
      <c r="H72" s="393"/>
      <c r="I72" s="393"/>
      <c r="J72" s="393"/>
      <c r="K72" s="393"/>
      <c r="L72" s="393"/>
      <c r="M72" s="393"/>
      <c r="N72" s="393"/>
      <c r="O72" s="393"/>
      <c r="P72" s="393"/>
      <c r="Q72" s="393"/>
      <c r="R72" s="393"/>
      <c r="S72" s="393"/>
      <c r="T72" s="393"/>
      <c r="U72" s="393"/>
      <c r="V72" s="393"/>
      <c r="W72" s="393"/>
      <c r="X72" s="393"/>
      <c r="Y72" s="393"/>
      <c r="Z72" s="393"/>
      <c r="AA72" s="393"/>
      <c r="AB72" s="393"/>
      <c r="AC72" s="393"/>
      <c r="AD72" s="393"/>
      <c r="AE72" s="393"/>
      <c r="AF72" s="393"/>
      <c r="AG72" s="393"/>
      <c r="AH72" s="393"/>
      <c r="AI72" s="393"/>
      <c r="AJ72" s="393"/>
      <c r="AK72" s="393"/>
      <c r="AL72" s="393"/>
      <c r="AM72" s="393"/>
      <c r="AN72" s="393"/>
      <c r="AO72" s="393"/>
      <c r="AP72" s="393"/>
      <c r="AQ72" s="393"/>
      <c r="AR72" s="393"/>
      <c r="AS72" s="393"/>
      <c r="AT72" s="393"/>
      <c r="AU72" s="393"/>
      <c r="AV72" s="393"/>
      <c r="AW72" s="393"/>
      <c r="AX72" s="393"/>
      <c r="AY72" s="403"/>
      <c r="AZ72" s="403"/>
      <c r="BA72" s="403"/>
      <c r="BB72" s="403"/>
      <c r="BC72" s="403"/>
      <c r="BD72" s="403"/>
      <c r="BE72" s="403"/>
      <c r="BF72" s="403"/>
      <c r="BG72" s="403"/>
      <c r="BH72" s="403"/>
      <c r="BI72" s="403"/>
      <c r="BJ72" s="403"/>
      <c r="BK72" s="403"/>
      <c r="BL72" s="403"/>
      <c r="BM72" s="403"/>
      <c r="BN72" s="403"/>
      <c r="BO72" s="403"/>
      <c r="BP72" s="403"/>
      <c r="BQ72" s="403"/>
      <c r="BR72" s="403"/>
      <c r="BS72" s="403"/>
    </row>
    <row r="73" ht="11.25" customHeight="1" collapsed="1">
      <c r="A73" s="571"/>
      <c r="B73" s="393"/>
      <c r="C73" s="393"/>
      <c r="D73" s="393"/>
      <c r="E73" s="393"/>
      <c r="F73" s="393"/>
      <c r="G73" s="393"/>
      <c r="H73" s="393"/>
      <c r="I73" s="393"/>
      <c r="J73" s="393"/>
      <c r="K73" s="393"/>
      <c r="L73" s="393"/>
      <c r="M73" s="393"/>
      <c r="N73" s="393"/>
      <c r="O73" s="393"/>
      <c r="P73" s="393"/>
      <c r="Q73" s="393"/>
      <c r="R73" s="393"/>
      <c r="S73" s="393"/>
      <c r="T73" s="393"/>
      <c r="U73" s="393"/>
      <c r="V73" s="393"/>
      <c r="W73" s="393"/>
      <c r="X73" s="393"/>
      <c r="Y73" s="393"/>
      <c r="Z73" s="393"/>
      <c r="AA73" s="393"/>
      <c r="AB73" s="393"/>
      <c r="AC73" s="393"/>
      <c r="AD73" s="393"/>
      <c r="AE73" s="393"/>
      <c r="AF73" s="393"/>
      <c r="AG73" s="393"/>
      <c r="AH73" s="393"/>
      <c r="AI73" s="393"/>
      <c r="AJ73" s="393"/>
      <c r="AK73" s="393"/>
      <c r="AL73" s="393"/>
      <c r="AM73" s="393"/>
      <c r="AN73" s="393"/>
      <c r="AO73" s="393"/>
      <c r="AP73" s="393"/>
      <c r="AQ73" s="393"/>
      <c r="AR73" s="393"/>
      <c r="AS73" s="393"/>
      <c r="AT73" s="393"/>
      <c r="AU73" s="393"/>
      <c r="AV73" s="393"/>
      <c r="AW73" s="393"/>
      <c r="AX73" s="393"/>
      <c r="AY73" s="403"/>
      <c r="AZ73" s="403"/>
      <c r="BA73" s="403"/>
      <c r="BB73" s="403"/>
      <c r="BC73" s="403"/>
      <c r="BD73" s="403"/>
      <c r="BE73" s="403"/>
      <c r="BF73" s="403"/>
      <c r="BG73" s="403"/>
      <c r="BH73" s="403"/>
      <c r="BI73" s="403"/>
      <c r="BJ73" s="403"/>
      <c r="BK73" s="403"/>
      <c r="BL73" s="403"/>
      <c r="BM73" s="403"/>
      <c r="BN73" s="403"/>
      <c r="BO73" s="403"/>
      <c r="BP73" s="403"/>
      <c r="BQ73" s="403"/>
      <c r="BR73" s="403"/>
      <c r="BS73" s="403"/>
    </row>
    <row r="74" ht="11.25" customHeight="1">
      <c r="A74" s="393"/>
      <c r="B74" s="393"/>
      <c r="C74" s="393"/>
      <c r="D74" s="393"/>
      <c r="E74" s="393"/>
      <c r="F74" s="393"/>
      <c r="G74" s="393"/>
      <c r="H74" s="393"/>
      <c r="I74" s="393"/>
      <c r="J74" s="393"/>
      <c r="K74" s="393"/>
      <c r="L74" s="393"/>
      <c r="M74" s="393"/>
      <c r="N74" s="393"/>
      <c r="O74" s="393"/>
      <c r="P74" s="393"/>
      <c r="Q74" s="393"/>
      <c r="R74" s="393"/>
      <c r="S74" s="393"/>
      <c r="T74" s="393"/>
      <c r="U74" s="393"/>
      <c r="V74" s="393"/>
      <c r="W74" s="393"/>
      <c r="X74" s="393"/>
      <c r="Y74" s="393"/>
      <c r="Z74" s="393"/>
      <c r="AA74" s="393"/>
      <c r="AB74" s="393"/>
      <c r="AC74" s="393"/>
      <c r="AD74" s="393"/>
      <c r="AE74" s="393"/>
      <c r="AF74" s="393"/>
      <c r="AG74" s="393"/>
      <c r="AH74" s="393"/>
      <c r="AI74" s="393"/>
      <c r="AJ74" s="393"/>
      <c r="AK74" s="393"/>
      <c r="AL74" s="393"/>
      <c r="AM74" s="393"/>
      <c r="AN74" s="393"/>
      <c r="AO74" s="393"/>
      <c r="AP74" s="393"/>
      <c r="AQ74" s="393"/>
      <c r="AR74" s="393"/>
      <c r="AS74" s="393"/>
      <c r="AT74" s="393"/>
      <c r="AU74" s="393"/>
      <c r="AV74" s="393"/>
      <c r="AW74" s="393"/>
      <c r="AX74" s="393"/>
      <c r="AY74" s="403"/>
      <c r="AZ74" s="403"/>
      <c r="BA74" s="403"/>
      <c r="BB74" s="403"/>
      <c r="BC74" s="403"/>
      <c r="BD74" s="403"/>
      <c r="BE74" s="403"/>
      <c r="BF74" s="403"/>
      <c r="BG74" s="403"/>
      <c r="BH74" s="403"/>
      <c r="BI74" s="403"/>
      <c r="BJ74" s="403"/>
      <c r="BK74" s="403"/>
      <c r="BL74" s="403"/>
      <c r="BM74" s="403"/>
      <c r="BN74" s="403"/>
      <c r="BO74" s="403"/>
      <c r="BP74" s="403"/>
      <c r="BQ74" s="403"/>
      <c r="BR74" s="403"/>
      <c r="BS74" s="403"/>
    </row>
    <row r="75" ht="11.25" customHeight="1">
      <c r="A75" s="393"/>
      <c r="B75" s="393"/>
      <c r="C75" s="393"/>
      <c r="D75" s="393"/>
      <c r="E75" s="393"/>
      <c r="F75" s="393"/>
      <c r="G75" s="393"/>
      <c r="H75" s="393"/>
      <c r="I75" s="393"/>
      <c r="J75" s="393"/>
      <c r="K75" s="393"/>
      <c r="L75" s="393"/>
      <c r="M75" s="393"/>
      <c r="N75" s="393"/>
      <c r="O75" s="393"/>
      <c r="P75" s="393"/>
      <c r="Q75" s="393"/>
      <c r="R75" s="393"/>
      <c r="S75" s="393"/>
      <c r="T75" s="393"/>
      <c r="U75" s="393"/>
      <c r="V75" s="393"/>
      <c r="W75" s="393"/>
      <c r="X75" s="393"/>
      <c r="Y75" s="393"/>
      <c r="Z75" s="393"/>
      <c r="AA75" s="393"/>
      <c r="AB75" s="393"/>
      <c r="AC75" s="393"/>
      <c r="AD75" s="393"/>
      <c r="AE75" s="393"/>
      <c r="AF75" s="393"/>
      <c r="AG75" s="393"/>
      <c r="AH75" s="393"/>
      <c r="AI75" s="393"/>
      <c r="AJ75" s="393"/>
      <c r="AK75" s="393"/>
      <c r="AL75" s="393"/>
      <c r="AM75" s="393"/>
      <c r="AN75" s="393"/>
      <c r="AO75" s="393"/>
      <c r="AP75" s="393"/>
      <c r="AQ75" s="393"/>
      <c r="AR75" s="393"/>
      <c r="AS75" s="393"/>
      <c r="AT75" s="393"/>
      <c r="AU75" s="393"/>
      <c r="AV75" s="393"/>
      <c r="AW75" s="393"/>
      <c r="AX75" s="393"/>
      <c r="AY75" s="403"/>
      <c r="AZ75" s="403"/>
      <c r="BA75" s="403"/>
      <c r="BB75" s="403"/>
      <c r="BC75" s="403"/>
      <c r="BD75" s="403"/>
      <c r="BE75" s="403"/>
      <c r="BF75" s="403"/>
      <c r="BG75" s="403"/>
      <c r="BH75" s="403"/>
      <c r="BI75" s="403"/>
      <c r="BJ75" s="403"/>
      <c r="BK75" s="403"/>
      <c r="BL75" s="403"/>
      <c r="BM75" s="403"/>
      <c r="BN75" s="403"/>
      <c r="BO75" s="403"/>
      <c r="BP75" s="403"/>
      <c r="BQ75" s="403"/>
      <c r="BR75" s="403"/>
      <c r="BS75" s="403"/>
    </row>
    <row r="76" ht="11.25" customHeight="1">
      <c r="A76" s="393"/>
      <c r="B76" s="393"/>
      <c r="C76" s="393"/>
      <c r="D76" s="393"/>
      <c r="E76" s="393"/>
      <c r="F76" s="393"/>
      <c r="G76" s="393"/>
      <c r="H76" s="393"/>
      <c r="I76" s="393"/>
      <c r="J76" s="393"/>
      <c r="K76" s="393"/>
      <c r="L76" s="393"/>
      <c r="M76" s="393"/>
      <c r="N76" s="393"/>
      <c r="O76" s="393"/>
      <c r="P76" s="393"/>
      <c r="Q76" s="393"/>
      <c r="R76" s="393"/>
      <c r="S76" s="393"/>
      <c r="T76" s="393"/>
      <c r="U76" s="393"/>
      <c r="V76" s="393"/>
      <c r="W76" s="393"/>
      <c r="X76" s="393"/>
      <c r="Y76" s="393"/>
      <c r="Z76" s="393"/>
      <c r="AA76" s="393"/>
      <c r="AB76" s="393"/>
      <c r="AC76" s="393"/>
      <c r="AD76" s="393"/>
      <c r="AE76" s="393"/>
      <c r="AF76" s="393"/>
      <c r="AG76" s="393"/>
      <c r="AH76" s="393"/>
      <c r="AI76" s="393"/>
      <c r="AJ76" s="393"/>
      <c r="AK76" s="393"/>
      <c r="AL76" s="393"/>
      <c r="AM76" s="393"/>
      <c r="AN76" s="393"/>
      <c r="AO76" s="393"/>
      <c r="AP76" s="393"/>
      <c r="AQ76" s="393"/>
      <c r="AR76" s="393"/>
      <c r="AS76" s="393"/>
      <c r="AT76" s="393"/>
      <c r="AU76" s="393"/>
      <c r="AV76" s="393"/>
      <c r="AW76" s="393"/>
      <c r="AX76" s="393"/>
      <c r="AY76" s="403"/>
      <c r="AZ76" s="403"/>
      <c r="BA76" s="403"/>
      <c r="BB76" s="403"/>
      <c r="BC76" s="403"/>
      <c r="BD76" s="403"/>
      <c r="BE76" s="403"/>
      <c r="BF76" s="403"/>
      <c r="BG76" s="403"/>
      <c r="BH76" s="403"/>
      <c r="BI76" s="403"/>
      <c r="BJ76" s="403"/>
      <c r="BK76" s="403"/>
      <c r="BL76" s="403"/>
      <c r="BM76" s="403"/>
      <c r="BN76" s="403"/>
      <c r="BO76" s="403"/>
      <c r="BP76" s="403"/>
      <c r="BQ76" s="403"/>
      <c r="BR76" s="403"/>
      <c r="BS76" s="403"/>
    </row>
    <row r="77" ht="11.25" customHeight="1">
      <c r="A77" s="393"/>
      <c r="B77" s="393"/>
      <c r="C77" s="393"/>
      <c r="D77" s="393"/>
      <c r="E77" s="393"/>
      <c r="F77" s="393"/>
      <c r="G77" s="393"/>
      <c r="H77" s="393"/>
      <c r="I77" s="393"/>
      <c r="J77" s="393"/>
      <c r="K77" s="393"/>
      <c r="L77" s="393"/>
      <c r="M77" s="393"/>
      <c r="N77" s="393"/>
      <c r="O77" s="393"/>
      <c r="P77" s="393"/>
      <c r="Q77" s="393"/>
      <c r="R77" s="393"/>
      <c r="S77" s="393"/>
      <c r="T77" s="393"/>
      <c r="U77" s="393"/>
      <c r="V77" s="393"/>
      <c r="W77" s="393"/>
      <c r="X77" s="393"/>
      <c r="Y77" s="393"/>
      <c r="Z77" s="393"/>
      <c r="AA77" s="393"/>
      <c r="AB77" s="393"/>
      <c r="AC77" s="393"/>
      <c r="AD77" s="393"/>
      <c r="AE77" s="393"/>
      <c r="AF77" s="393"/>
      <c r="AG77" s="393"/>
      <c r="AH77" s="393"/>
      <c r="AI77" s="393"/>
      <c r="AJ77" s="393"/>
      <c r="AK77" s="393"/>
      <c r="AL77" s="393"/>
      <c r="AM77" s="393"/>
      <c r="AN77" s="393"/>
      <c r="AO77" s="393"/>
      <c r="AP77" s="393"/>
      <c r="AQ77" s="393"/>
      <c r="AR77" s="393"/>
      <c r="AS77" s="393"/>
      <c r="AT77" s="393"/>
      <c r="AU77" s="393"/>
      <c r="AV77" s="393"/>
      <c r="AW77" s="393"/>
      <c r="AX77" s="393"/>
      <c r="AY77" s="403"/>
      <c r="AZ77" s="403"/>
      <c r="BA77" s="403"/>
      <c r="BB77" s="403"/>
      <c r="BC77" s="403"/>
      <c r="BD77" s="403"/>
      <c r="BE77" s="403"/>
      <c r="BF77" s="403"/>
      <c r="BG77" s="403"/>
      <c r="BH77" s="403"/>
      <c r="BI77" s="403"/>
      <c r="BJ77" s="403"/>
      <c r="BK77" s="403"/>
      <c r="BL77" s="403"/>
      <c r="BM77" s="403"/>
      <c r="BN77" s="403"/>
      <c r="BO77" s="403"/>
      <c r="BP77" s="403"/>
      <c r="BQ77" s="403"/>
      <c r="BR77" s="403"/>
      <c r="BS77" s="403"/>
    </row>
    <row r="78" ht="11.25" customHeight="1">
      <c r="A78" s="393"/>
      <c r="B78" s="393"/>
      <c r="C78" s="393"/>
      <c r="D78" s="393"/>
      <c r="E78" s="393"/>
      <c r="F78" s="393"/>
      <c r="G78" s="393"/>
      <c r="H78" s="393"/>
      <c r="I78" s="393"/>
      <c r="J78" s="393"/>
      <c r="K78" s="393"/>
      <c r="L78" s="393"/>
      <c r="M78" s="393"/>
      <c r="N78" s="393"/>
      <c r="O78" s="393"/>
      <c r="P78" s="393"/>
      <c r="Q78" s="393"/>
      <c r="R78" s="393"/>
      <c r="S78" s="393"/>
      <c r="T78" s="393"/>
      <c r="U78" s="393"/>
      <c r="V78" s="393"/>
      <c r="W78" s="393"/>
      <c r="X78" s="393"/>
      <c r="Y78" s="393"/>
      <c r="Z78" s="393"/>
      <c r="AA78" s="393"/>
      <c r="AB78" s="393"/>
      <c r="AC78" s="393"/>
      <c r="AD78" s="393"/>
      <c r="AE78" s="393"/>
      <c r="AF78" s="393"/>
      <c r="AG78" s="393"/>
      <c r="AH78" s="393"/>
      <c r="AI78" s="393"/>
      <c r="AJ78" s="393"/>
      <c r="AK78" s="393"/>
      <c r="AL78" s="393"/>
      <c r="AM78" s="393"/>
      <c r="AN78" s="393"/>
      <c r="AO78" s="393"/>
      <c r="AP78" s="393"/>
      <c r="AQ78" s="393"/>
      <c r="AR78" s="393"/>
      <c r="AS78" s="393"/>
      <c r="AT78" s="393"/>
      <c r="AU78" s="393"/>
      <c r="AV78" s="393"/>
      <c r="AW78" s="393"/>
      <c r="AX78" s="393"/>
      <c r="AY78" s="403"/>
      <c r="AZ78" s="403"/>
      <c r="BA78" s="403"/>
      <c r="BB78" s="403"/>
      <c r="BC78" s="403"/>
      <c r="BD78" s="403"/>
      <c r="BE78" s="403"/>
      <c r="BF78" s="403"/>
      <c r="BG78" s="403"/>
      <c r="BH78" s="403"/>
      <c r="BI78" s="403"/>
      <c r="BJ78" s="403"/>
      <c r="BK78" s="403"/>
      <c r="BL78" s="403"/>
      <c r="BM78" s="403"/>
      <c r="BN78" s="403"/>
      <c r="BO78" s="403"/>
      <c r="BP78" s="403"/>
      <c r="BQ78" s="403"/>
      <c r="BR78" s="403"/>
      <c r="BS78" s="403"/>
    </row>
    <row r="79" ht="11.25" customHeight="1">
      <c r="A79" s="393"/>
      <c r="B79" s="393"/>
      <c r="C79" s="393"/>
      <c r="D79" s="393"/>
      <c r="E79" s="393"/>
      <c r="F79" s="393"/>
      <c r="G79" s="393"/>
      <c r="H79" s="393"/>
      <c r="I79" s="393"/>
      <c r="J79" s="393"/>
      <c r="K79" s="393"/>
      <c r="L79" s="393"/>
      <c r="M79" s="393"/>
      <c r="N79" s="393"/>
      <c r="O79" s="393"/>
      <c r="P79" s="393"/>
      <c r="Q79" s="393"/>
      <c r="R79" s="393"/>
      <c r="S79" s="393"/>
      <c r="T79" s="393"/>
      <c r="U79" s="393"/>
      <c r="V79" s="393"/>
      <c r="W79" s="393"/>
      <c r="X79" s="393"/>
      <c r="Y79" s="393"/>
      <c r="Z79" s="393"/>
      <c r="AA79" s="393"/>
      <c r="AB79" s="393"/>
      <c r="AC79" s="393"/>
      <c r="AD79" s="393"/>
      <c r="AE79" s="393"/>
      <c r="AF79" s="393"/>
      <c r="AG79" s="393"/>
      <c r="AH79" s="393"/>
      <c r="AI79" s="393"/>
      <c r="AJ79" s="393"/>
      <c r="AK79" s="393"/>
      <c r="AL79" s="393"/>
      <c r="AM79" s="393"/>
      <c r="AN79" s="393"/>
      <c r="AO79" s="393"/>
      <c r="AP79" s="393"/>
      <c r="AQ79" s="393"/>
      <c r="AR79" s="393"/>
      <c r="AS79" s="393"/>
      <c r="AT79" s="393"/>
      <c r="AU79" s="393"/>
      <c r="AV79" s="393"/>
      <c r="AW79" s="393"/>
      <c r="AX79" s="393"/>
      <c r="AY79" s="403"/>
      <c r="AZ79" s="403"/>
      <c r="BA79" s="403"/>
      <c r="BB79" s="403"/>
      <c r="BC79" s="403"/>
      <c r="BD79" s="403"/>
      <c r="BE79" s="403"/>
      <c r="BF79" s="403"/>
      <c r="BG79" s="403"/>
      <c r="BH79" s="403"/>
      <c r="BI79" s="403"/>
      <c r="BJ79" s="403"/>
      <c r="BK79" s="403"/>
      <c r="BL79" s="403"/>
      <c r="BM79" s="403"/>
      <c r="BN79" s="403"/>
      <c r="BO79" s="403"/>
      <c r="BP79" s="403"/>
      <c r="BQ79" s="403"/>
      <c r="BR79" s="403"/>
      <c r="BS79" s="403"/>
    </row>
    <row r="80" ht="11.25" customHeight="1">
      <c r="A80" s="393"/>
      <c r="B80" s="393"/>
      <c r="C80" s="393"/>
      <c r="D80" s="393"/>
      <c r="E80" s="393"/>
      <c r="F80" s="393"/>
      <c r="G80" s="393"/>
      <c r="H80" s="393"/>
      <c r="I80" s="393"/>
      <c r="J80" s="393"/>
      <c r="K80" s="393"/>
      <c r="L80" s="393"/>
      <c r="M80" s="393"/>
      <c r="N80" s="393"/>
      <c r="O80" s="393"/>
      <c r="P80" s="393"/>
      <c r="Q80" s="393"/>
      <c r="R80" s="393"/>
      <c r="S80" s="393"/>
      <c r="T80" s="393"/>
      <c r="U80" s="393"/>
      <c r="V80" s="393"/>
      <c r="W80" s="393"/>
      <c r="X80" s="393"/>
      <c r="Y80" s="393"/>
      <c r="Z80" s="393"/>
      <c r="AA80" s="393"/>
      <c r="AB80" s="393"/>
      <c r="AC80" s="393"/>
      <c r="AD80" s="393"/>
      <c r="AE80" s="393"/>
      <c r="AF80" s="393"/>
      <c r="AG80" s="393"/>
      <c r="AH80" s="393"/>
      <c r="AI80" s="393"/>
      <c r="AJ80" s="393"/>
      <c r="AK80" s="393"/>
      <c r="AL80" s="393"/>
      <c r="AM80" s="393"/>
      <c r="AN80" s="393"/>
      <c r="AO80" s="393"/>
      <c r="AP80" s="393"/>
      <c r="AQ80" s="393"/>
      <c r="AR80" s="393"/>
      <c r="AS80" s="393"/>
      <c r="AT80" s="393"/>
      <c r="AU80" s="393"/>
      <c r="AV80" s="393"/>
      <c r="AW80" s="393"/>
      <c r="AX80" s="393"/>
      <c r="AY80" s="403"/>
      <c r="AZ80" s="403"/>
      <c r="BA80" s="403"/>
      <c r="BB80" s="403"/>
      <c r="BC80" s="403"/>
      <c r="BD80" s="403"/>
      <c r="BE80" s="403"/>
      <c r="BF80" s="403"/>
      <c r="BG80" s="403"/>
      <c r="BH80" s="403"/>
      <c r="BI80" s="403"/>
      <c r="BJ80" s="403"/>
      <c r="BK80" s="403"/>
      <c r="BL80" s="403"/>
      <c r="BM80" s="403"/>
      <c r="BN80" s="403"/>
      <c r="BO80" s="403"/>
      <c r="BP80" s="403"/>
      <c r="BQ80" s="403"/>
      <c r="BR80" s="403"/>
      <c r="BS80" s="403"/>
    </row>
    <row r="81" ht="11.25" customHeight="1">
      <c r="A81" s="393"/>
      <c r="B81" s="393"/>
      <c r="C81" s="393"/>
      <c r="D81" s="393"/>
      <c r="E81" s="393"/>
      <c r="F81" s="393"/>
      <c r="G81" s="393"/>
      <c r="H81" s="393"/>
      <c r="I81" s="393"/>
      <c r="J81" s="393"/>
      <c r="K81" s="393"/>
      <c r="L81" s="393"/>
      <c r="M81" s="393"/>
      <c r="N81" s="393"/>
      <c r="O81" s="393"/>
      <c r="P81" s="393"/>
      <c r="Q81" s="393"/>
      <c r="R81" s="393"/>
      <c r="S81" s="393"/>
      <c r="T81" s="393"/>
      <c r="U81" s="393"/>
      <c r="V81" s="393"/>
      <c r="W81" s="393"/>
      <c r="X81" s="393"/>
      <c r="Y81" s="393"/>
      <c r="Z81" s="393"/>
      <c r="AA81" s="393"/>
      <c r="AB81" s="393"/>
      <c r="AC81" s="393"/>
      <c r="AD81" s="393"/>
      <c r="AE81" s="393"/>
      <c r="AF81" s="393"/>
      <c r="AG81" s="393"/>
      <c r="AH81" s="393"/>
      <c r="AI81" s="393"/>
      <c r="AJ81" s="393"/>
      <c r="AK81" s="393"/>
      <c r="AL81" s="393"/>
      <c r="AM81" s="393"/>
      <c r="AN81" s="393"/>
      <c r="AO81" s="393"/>
      <c r="AP81" s="393"/>
      <c r="AQ81" s="393"/>
      <c r="AR81" s="393"/>
      <c r="AS81" s="393"/>
      <c r="AT81" s="393"/>
      <c r="AU81" s="393"/>
      <c r="AV81" s="393"/>
      <c r="AW81" s="393"/>
      <c r="AX81" s="393"/>
      <c r="AY81" s="403"/>
      <c r="AZ81" s="403"/>
      <c r="BA81" s="403"/>
      <c r="BB81" s="403"/>
      <c r="BC81" s="403"/>
      <c r="BD81" s="403"/>
      <c r="BE81" s="403"/>
      <c r="BF81" s="403"/>
      <c r="BG81" s="403"/>
      <c r="BH81" s="403"/>
      <c r="BI81" s="403"/>
      <c r="BJ81" s="403"/>
      <c r="BK81" s="403"/>
      <c r="BL81" s="403"/>
      <c r="BM81" s="403"/>
      <c r="BN81" s="403"/>
      <c r="BO81" s="403"/>
      <c r="BP81" s="403"/>
      <c r="BQ81" s="403"/>
      <c r="BR81" s="403"/>
      <c r="BS81" s="403"/>
    </row>
    <row r="82" ht="11.25" customHeight="1">
      <c r="A82" s="393"/>
      <c r="B82" s="393"/>
      <c r="C82" s="393"/>
      <c r="D82" s="393"/>
      <c r="E82" s="393"/>
      <c r="F82" s="393"/>
      <c r="G82" s="393"/>
      <c r="H82" s="393"/>
      <c r="I82" s="393"/>
      <c r="J82" s="393"/>
      <c r="K82" s="393"/>
      <c r="L82" s="393"/>
      <c r="M82" s="393"/>
      <c r="N82" s="393"/>
      <c r="O82" s="393"/>
      <c r="P82" s="393"/>
      <c r="Q82" s="393"/>
      <c r="R82" s="393"/>
      <c r="S82" s="393"/>
      <c r="T82" s="393"/>
      <c r="U82" s="393"/>
      <c r="V82" s="393"/>
      <c r="W82" s="393"/>
      <c r="X82" s="393"/>
      <c r="Y82" s="393"/>
      <c r="Z82" s="393"/>
      <c r="AA82" s="393"/>
      <c r="AB82" s="393"/>
      <c r="AC82" s="393"/>
      <c r="AD82" s="393"/>
      <c r="AE82" s="393"/>
      <c r="AF82" s="393"/>
      <c r="AG82" s="393"/>
      <c r="AH82" s="393"/>
      <c r="AI82" s="393"/>
      <c r="AJ82" s="393"/>
      <c r="AK82" s="393"/>
      <c r="AL82" s="393"/>
      <c r="AM82" s="393"/>
      <c r="AN82" s="393"/>
      <c r="AO82" s="393"/>
      <c r="AP82" s="393"/>
      <c r="AQ82" s="393"/>
      <c r="AR82" s="393"/>
      <c r="AS82" s="393"/>
      <c r="AT82" s="393"/>
      <c r="AU82" s="393"/>
      <c r="AV82" s="393"/>
      <c r="AW82" s="393"/>
      <c r="AX82" s="393"/>
      <c r="AY82" s="403"/>
      <c r="AZ82" s="403"/>
      <c r="BA82" s="403"/>
      <c r="BB82" s="403"/>
      <c r="BC82" s="403"/>
      <c r="BD82" s="403"/>
      <c r="BE82" s="403"/>
      <c r="BF82" s="403"/>
      <c r="BG82" s="403"/>
      <c r="BH82" s="403"/>
      <c r="BI82" s="403"/>
      <c r="BJ82" s="403"/>
      <c r="BK82" s="403"/>
      <c r="BL82" s="403"/>
      <c r="BM82" s="403"/>
      <c r="BN82" s="403"/>
      <c r="BO82" s="403"/>
      <c r="BP82" s="403"/>
      <c r="BQ82" s="403"/>
      <c r="BR82" s="403"/>
      <c r="BS82" s="403"/>
    </row>
    <row r="83" ht="11.25" customHeight="1">
      <c r="A83" s="393"/>
      <c r="B83" s="393"/>
      <c r="C83" s="393"/>
      <c r="D83" s="393"/>
      <c r="E83" s="393"/>
      <c r="F83" s="393"/>
      <c r="G83" s="393"/>
      <c r="H83" s="393"/>
      <c r="I83" s="393"/>
      <c r="J83" s="393"/>
      <c r="K83" s="393"/>
      <c r="L83" s="393"/>
      <c r="M83" s="393"/>
      <c r="N83" s="393"/>
      <c r="O83" s="393"/>
      <c r="P83" s="393"/>
      <c r="Q83" s="393"/>
      <c r="R83" s="393"/>
      <c r="S83" s="393"/>
      <c r="T83" s="393"/>
      <c r="U83" s="393"/>
      <c r="V83" s="393"/>
      <c r="W83" s="393"/>
      <c r="X83" s="393"/>
      <c r="Y83" s="393"/>
      <c r="Z83" s="393"/>
      <c r="AA83" s="393"/>
      <c r="AB83" s="393"/>
      <c r="AC83" s="393"/>
      <c r="AD83" s="393"/>
      <c r="AE83" s="393"/>
      <c r="AF83" s="393"/>
      <c r="AG83" s="393"/>
      <c r="AH83" s="393"/>
      <c r="AI83" s="393"/>
      <c r="AJ83" s="393"/>
      <c r="AK83" s="393"/>
      <c r="AL83" s="393"/>
      <c r="AM83" s="393"/>
      <c r="AN83" s="393"/>
      <c r="AO83" s="393"/>
      <c r="AP83" s="393"/>
      <c r="AQ83" s="393"/>
      <c r="AR83" s="393"/>
      <c r="AS83" s="393"/>
      <c r="AT83" s="393"/>
      <c r="AU83" s="393"/>
      <c r="AV83" s="393"/>
      <c r="AW83" s="393"/>
      <c r="AX83" s="393"/>
      <c r="AY83" s="403"/>
      <c r="AZ83" s="403"/>
      <c r="BA83" s="403"/>
      <c r="BB83" s="403"/>
      <c r="BC83" s="403"/>
      <c r="BD83" s="403"/>
      <c r="BE83" s="403"/>
      <c r="BF83" s="403"/>
      <c r="BG83" s="403"/>
      <c r="BH83" s="403"/>
      <c r="BI83" s="403"/>
      <c r="BJ83" s="403"/>
      <c r="BK83" s="403"/>
      <c r="BL83" s="403"/>
      <c r="BM83" s="403"/>
      <c r="BN83" s="403"/>
      <c r="BO83" s="403"/>
      <c r="BP83" s="403"/>
      <c r="BQ83" s="403"/>
      <c r="BR83" s="403"/>
      <c r="BS83" s="403"/>
    </row>
    <row r="84" ht="11.25" customHeight="1">
      <c r="A84" s="393"/>
      <c r="B84" s="393"/>
      <c r="C84" s="393"/>
      <c r="D84" s="393"/>
      <c r="E84" s="393"/>
      <c r="F84" s="393"/>
      <c r="G84" s="393"/>
      <c r="H84" s="393"/>
      <c r="I84" s="393"/>
      <c r="J84" s="393"/>
      <c r="K84" s="393"/>
      <c r="L84" s="393"/>
      <c r="M84" s="393"/>
      <c r="N84" s="393"/>
      <c r="O84" s="393"/>
      <c r="P84" s="393"/>
      <c r="Q84" s="393"/>
      <c r="R84" s="393"/>
      <c r="S84" s="393"/>
      <c r="T84" s="393"/>
      <c r="U84" s="393"/>
      <c r="V84" s="393"/>
      <c r="W84" s="393"/>
      <c r="X84" s="393"/>
      <c r="Y84" s="393"/>
      <c r="Z84" s="393"/>
      <c r="AA84" s="393"/>
      <c r="AB84" s="393"/>
      <c r="AC84" s="393"/>
      <c r="AD84" s="393"/>
      <c r="AE84" s="393"/>
      <c r="AF84" s="393"/>
      <c r="AG84" s="393"/>
      <c r="AH84" s="393"/>
      <c r="AI84" s="393"/>
      <c r="AJ84" s="393"/>
      <c r="AK84" s="393"/>
      <c r="AL84" s="393"/>
      <c r="AM84" s="393"/>
      <c r="AN84" s="393"/>
      <c r="AO84" s="393"/>
      <c r="AP84" s="393"/>
      <c r="AQ84" s="393"/>
      <c r="AR84" s="393"/>
      <c r="AS84" s="393"/>
      <c r="AT84" s="393"/>
      <c r="AU84" s="393"/>
      <c r="AV84" s="393"/>
      <c r="AW84" s="393"/>
      <c r="AX84" s="393"/>
      <c r="AY84" s="403"/>
      <c r="AZ84" s="403"/>
      <c r="BA84" s="403"/>
      <c r="BB84" s="403"/>
      <c r="BC84" s="403"/>
      <c r="BD84" s="403"/>
      <c r="BE84" s="403"/>
      <c r="BF84" s="403"/>
      <c r="BG84" s="403"/>
      <c r="BH84" s="403"/>
      <c r="BI84" s="403"/>
      <c r="BJ84" s="403"/>
      <c r="BK84" s="403"/>
      <c r="BL84" s="403"/>
      <c r="BM84" s="403"/>
      <c r="BN84" s="403"/>
      <c r="BO84" s="403"/>
      <c r="BP84" s="403"/>
      <c r="BQ84" s="403"/>
      <c r="BR84" s="403"/>
      <c r="BS84" s="403"/>
    </row>
    <row r="85" ht="11.25" customHeight="1">
      <c r="A85" s="393"/>
      <c r="B85" s="393"/>
      <c r="C85" s="393"/>
      <c r="D85" s="393"/>
      <c r="E85" s="393"/>
      <c r="F85" s="393"/>
      <c r="G85" s="393"/>
      <c r="H85" s="393"/>
      <c r="I85" s="393"/>
      <c r="J85" s="393"/>
      <c r="K85" s="393"/>
      <c r="L85" s="393"/>
      <c r="M85" s="393"/>
      <c r="N85" s="393"/>
      <c r="O85" s="393"/>
      <c r="P85" s="393"/>
      <c r="Q85" s="393"/>
      <c r="R85" s="393"/>
      <c r="S85" s="393"/>
      <c r="T85" s="393"/>
      <c r="U85" s="393"/>
      <c r="V85" s="393"/>
      <c r="W85" s="393"/>
      <c r="X85" s="393"/>
      <c r="Y85" s="393"/>
      <c r="Z85" s="393"/>
      <c r="AA85" s="393"/>
      <c r="AB85" s="393"/>
      <c r="AC85" s="393"/>
      <c r="AD85" s="393"/>
      <c r="AE85" s="393"/>
      <c r="AF85" s="393"/>
      <c r="AG85" s="393"/>
      <c r="AH85" s="393"/>
      <c r="AI85" s="393"/>
      <c r="AJ85" s="393"/>
      <c r="AK85" s="393"/>
      <c r="AL85" s="393"/>
      <c r="AM85" s="393"/>
      <c r="AN85" s="393"/>
      <c r="AO85" s="393"/>
      <c r="AP85" s="393"/>
      <c r="AQ85" s="393"/>
      <c r="AR85" s="393"/>
      <c r="AS85" s="393"/>
      <c r="AT85" s="393"/>
      <c r="AU85" s="393"/>
      <c r="AV85" s="393"/>
      <c r="AW85" s="393"/>
      <c r="AX85" s="393"/>
      <c r="AY85" s="403"/>
      <c r="AZ85" s="403"/>
      <c r="BA85" s="403"/>
      <c r="BB85" s="403"/>
      <c r="BC85" s="403"/>
      <c r="BD85" s="403"/>
      <c r="BE85" s="403"/>
      <c r="BF85" s="403"/>
      <c r="BG85" s="403"/>
      <c r="BH85" s="403"/>
      <c r="BI85" s="403"/>
      <c r="BJ85" s="403"/>
      <c r="BK85" s="403"/>
      <c r="BL85" s="403"/>
      <c r="BM85" s="403"/>
      <c r="BN85" s="403"/>
      <c r="BO85" s="403"/>
      <c r="BP85" s="403"/>
      <c r="BQ85" s="403"/>
      <c r="BR85" s="403"/>
      <c r="BS85" s="403"/>
    </row>
    <row r="86" ht="11.25" customHeight="1">
      <c r="A86" s="393"/>
      <c r="B86" s="393"/>
      <c r="C86" s="393"/>
      <c r="D86" s="393"/>
      <c r="E86" s="393"/>
      <c r="F86" s="393"/>
      <c r="G86" s="393"/>
      <c r="H86" s="393"/>
      <c r="I86" s="393"/>
      <c r="J86" s="393"/>
      <c r="K86" s="393"/>
      <c r="L86" s="393"/>
      <c r="M86" s="393"/>
      <c r="N86" s="393"/>
      <c r="O86" s="393"/>
      <c r="P86" s="393"/>
      <c r="Q86" s="393"/>
      <c r="R86" s="393"/>
      <c r="S86" s="393"/>
      <c r="T86" s="393"/>
      <c r="U86" s="393"/>
      <c r="V86" s="393"/>
      <c r="W86" s="393"/>
      <c r="X86" s="393"/>
      <c r="Y86" s="393"/>
      <c r="Z86" s="393"/>
      <c r="AA86" s="393"/>
      <c r="AB86" s="393"/>
      <c r="AC86" s="393"/>
      <c r="AD86" s="393"/>
      <c r="AE86" s="393"/>
      <c r="AF86" s="393"/>
      <c r="AG86" s="393"/>
      <c r="AH86" s="393"/>
      <c r="AI86" s="393"/>
      <c r="AJ86" s="393"/>
      <c r="AK86" s="393"/>
      <c r="AL86" s="393"/>
      <c r="AM86" s="393"/>
      <c r="AN86" s="393"/>
      <c r="AO86" s="393"/>
      <c r="AP86" s="393"/>
      <c r="AQ86" s="393"/>
      <c r="AR86" s="393"/>
      <c r="AS86" s="393"/>
      <c r="AT86" s="393"/>
      <c r="AU86" s="393"/>
      <c r="AV86" s="393"/>
      <c r="AW86" s="393"/>
      <c r="AX86" s="393"/>
      <c r="AY86" s="403"/>
      <c r="AZ86" s="403"/>
      <c r="BA86" s="403"/>
      <c r="BB86" s="403"/>
      <c r="BC86" s="403"/>
      <c r="BD86" s="403"/>
      <c r="BE86" s="403"/>
      <c r="BF86" s="403"/>
      <c r="BG86" s="403"/>
      <c r="BH86" s="403"/>
      <c r="BI86" s="403"/>
      <c r="BJ86" s="403"/>
      <c r="BK86" s="403"/>
      <c r="BL86" s="403"/>
      <c r="BM86" s="403"/>
      <c r="BN86" s="403"/>
      <c r="BO86" s="403"/>
      <c r="BP86" s="403"/>
      <c r="BQ86" s="403"/>
      <c r="BR86" s="403"/>
      <c r="BS86" s="403"/>
    </row>
    <row r="87" ht="11.25" customHeight="1">
      <c r="A87" s="393"/>
      <c r="B87" s="393"/>
      <c r="C87" s="393"/>
      <c r="D87" s="393"/>
      <c r="E87" s="393"/>
      <c r="F87" s="393"/>
      <c r="G87" s="393"/>
      <c r="H87" s="393"/>
      <c r="I87" s="393"/>
      <c r="J87" s="393"/>
      <c r="K87" s="393"/>
      <c r="L87" s="393"/>
      <c r="M87" s="393"/>
      <c r="N87" s="393"/>
      <c r="O87" s="393"/>
      <c r="P87" s="393"/>
      <c r="Q87" s="393"/>
      <c r="R87" s="393"/>
      <c r="S87" s="393"/>
      <c r="T87" s="393"/>
      <c r="U87" s="393"/>
      <c r="V87" s="393"/>
      <c r="W87" s="393"/>
      <c r="X87" s="393"/>
      <c r="Y87" s="393"/>
      <c r="Z87" s="393"/>
      <c r="AA87" s="393"/>
      <c r="AB87" s="393"/>
      <c r="AC87" s="393"/>
      <c r="AD87" s="393"/>
      <c r="AE87" s="393"/>
      <c r="AF87" s="393"/>
      <c r="AG87" s="393"/>
      <c r="AH87" s="393"/>
      <c r="AI87" s="393"/>
      <c r="AJ87" s="393"/>
      <c r="AK87" s="393"/>
      <c r="AL87" s="393"/>
      <c r="AM87" s="393"/>
      <c r="AN87" s="393"/>
      <c r="AO87" s="393"/>
      <c r="AP87" s="393"/>
      <c r="AQ87" s="393"/>
      <c r="AR87" s="393"/>
      <c r="AS87" s="393"/>
      <c r="AT87" s="393"/>
      <c r="AU87" s="393"/>
      <c r="AV87" s="393"/>
      <c r="AW87" s="393"/>
      <c r="AX87" s="393"/>
      <c r="AY87" s="403"/>
      <c r="AZ87" s="403"/>
      <c r="BA87" s="403"/>
      <c r="BB87" s="403"/>
      <c r="BC87" s="403"/>
      <c r="BD87" s="403"/>
      <c r="BE87" s="403"/>
      <c r="BF87" s="403"/>
      <c r="BG87" s="403"/>
      <c r="BH87" s="403"/>
      <c r="BI87" s="403"/>
      <c r="BJ87" s="403"/>
      <c r="BK87" s="403"/>
      <c r="BL87" s="403"/>
      <c r="BM87" s="403"/>
      <c r="BN87" s="403"/>
      <c r="BO87" s="403"/>
      <c r="BP87" s="403"/>
      <c r="BQ87" s="403"/>
      <c r="BR87" s="403"/>
      <c r="BS87" s="403"/>
    </row>
    <row r="88" ht="11.25" customHeight="1">
      <c r="A88" s="393"/>
      <c r="B88" s="393"/>
      <c r="C88" s="393"/>
      <c r="D88" s="393"/>
      <c r="E88" s="393"/>
      <c r="F88" s="393"/>
      <c r="G88" s="393"/>
      <c r="H88" s="393"/>
      <c r="I88" s="393"/>
      <c r="J88" s="393"/>
      <c r="K88" s="393"/>
      <c r="L88" s="393"/>
      <c r="M88" s="393"/>
      <c r="N88" s="393"/>
      <c r="O88" s="393"/>
      <c r="P88" s="393"/>
      <c r="Q88" s="393"/>
      <c r="R88" s="393"/>
      <c r="S88" s="393"/>
      <c r="T88" s="393"/>
      <c r="U88" s="393"/>
      <c r="V88" s="393"/>
      <c r="W88" s="393"/>
      <c r="X88" s="393"/>
      <c r="Y88" s="393"/>
      <c r="Z88" s="393"/>
      <c r="AA88" s="393"/>
      <c r="AB88" s="393"/>
      <c r="AC88" s="393"/>
      <c r="AD88" s="393"/>
      <c r="AE88" s="393"/>
      <c r="AF88" s="393"/>
      <c r="AG88" s="393"/>
      <c r="AH88" s="393"/>
      <c r="AI88" s="393"/>
      <c r="AJ88" s="393"/>
      <c r="AK88" s="393"/>
      <c r="AL88" s="393"/>
      <c r="AM88" s="393"/>
      <c r="AN88" s="393"/>
      <c r="AO88" s="393"/>
      <c r="AP88" s="393"/>
      <c r="AQ88" s="393"/>
      <c r="AR88" s="393"/>
      <c r="AS88" s="393"/>
      <c r="AT88" s="393"/>
      <c r="AU88" s="393"/>
      <c r="AV88" s="393"/>
      <c r="AW88" s="393"/>
      <c r="AX88" s="393"/>
      <c r="AY88" s="403"/>
      <c r="AZ88" s="403"/>
      <c r="BA88" s="403"/>
      <c r="BB88" s="403"/>
      <c r="BC88" s="403"/>
      <c r="BD88" s="403"/>
      <c r="BE88" s="403"/>
      <c r="BF88" s="403"/>
      <c r="BG88" s="403"/>
      <c r="BH88" s="403"/>
      <c r="BI88" s="403"/>
      <c r="BJ88" s="403"/>
      <c r="BK88" s="403"/>
      <c r="BL88" s="403"/>
      <c r="BM88" s="403"/>
      <c r="BN88" s="403"/>
      <c r="BO88" s="403"/>
      <c r="BP88" s="403"/>
      <c r="BQ88" s="403"/>
      <c r="BR88" s="403"/>
      <c r="BS88" s="403"/>
    </row>
    <row r="89" ht="11.25" customHeight="1">
      <c r="A89" s="393"/>
      <c r="B89" s="393"/>
      <c r="C89" s="393"/>
      <c r="D89" s="393"/>
      <c r="E89" s="393"/>
      <c r="F89" s="393"/>
      <c r="G89" s="393"/>
      <c r="H89" s="393"/>
      <c r="I89" s="393"/>
      <c r="J89" s="393"/>
      <c r="K89" s="393"/>
      <c r="L89" s="393"/>
      <c r="M89" s="393"/>
      <c r="N89" s="393"/>
      <c r="O89" s="393"/>
      <c r="P89" s="393"/>
      <c r="Q89" s="393"/>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93"/>
      <c r="AQ89" s="393"/>
      <c r="AR89" s="393"/>
      <c r="AS89" s="393"/>
      <c r="AT89" s="393"/>
      <c r="AU89" s="393"/>
      <c r="AV89" s="393"/>
      <c r="AW89" s="393"/>
      <c r="AX89" s="393"/>
      <c r="AY89" s="403"/>
      <c r="AZ89" s="403"/>
      <c r="BA89" s="403"/>
      <c r="BB89" s="403"/>
      <c r="BC89" s="403"/>
      <c r="BD89" s="403"/>
      <c r="BE89" s="403"/>
      <c r="BF89" s="403"/>
      <c r="BG89" s="403"/>
      <c r="BH89" s="403"/>
      <c r="BI89" s="403"/>
      <c r="BJ89" s="403"/>
      <c r="BK89" s="403"/>
      <c r="BL89" s="403"/>
      <c r="BM89" s="403"/>
      <c r="BN89" s="403"/>
      <c r="BO89" s="403"/>
      <c r="BP89" s="403"/>
      <c r="BQ89" s="403"/>
      <c r="BR89" s="403"/>
      <c r="BS89" s="403"/>
    </row>
    <row r="90" ht="11.25" customHeight="1">
      <c r="A90" s="393"/>
      <c r="B90" s="393"/>
      <c r="C90" s="393"/>
      <c r="D90" s="393"/>
      <c r="E90" s="393"/>
      <c r="F90" s="393"/>
      <c r="G90" s="393"/>
      <c r="H90" s="393"/>
      <c r="I90" s="393"/>
      <c r="J90" s="393"/>
      <c r="K90" s="393"/>
      <c r="L90" s="393"/>
      <c r="M90" s="393"/>
      <c r="N90" s="393"/>
      <c r="O90" s="393"/>
      <c r="P90" s="393"/>
      <c r="Q90" s="393"/>
      <c r="R90" s="393"/>
      <c r="S90" s="393"/>
      <c r="T90" s="393"/>
      <c r="U90" s="393"/>
      <c r="V90" s="393"/>
      <c r="W90" s="393"/>
      <c r="X90" s="393"/>
      <c r="Y90" s="393"/>
      <c r="Z90" s="393"/>
      <c r="AA90" s="393"/>
      <c r="AB90" s="393"/>
      <c r="AC90" s="393"/>
      <c r="AD90" s="393"/>
      <c r="AE90" s="393"/>
      <c r="AF90" s="393"/>
      <c r="AG90" s="393"/>
      <c r="AH90" s="393"/>
      <c r="AI90" s="393"/>
      <c r="AJ90" s="393"/>
      <c r="AK90" s="393"/>
      <c r="AL90" s="393"/>
      <c r="AM90" s="393"/>
      <c r="AN90" s="393"/>
      <c r="AO90" s="393"/>
      <c r="AP90" s="393"/>
      <c r="AQ90" s="393"/>
      <c r="AR90" s="393"/>
      <c r="AS90" s="393"/>
      <c r="AT90" s="393"/>
      <c r="AU90" s="393"/>
      <c r="AV90" s="393"/>
      <c r="AW90" s="393"/>
      <c r="AX90" s="393"/>
      <c r="AY90" s="403"/>
      <c r="AZ90" s="403"/>
      <c r="BA90" s="403"/>
      <c r="BB90" s="403"/>
      <c r="BC90" s="403"/>
      <c r="BD90" s="403"/>
      <c r="BE90" s="403"/>
      <c r="BF90" s="403"/>
      <c r="BG90" s="403"/>
      <c r="BH90" s="403"/>
      <c r="BI90" s="403"/>
      <c r="BJ90" s="403"/>
      <c r="BK90" s="403"/>
      <c r="BL90" s="403"/>
      <c r="BM90" s="403"/>
      <c r="BN90" s="403"/>
      <c r="BO90" s="403"/>
      <c r="BP90" s="403"/>
      <c r="BQ90" s="403"/>
      <c r="BR90" s="403"/>
      <c r="BS90" s="403"/>
    </row>
    <row r="91" ht="11.25" customHeight="1">
      <c r="A91" s="393"/>
      <c r="B91" s="393"/>
      <c r="C91" s="393"/>
      <c r="D91" s="393"/>
      <c r="E91" s="393"/>
      <c r="F91" s="393"/>
      <c r="G91" s="393"/>
      <c r="H91" s="393"/>
      <c r="I91" s="393"/>
      <c r="J91" s="393"/>
      <c r="K91" s="393"/>
      <c r="L91" s="393"/>
      <c r="M91" s="393"/>
      <c r="N91" s="393"/>
      <c r="O91" s="393"/>
      <c r="P91" s="393"/>
      <c r="Q91" s="393"/>
      <c r="R91" s="393"/>
      <c r="S91" s="393"/>
      <c r="T91" s="393"/>
      <c r="U91" s="393"/>
      <c r="V91" s="393"/>
      <c r="W91" s="393"/>
      <c r="X91" s="393"/>
      <c r="Y91" s="393"/>
      <c r="Z91" s="393"/>
      <c r="AA91" s="393"/>
      <c r="AB91" s="393"/>
      <c r="AC91" s="393"/>
      <c r="AD91" s="393"/>
      <c r="AE91" s="393"/>
      <c r="AF91" s="393"/>
      <c r="AG91" s="393"/>
      <c r="AH91" s="393"/>
      <c r="AI91" s="393"/>
      <c r="AJ91" s="393"/>
      <c r="AK91" s="393"/>
      <c r="AL91" s="393"/>
      <c r="AM91" s="393"/>
      <c r="AN91" s="393"/>
      <c r="AO91" s="393"/>
      <c r="AP91" s="393"/>
      <c r="AQ91" s="393"/>
      <c r="AR91" s="393"/>
      <c r="AS91" s="393"/>
      <c r="AT91" s="393"/>
      <c r="AU91" s="393"/>
      <c r="AV91" s="393"/>
      <c r="AW91" s="393"/>
      <c r="AX91" s="393"/>
      <c r="AY91" s="403"/>
      <c r="AZ91" s="403"/>
      <c r="BA91" s="403"/>
      <c r="BB91" s="403"/>
      <c r="BC91" s="403"/>
      <c r="BD91" s="403"/>
      <c r="BE91" s="403"/>
      <c r="BF91" s="403"/>
      <c r="BG91" s="403"/>
      <c r="BH91" s="403"/>
      <c r="BI91" s="403"/>
      <c r="BJ91" s="403"/>
      <c r="BK91" s="403"/>
      <c r="BL91" s="403"/>
      <c r="BM91" s="403"/>
      <c r="BN91" s="403"/>
      <c r="BO91" s="403"/>
      <c r="BP91" s="403"/>
      <c r="BQ91" s="403"/>
      <c r="BR91" s="403"/>
      <c r="BS91" s="403"/>
    </row>
    <row r="92" ht="11.25" customHeight="1">
      <c r="A92" s="393"/>
      <c r="B92" s="393"/>
      <c r="C92" s="393"/>
      <c r="D92" s="393"/>
      <c r="E92" s="393"/>
      <c r="F92" s="393"/>
      <c r="G92" s="393"/>
      <c r="H92" s="393"/>
      <c r="I92" s="393"/>
      <c r="J92" s="393"/>
      <c r="K92" s="393"/>
      <c r="L92" s="393"/>
      <c r="M92" s="393"/>
      <c r="N92" s="393"/>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93"/>
      <c r="AN92" s="393"/>
      <c r="AO92" s="393"/>
      <c r="AP92" s="393"/>
      <c r="AQ92" s="393"/>
      <c r="AR92" s="393"/>
      <c r="AS92" s="393"/>
      <c r="AT92" s="393"/>
      <c r="AU92" s="393"/>
      <c r="AV92" s="393"/>
      <c r="AW92" s="393"/>
      <c r="AX92" s="393"/>
      <c r="AY92" s="403"/>
      <c r="AZ92" s="403"/>
      <c r="BA92" s="403"/>
      <c r="BB92" s="403"/>
      <c r="BC92" s="403"/>
      <c r="BD92" s="403"/>
      <c r="BE92" s="403"/>
      <c r="BF92" s="403"/>
      <c r="BG92" s="403"/>
      <c r="BH92" s="403"/>
      <c r="BI92" s="403"/>
      <c r="BJ92" s="403"/>
      <c r="BK92" s="403"/>
      <c r="BL92" s="403"/>
      <c r="BM92" s="403"/>
      <c r="BN92" s="403"/>
      <c r="BO92" s="403"/>
      <c r="BP92" s="403"/>
      <c r="BQ92" s="403"/>
      <c r="BR92" s="403"/>
      <c r="BS92" s="403"/>
    </row>
    <row r="93" ht="11.25" customHeight="1">
      <c r="A93" s="393"/>
      <c r="B93" s="393"/>
      <c r="C93" s="393"/>
      <c r="D93" s="393"/>
      <c r="E93" s="393"/>
      <c r="F93" s="393"/>
      <c r="G93" s="393"/>
      <c r="H93" s="393"/>
      <c r="I93" s="393"/>
      <c r="J93" s="393"/>
      <c r="K93" s="393"/>
      <c r="L93" s="393"/>
      <c r="M93" s="393"/>
      <c r="N93" s="393"/>
      <c r="O93" s="393"/>
      <c r="P93" s="393"/>
      <c r="Q93" s="393"/>
      <c r="R93" s="393"/>
      <c r="S93" s="393"/>
      <c r="T93" s="393"/>
      <c r="U93" s="393"/>
      <c r="V93" s="393"/>
      <c r="W93" s="393"/>
      <c r="X93" s="393"/>
      <c r="Y93" s="393"/>
      <c r="Z93" s="393"/>
      <c r="AA93" s="393"/>
      <c r="AB93" s="393"/>
      <c r="AC93" s="393"/>
      <c r="AD93" s="393"/>
      <c r="AE93" s="393"/>
      <c r="AF93" s="393"/>
      <c r="AG93" s="393"/>
      <c r="AH93" s="393"/>
      <c r="AI93" s="393"/>
      <c r="AJ93" s="393"/>
      <c r="AK93" s="393"/>
      <c r="AL93" s="393"/>
      <c r="AM93" s="393"/>
      <c r="AN93" s="393"/>
      <c r="AO93" s="393"/>
      <c r="AP93" s="393"/>
      <c r="AQ93" s="393"/>
      <c r="AR93" s="393"/>
      <c r="AS93" s="393"/>
      <c r="AT93" s="393"/>
      <c r="AU93" s="393"/>
      <c r="AV93" s="393"/>
      <c r="AW93" s="393"/>
      <c r="AX93" s="393"/>
      <c r="AY93" s="403"/>
      <c r="AZ93" s="403"/>
      <c r="BA93" s="403"/>
      <c r="BB93" s="403"/>
      <c r="BC93" s="403"/>
      <c r="BD93" s="403"/>
      <c r="BE93" s="403"/>
      <c r="BF93" s="403"/>
      <c r="BG93" s="403"/>
      <c r="BH93" s="403"/>
      <c r="BI93" s="403"/>
      <c r="BJ93" s="403"/>
      <c r="BK93" s="403"/>
      <c r="BL93" s="403"/>
      <c r="BM93" s="403"/>
      <c r="BN93" s="403"/>
      <c r="BO93" s="403"/>
      <c r="BP93" s="403"/>
      <c r="BQ93" s="403"/>
      <c r="BR93" s="403"/>
      <c r="BS93" s="403"/>
    </row>
    <row r="94" ht="11.25" customHeight="1">
      <c r="A94" s="393"/>
      <c r="B94" s="393"/>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93"/>
      <c r="AQ94" s="393"/>
      <c r="AR94" s="393"/>
      <c r="AS94" s="393"/>
      <c r="AT94" s="393"/>
      <c r="AU94" s="393"/>
      <c r="AV94" s="393"/>
      <c r="AW94" s="393"/>
      <c r="AX94" s="393"/>
      <c r="AY94" s="403"/>
      <c r="AZ94" s="403"/>
      <c r="BA94" s="403"/>
      <c r="BB94" s="403"/>
      <c r="BC94" s="403"/>
      <c r="BD94" s="403"/>
      <c r="BE94" s="403"/>
      <c r="BF94" s="403"/>
      <c r="BG94" s="403"/>
      <c r="BH94" s="403"/>
      <c r="BI94" s="403"/>
      <c r="BJ94" s="403"/>
      <c r="BK94" s="403"/>
      <c r="BL94" s="403"/>
      <c r="BM94" s="403"/>
      <c r="BN94" s="403"/>
      <c r="BO94" s="403"/>
      <c r="BP94" s="403"/>
      <c r="BQ94" s="403"/>
      <c r="BR94" s="403"/>
      <c r="BS94" s="403"/>
    </row>
    <row r="95" ht="11.25" customHeight="1">
      <c r="A95" s="393"/>
      <c r="B95" s="393"/>
      <c r="C95" s="393"/>
      <c r="D95" s="393"/>
      <c r="E95" s="393"/>
      <c r="F95" s="393"/>
      <c r="G95" s="393"/>
      <c r="H95" s="393"/>
      <c r="I95" s="393"/>
      <c r="J95" s="393"/>
      <c r="K95" s="393"/>
      <c r="L95" s="393"/>
      <c r="M95" s="393"/>
      <c r="N95" s="393"/>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93"/>
      <c r="AQ95" s="393"/>
      <c r="AR95" s="393"/>
      <c r="AS95" s="393"/>
      <c r="AT95" s="393"/>
      <c r="AU95" s="393"/>
      <c r="AV95" s="393"/>
      <c r="AW95" s="393"/>
      <c r="AX95" s="393"/>
      <c r="AY95" s="403"/>
      <c r="AZ95" s="403"/>
      <c r="BA95" s="403"/>
      <c r="BB95" s="403"/>
      <c r="BC95" s="403"/>
      <c r="BD95" s="403"/>
      <c r="BE95" s="403"/>
      <c r="BF95" s="403"/>
      <c r="BG95" s="403"/>
      <c r="BH95" s="403"/>
      <c r="BI95" s="403"/>
      <c r="BJ95" s="403"/>
      <c r="BK95" s="403"/>
      <c r="BL95" s="403"/>
      <c r="BM95" s="403"/>
      <c r="BN95" s="403"/>
      <c r="BO95" s="403"/>
      <c r="BP95" s="403"/>
      <c r="BQ95" s="403"/>
      <c r="BR95" s="403"/>
      <c r="BS95" s="403"/>
    </row>
    <row r="96" ht="11.25" customHeight="1">
      <c r="A96" s="393"/>
      <c r="B96" s="393"/>
      <c r="C96" s="393"/>
      <c r="D96" s="393"/>
      <c r="E96" s="393"/>
      <c r="F96" s="393"/>
      <c r="G96" s="393"/>
      <c r="H96" s="393"/>
      <c r="I96" s="393"/>
      <c r="J96" s="393"/>
      <c r="K96" s="393"/>
      <c r="L96" s="393"/>
      <c r="M96" s="393"/>
      <c r="N96" s="393"/>
      <c r="O96" s="393"/>
      <c r="P96" s="393"/>
      <c r="Q96" s="393"/>
      <c r="R96" s="393"/>
      <c r="S96" s="393"/>
      <c r="T96" s="393"/>
      <c r="U96" s="393"/>
      <c r="V96" s="393"/>
      <c r="W96" s="393"/>
      <c r="X96" s="393"/>
      <c r="Y96" s="393"/>
      <c r="Z96" s="393"/>
      <c r="AA96" s="393"/>
      <c r="AB96" s="393"/>
      <c r="AC96" s="393"/>
      <c r="AD96" s="393"/>
      <c r="AE96" s="393"/>
      <c r="AF96" s="393"/>
      <c r="AG96" s="393"/>
      <c r="AH96" s="393"/>
      <c r="AI96" s="393"/>
      <c r="AJ96" s="393"/>
      <c r="AK96" s="393"/>
      <c r="AL96" s="393"/>
      <c r="AM96" s="393"/>
      <c r="AN96" s="393"/>
      <c r="AO96" s="393"/>
      <c r="AP96" s="393"/>
      <c r="AQ96" s="393"/>
      <c r="AR96" s="393"/>
      <c r="AS96" s="393"/>
      <c r="AT96" s="393"/>
      <c r="AU96" s="393"/>
      <c r="AV96" s="393"/>
      <c r="AW96" s="393"/>
      <c r="AX96" s="393"/>
      <c r="AY96" s="403"/>
      <c r="AZ96" s="403"/>
      <c r="BA96" s="403"/>
      <c r="BB96" s="403"/>
      <c r="BC96" s="403"/>
      <c r="BD96" s="403"/>
      <c r="BE96" s="403"/>
      <c r="BF96" s="403"/>
      <c r="BG96" s="403"/>
      <c r="BH96" s="403"/>
      <c r="BI96" s="403"/>
      <c r="BJ96" s="403"/>
      <c r="BK96" s="403"/>
      <c r="BL96" s="403"/>
      <c r="BM96" s="403"/>
      <c r="BN96" s="403"/>
      <c r="BO96" s="403"/>
      <c r="BP96" s="403"/>
      <c r="BQ96" s="403"/>
      <c r="BR96" s="403"/>
      <c r="BS96" s="403"/>
    </row>
    <row r="97" ht="11.25" customHeight="1">
      <c r="A97" s="393"/>
      <c r="B97" s="393"/>
      <c r="C97" s="393"/>
      <c r="D97" s="393"/>
      <c r="E97" s="393"/>
      <c r="F97" s="393"/>
      <c r="G97" s="393"/>
      <c r="H97" s="393"/>
      <c r="I97" s="393"/>
      <c r="J97" s="393"/>
      <c r="K97" s="393"/>
      <c r="L97" s="393"/>
      <c r="M97" s="393"/>
      <c r="N97" s="393"/>
      <c r="O97" s="393"/>
      <c r="P97" s="393"/>
      <c r="Q97" s="393"/>
      <c r="R97" s="393"/>
      <c r="S97" s="393"/>
      <c r="T97" s="393"/>
      <c r="U97" s="393"/>
      <c r="V97" s="393"/>
      <c r="W97" s="393"/>
      <c r="X97" s="393"/>
      <c r="Y97" s="393"/>
      <c r="Z97" s="393"/>
      <c r="AA97" s="393"/>
      <c r="AB97" s="393"/>
      <c r="AC97" s="393"/>
      <c r="AD97" s="393"/>
      <c r="AE97" s="393"/>
      <c r="AF97" s="393"/>
      <c r="AG97" s="393"/>
      <c r="AH97" s="393"/>
      <c r="AI97" s="393"/>
      <c r="AJ97" s="393"/>
      <c r="AK97" s="393"/>
      <c r="AL97" s="393"/>
      <c r="AM97" s="393"/>
      <c r="AN97" s="393"/>
      <c r="AO97" s="393"/>
      <c r="AP97" s="393"/>
      <c r="AQ97" s="393"/>
      <c r="AR97" s="393"/>
      <c r="AS97" s="393"/>
      <c r="AT97" s="393"/>
      <c r="AU97" s="393"/>
      <c r="AV97" s="393"/>
      <c r="AW97" s="393"/>
      <c r="AX97" s="393"/>
      <c r="AY97" s="403"/>
      <c r="AZ97" s="403"/>
      <c r="BA97" s="403"/>
      <c r="BB97" s="403"/>
      <c r="BC97" s="403"/>
      <c r="BD97" s="403"/>
      <c r="BE97" s="403"/>
      <c r="BF97" s="403"/>
      <c r="BG97" s="403"/>
      <c r="BH97" s="403"/>
      <c r="BI97" s="403"/>
      <c r="BJ97" s="403"/>
      <c r="BK97" s="403"/>
      <c r="BL97" s="403"/>
      <c r="BM97" s="403"/>
      <c r="BN97" s="403"/>
      <c r="BO97" s="403"/>
      <c r="BP97" s="403"/>
      <c r="BQ97" s="403"/>
      <c r="BR97" s="403"/>
      <c r="BS97" s="403"/>
    </row>
    <row r="98" ht="11.25" customHeight="1">
      <c r="A98" s="393"/>
      <c r="B98" s="393"/>
      <c r="C98" s="393"/>
      <c r="D98" s="393"/>
      <c r="E98" s="393"/>
      <c r="F98" s="393"/>
      <c r="G98" s="393"/>
      <c r="H98" s="393"/>
      <c r="I98" s="393"/>
      <c r="J98" s="393"/>
      <c r="K98" s="393"/>
      <c r="L98" s="393"/>
      <c r="M98" s="393"/>
      <c r="N98" s="393"/>
      <c r="O98" s="393"/>
      <c r="P98" s="393"/>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93"/>
      <c r="AQ98" s="393"/>
      <c r="AR98" s="393"/>
      <c r="AS98" s="393"/>
      <c r="AT98" s="393"/>
      <c r="AU98" s="393"/>
      <c r="AV98" s="393"/>
      <c r="AW98" s="393"/>
      <c r="AX98" s="393"/>
      <c r="AY98" s="403"/>
      <c r="AZ98" s="403"/>
      <c r="BA98" s="403"/>
      <c r="BB98" s="403"/>
      <c r="BC98" s="403"/>
      <c r="BD98" s="403"/>
      <c r="BE98" s="403"/>
      <c r="BF98" s="403"/>
      <c r="BG98" s="403"/>
      <c r="BH98" s="403"/>
      <c r="BI98" s="403"/>
      <c r="BJ98" s="403"/>
      <c r="BK98" s="403"/>
      <c r="BL98" s="403"/>
      <c r="BM98" s="403"/>
      <c r="BN98" s="403"/>
      <c r="BO98" s="403"/>
      <c r="BP98" s="403"/>
      <c r="BQ98" s="403"/>
      <c r="BR98" s="403"/>
      <c r="BS98" s="403"/>
    </row>
    <row r="99" ht="11.25" customHeight="1">
      <c r="A99" s="393"/>
      <c r="B99" s="393"/>
      <c r="C99" s="393"/>
      <c r="D99" s="393"/>
      <c r="E99" s="393"/>
      <c r="F99" s="393"/>
      <c r="G99" s="393"/>
      <c r="H99" s="393"/>
      <c r="I99" s="393"/>
      <c r="J99" s="393"/>
      <c r="K99" s="393"/>
      <c r="L99" s="393"/>
      <c r="M99" s="393"/>
      <c r="N99" s="393"/>
      <c r="O99" s="393"/>
      <c r="P99" s="393"/>
      <c r="Q99" s="393"/>
      <c r="R99" s="393"/>
      <c r="S99" s="393"/>
      <c r="T99" s="393"/>
      <c r="U99" s="393"/>
      <c r="V99" s="393"/>
      <c r="W99" s="393"/>
      <c r="X99" s="393"/>
      <c r="Y99" s="393"/>
      <c r="Z99" s="393"/>
      <c r="AA99" s="393"/>
      <c r="AB99" s="393"/>
      <c r="AC99" s="393"/>
      <c r="AD99" s="393"/>
      <c r="AE99" s="393"/>
      <c r="AF99" s="393"/>
      <c r="AG99" s="393"/>
      <c r="AH99" s="393"/>
      <c r="AI99" s="393"/>
      <c r="AJ99" s="393"/>
      <c r="AK99" s="393"/>
      <c r="AL99" s="393"/>
      <c r="AM99" s="393"/>
      <c r="AN99" s="393"/>
      <c r="AO99" s="393"/>
      <c r="AP99" s="393"/>
      <c r="AQ99" s="393"/>
      <c r="AR99" s="393"/>
      <c r="AS99" s="393"/>
      <c r="AT99" s="393"/>
      <c r="AU99" s="393"/>
      <c r="AV99" s="393"/>
      <c r="AW99" s="393"/>
      <c r="AX99" s="393"/>
      <c r="AY99" s="403"/>
      <c r="AZ99" s="403"/>
      <c r="BA99" s="403"/>
      <c r="BB99" s="403"/>
      <c r="BC99" s="403"/>
      <c r="BD99" s="403"/>
      <c r="BE99" s="403"/>
      <c r="BF99" s="403"/>
      <c r="BG99" s="403"/>
      <c r="BH99" s="403"/>
      <c r="BI99" s="403"/>
      <c r="BJ99" s="403"/>
      <c r="BK99" s="403"/>
      <c r="BL99" s="403"/>
      <c r="BM99" s="403"/>
      <c r="BN99" s="403"/>
      <c r="BO99" s="403"/>
      <c r="BP99" s="403"/>
      <c r="BQ99" s="403"/>
      <c r="BR99" s="403"/>
      <c r="BS99" s="403"/>
    </row>
    <row r="100" ht="11.25" customHeight="1">
      <c r="A100" s="393"/>
      <c r="B100" s="393"/>
      <c r="C100" s="393"/>
      <c r="D100" s="393"/>
      <c r="E100" s="393"/>
      <c r="F100" s="393"/>
      <c r="G100" s="393"/>
      <c r="H100" s="393"/>
      <c r="I100" s="393"/>
      <c r="J100" s="393"/>
      <c r="K100" s="393"/>
      <c r="L100" s="393"/>
      <c r="M100" s="393"/>
      <c r="N100" s="393"/>
      <c r="O100" s="393"/>
      <c r="P100" s="393"/>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c r="AM100" s="393"/>
      <c r="AN100" s="393"/>
      <c r="AO100" s="393"/>
      <c r="AP100" s="393"/>
      <c r="AQ100" s="393"/>
      <c r="AR100" s="393"/>
      <c r="AS100" s="393"/>
      <c r="AT100" s="393"/>
      <c r="AU100" s="393"/>
      <c r="AV100" s="393"/>
      <c r="AW100" s="393"/>
      <c r="AX100" s="393"/>
      <c r="AY100" s="403"/>
      <c r="AZ100" s="403"/>
      <c r="BA100" s="403"/>
      <c r="BB100" s="403"/>
      <c r="BC100" s="403"/>
      <c r="BD100" s="403"/>
      <c r="BE100" s="403"/>
      <c r="BF100" s="403"/>
      <c r="BG100" s="403"/>
      <c r="BH100" s="403"/>
      <c r="BI100" s="403"/>
      <c r="BJ100" s="403"/>
      <c r="BK100" s="403"/>
      <c r="BL100" s="403"/>
      <c r="BM100" s="403"/>
      <c r="BN100" s="403"/>
      <c r="BO100" s="403"/>
      <c r="BP100" s="403"/>
      <c r="BQ100" s="403"/>
      <c r="BR100" s="403"/>
      <c r="BS100" s="403"/>
    </row>
    <row r="101" ht="11.25" customHeight="1">
      <c r="A101" s="393"/>
      <c r="B101" s="393"/>
      <c r="C101" s="393"/>
      <c r="D101" s="393"/>
      <c r="E101" s="393"/>
      <c r="F101" s="393"/>
      <c r="G101" s="393"/>
      <c r="H101" s="393"/>
      <c r="I101" s="393"/>
      <c r="J101" s="393"/>
      <c r="K101" s="393"/>
      <c r="L101" s="393"/>
      <c r="M101" s="393"/>
      <c r="N101" s="393"/>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93"/>
      <c r="AQ101" s="393"/>
      <c r="AR101" s="393"/>
      <c r="AS101" s="393"/>
      <c r="AT101" s="393"/>
      <c r="AU101" s="393"/>
      <c r="AV101" s="393"/>
      <c r="AW101" s="393"/>
      <c r="AX101" s="393"/>
      <c r="AY101" s="403"/>
      <c r="AZ101" s="403"/>
      <c r="BA101" s="403"/>
      <c r="BB101" s="403"/>
      <c r="BC101" s="403"/>
      <c r="BD101" s="403"/>
      <c r="BE101" s="403"/>
      <c r="BF101" s="403"/>
      <c r="BG101" s="403"/>
      <c r="BH101" s="403"/>
      <c r="BI101" s="403"/>
      <c r="BJ101" s="403"/>
      <c r="BK101" s="403"/>
      <c r="BL101" s="403"/>
      <c r="BM101" s="403"/>
      <c r="BN101" s="403"/>
      <c r="BO101" s="403"/>
      <c r="BP101" s="403"/>
      <c r="BQ101" s="403"/>
      <c r="BR101" s="403"/>
      <c r="BS101" s="403"/>
    </row>
    <row r="102" ht="11.25" customHeight="1">
      <c r="A102" s="393"/>
      <c r="B102" s="393"/>
      <c r="C102" s="393"/>
      <c r="D102" s="393"/>
      <c r="E102" s="393"/>
      <c r="F102" s="393"/>
      <c r="G102" s="393"/>
      <c r="H102" s="393"/>
      <c r="I102" s="393"/>
      <c r="J102" s="393"/>
      <c r="K102" s="393"/>
      <c r="L102" s="393"/>
      <c r="M102" s="393"/>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93"/>
      <c r="AQ102" s="393"/>
      <c r="AR102" s="393"/>
      <c r="AS102" s="393"/>
      <c r="AT102" s="393"/>
      <c r="AU102" s="393"/>
      <c r="AV102" s="393"/>
      <c r="AW102" s="393"/>
      <c r="AX102" s="393"/>
      <c r="AY102" s="403"/>
      <c r="AZ102" s="403"/>
      <c r="BA102" s="403"/>
      <c r="BB102" s="403"/>
      <c r="BC102" s="403"/>
      <c r="BD102" s="403"/>
      <c r="BE102" s="403"/>
      <c r="BF102" s="403"/>
      <c r="BG102" s="403"/>
      <c r="BH102" s="403"/>
      <c r="BI102" s="403"/>
      <c r="BJ102" s="403"/>
      <c r="BK102" s="403"/>
      <c r="BL102" s="403"/>
      <c r="BM102" s="403"/>
      <c r="BN102" s="403"/>
      <c r="BO102" s="403"/>
      <c r="BP102" s="403"/>
      <c r="BQ102" s="403"/>
      <c r="BR102" s="403"/>
      <c r="BS102" s="403"/>
    </row>
    <row r="103" ht="11.25" customHeight="1">
      <c r="A103" s="393"/>
      <c r="B103" s="393"/>
      <c r="C103" s="393"/>
      <c r="D103" s="393"/>
      <c r="E103" s="393"/>
      <c r="F103" s="393"/>
      <c r="G103" s="393"/>
      <c r="H103" s="393"/>
      <c r="I103" s="393"/>
      <c r="J103" s="393"/>
      <c r="K103" s="393"/>
      <c r="L103" s="393"/>
      <c r="M103" s="393"/>
      <c r="N103" s="393"/>
      <c r="O103" s="393"/>
      <c r="P103" s="393"/>
      <c r="Q103" s="393"/>
      <c r="R103" s="393"/>
      <c r="S103" s="393"/>
      <c r="T103" s="393"/>
      <c r="U103" s="393"/>
      <c r="V103" s="393"/>
      <c r="W103" s="393"/>
      <c r="X103" s="393"/>
      <c r="Y103" s="393"/>
      <c r="Z103" s="393"/>
      <c r="AA103" s="393"/>
      <c r="AB103" s="393"/>
      <c r="AC103" s="393"/>
      <c r="AD103" s="393"/>
      <c r="AE103" s="393"/>
      <c r="AF103" s="393"/>
      <c r="AG103" s="393"/>
      <c r="AH103" s="393"/>
      <c r="AI103" s="393"/>
      <c r="AJ103" s="393"/>
      <c r="AK103" s="393"/>
      <c r="AL103" s="393"/>
      <c r="AM103" s="393"/>
      <c r="AN103" s="393"/>
      <c r="AO103" s="393"/>
      <c r="AP103" s="393"/>
      <c r="AQ103" s="393"/>
      <c r="AR103" s="393"/>
      <c r="AS103" s="393"/>
      <c r="AT103" s="393"/>
      <c r="AU103" s="393"/>
      <c r="AV103" s="393"/>
      <c r="AW103" s="393"/>
      <c r="AX103" s="393"/>
      <c r="AY103" s="403"/>
      <c r="AZ103" s="403"/>
      <c r="BA103" s="403"/>
      <c r="BB103" s="403"/>
      <c r="BC103" s="403"/>
      <c r="BD103" s="403"/>
      <c r="BE103" s="403"/>
      <c r="BF103" s="403"/>
      <c r="BG103" s="403"/>
      <c r="BH103" s="403"/>
      <c r="BI103" s="403"/>
      <c r="BJ103" s="403"/>
      <c r="BK103" s="403"/>
      <c r="BL103" s="403"/>
      <c r="BM103" s="403"/>
      <c r="BN103" s="403"/>
      <c r="BO103" s="403"/>
      <c r="BP103" s="403"/>
      <c r="BQ103" s="403"/>
      <c r="BR103" s="403"/>
      <c r="BS103" s="403"/>
    </row>
    <row r="104" ht="11.25" customHeight="1">
      <c r="A104" s="393"/>
      <c r="B104" s="393"/>
      <c r="C104" s="393"/>
      <c r="D104" s="393"/>
      <c r="E104" s="393"/>
      <c r="F104" s="393"/>
      <c r="G104" s="393"/>
      <c r="H104" s="393"/>
      <c r="I104" s="393"/>
      <c r="J104" s="393"/>
      <c r="K104" s="393"/>
      <c r="L104" s="393"/>
      <c r="M104" s="393"/>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93"/>
      <c r="AQ104" s="393"/>
      <c r="AR104" s="393"/>
      <c r="AS104" s="393"/>
      <c r="AT104" s="393"/>
      <c r="AU104" s="393"/>
      <c r="AV104" s="393"/>
      <c r="AW104" s="393"/>
      <c r="AX104" s="393"/>
      <c r="AY104" s="403"/>
      <c r="AZ104" s="403"/>
      <c r="BA104" s="403"/>
      <c r="BB104" s="403"/>
      <c r="BC104" s="403"/>
      <c r="BD104" s="403"/>
      <c r="BE104" s="403"/>
      <c r="BF104" s="403"/>
      <c r="BG104" s="403"/>
      <c r="BH104" s="403"/>
      <c r="BI104" s="403"/>
      <c r="BJ104" s="403"/>
      <c r="BK104" s="403"/>
      <c r="BL104" s="403"/>
      <c r="BM104" s="403"/>
      <c r="BN104" s="403"/>
      <c r="BO104" s="403"/>
      <c r="BP104" s="403"/>
      <c r="BQ104" s="403"/>
      <c r="BR104" s="403"/>
      <c r="BS104" s="403"/>
    </row>
    <row r="105" ht="11.25" customHeight="1">
      <c r="A105" s="393"/>
      <c r="B105" s="393"/>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3"/>
      <c r="AF105" s="393"/>
      <c r="AG105" s="393"/>
      <c r="AH105" s="393"/>
      <c r="AI105" s="393"/>
      <c r="AJ105" s="393"/>
      <c r="AK105" s="393"/>
      <c r="AL105" s="393"/>
      <c r="AM105" s="393"/>
      <c r="AN105" s="393"/>
      <c r="AO105" s="393"/>
      <c r="AP105" s="393"/>
      <c r="AQ105" s="393"/>
      <c r="AR105" s="393"/>
      <c r="AS105" s="393"/>
      <c r="AT105" s="393"/>
      <c r="AU105" s="393"/>
      <c r="AV105" s="393"/>
      <c r="AW105" s="393"/>
      <c r="AX105" s="393"/>
      <c r="AY105" s="403"/>
      <c r="AZ105" s="403"/>
      <c r="BA105" s="403"/>
      <c r="BB105" s="403"/>
      <c r="BC105" s="403"/>
      <c r="BD105" s="403"/>
      <c r="BE105" s="403"/>
      <c r="BF105" s="403"/>
      <c r="BG105" s="403"/>
      <c r="BH105" s="403"/>
      <c r="BI105" s="403"/>
      <c r="BJ105" s="403"/>
      <c r="BK105" s="403"/>
      <c r="BL105" s="403"/>
      <c r="BM105" s="403"/>
      <c r="BN105" s="403"/>
      <c r="BO105" s="403"/>
      <c r="BP105" s="403"/>
      <c r="BQ105" s="403"/>
      <c r="BR105" s="403"/>
      <c r="BS105" s="403"/>
    </row>
    <row r="106" ht="11.25" customHeight="1">
      <c r="A106" s="393"/>
      <c r="B106" s="393"/>
      <c r="C106" s="393"/>
      <c r="D106" s="393"/>
      <c r="E106" s="393"/>
      <c r="F106" s="393"/>
      <c r="G106" s="393"/>
      <c r="H106" s="393"/>
      <c r="I106" s="393"/>
      <c r="J106" s="393"/>
      <c r="K106" s="393"/>
      <c r="L106" s="393"/>
      <c r="M106" s="393"/>
      <c r="N106" s="393"/>
      <c r="O106" s="393"/>
      <c r="P106" s="393"/>
      <c r="Q106" s="393"/>
      <c r="R106" s="393"/>
      <c r="S106" s="393"/>
      <c r="T106" s="393"/>
      <c r="U106" s="393"/>
      <c r="V106" s="393"/>
      <c r="W106" s="393"/>
      <c r="X106" s="393"/>
      <c r="Y106" s="393"/>
      <c r="Z106" s="393"/>
      <c r="AA106" s="393"/>
      <c r="AB106" s="393"/>
      <c r="AC106" s="393"/>
      <c r="AD106" s="393"/>
      <c r="AE106" s="393"/>
      <c r="AF106" s="393"/>
      <c r="AG106" s="393"/>
      <c r="AH106" s="393"/>
      <c r="AI106" s="393"/>
      <c r="AJ106" s="393"/>
      <c r="AK106" s="393"/>
      <c r="AL106" s="393"/>
      <c r="AM106" s="393"/>
      <c r="AN106" s="393"/>
      <c r="AO106" s="393"/>
      <c r="AP106" s="393"/>
      <c r="AQ106" s="393"/>
      <c r="AR106" s="393"/>
      <c r="AS106" s="393"/>
      <c r="AT106" s="393"/>
      <c r="AU106" s="393"/>
      <c r="AV106" s="393"/>
      <c r="AW106" s="393"/>
      <c r="AX106" s="393"/>
      <c r="AY106" s="403"/>
      <c r="AZ106" s="403"/>
      <c r="BA106" s="403"/>
      <c r="BB106" s="403"/>
      <c r="BC106" s="403"/>
      <c r="BD106" s="403"/>
      <c r="BE106" s="403"/>
      <c r="BF106" s="403"/>
      <c r="BG106" s="403"/>
      <c r="BH106" s="403"/>
      <c r="BI106" s="403"/>
      <c r="BJ106" s="403"/>
      <c r="BK106" s="403"/>
      <c r="BL106" s="403"/>
      <c r="BM106" s="403"/>
      <c r="BN106" s="403"/>
      <c r="BO106" s="403"/>
      <c r="BP106" s="403"/>
      <c r="BQ106" s="403"/>
      <c r="BR106" s="403"/>
      <c r="BS106" s="403"/>
    </row>
    <row r="107" ht="11.25" customHeight="1">
      <c r="A107" s="393"/>
      <c r="B107" s="393"/>
      <c r="C107" s="393"/>
      <c r="D107" s="393"/>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93"/>
      <c r="AQ107" s="393"/>
      <c r="AR107" s="393"/>
      <c r="AS107" s="393"/>
      <c r="AT107" s="393"/>
      <c r="AU107" s="393"/>
      <c r="AV107" s="393"/>
      <c r="AW107" s="393"/>
      <c r="AX107" s="393"/>
      <c r="AY107" s="403"/>
      <c r="AZ107" s="403"/>
      <c r="BA107" s="403"/>
      <c r="BB107" s="403"/>
      <c r="BC107" s="403"/>
      <c r="BD107" s="403"/>
      <c r="BE107" s="403"/>
      <c r="BF107" s="403"/>
      <c r="BG107" s="403"/>
      <c r="BH107" s="403"/>
      <c r="BI107" s="403"/>
      <c r="BJ107" s="403"/>
      <c r="BK107" s="403"/>
      <c r="BL107" s="403"/>
      <c r="BM107" s="403"/>
      <c r="BN107" s="403"/>
      <c r="BO107" s="403"/>
      <c r="BP107" s="403"/>
      <c r="BQ107" s="403"/>
      <c r="BR107" s="403"/>
      <c r="BS107" s="403"/>
    </row>
    <row r="108" ht="11.25" customHeight="1">
      <c r="A108" s="393"/>
      <c r="B108" s="393"/>
      <c r="C108" s="393"/>
      <c r="D108" s="393"/>
      <c r="E108" s="393"/>
      <c r="F108" s="393"/>
      <c r="G108" s="393"/>
      <c r="H108" s="393"/>
      <c r="I108" s="393"/>
      <c r="J108" s="393"/>
      <c r="K108" s="393"/>
      <c r="L108" s="393"/>
      <c r="M108" s="393"/>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93"/>
      <c r="AQ108" s="393"/>
      <c r="AR108" s="393"/>
      <c r="AS108" s="393"/>
      <c r="AT108" s="393"/>
      <c r="AU108" s="393"/>
      <c r="AV108" s="393"/>
      <c r="AW108" s="393"/>
      <c r="AX108" s="393"/>
      <c r="AY108" s="403"/>
      <c r="AZ108" s="403"/>
      <c r="BA108" s="403"/>
      <c r="BB108" s="403"/>
      <c r="BC108" s="403"/>
      <c r="BD108" s="403"/>
      <c r="BE108" s="403"/>
      <c r="BF108" s="403"/>
      <c r="BG108" s="403"/>
      <c r="BH108" s="403"/>
      <c r="BI108" s="403"/>
      <c r="BJ108" s="403"/>
      <c r="BK108" s="403"/>
      <c r="BL108" s="403"/>
      <c r="BM108" s="403"/>
      <c r="BN108" s="403"/>
      <c r="BO108" s="403"/>
      <c r="BP108" s="403"/>
      <c r="BQ108" s="403"/>
      <c r="BR108" s="403"/>
      <c r="BS108" s="403"/>
    </row>
    <row r="109" ht="11.25" customHeight="1">
      <c r="A109" s="393"/>
      <c r="B109" s="393"/>
      <c r="C109" s="393"/>
      <c r="D109" s="393"/>
      <c r="E109" s="393"/>
      <c r="F109" s="393"/>
      <c r="G109" s="393"/>
      <c r="H109" s="393"/>
      <c r="I109" s="393"/>
      <c r="J109" s="393"/>
      <c r="K109" s="393"/>
      <c r="L109" s="393"/>
      <c r="M109" s="393"/>
      <c r="N109" s="393"/>
      <c r="O109" s="393"/>
      <c r="P109" s="393"/>
      <c r="Q109" s="393"/>
      <c r="R109" s="393"/>
      <c r="S109" s="393"/>
      <c r="T109" s="393"/>
      <c r="U109" s="393"/>
      <c r="V109" s="393"/>
      <c r="W109" s="393"/>
      <c r="X109" s="393"/>
      <c r="Y109" s="393"/>
      <c r="Z109" s="393"/>
      <c r="AA109" s="393"/>
      <c r="AB109" s="393"/>
      <c r="AC109" s="393"/>
      <c r="AD109" s="393"/>
      <c r="AE109" s="393"/>
      <c r="AF109" s="393"/>
      <c r="AG109" s="393"/>
      <c r="AH109" s="393"/>
      <c r="AI109" s="393"/>
      <c r="AJ109" s="393"/>
      <c r="AK109" s="393"/>
      <c r="AL109" s="393"/>
      <c r="AM109" s="393"/>
      <c r="AN109" s="393"/>
      <c r="AO109" s="393"/>
      <c r="AP109" s="393"/>
      <c r="AQ109" s="393"/>
      <c r="AR109" s="393"/>
      <c r="AS109" s="393"/>
      <c r="AT109" s="393"/>
      <c r="AU109" s="393"/>
      <c r="AV109" s="393"/>
      <c r="AW109" s="393"/>
      <c r="AX109" s="393"/>
      <c r="AY109" s="403"/>
      <c r="AZ109" s="403"/>
      <c r="BA109" s="403"/>
      <c r="BB109" s="403"/>
      <c r="BC109" s="403"/>
      <c r="BD109" s="403"/>
      <c r="BE109" s="403"/>
      <c r="BF109" s="403"/>
      <c r="BG109" s="403"/>
      <c r="BH109" s="403"/>
      <c r="BI109" s="403"/>
      <c r="BJ109" s="403"/>
      <c r="BK109" s="403"/>
      <c r="BL109" s="403"/>
      <c r="BM109" s="403"/>
      <c r="BN109" s="403"/>
      <c r="BO109" s="403"/>
      <c r="BP109" s="403"/>
      <c r="BQ109" s="403"/>
      <c r="BR109" s="403"/>
      <c r="BS109" s="403"/>
    </row>
    <row r="110" ht="11.25" customHeight="1">
      <c r="A110" s="393"/>
      <c r="B110" s="393"/>
      <c r="C110" s="393"/>
      <c r="D110" s="393"/>
      <c r="E110" s="393"/>
      <c r="F110" s="393"/>
      <c r="G110" s="393"/>
      <c r="H110" s="393"/>
      <c r="I110" s="393"/>
      <c r="J110" s="393"/>
      <c r="K110" s="393"/>
      <c r="L110" s="393"/>
      <c r="M110" s="393"/>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93"/>
      <c r="AQ110" s="393"/>
      <c r="AR110" s="393"/>
      <c r="AS110" s="393"/>
      <c r="AT110" s="393"/>
      <c r="AU110" s="393"/>
      <c r="AV110" s="393"/>
      <c r="AW110" s="393"/>
      <c r="AX110" s="393"/>
      <c r="AY110" s="403"/>
      <c r="AZ110" s="403"/>
      <c r="BA110" s="403"/>
      <c r="BB110" s="403"/>
      <c r="BC110" s="403"/>
      <c r="BD110" s="403"/>
      <c r="BE110" s="403"/>
      <c r="BF110" s="403"/>
      <c r="BG110" s="403"/>
      <c r="BH110" s="403"/>
      <c r="BI110" s="403"/>
      <c r="BJ110" s="403"/>
      <c r="BK110" s="403"/>
      <c r="BL110" s="403"/>
      <c r="BM110" s="403"/>
      <c r="BN110" s="403"/>
      <c r="BO110" s="403"/>
      <c r="BP110" s="403"/>
      <c r="BQ110" s="403"/>
      <c r="BR110" s="403"/>
      <c r="BS110" s="403"/>
    </row>
    <row r="111" ht="11.25" customHeight="1">
      <c r="A111" s="393"/>
      <c r="B111" s="393"/>
      <c r="C111" s="393"/>
      <c r="D111" s="393"/>
      <c r="E111" s="393"/>
      <c r="F111" s="393"/>
      <c r="G111" s="393"/>
      <c r="H111" s="393"/>
      <c r="I111" s="393"/>
      <c r="J111" s="393"/>
      <c r="K111" s="393"/>
      <c r="L111" s="393"/>
      <c r="M111" s="393"/>
      <c r="N111" s="393"/>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3"/>
      <c r="AJ111" s="393"/>
      <c r="AK111" s="393"/>
      <c r="AL111" s="393"/>
      <c r="AM111" s="393"/>
      <c r="AN111" s="393"/>
      <c r="AO111" s="393"/>
      <c r="AP111" s="393"/>
      <c r="AQ111" s="393"/>
      <c r="AR111" s="393"/>
      <c r="AS111" s="393"/>
      <c r="AT111" s="393"/>
      <c r="AU111" s="393"/>
      <c r="AV111" s="393"/>
      <c r="AW111" s="393"/>
      <c r="AX111" s="393"/>
      <c r="AY111" s="403"/>
      <c r="AZ111" s="403"/>
      <c r="BA111" s="403"/>
      <c r="BB111" s="403"/>
      <c r="BC111" s="403"/>
      <c r="BD111" s="403"/>
      <c r="BE111" s="403"/>
      <c r="BF111" s="403"/>
      <c r="BG111" s="403"/>
      <c r="BH111" s="403"/>
      <c r="BI111" s="403"/>
      <c r="BJ111" s="403"/>
      <c r="BK111" s="403"/>
      <c r="BL111" s="403"/>
      <c r="BM111" s="403"/>
      <c r="BN111" s="403"/>
      <c r="BO111" s="403"/>
      <c r="BP111" s="403"/>
      <c r="BQ111" s="403"/>
      <c r="BR111" s="403"/>
      <c r="BS111" s="403"/>
    </row>
    <row r="112" ht="11.25" customHeight="1">
      <c r="A112" s="393"/>
      <c r="B112" s="393"/>
      <c r="C112" s="393"/>
      <c r="D112" s="393"/>
      <c r="E112" s="393"/>
      <c r="F112" s="393"/>
      <c r="G112" s="393"/>
      <c r="H112" s="393"/>
      <c r="I112" s="393"/>
      <c r="J112" s="393"/>
      <c r="K112" s="393"/>
      <c r="L112" s="393"/>
      <c r="M112" s="393"/>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93"/>
      <c r="AQ112" s="393"/>
      <c r="AR112" s="393"/>
      <c r="AS112" s="393"/>
      <c r="AT112" s="393"/>
      <c r="AU112" s="393"/>
      <c r="AV112" s="393"/>
      <c r="AW112" s="393"/>
      <c r="AX112" s="393"/>
      <c r="AY112" s="403"/>
      <c r="AZ112" s="403"/>
      <c r="BA112" s="403"/>
      <c r="BB112" s="403"/>
      <c r="BC112" s="403"/>
      <c r="BD112" s="403"/>
      <c r="BE112" s="403"/>
      <c r="BF112" s="403"/>
      <c r="BG112" s="403"/>
      <c r="BH112" s="403"/>
      <c r="BI112" s="403"/>
      <c r="BJ112" s="403"/>
      <c r="BK112" s="403"/>
      <c r="BL112" s="403"/>
      <c r="BM112" s="403"/>
      <c r="BN112" s="403"/>
      <c r="BO112" s="403"/>
      <c r="BP112" s="403"/>
      <c r="BQ112" s="403"/>
      <c r="BR112" s="403"/>
      <c r="BS112" s="403"/>
    </row>
    <row r="113" ht="11.25" customHeight="1">
      <c r="A113" s="393"/>
      <c r="B113" s="393"/>
      <c r="C113" s="393"/>
      <c r="D113" s="393"/>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93"/>
      <c r="AQ113" s="393"/>
      <c r="AR113" s="393"/>
      <c r="AS113" s="393"/>
      <c r="AT113" s="393"/>
      <c r="AU113" s="393"/>
      <c r="AV113" s="393"/>
      <c r="AW113" s="393"/>
      <c r="AX113" s="393"/>
      <c r="AY113" s="403"/>
      <c r="AZ113" s="403"/>
      <c r="BA113" s="403"/>
      <c r="BB113" s="403"/>
      <c r="BC113" s="403"/>
      <c r="BD113" s="403"/>
      <c r="BE113" s="403"/>
      <c r="BF113" s="403"/>
      <c r="BG113" s="403"/>
      <c r="BH113" s="403"/>
      <c r="BI113" s="403"/>
      <c r="BJ113" s="403"/>
      <c r="BK113" s="403"/>
      <c r="BL113" s="403"/>
      <c r="BM113" s="403"/>
      <c r="BN113" s="403"/>
      <c r="BO113" s="403"/>
      <c r="BP113" s="403"/>
      <c r="BQ113" s="403"/>
      <c r="BR113" s="403"/>
      <c r="BS113" s="403"/>
    </row>
    <row r="114" ht="11.25" customHeight="1">
      <c r="A114" s="393"/>
      <c r="B114" s="393"/>
      <c r="C114" s="393"/>
      <c r="D114" s="393"/>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c r="AA114" s="393"/>
      <c r="AB114" s="393"/>
      <c r="AC114" s="393"/>
      <c r="AD114" s="393"/>
      <c r="AE114" s="393"/>
      <c r="AF114" s="393"/>
      <c r="AG114" s="393"/>
      <c r="AH114" s="393"/>
      <c r="AI114" s="393"/>
      <c r="AJ114" s="393"/>
      <c r="AK114" s="393"/>
      <c r="AL114" s="393"/>
      <c r="AM114" s="393"/>
      <c r="AN114" s="393"/>
      <c r="AO114" s="393"/>
      <c r="AP114" s="393"/>
      <c r="AQ114" s="393"/>
      <c r="AR114" s="393"/>
      <c r="AS114" s="393"/>
      <c r="AT114" s="393"/>
      <c r="AU114" s="393"/>
      <c r="AV114" s="393"/>
      <c r="AW114" s="393"/>
      <c r="AX114" s="393"/>
      <c r="AY114" s="403"/>
      <c r="AZ114" s="403"/>
      <c r="BA114" s="403"/>
      <c r="BB114" s="403"/>
      <c r="BC114" s="403"/>
      <c r="BD114" s="403"/>
      <c r="BE114" s="403"/>
      <c r="BF114" s="403"/>
      <c r="BG114" s="403"/>
      <c r="BH114" s="403"/>
      <c r="BI114" s="403"/>
      <c r="BJ114" s="403"/>
      <c r="BK114" s="403"/>
      <c r="BL114" s="403"/>
      <c r="BM114" s="403"/>
      <c r="BN114" s="403"/>
      <c r="BO114" s="403"/>
      <c r="BP114" s="403"/>
      <c r="BQ114" s="403"/>
      <c r="BR114" s="403"/>
      <c r="BS114" s="403"/>
    </row>
    <row r="115" ht="11.25" customHeight="1">
      <c r="A115" s="393"/>
      <c r="B115" s="393"/>
      <c r="C115" s="393"/>
      <c r="D115" s="393"/>
      <c r="E115" s="393"/>
      <c r="F115" s="393"/>
      <c r="G115" s="393"/>
      <c r="H115" s="393"/>
      <c r="I115" s="393"/>
      <c r="J115" s="393"/>
      <c r="K115" s="393"/>
      <c r="L115" s="393"/>
      <c r="M115" s="393"/>
      <c r="N115" s="393"/>
      <c r="O115" s="393"/>
      <c r="P115" s="393"/>
      <c r="Q115" s="393"/>
      <c r="R115" s="393"/>
      <c r="S115" s="393"/>
      <c r="T115" s="393"/>
      <c r="U115" s="393"/>
      <c r="V115" s="393"/>
      <c r="W115" s="393"/>
      <c r="X115" s="393"/>
      <c r="Y115" s="393"/>
      <c r="Z115" s="393"/>
      <c r="AA115" s="393"/>
      <c r="AB115" s="393"/>
      <c r="AC115" s="393"/>
      <c r="AD115" s="393"/>
      <c r="AE115" s="393"/>
      <c r="AF115" s="393"/>
      <c r="AG115" s="393"/>
      <c r="AH115" s="393"/>
      <c r="AI115" s="393"/>
      <c r="AJ115" s="393"/>
      <c r="AK115" s="393"/>
      <c r="AL115" s="393"/>
      <c r="AM115" s="393"/>
      <c r="AN115" s="393"/>
      <c r="AO115" s="393"/>
      <c r="AP115" s="393"/>
      <c r="AQ115" s="393"/>
      <c r="AR115" s="393"/>
      <c r="AS115" s="393"/>
      <c r="AT115" s="393"/>
      <c r="AU115" s="393"/>
      <c r="AV115" s="393"/>
      <c r="AW115" s="393"/>
      <c r="AX115" s="393"/>
      <c r="AY115" s="403"/>
      <c r="AZ115" s="403"/>
      <c r="BA115" s="403"/>
      <c r="BB115" s="403"/>
      <c r="BC115" s="403"/>
      <c r="BD115" s="403"/>
      <c r="BE115" s="403"/>
      <c r="BF115" s="403"/>
      <c r="BG115" s="403"/>
      <c r="BH115" s="403"/>
      <c r="BI115" s="403"/>
      <c r="BJ115" s="403"/>
      <c r="BK115" s="403"/>
      <c r="BL115" s="403"/>
      <c r="BM115" s="403"/>
      <c r="BN115" s="403"/>
      <c r="BO115" s="403"/>
      <c r="BP115" s="403"/>
      <c r="BQ115" s="403"/>
      <c r="BR115" s="403"/>
      <c r="BS115" s="403"/>
    </row>
    <row r="116" ht="11.25" customHeight="1">
      <c r="A116" s="393"/>
      <c r="B116" s="393"/>
      <c r="C116" s="393"/>
      <c r="D116" s="393"/>
      <c r="E116" s="393"/>
      <c r="F116" s="393"/>
      <c r="G116" s="393"/>
      <c r="H116" s="393"/>
      <c r="I116" s="393"/>
      <c r="J116" s="393"/>
      <c r="K116" s="393"/>
      <c r="L116" s="393"/>
      <c r="M116" s="393"/>
      <c r="N116" s="393"/>
      <c r="O116" s="393"/>
      <c r="P116" s="393"/>
      <c r="Q116" s="393"/>
      <c r="R116" s="393"/>
      <c r="S116" s="393"/>
      <c r="T116" s="393"/>
      <c r="U116" s="393"/>
      <c r="V116" s="393"/>
      <c r="W116" s="393"/>
      <c r="X116" s="393"/>
      <c r="Y116" s="393"/>
      <c r="Z116" s="393"/>
      <c r="AA116" s="393"/>
      <c r="AB116" s="393"/>
      <c r="AC116" s="393"/>
      <c r="AD116" s="393"/>
      <c r="AE116" s="393"/>
      <c r="AF116" s="393"/>
      <c r="AG116" s="393"/>
      <c r="AH116" s="393"/>
      <c r="AI116" s="393"/>
      <c r="AJ116" s="393"/>
      <c r="AK116" s="393"/>
      <c r="AL116" s="393"/>
      <c r="AM116" s="393"/>
      <c r="AN116" s="393"/>
      <c r="AO116" s="393"/>
      <c r="AP116" s="393"/>
      <c r="AQ116" s="393"/>
      <c r="AR116" s="393"/>
      <c r="AS116" s="393"/>
      <c r="AT116" s="393"/>
      <c r="AU116" s="393"/>
      <c r="AV116" s="393"/>
      <c r="AW116" s="393"/>
      <c r="AX116" s="393"/>
      <c r="AY116" s="403"/>
      <c r="AZ116" s="403"/>
      <c r="BA116" s="403"/>
      <c r="BB116" s="403"/>
      <c r="BC116" s="403"/>
      <c r="BD116" s="403"/>
      <c r="BE116" s="403"/>
      <c r="BF116" s="403"/>
      <c r="BG116" s="403"/>
      <c r="BH116" s="403"/>
      <c r="BI116" s="403"/>
      <c r="BJ116" s="403"/>
      <c r="BK116" s="403"/>
      <c r="BL116" s="403"/>
      <c r="BM116" s="403"/>
      <c r="BN116" s="403"/>
      <c r="BO116" s="403"/>
      <c r="BP116" s="403"/>
      <c r="BQ116" s="403"/>
      <c r="BR116" s="403"/>
      <c r="BS116" s="403"/>
    </row>
    <row r="117" ht="11.25" customHeight="1">
      <c r="A117" s="393"/>
      <c r="B117" s="393"/>
      <c r="C117" s="393"/>
      <c r="D117" s="393"/>
      <c r="E117" s="393"/>
      <c r="F117" s="393"/>
      <c r="G117" s="393"/>
      <c r="H117" s="393"/>
      <c r="I117" s="393"/>
      <c r="J117" s="393"/>
      <c r="K117" s="393"/>
      <c r="L117" s="393"/>
      <c r="M117" s="393"/>
      <c r="N117" s="393"/>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93"/>
      <c r="AQ117" s="393"/>
      <c r="AR117" s="393"/>
      <c r="AS117" s="393"/>
      <c r="AT117" s="393"/>
      <c r="AU117" s="393"/>
      <c r="AV117" s="393"/>
      <c r="AW117" s="393"/>
      <c r="AX117" s="393"/>
      <c r="AY117" s="403"/>
      <c r="AZ117" s="403"/>
      <c r="BA117" s="403"/>
      <c r="BB117" s="403"/>
      <c r="BC117" s="403"/>
      <c r="BD117" s="403"/>
      <c r="BE117" s="403"/>
      <c r="BF117" s="403"/>
      <c r="BG117" s="403"/>
      <c r="BH117" s="403"/>
      <c r="BI117" s="403"/>
      <c r="BJ117" s="403"/>
      <c r="BK117" s="403"/>
      <c r="BL117" s="403"/>
      <c r="BM117" s="403"/>
      <c r="BN117" s="403"/>
      <c r="BO117" s="403"/>
      <c r="BP117" s="403"/>
      <c r="BQ117" s="403"/>
      <c r="BR117" s="403"/>
      <c r="BS117" s="403"/>
    </row>
    <row r="118" ht="11.25" customHeight="1">
      <c r="A118" s="393"/>
      <c r="B118" s="393"/>
      <c r="C118" s="393"/>
      <c r="D118" s="393"/>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93"/>
      <c r="AQ118" s="393"/>
      <c r="AR118" s="393"/>
      <c r="AS118" s="393"/>
      <c r="AT118" s="393"/>
      <c r="AU118" s="393"/>
      <c r="AV118" s="393"/>
      <c r="AW118" s="393"/>
      <c r="AX118" s="393"/>
      <c r="AY118" s="403"/>
      <c r="AZ118" s="403"/>
      <c r="BA118" s="403"/>
      <c r="BB118" s="403"/>
      <c r="BC118" s="403"/>
      <c r="BD118" s="403"/>
      <c r="BE118" s="403"/>
      <c r="BF118" s="403"/>
      <c r="BG118" s="403"/>
      <c r="BH118" s="403"/>
      <c r="BI118" s="403"/>
      <c r="BJ118" s="403"/>
      <c r="BK118" s="403"/>
      <c r="BL118" s="403"/>
      <c r="BM118" s="403"/>
      <c r="BN118" s="403"/>
      <c r="BO118" s="403"/>
      <c r="BP118" s="403"/>
      <c r="BQ118" s="403"/>
      <c r="BR118" s="403"/>
      <c r="BS118" s="403"/>
    </row>
    <row r="119" ht="11.25" customHeight="1">
      <c r="A119" s="393"/>
      <c r="B119" s="393"/>
      <c r="C119" s="393"/>
      <c r="D119" s="393"/>
      <c r="E119" s="393"/>
      <c r="F119" s="393"/>
      <c r="G119" s="393"/>
      <c r="H119" s="393"/>
      <c r="I119" s="393"/>
      <c r="J119" s="393"/>
      <c r="K119" s="393"/>
      <c r="L119" s="393"/>
      <c r="M119" s="393"/>
      <c r="N119" s="393"/>
      <c r="O119" s="393"/>
      <c r="P119" s="393"/>
      <c r="Q119" s="393"/>
      <c r="R119" s="393"/>
      <c r="S119" s="393"/>
      <c r="T119" s="393"/>
      <c r="U119" s="393"/>
      <c r="V119" s="393"/>
      <c r="W119" s="393"/>
      <c r="X119" s="393"/>
      <c r="Y119" s="393"/>
      <c r="Z119" s="393"/>
      <c r="AA119" s="393"/>
      <c r="AB119" s="393"/>
      <c r="AC119" s="393"/>
      <c r="AD119" s="393"/>
      <c r="AE119" s="393"/>
      <c r="AF119" s="393"/>
      <c r="AG119" s="393"/>
      <c r="AH119" s="393"/>
      <c r="AI119" s="393"/>
      <c r="AJ119" s="393"/>
      <c r="AK119" s="393"/>
      <c r="AL119" s="393"/>
      <c r="AM119" s="393"/>
      <c r="AN119" s="393"/>
      <c r="AO119" s="393"/>
      <c r="AP119" s="393"/>
      <c r="AQ119" s="393"/>
      <c r="AR119" s="393"/>
      <c r="AS119" s="393"/>
      <c r="AT119" s="393"/>
      <c r="AU119" s="393"/>
      <c r="AV119" s="393"/>
      <c r="AW119" s="393"/>
      <c r="AX119" s="393"/>
      <c r="AY119" s="403"/>
      <c r="AZ119" s="403"/>
      <c r="BA119" s="403"/>
      <c r="BB119" s="403"/>
      <c r="BC119" s="403"/>
      <c r="BD119" s="403"/>
      <c r="BE119" s="403"/>
      <c r="BF119" s="403"/>
      <c r="BG119" s="403"/>
      <c r="BH119" s="403"/>
      <c r="BI119" s="403"/>
      <c r="BJ119" s="403"/>
      <c r="BK119" s="403"/>
      <c r="BL119" s="403"/>
      <c r="BM119" s="403"/>
      <c r="BN119" s="403"/>
      <c r="BO119" s="403"/>
      <c r="BP119" s="403"/>
      <c r="BQ119" s="403"/>
      <c r="BR119" s="403"/>
      <c r="BS119" s="403"/>
    </row>
    <row r="120" ht="11.25" customHeight="1">
      <c r="A120" s="393"/>
      <c r="B120" s="393"/>
      <c r="C120" s="393"/>
      <c r="D120" s="393"/>
      <c r="E120" s="393"/>
      <c r="F120" s="393"/>
      <c r="G120" s="393"/>
      <c r="H120" s="393"/>
      <c r="I120" s="393"/>
      <c r="J120" s="393"/>
      <c r="K120" s="393"/>
      <c r="L120" s="393"/>
      <c r="M120" s="393"/>
      <c r="N120" s="393"/>
      <c r="O120" s="393"/>
      <c r="P120" s="393"/>
      <c r="Q120" s="393"/>
      <c r="R120" s="393"/>
      <c r="S120" s="393"/>
      <c r="T120" s="393"/>
      <c r="U120" s="393"/>
      <c r="V120" s="393"/>
      <c r="W120" s="393"/>
      <c r="X120" s="393"/>
      <c r="Y120" s="393"/>
      <c r="Z120" s="393"/>
      <c r="AA120" s="393"/>
      <c r="AB120" s="393"/>
      <c r="AC120" s="393"/>
      <c r="AD120" s="393"/>
      <c r="AE120" s="393"/>
      <c r="AF120" s="393"/>
      <c r="AG120" s="393"/>
      <c r="AH120" s="393"/>
      <c r="AI120" s="393"/>
      <c r="AJ120" s="393"/>
      <c r="AK120" s="393"/>
      <c r="AL120" s="393"/>
      <c r="AM120" s="393"/>
      <c r="AN120" s="393"/>
      <c r="AO120" s="393"/>
      <c r="AP120" s="393"/>
      <c r="AQ120" s="393"/>
      <c r="AR120" s="393"/>
      <c r="AS120" s="393"/>
      <c r="AT120" s="393"/>
      <c r="AU120" s="393"/>
      <c r="AV120" s="393"/>
      <c r="AW120" s="393"/>
      <c r="AX120" s="393"/>
      <c r="AY120" s="403"/>
      <c r="AZ120" s="403"/>
      <c r="BA120" s="403"/>
      <c r="BB120" s="403"/>
      <c r="BC120" s="403"/>
      <c r="BD120" s="403"/>
      <c r="BE120" s="403"/>
      <c r="BF120" s="403"/>
      <c r="BG120" s="403"/>
      <c r="BH120" s="403"/>
      <c r="BI120" s="403"/>
      <c r="BJ120" s="403"/>
      <c r="BK120" s="403"/>
      <c r="BL120" s="403"/>
      <c r="BM120" s="403"/>
      <c r="BN120" s="403"/>
      <c r="BO120" s="403"/>
      <c r="BP120" s="403"/>
      <c r="BQ120" s="403"/>
      <c r="BR120" s="403"/>
      <c r="BS120" s="403"/>
    </row>
    <row r="121" ht="11.25" customHeight="1">
      <c r="A121" s="393"/>
      <c r="B121" s="393"/>
      <c r="C121" s="393"/>
      <c r="D121" s="393"/>
      <c r="E121" s="393"/>
      <c r="F121" s="393"/>
      <c r="G121" s="393"/>
      <c r="H121" s="393"/>
      <c r="I121" s="393"/>
      <c r="J121" s="393"/>
      <c r="K121" s="393"/>
      <c r="L121" s="393"/>
      <c r="M121" s="393"/>
      <c r="N121" s="393"/>
      <c r="O121" s="393"/>
      <c r="P121" s="393"/>
      <c r="Q121" s="393"/>
      <c r="R121" s="393"/>
      <c r="S121" s="393"/>
      <c r="T121" s="393"/>
      <c r="U121" s="393"/>
      <c r="V121" s="393"/>
      <c r="W121" s="393"/>
      <c r="X121" s="393"/>
      <c r="Y121" s="393"/>
      <c r="Z121" s="393"/>
      <c r="AA121" s="393"/>
      <c r="AB121" s="393"/>
      <c r="AC121" s="393"/>
      <c r="AD121" s="393"/>
      <c r="AE121" s="393"/>
      <c r="AF121" s="393"/>
      <c r="AG121" s="393"/>
      <c r="AH121" s="393"/>
      <c r="AI121" s="393"/>
      <c r="AJ121" s="393"/>
      <c r="AK121" s="393"/>
      <c r="AL121" s="393"/>
      <c r="AM121" s="393"/>
      <c r="AN121" s="393"/>
      <c r="AO121" s="393"/>
      <c r="AP121" s="393"/>
      <c r="AQ121" s="393"/>
      <c r="AR121" s="393"/>
      <c r="AS121" s="393"/>
      <c r="AT121" s="393"/>
      <c r="AU121" s="393"/>
      <c r="AV121" s="393"/>
      <c r="AW121" s="393"/>
      <c r="AX121" s="393"/>
      <c r="AY121" s="403"/>
      <c r="AZ121" s="403"/>
      <c r="BA121" s="403"/>
      <c r="BB121" s="403"/>
      <c r="BC121" s="403"/>
      <c r="BD121" s="403"/>
      <c r="BE121" s="403"/>
      <c r="BF121" s="403"/>
      <c r="BG121" s="403"/>
      <c r="BH121" s="403"/>
      <c r="BI121" s="403"/>
      <c r="BJ121" s="403"/>
      <c r="BK121" s="403"/>
      <c r="BL121" s="403"/>
      <c r="BM121" s="403"/>
      <c r="BN121" s="403"/>
      <c r="BO121" s="403"/>
      <c r="BP121" s="403"/>
      <c r="BQ121" s="403"/>
      <c r="BR121" s="403"/>
      <c r="BS121" s="403"/>
    </row>
    <row r="122" ht="11.25" customHeight="1">
      <c r="A122" s="393"/>
      <c r="B122" s="393"/>
      <c r="C122" s="393"/>
      <c r="D122" s="393"/>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c r="AA122" s="393"/>
      <c r="AB122" s="393"/>
      <c r="AC122" s="393"/>
      <c r="AD122" s="393"/>
      <c r="AE122" s="393"/>
      <c r="AF122" s="393"/>
      <c r="AG122" s="393"/>
      <c r="AH122" s="393"/>
      <c r="AI122" s="393"/>
      <c r="AJ122" s="393"/>
      <c r="AK122" s="393"/>
      <c r="AL122" s="393"/>
      <c r="AM122" s="393"/>
      <c r="AN122" s="393"/>
      <c r="AO122" s="393"/>
      <c r="AP122" s="393"/>
      <c r="AQ122" s="393"/>
      <c r="AR122" s="393"/>
      <c r="AS122" s="393"/>
      <c r="AT122" s="393"/>
      <c r="AU122" s="393"/>
      <c r="AV122" s="393"/>
      <c r="AW122" s="393"/>
      <c r="AX122" s="393"/>
      <c r="AY122" s="403"/>
      <c r="AZ122" s="403"/>
      <c r="BA122" s="403"/>
      <c r="BB122" s="403"/>
      <c r="BC122" s="403"/>
      <c r="BD122" s="403"/>
      <c r="BE122" s="403"/>
      <c r="BF122" s="403"/>
      <c r="BG122" s="403"/>
      <c r="BH122" s="403"/>
      <c r="BI122" s="403"/>
      <c r="BJ122" s="403"/>
      <c r="BK122" s="403"/>
      <c r="BL122" s="403"/>
      <c r="BM122" s="403"/>
      <c r="BN122" s="403"/>
      <c r="BO122" s="403"/>
      <c r="BP122" s="403"/>
      <c r="BQ122" s="403"/>
      <c r="BR122" s="403"/>
      <c r="BS122" s="403"/>
    </row>
    <row r="123" ht="11.25" customHeight="1">
      <c r="A123" s="393"/>
      <c r="B123" s="393"/>
      <c r="C123" s="393"/>
      <c r="D123" s="393"/>
      <c r="E123" s="393"/>
      <c r="F123" s="393"/>
      <c r="G123" s="393"/>
      <c r="H123" s="393"/>
      <c r="I123" s="393"/>
      <c r="J123" s="393"/>
      <c r="K123" s="393"/>
      <c r="L123" s="393"/>
      <c r="M123" s="393"/>
      <c r="N123" s="393"/>
      <c r="O123" s="393"/>
      <c r="P123" s="393"/>
      <c r="Q123" s="393"/>
      <c r="R123" s="393"/>
      <c r="S123" s="393"/>
      <c r="T123" s="393"/>
      <c r="U123" s="393"/>
      <c r="V123" s="393"/>
      <c r="W123" s="393"/>
      <c r="X123" s="393"/>
      <c r="Y123" s="393"/>
      <c r="Z123" s="393"/>
      <c r="AA123" s="393"/>
      <c r="AB123" s="393"/>
      <c r="AC123" s="393"/>
      <c r="AD123" s="393"/>
      <c r="AE123" s="393"/>
      <c r="AF123" s="393"/>
      <c r="AG123" s="393"/>
      <c r="AH123" s="393"/>
      <c r="AI123" s="393"/>
      <c r="AJ123" s="393"/>
      <c r="AK123" s="393"/>
      <c r="AL123" s="393"/>
      <c r="AM123" s="393"/>
      <c r="AN123" s="393"/>
      <c r="AO123" s="393"/>
      <c r="AP123" s="393"/>
      <c r="AQ123" s="393"/>
      <c r="AR123" s="393"/>
      <c r="AS123" s="393"/>
      <c r="AT123" s="393"/>
      <c r="AU123" s="393"/>
      <c r="AV123" s="393"/>
      <c r="AW123" s="393"/>
      <c r="AX123" s="393"/>
      <c r="AY123" s="403"/>
      <c r="AZ123" s="403"/>
      <c r="BA123" s="403"/>
      <c r="BB123" s="403"/>
      <c r="BC123" s="403"/>
      <c r="BD123" s="403"/>
      <c r="BE123" s="403"/>
      <c r="BF123" s="403"/>
      <c r="BG123" s="403"/>
      <c r="BH123" s="403"/>
      <c r="BI123" s="403"/>
      <c r="BJ123" s="403"/>
      <c r="BK123" s="403"/>
      <c r="BL123" s="403"/>
      <c r="BM123" s="403"/>
      <c r="BN123" s="403"/>
      <c r="BO123" s="403"/>
      <c r="BP123" s="403"/>
      <c r="BQ123" s="403"/>
      <c r="BR123" s="403"/>
      <c r="BS123" s="403"/>
    </row>
    <row r="124" ht="11.25" customHeight="1">
      <c r="A124" s="393"/>
      <c r="B124" s="393"/>
      <c r="C124" s="393"/>
      <c r="D124" s="393"/>
      <c r="E124" s="393"/>
      <c r="F124" s="393"/>
      <c r="G124" s="393"/>
      <c r="H124" s="393"/>
      <c r="I124" s="393"/>
      <c r="J124" s="393"/>
      <c r="K124" s="393"/>
      <c r="L124" s="393"/>
      <c r="M124" s="393"/>
      <c r="N124" s="393"/>
      <c r="O124" s="393"/>
      <c r="P124" s="393"/>
      <c r="Q124" s="393"/>
      <c r="R124" s="393"/>
      <c r="S124" s="393"/>
      <c r="T124" s="393"/>
      <c r="U124" s="393"/>
      <c r="V124" s="393"/>
      <c r="W124" s="393"/>
      <c r="X124" s="393"/>
      <c r="Y124" s="393"/>
      <c r="Z124" s="393"/>
      <c r="AA124" s="393"/>
      <c r="AB124" s="393"/>
      <c r="AC124" s="393"/>
      <c r="AD124" s="393"/>
      <c r="AE124" s="393"/>
      <c r="AF124" s="393"/>
      <c r="AG124" s="393"/>
      <c r="AH124" s="393"/>
      <c r="AI124" s="393"/>
      <c r="AJ124" s="393"/>
      <c r="AK124" s="393"/>
      <c r="AL124" s="393"/>
      <c r="AM124" s="393"/>
      <c r="AN124" s="393"/>
      <c r="AO124" s="393"/>
      <c r="AP124" s="393"/>
      <c r="AQ124" s="393"/>
      <c r="AR124" s="393"/>
      <c r="AS124" s="393"/>
      <c r="AT124" s="393"/>
      <c r="AU124" s="393"/>
      <c r="AV124" s="393"/>
      <c r="AW124" s="393"/>
      <c r="AX124" s="393"/>
      <c r="AY124" s="403"/>
      <c r="AZ124" s="403"/>
      <c r="BA124" s="403"/>
      <c r="BB124" s="403"/>
      <c r="BC124" s="403"/>
      <c r="BD124" s="403"/>
      <c r="BE124" s="403"/>
      <c r="BF124" s="403"/>
      <c r="BG124" s="403"/>
      <c r="BH124" s="403"/>
      <c r="BI124" s="403"/>
      <c r="BJ124" s="403"/>
      <c r="BK124" s="403"/>
      <c r="BL124" s="403"/>
      <c r="BM124" s="403"/>
      <c r="BN124" s="403"/>
      <c r="BO124" s="403"/>
      <c r="BP124" s="403"/>
      <c r="BQ124" s="403"/>
      <c r="BR124" s="403"/>
      <c r="BS124" s="403"/>
    </row>
    <row r="125" ht="11.25" customHeight="1">
      <c r="A125" s="393"/>
      <c r="B125" s="393"/>
      <c r="C125" s="393"/>
      <c r="D125" s="393"/>
      <c r="E125" s="393"/>
      <c r="F125" s="393"/>
      <c r="G125" s="393"/>
      <c r="H125" s="393"/>
      <c r="I125" s="393"/>
      <c r="J125" s="393"/>
      <c r="K125" s="393"/>
      <c r="L125" s="393"/>
      <c r="M125" s="393"/>
      <c r="N125" s="393"/>
      <c r="O125" s="393"/>
      <c r="P125" s="393"/>
      <c r="Q125" s="393"/>
      <c r="R125" s="393"/>
      <c r="S125" s="393"/>
      <c r="T125" s="393"/>
      <c r="U125" s="393"/>
      <c r="V125" s="393"/>
      <c r="W125" s="393"/>
      <c r="X125" s="393"/>
      <c r="Y125" s="393"/>
      <c r="Z125" s="393"/>
      <c r="AA125" s="393"/>
      <c r="AB125" s="393"/>
      <c r="AC125" s="393"/>
      <c r="AD125" s="393"/>
      <c r="AE125" s="393"/>
      <c r="AF125" s="393"/>
      <c r="AG125" s="393"/>
      <c r="AH125" s="393"/>
      <c r="AI125" s="393"/>
      <c r="AJ125" s="393"/>
      <c r="AK125" s="393"/>
      <c r="AL125" s="393"/>
      <c r="AM125" s="393"/>
      <c r="AN125" s="393"/>
      <c r="AO125" s="393"/>
      <c r="AP125" s="393"/>
      <c r="AQ125" s="393"/>
      <c r="AR125" s="393"/>
      <c r="AS125" s="393"/>
      <c r="AT125" s="393"/>
      <c r="AU125" s="393"/>
      <c r="AV125" s="393"/>
      <c r="AW125" s="393"/>
      <c r="AX125" s="393"/>
      <c r="AY125" s="403"/>
      <c r="AZ125" s="403"/>
      <c r="BA125" s="403"/>
      <c r="BB125" s="403"/>
      <c r="BC125" s="403"/>
      <c r="BD125" s="403"/>
      <c r="BE125" s="403"/>
      <c r="BF125" s="403"/>
      <c r="BG125" s="403"/>
      <c r="BH125" s="403"/>
      <c r="BI125" s="403"/>
      <c r="BJ125" s="403"/>
      <c r="BK125" s="403"/>
      <c r="BL125" s="403"/>
      <c r="BM125" s="403"/>
      <c r="BN125" s="403"/>
      <c r="BO125" s="403"/>
      <c r="BP125" s="403"/>
      <c r="BQ125" s="403"/>
      <c r="BR125" s="403"/>
      <c r="BS125" s="403"/>
    </row>
    <row r="126" ht="11.25" customHeight="1">
      <c r="A126" s="393"/>
      <c r="B126" s="393"/>
      <c r="C126" s="393"/>
      <c r="D126" s="393"/>
      <c r="E126" s="393"/>
      <c r="F126" s="393"/>
      <c r="G126" s="393"/>
      <c r="H126" s="393"/>
      <c r="I126" s="393"/>
      <c r="J126" s="393"/>
      <c r="K126" s="393"/>
      <c r="L126" s="393"/>
      <c r="M126" s="393"/>
      <c r="N126" s="393"/>
      <c r="O126" s="393"/>
      <c r="P126" s="393"/>
      <c r="Q126" s="393"/>
      <c r="R126" s="393"/>
      <c r="S126" s="393"/>
      <c r="T126" s="393"/>
      <c r="U126" s="393"/>
      <c r="V126" s="393"/>
      <c r="W126" s="393"/>
      <c r="X126" s="393"/>
      <c r="Y126" s="393"/>
      <c r="Z126" s="393"/>
      <c r="AA126" s="393"/>
      <c r="AB126" s="393"/>
      <c r="AC126" s="393"/>
      <c r="AD126" s="393"/>
      <c r="AE126" s="393"/>
      <c r="AF126" s="393"/>
      <c r="AG126" s="393"/>
      <c r="AH126" s="393"/>
      <c r="AI126" s="393"/>
      <c r="AJ126" s="393"/>
      <c r="AK126" s="393"/>
      <c r="AL126" s="393"/>
      <c r="AM126" s="393"/>
      <c r="AN126" s="393"/>
      <c r="AO126" s="393"/>
      <c r="AP126" s="393"/>
      <c r="AQ126" s="393"/>
      <c r="AR126" s="393"/>
      <c r="AS126" s="393"/>
      <c r="AT126" s="393"/>
      <c r="AU126" s="393"/>
      <c r="AV126" s="393"/>
      <c r="AW126" s="393"/>
      <c r="AX126" s="393"/>
      <c r="AY126" s="403"/>
      <c r="AZ126" s="403"/>
      <c r="BA126" s="403"/>
      <c r="BB126" s="403"/>
      <c r="BC126" s="403"/>
      <c r="BD126" s="403"/>
      <c r="BE126" s="403"/>
      <c r="BF126" s="403"/>
      <c r="BG126" s="403"/>
      <c r="BH126" s="403"/>
      <c r="BI126" s="403"/>
      <c r="BJ126" s="403"/>
      <c r="BK126" s="403"/>
      <c r="BL126" s="403"/>
      <c r="BM126" s="403"/>
      <c r="BN126" s="403"/>
      <c r="BO126" s="403"/>
      <c r="BP126" s="403"/>
      <c r="BQ126" s="403"/>
      <c r="BR126" s="403"/>
      <c r="BS126" s="403"/>
    </row>
    <row r="127" ht="11.25" customHeight="1">
      <c r="A127" s="393"/>
      <c r="B127" s="393"/>
      <c r="C127" s="393"/>
      <c r="D127" s="393"/>
      <c r="E127" s="393"/>
      <c r="F127" s="393"/>
      <c r="G127" s="393"/>
      <c r="H127" s="393"/>
      <c r="I127" s="393"/>
      <c r="J127" s="393"/>
      <c r="K127" s="393"/>
      <c r="L127" s="393"/>
      <c r="M127" s="393"/>
      <c r="N127" s="393"/>
      <c r="O127" s="393"/>
      <c r="P127" s="393"/>
      <c r="Q127" s="393"/>
      <c r="R127" s="393"/>
      <c r="S127" s="393"/>
      <c r="T127" s="393"/>
      <c r="U127" s="393"/>
      <c r="V127" s="393"/>
      <c r="W127" s="393"/>
      <c r="X127" s="393"/>
      <c r="Y127" s="393"/>
      <c r="Z127" s="393"/>
      <c r="AA127" s="393"/>
      <c r="AB127" s="393"/>
      <c r="AC127" s="393"/>
      <c r="AD127" s="393"/>
      <c r="AE127" s="393"/>
      <c r="AF127" s="393"/>
      <c r="AG127" s="393"/>
      <c r="AH127" s="393"/>
      <c r="AI127" s="393"/>
      <c r="AJ127" s="393"/>
      <c r="AK127" s="393"/>
      <c r="AL127" s="393"/>
      <c r="AM127" s="393"/>
      <c r="AN127" s="393"/>
      <c r="AO127" s="393"/>
      <c r="AP127" s="393"/>
      <c r="AQ127" s="393"/>
      <c r="AR127" s="393"/>
      <c r="AS127" s="393"/>
      <c r="AT127" s="393"/>
      <c r="AU127" s="393"/>
      <c r="AV127" s="393"/>
      <c r="AW127" s="393"/>
      <c r="AX127" s="393"/>
      <c r="AY127" s="403"/>
      <c r="AZ127" s="403"/>
      <c r="BA127" s="403"/>
      <c r="BB127" s="403"/>
      <c r="BC127" s="403"/>
      <c r="BD127" s="403"/>
      <c r="BE127" s="403"/>
      <c r="BF127" s="403"/>
      <c r="BG127" s="403"/>
      <c r="BH127" s="403"/>
      <c r="BI127" s="403"/>
      <c r="BJ127" s="403"/>
      <c r="BK127" s="403"/>
      <c r="BL127" s="403"/>
      <c r="BM127" s="403"/>
      <c r="BN127" s="403"/>
      <c r="BO127" s="403"/>
      <c r="BP127" s="403"/>
      <c r="BQ127" s="403"/>
      <c r="BR127" s="403"/>
      <c r="BS127" s="403"/>
    </row>
    <row r="128" ht="11.25" customHeight="1">
      <c r="A128" s="393"/>
      <c r="B128" s="393"/>
      <c r="C128" s="393"/>
      <c r="D128" s="393"/>
      <c r="E128" s="393"/>
      <c r="F128" s="393"/>
      <c r="G128" s="393"/>
      <c r="H128" s="393"/>
      <c r="I128" s="393"/>
      <c r="J128" s="393"/>
      <c r="K128" s="393"/>
      <c r="L128" s="393"/>
      <c r="M128" s="393"/>
      <c r="N128" s="393"/>
      <c r="O128" s="393"/>
      <c r="P128" s="393"/>
      <c r="Q128" s="393"/>
      <c r="R128" s="393"/>
      <c r="S128" s="393"/>
      <c r="T128" s="393"/>
      <c r="U128" s="393"/>
      <c r="V128" s="393"/>
      <c r="W128" s="393"/>
      <c r="X128" s="393"/>
      <c r="Y128" s="393"/>
      <c r="Z128" s="393"/>
      <c r="AA128" s="393"/>
      <c r="AB128" s="393"/>
      <c r="AC128" s="393"/>
      <c r="AD128" s="393"/>
      <c r="AE128" s="393"/>
      <c r="AF128" s="393"/>
      <c r="AG128" s="393"/>
      <c r="AH128" s="393"/>
      <c r="AI128" s="393"/>
      <c r="AJ128" s="393"/>
      <c r="AK128" s="393"/>
      <c r="AL128" s="393"/>
      <c r="AM128" s="393"/>
      <c r="AN128" s="393"/>
      <c r="AO128" s="393"/>
      <c r="AP128" s="393"/>
      <c r="AQ128" s="393"/>
      <c r="AR128" s="393"/>
      <c r="AS128" s="393"/>
      <c r="AT128" s="393"/>
      <c r="AU128" s="393"/>
      <c r="AV128" s="393"/>
      <c r="AW128" s="393"/>
      <c r="AX128" s="393"/>
      <c r="AY128" s="403"/>
      <c r="AZ128" s="403"/>
      <c r="BA128" s="403"/>
      <c r="BB128" s="403"/>
      <c r="BC128" s="403"/>
      <c r="BD128" s="403"/>
      <c r="BE128" s="403"/>
      <c r="BF128" s="403"/>
      <c r="BG128" s="403"/>
      <c r="BH128" s="403"/>
      <c r="BI128" s="403"/>
      <c r="BJ128" s="403"/>
      <c r="BK128" s="403"/>
      <c r="BL128" s="403"/>
      <c r="BM128" s="403"/>
      <c r="BN128" s="403"/>
      <c r="BO128" s="403"/>
      <c r="BP128" s="403"/>
      <c r="BQ128" s="403"/>
      <c r="BR128" s="403"/>
      <c r="BS128" s="403"/>
    </row>
    <row r="129" ht="11.25" customHeight="1">
      <c r="A129" s="393"/>
      <c r="B129" s="393"/>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3"/>
      <c r="AF129" s="393"/>
      <c r="AG129" s="393"/>
      <c r="AH129" s="393"/>
      <c r="AI129" s="393"/>
      <c r="AJ129" s="393"/>
      <c r="AK129" s="393"/>
      <c r="AL129" s="393"/>
      <c r="AM129" s="393"/>
      <c r="AN129" s="393"/>
      <c r="AO129" s="393"/>
      <c r="AP129" s="393"/>
      <c r="AQ129" s="393"/>
      <c r="AR129" s="393"/>
      <c r="AS129" s="393"/>
      <c r="AT129" s="393"/>
      <c r="AU129" s="393"/>
      <c r="AV129" s="393"/>
      <c r="AW129" s="393"/>
      <c r="AX129" s="393"/>
      <c r="AY129" s="403"/>
      <c r="AZ129" s="403"/>
      <c r="BA129" s="403"/>
      <c r="BB129" s="403"/>
      <c r="BC129" s="403"/>
      <c r="BD129" s="403"/>
      <c r="BE129" s="403"/>
      <c r="BF129" s="403"/>
      <c r="BG129" s="403"/>
      <c r="BH129" s="403"/>
      <c r="BI129" s="403"/>
      <c r="BJ129" s="403"/>
      <c r="BK129" s="403"/>
      <c r="BL129" s="403"/>
      <c r="BM129" s="403"/>
      <c r="BN129" s="403"/>
      <c r="BO129" s="403"/>
      <c r="BP129" s="403"/>
      <c r="BQ129" s="403"/>
      <c r="BR129" s="403"/>
      <c r="BS129" s="403"/>
    </row>
    <row r="130" ht="11.25" customHeight="1">
      <c r="A130" s="393"/>
      <c r="B130" s="393"/>
      <c r="C130" s="393"/>
      <c r="D130" s="393"/>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93"/>
      <c r="AQ130" s="393"/>
      <c r="AR130" s="393"/>
      <c r="AS130" s="393"/>
      <c r="AT130" s="393"/>
      <c r="AU130" s="393"/>
      <c r="AV130" s="393"/>
      <c r="AW130" s="393"/>
      <c r="AX130" s="393"/>
      <c r="AY130" s="403"/>
      <c r="AZ130" s="403"/>
      <c r="BA130" s="403"/>
      <c r="BB130" s="403"/>
      <c r="BC130" s="403"/>
      <c r="BD130" s="403"/>
      <c r="BE130" s="403"/>
      <c r="BF130" s="403"/>
      <c r="BG130" s="403"/>
      <c r="BH130" s="403"/>
      <c r="BI130" s="403"/>
      <c r="BJ130" s="403"/>
      <c r="BK130" s="403"/>
      <c r="BL130" s="403"/>
      <c r="BM130" s="403"/>
      <c r="BN130" s="403"/>
      <c r="BO130" s="403"/>
      <c r="BP130" s="403"/>
      <c r="BQ130" s="403"/>
      <c r="BR130" s="403"/>
      <c r="BS130" s="403"/>
    </row>
    <row r="131" ht="11.25" customHeight="1">
      <c r="A131" s="393"/>
      <c r="B131" s="393"/>
      <c r="C131" s="393"/>
      <c r="D131" s="393"/>
      <c r="E131" s="393"/>
      <c r="F131" s="393"/>
      <c r="G131" s="393"/>
      <c r="H131" s="393"/>
      <c r="I131" s="393"/>
      <c r="J131" s="393"/>
      <c r="K131" s="393"/>
      <c r="L131" s="393"/>
      <c r="M131" s="393"/>
      <c r="N131" s="393"/>
      <c r="O131" s="393"/>
      <c r="P131" s="393"/>
      <c r="Q131" s="393"/>
      <c r="R131" s="393"/>
      <c r="S131" s="393"/>
      <c r="T131" s="393"/>
      <c r="U131" s="393"/>
      <c r="V131" s="393"/>
      <c r="W131" s="393"/>
      <c r="X131" s="393"/>
      <c r="Y131" s="393"/>
      <c r="Z131" s="393"/>
      <c r="AA131" s="393"/>
      <c r="AB131" s="393"/>
      <c r="AC131" s="393"/>
      <c r="AD131" s="393"/>
      <c r="AE131" s="393"/>
      <c r="AF131" s="393"/>
      <c r="AG131" s="393"/>
      <c r="AH131" s="393"/>
      <c r="AI131" s="393"/>
      <c r="AJ131" s="393"/>
      <c r="AK131" s="393"/>
      <c r="AL131" s="393"/>
      <c r="AM131" s="393"/>
      <c r="AN131" s="393"/>
      <c r="AO131" s="393"/>
      <c r="AP131" s="393"/>
      <c r="AQ131" s="393"/>
      <c r="AR131" s="393"/>
      <c r="AS131" s="393"/>
      <c r="AT131" s="393"/>
      <c r="AU131" s="393"/>
      <c r="AV131" s="393"/>
      <c r="AW131" s="393"/>
      <c r="AX131" s="393"/>
      <c r="AY131" s="403"/>
      <c r="AZ131" s="403"/>
      <c r="BA131" s="403"/>
      <c r="BB131" s="403"/>
      <c r="BC131" s="403"/>
      <c r="BD131" s="403"/>
      <c r="BE131" s="403"/>
      <c r="BF131" s="403"/>
      <c r="BG131" s="403"/>
      <c r="BH131" s="403"/>
      <c r="BI131" s="403"/>
      <c r="BJ131" s="403"/>
      <c r="BK131" s="403"/>
      <c r="BL131" s="403"/>
      <c r="BM131" s="403"/>
      <c r="BN131" s="403"/>
      <c r="BO131" s="403"/>
      <c r="BP131" s="403"/>
      <c r="BQ131" s="403"/>
      <c r="BR131" s="403"/>
      <c r="BS131" s="403"/>
    </row>
    <row r="132" ht="11.25" customHeight="1">
      <c r="A132" s="393"/>
      <c r="B132" s="393"/>
      <c r="C132" s="393"/>
      <c r="D132" s="393"/>
      <c r="E132" s="393"/>
      <c r="F132" s="393"/>
      <c r="G132" s="393"/>
      <c r="H132" s="393"/>
      <c r="I132" s="393"/>
      <c r="J132" s="393"/>
      <c r="K132" s="393"/>
      <c r="L132" s="393"/>
      <c r="M132" s="393"/>
      <c r="N132" s="393"/>
      <c r="O132" s="393"/>
      <c r="P132" s="393"/>
      <c r="Q132" s="393"/>
      <c r="R132" s="393"/>
      <c r="S132" s="393"/>
      <c r="T132" s="393"/>
      <c r="U132" s="393"/>
      <c r="V132" s="393"/>
      <c r="W132" s="393"/>
      <c r="X132" s="393"/>
      <c r="Y132" s="393"/>
      <c r="Z132" s="393"/>
      <c r="AA132" s="393"/>
      <c r="AB132" s="393"/>
      <c r="AC132" s="393"/>
      <c r="AD132" s="393"/>
      <c r="AE132" s="393"/>
      <c r="AF132" s="393"/>
      <c r="AG132" s="393"/>
      <c r="AH132" s="393"/>
      <c r="AI132" s="393"/>
      <c r="AJ132" s="393"/>
      <c r="AK132" s="393"/>
      <c r="AL132" s="393"/>
      <c r="AM132" s="393"/>
      <c r="AN132" s="393"/>
      <c r="AO132" s="393"/>
      <c r="AP132" s="393"/>
      <c r="AQ132" s="393"/>
      <c r="AR132" s="393"/>
      <c r="AS132" s="393"/>
      <c r="AT132" s="393"/>
      <c r="AU132" s="393"/>
      <c r="AV132" s="393"/>
      <c r="AW132" s="393"/>
      <c r="AX132" s="393"/>
      <c r="AY132" s="403"/>
      <c r="AZ132" s="403"/>
      <c r="BA132" s="403"/>
      <c r="BB132" s="403"/>
      <c r="BC132" s="403"/>
      <c r="BD132" s="403"/>
      <c r="BE132" s="403"/>
      <c r="BF132" s="403"/>
      <c r="BG132" s="403"/>
      <c r="BH132" s="403"/>
      <c r="BI132" s="403"/>
      <c r="BJ132" s="403"/>
      <c r="BK132" s="403"/>
      <c r="BL132" s="403"/>
      <c r="BM132" s="403"/>
      <c r="BN132" s="403"/>
      <c r="BO132" s="403"/>
      <c r="BP132" s="403"/>
      <c r="BQ132" s="403"/>
      <c r="BR132" s="403"/>
      <c r="BS132" s="403"/>
    </row>
    <row r="133" ht="11.25" customHeight="1">
      <c r="A133" s="393"/>
      <c r="B133" s="393"/>
      <c r="C133" s="393"/>
      <c r="D133" s="393"/>
      <c r="E133" s="393"/>
      <c r="F133" s="393"/>
      <c r="G133" s="393"/>
      <c r="H133" s="393"/>
      <c r="I133" s="393"/>
      <c r="J133" s="393"/>
      <c r="K133" s="393"/>
      <c r="L133" s="393"/>
      <c r="M133" s="393"/>
      <c r="N133" s="393"/>
      <c r="O133" s="393"/>
      <c r="P133" s="393"/>
      <c r="Q133" s="393"/>
      <c r="R133" s="393"/>
      <c r="S133" s="393"/>
      <c r="T133" s="393"/>
      <c r="U133" s="393"/>
      <c r="V133" s="393"/>
      <c r="W133" s="393"/>
      <c r="X133" s="393"/>
      <c r="Y133" s="393"/>
      <c r="Z133" s="393"/>
      <c r="AA133" s="393"/>
      <c r="AB133" s="393"/>
      <c r="AC133" s="393"/>
      <c r="AD133" s="393"/>
      <c r="AE133" s="393"/>
      <c r="AF133" s="393"/>
      <c r="AG133" s="393"/>
      <c r="AH133" s="393"/>
      <c r="AI133" s="393"/>
      <c r="AJ133" s="393"/>
      <c r="AK133" s="393"/>
      <c r="AL133" s="393"/>
      <c r="AM133" s="393"/>
      <c r="AN133" s="393"/>
      <c r="AO133" s="393"/>
      <c r="AP133" s="393"/>
      <c r="AQ133" s="393"/>
      <c r="AR133" s="393"/>
      <c r="AS133" s="393"/>
      <c r="AT133" s="393"/>
      <c r="AU133" s="393"/>
      <c r="AV133" s="393"/>
      <c r="AW133" s="393"/>
      <c r="AX133" s="393"/>
      <c r="AY133" s="403"/>
      <c r="AZ133" s="403"/>
      <c r="BA133" s="403"/>
      <c r="BB133" s="403"/>
      <c r="BC133" s="403"/>
      <c r="BD133" s="403"/>
      <c r="BE133" s="403"/>
      <c r="BF133" s="403"/>
      <c r="BG133" s="403"/>
      <c r="BH133" s="403"/>
      <c r="BI133" s="403"/>
      <c r="BJ133" s="403"/>
      <c r="BK133" s="403"/>
      <c r="BL133" s="403"/>
      <c r="BM133" s="403"/>
      <c r="BN133" s="403"/>
      <c r="BO133" s="403"/>
      <c r="BP133" s="403"/>
      <c r="BQ133" s="403"/>
      <c r="BR133" s="403"/>
      <c r="BS133" s="403"/>
    </row>
    <row r="134" ht="11.25" customHeight="1">
      <c r="A134" s="393"/>
      <c r="B134" s="393"/>
      <c r="C134" s="393"/>
      <c r="D134" s="393"/>
      <c r="E134" s="393"/>
      <c r="F134" s="393"/>
      <c r="G134" s="393"/>
      <c r="H134" s="393"/>
      <c r="I134" s="393"/>
      <c r="J134" s="393"/>
      <c r="K134" s="393"/>
      <c r="L134" s="393"/>
      <c r="M134" s="393"/>
      <c r="N134" s="393"/>
      <c r="O134" s="393"/>
      <c r="P134" s="393"/>
      <c r="Q134" s="393"/>
      <c r="R134" s="393"/>
      <c r="S134" s="393"/>
      <c r="T134" s="393"/>
      <c r="U134" s="393"/>
      <c r="V134" s="393"/>
      <c r="W134" s="393"/>
      <c r="X134" s="393"/>
      <c r="Y134" s="393"/>
      <c r="Z134" s="393"/>
      <c r="AA134" s="393"/>
      <c r="AB134" s="393"/>
      <c r="AC134" s="393"/>
      <c r="AD134" s="393"/>
      <c r="AE134" s="393"/>
      <c r="AF134" s="393"/>
      <c r="AG134" s="393"/>
      <c r="AH134" s="393"/>
      <c r="AI134" s="393"/>
      <c r="AJ134" s="393"/>
      <c r="AK134" s="393"/>
      <c r="AL134" s="393"/>
      <c r="AM134" s="393"/>
      <c r="AN134" s="393"/>
      <c r="AO134" s="393"/>
      <c r="AP134" s="393"/>
      <c r="AQ134" s="393"/>
      <c r="AR134" s="393"/>
      <c r="AS134" s="393"/>
      <c r="AT134" s="393"/>
      <c r="AU134" s="393"/>
      <c r="AV134" s="393"/>
      <c r="AW134" s="393"/>
      <c r="AX134" s="393"/>
      <c r="AY134" s="403"/>
      <c r="AZ134" s="403"/>
      <c r="BA134" s="403"/>
      <c r="BB134" s="403"/>
      <c r="BC134" s="403"/>
      <c r="BD134" s="403"/>
      <c r="BE134" s="403"/>
      <c r="BF134" s="403"/>
      <c r="BG134" s="403"/>
      <c r="BH134" s="403"/>
      <c r="BI134" s="403"/>
      <c r="BJ134" s="403"/>
      <c r="BK134" s="403"/>
      <c r="BL134" s="403"/>
      <c r="BM134" s="403"/>
      <c r="BN134" s="403"/>
      <c r="BO134" s="403"/>
      <c r="BP134" s="403"/>
      <c r="BQ134" s="403"/>
      <c r="BR134" s="403"/>
      <c r="BS134" s="403"/>
    </row>
    <row r="135" ht="11.25" customHeight="1">
      <c r="A135" s="393"/>
      <c r="B135" s="393"/>
      <c r="C135" s="393"/>
      <c r="D135" s="393"/>
      <c r="E135" s="393"/>
      <c r="F135" s="393"/>
      <c r="G135" s="393"/>
      <c r="H135" s="393"/>
      <c r="I135" s="393"/>
      <c r="J135" s="393"/>
      <c r="K135" s="393"/>
      <c r="L135" s="393"/>
      <c r="M135" s="393"/>
      <c r="N135" s="393"/>
      <c r="O135" s="393"/>
      <c r="P135" s="393"/>
      <c r="Q135" s="393"/>
      <c r="R135" s="393"/>
      <c r="S135" s="393"/>
      <c r="T135" s="393"/>
      <c r="U135" s="393"/>
      <c r="V135" s="393"/>
      <c r="W135" s="393"/>
      <c r="X135" s="393"/>
      <c r="Y135" s="393"/>
      <c r="Z135" s="393"/>
      <c r="AA135" s="393"/>
      <c r="AB135" s="393"/>
      <c r="AC135" s="393"/>
      <c r="AD135" s="393"/>
      <c r="AE135" s="393"/>
      <c r="AF135" s="393"/>
      <c r="AG135" s="393"/>
      <c r="AH135" s="393"/>
      <c r="AI135" s="393"/>
      <c r="AJ135" s="393"/>
      <c r="AK135" s="393"/>
      <c r="AL135" s="393"/>
      <c r="AM135" s="393"/>
      <c r="AN135" s="393"/>
      <c r="AO135" s="393"/>
      <c r="AP135" s="393"/>
      <c r="AQ135" s="393"/>
      <c r="AR135" s="393"/>
      <c r="AS135" s="393"/>
      <c r="AT135" s="393"/>
      <c r="AU135" s="393"/>
      <c r="AV135" s="393"/>
      <c r="AW135" s="393"/>
      <c r="AX135" s="393"/>
      <c r="AY135" s="403"/>
      <c r="AZ135" s="403"/>
      <c r="BA135" s="403"/>
      <c r="BB135" s="403"/>
      <c r="BC135" s="403"/>
      <c r="BD135" s="403"/>
      <c r="BE135" s="403"/>
      <c r="BF135" s="403"/>
      <c r="BG135" s="403"/>
      <c r="BH135" s="403"/>
      <c r="BI135" s="403"/>
      <c r="BJ135" s="403"/>
      <c r="BK135" s="403"/>
      <c r="BL135" s="403"/>
      <c r="BM135" s="403"/>
      <c r="BN135" s="403"/>
      <c r="BO135" s="403"/>
      <c r="BP135" s="403"/>
      <c r="BQ135" s="403"/>
      <c r="BR135" s="403"/>
      <c r="BS135" s="403"/>
    </row>
    <row r="136" ht="11.25" customHeight="1">
      <c r="A136" s="393"/>
      <c r="B136" s="393"/>
      <c r="C136" s="393"/>
      <c r="D136" s="393"/>
      <c r="E136" s="393"/>
      <c r="F136" s="393"/>
      <c r="G136" s="393"/>
      <c r="H136" s="393"/>
      <c r="I136" s="393"/>
      <c r="J136" s="393"/>
      <c r="K136" s="393"/>
      <c r="L136" s="393"/>
      <c r="M136" s="393"/>
      <c r="N136" s="393"/>
      <c r="O136" s="393"/>
      <c r="P136" s="393"/>
      <c r="Q136" s="393"/>
      <c r="R136" s="393"/>
      <c r="S136" s="393"/>
      <c r="T136" s="393"/>
      <c r="U136" s="393"/>
      <c r="V136" s="393"/>
      <c r="W136" s="393"/>
      <c r="X136" s="393"/>
      <c r="Y136" s="393"/>
      <c r="Z136" s="393"/>
      <c r="AA136" s="393"/>
      <c r="AB136" s="393"/>
      <c r="AC136" s="393"/>
      <c r="AD136" s="393"/>
      <c r="AE136" s="393"/>
      <c r="AF136" s="393"/>
      <c r="AG136" s="393"/>
      <c r="AH136" s="393"/>
      <c r="AI136" s="393"/>
      <c r="AJ136" s="393"/>
      <c r="AK136" s="393"/>
      <c r="AL136" s="393"/>
      <c r="AM136" s="393"/>
      <c r="AN136" s="393"/>
      <c r="AO136" s="393"/>
      <c r="AP136" s="393"/>
      <c r="AQ136" s="393"/>
      <c r="AR136" s="393"/>
      <c r="AS136" s="393"/>
      <c r="AT136" s="393"/>
      <c r="AU136" s="393"/>
      <c r="AV136" s="393"/>
      <c r="AW136" s="393"/>
      <c r="AX136" s="393"/>
      <c r="AY136" s="403"/>
      <c r="AZ136" s="403"/>
      <c r="BA136" s="403"/>
      <c r="BB136" s="403"/>
      <c r="BC136" s="403"/>
      <c r="BD136" s="403"/>
      <c r="BE136" s="403"/>
      <c r="BF136" s="403"/>
      <c r="BG136" s="403"/>
      <c r="BH136" s="403"/>
      <c r="BI136" s="403"/>
      <c r="BJ136" s="403"/>
      <c r="BK136" s="403"/>
      <c r="BL136" s="403"/>
      <c r="BM136" s="403"/>
      <c r="BN136" s="403"/>
      <c r="BO136" s="403"/>
      <c r="BP136" s="403"/>
      <c r="BQ136" s="403"/>
      <c r="BR136" s="403"/>
      <c r="BS136" s="403"/>
    </row>
    <row r="137" ht="11.25" customHeight="1">
      <c r="A137" s="393"/>
      <c r="B137" s="393"/>
      <c r="C137" s="393"/>
      <c r="D137" s="393"/>
      <c r="E137" s="393"/>
      <c r="F137" s="393"/>
      <c r="G137" s="393"/>
      <c r="H137" s="393"/>
      <c r="I137" s="393"/>
      <c r="J137" s="393"/>
      <c r="K137" s="393"/>
      <c r="L137" s="393"/>
      <c r="M137" s="393"/>
      <c r="N137" s="393"/>
      <c r="O137" s="393"/>
      <c r="P137" s="393"/>
      <c r="Q137" s="393"/>
      <c r="R137" s="393"/>
      <c r="S137" s="393"/>
      <c r="T137" s="393"/>
      <c r="U137" s="393"/>
      <c r="V137" s="393"/>
      <c r="W137" s="393"/>
      <c r="X137" s="393"/>
      <c r="Y137" s="393"/>
      <c r="Z137" s="393"/>
      <c r="AA137" s="393"/>
      <c r="AB137" s="393"/>
      <c r="AC137" s="393"/>
      <c r="AD137" s="393"/>
      <c r="AE137" s="393"/>
      <c r="AF137" s="393"/>
      <c r="AG137" s="393"/>
      <c r="AH137" s="393"/>
      <c r="AI137" s="393"/>
      <c r="AJ137" s="393"/>
      <c r="AK137" s="393"/>
      <c r="AL137" s="393"/>
      <c r="AM137" s="393"/>
      <c r="AN137" s="393"/>
      <c r="AO137" s="393"/>
      <c r="AP137" s="393"/>
      <c r="AQ137" s="393"/>
      <c r="AR137" s="393"/>
      <c r="AS137" s="393"/>
      <c r="AT137" s="393"/>
      <c r="AU137" s="393"/>
      <c r="AV137" s="393"/>
      <c r="AW137" s="393"/>
      <c r="AX137" s="393"/>
      <c r="AY137" s="403"/>
      <c r="AZ137" s="403"/>
      <c r="BA137" s="403"/>
      <c r="BB137" s="403"/>
      <c r="BC137" s="403"/>
      <c r="BD137" s="403"/>
      <c r="BE137" s="403"/>
      <c r="BF137" s="403"/>
      <c r="BG137" s="403"/>
      <c r="BH137" s="403"/>
      <c r="BI137" s="403"/>
      <c r="BJ137" s="403"/>
      <c r="BK137" s="403"/>
      <c r="BL137" s="403"/>
      <c r="BM137" s="403"/>
      <c r="BN137" s="403"/>
      <c r="BO137" s="403"/>
      <c r="BP137" s="403"/>
      <c r="BQ137" s="403"/>
      <c r="BR137" s="403"/>
      <c r="BS137" s="403"/>
    </row>
    <row r="138" ht="11.25" customHeight="1">
      <c r="A138" s="393"/>
      <c r="B138" s="393"/>
      <c r="C138" s="393"/>
      <c r="D138" s="393"/>
      <c r="E138" s="393"/>
      <c r="F138" s="393"/>
      <c r="G138" s="393"/>
      <c r="H138" s="393"/>
      <c r="I138" s="393"/>
      <c r="J138" s="393"/>
      <c r="K138" s="393"/>
      <c r="L138" s="393"/>
      <c r="M138" s="393"/>
      <c r="N138" s="393"/>
      <c r="O138" s="393"/>
      <c r="P138" s="393"/>
      <c r="Q138" s="393"/>
      <c r="R138" s="393"/>
      <c r="S138" s="393"/>
      <c r="T138" s="393"/>
      <c r="U138" s="393"/>
      <c r="V138" s="393"/>
      <c r="W138" s="393"/>
      <c r="X138" s="393"/>
      <c r="Y138" s="393"/>
      <c r="Z138" s="393"/>
      <c r="AA138" s="393"/>
      <c r="AB138" s="393"/>
      <c r="AC138" s="393"/>
      <c r="AD138" s="393"/>
      <c r="AE138" s="393"/>
      <c r="AF138" s="393"/>
      <c r="AG138" s="393"/>
      <c r="AH138" s="393"/>
      <c r="AI138" s="393"/>
      <c r="AJ138" s="393"/>
      <c r="AK138" s="393"/>
      <c r="AL138" s="393"/>
      <c r="AM138" s="393"/>
      <c r="AN138" s="393"/>
      <c r="AO138" s="393"/>
      <c r="AP138" s="393"/>
      <c r="AQ138" s="393"/>
      <c r="AR138" s="393"/>
      <c r="AS138" s="393"/>
      <c r="AT138" s="393"/>
      <c r="AU138" s="393"/>
      <c r="AV138" s="393"/>
      <c r="AW138" s="393"/>
      <c r="AX138" s="393"/>
      <c r="AY138" s="403"/>
      <c r="AZ138" s="403"/>
      <c r="BA138" s="403"/>
      <c r="BB138" s="403"/>
      <c r="BC138" s="403"/>
      <c r="BD138" s="403"/>
      <c r="BE138" s="403"/>
      <c r="BF138" s="403"/>
      <c r="BG138" s="403"/>
      <c r="BH138" s="403"/>
      <c r="BI138" s="403"/>
      <c r="BJ138" s="403"/>
      <c r="BK138" s="403"/>
      <c r="BL138" s="403"/>
      <c r="BM138" s="403"/>
      <c r="BN138" s="403"/>
      <c r="BO138" s="403"/>
      <c r="BP138" s="403"/>
      <c r="BQ138" s="403"/>
      <c r="BR138" s="403"/>
      <c r="BS138" s="403"/>
    </row>
    <row r="139" ht="11.25" customHeight="1">
      <c r="A139" s="393"/>
      <c r="B139" s="393"/>
      <c r="C139" s="393"/>
      <c r="D139" s="393"/>
      <c r="E139" s="393"/>
      <c r="F139" s="393"/>
      <c r="G139" s="393"/>
      <c r="H139" s="393"/>
      <c r="I139" s="393"/>
      <c r="J139" s="393"/>
      <c r="K139" s="393"/>
      <c r="L139" s="393"/>
      <c r="M139" s="393"/>
      <c r="N139" s="393"/>
      <c r="O139" s="393"/>
      <c r="P139" s="393"/>
      <c r="Q139" s="393"/>
      <c r="R139" s="393"/>
      <c r="S139" s="393"/>
      <c r="T139" s="393"/>
      <c r="U139" s="393"/>
      <c r="V139" s="393"/>
      <c r="W139" s="393"/>
      <c r="X139" s="393"/>
      <c r="Y139" s="393"/>
      <c r="Z139" s="393"/>
      <c r="AA139" s="393"/>
      <c r="AB139" s="393"/>
      <c r="AC139" s="393"/>
      <c r="AD139" s="393"/>
      <c r="AE139" s="393"/>
      <c r="AF139" s="393"/>
      <c r="AG139" s="393"/>
      <c r="AH139" s="393"/>
      <c r="AI139" s="393"/>
      <c r="AJ139" s="393"/>
      <c r="AK139" s="393"/>
      <c r="AL139" s="393"/>
      <c r="AM139" s="393"/>
      <c r="AN139" s="393"/>
      <c r="AO139" s="393"/>
      <c r="AP139" s="393"/>
      <c r="AQ139" s="393"/>
      <c r="AR139" s="393"/>
      <c r="AS139" s="393"/>
      <c r="AT139" s="393"/>
      <c r="AU139" s="393"/>
      <c r="AV139" s="393"/>
      <c r="AW139" s="393"/>
      <c r="AX139" s="393"/>
      <c r="AY139" s="403"/>
      <c r="AZ139" s="403"/>
      <c r="BA139" s="403"/>
      <c r="BB139" s="403"/>
      <c r="BC139" s="403"/>
      <c r="BD139" s="403"/>
      <c r="BE139" s="403"/>
      <c r="BF139" s="403"/>
      <c r="BG139" s="403"/>
      <c r="BH139" s="403"/>
      <c r="BI139" s="403"/>
      <c r="BJ139" s="403"/>
      <c r="BK139" s="403"/>
      <c r="BL139" s="403"/>
      <c r="BM139" s="403"/>
      <c r="BN139" s="403"/>
      <c r="BO139" s="403"/>
      <c r="BP139" s="403"/>
      <c r="BQ139" s="403"/>
      <c r="BR139" s="403"/>
      <c r="BS139" s="403"/>
    </row>
    <row r="140" ht="11.25" customHeight="1">
      <c r="A140" s="393"/>
      <c r="B140" s="393"/>
      <c r="C140" s="393"/>
      <c r="D140" s="393"/>
      <c r="E140" s="393"/>
      <c r="F140" s="393"/>
      <c r="G140" s="393"/>
      <c r="H140" s="393"/>
      <c r="I140" s="393"/>
      <c r="J140" s="393"/>
      <c r="K140" s="393"/>
      <c r="L140" s="393"/>
      <c r="M140" s="393"/>
      <c r="N140" s="393"/>
      <c r="O140" s="393"/>
      <c r="P140" s="393"/>
      <c r="Q140" s="393"/>
      <c r="R140" s="393"/>
      <c r="S140" s="393"/>
      <c r="T140" s="393"/>
      <c r="U140" s="393"/>
      <c r="V140" s="393"/>
      <c r="W140" s="393"/>
      <c r="X140" s="393"/>
      <c r="Y140" s="393"/>
      <c r="Z140" s="393"/>
      <c r="AA140" s="393"/>
      <c r="AB140" s="393"/>
      <c r="AC140" s="393"/>
      <c r="AD140" s="393"/>
      <c r="AE140" s="393"/>
      <c r="AF140" s="393"/>
      <c r="AG140" s="393"/>
      <c r="AH140" s="393"/>
      <c r="AI140" s="393"/>
      <c r="AJ140" s="393"/>
      <c r="AK140" s="393"/>
      <c r="AL140" s="393"/>
      <c r="AM140" s="393"/>
      <c r="AN140" s="393"/>
      <c r="AO140" s="393"/>
      <c r="AP140" s="393"/>
      <c r="AQ140" s="393"/>
      <c r="AR140" s="393"/>
      <c r="AS140" s="393"/>
      <c r="AT140" s="393"/>
      <c r="AU140" s="393"/>
      <c r="AV140" s="393"/>
      <c r="AW140" s="393"/>
      <c r="AX140" s="393"/>
      <c r="AY140" s="403"/>
      <c r="AZ140" s="403"/>
      <c r="BA140" s="403"/>
      <c r="BB140" s="403"/>
      <c r="BC140" s="403"/>
      <c r="BD140" s="403"/>
      <c r="BE140" s="403"/>
      <c r="BF140" s="403"/>
      <c r="BG140" s="403"/>
      <c r="BH140" s="403"/>
      <c r="BI140" s="403"/>
      <c r="BJ140" s="403"/>
      <c r="BK140" s="403"/>
      <c r="BL140" s="403"/>
      <c r="BM140" s="403"/>
      <c r="BN140" s="403"/>
      <c r="BO140" s="403"/>
      <c r="BP140" s="403"/>
      <c r="BQ140" s="403"/>
      <c r="BR140" s="403"/>
      <c r="BS140" s="403"/>
    </row>
    <row r="141" ht="11.25" customHeight="1">
      <c r="A141" s="393"/>
      <c r="B141" s="393"/>
      <c r="C141" s="393"/>
      <c r="D141" s="393"/>
      <c r="E141" s="393"/>
      <c r="F141" s="393"/>
      <c r="G141" s="393"/>
      <c r="H141" s="393"/>
      <c r="I141" s="393"/>
      <c r="J141" s="393"/>
      <c r="K141" s="393"/>
      <c r="L141" s="393"/>
      <c r="M141" s="393"/>
      <c r="N141" s="393"/>
      <c r="O141" s="393"/>
      <c r="P141" s="393"/>
      <c r="Q141" s="393"/>
      <c r="R141" s="393"/>
      <c r="S141" s="393"/>
      <c r="T141" s="393"/>
      <c r="U141" s="393"/>
      <c r="V141" s="393"/>
      <c r="W141" s="393"/>
      <c r="X141" s="393"/>
      <c r="Y141" s="393"/>
      <c r="Z141" s="393"/>
      <c r="AA141" s="393"/>
      <c r="AB141" s="393"/>
      <c r="AC141" s="393"/>
      <c r="AD141" s="393"/>
      <c r="AE141" s="393"/>
      <c r="AF141" s="393"/>
      <c r="AG141" s="393"/>
      <c r="AH141" s="393"/>
      <c r="AI141" s="393"/>
      <c r="AJ141" s="393"/>
      <c r="AK141" s="393"/>
      <c r="AL141" s="393"/>
      <c r="AM141" s="393"/>
      <c r="AN141" s="393"/>
      <c r="AO141" s="393"/>
      <c r="AP141" s="393"/>
      <c r="AQ141" s="393"/>
      <c r="AR141" s="393"/>
      <c r="AS141" s="393"/>
      <c r="AT141" s="393"/>
      <c r="AU141" s="393"/>
      <c r="AV141" s="393"/>
      <c r="AW141" s="393"/>
      <c r="AX141" s="393"/>
      <c r="AY141" s="403"/>
      <c r="AZ141" s="403"/>
      <c r="BA141" s="403"/>
      <c r="BB141" s="403"/>
      <c r="BC141" s="403"/>
      <c r="BD141" s="403"/>
      <c r="BE141" s="403"/>
      <c r="BF141" s="403"/>
      <c r="BG141" s="403"/>
      <c r="BH141" s="403"/>
      <c r="BI141" s="403"/>
      <c r="BJ141" s="403"/>
      <c r="BK141" s="403"/>
      <c r="BL141" s="403"/>
      <c r="BM141" s="403"/>
      <c r="BN141" s="403"/>
      <c r="BO141" s="403"/>
      <c r="BP141" s="403"/>
      <c r="BQ141" s="403"/>
      <c r="BR141" s="403"/>
      <c r="BS141" s="403"/>
    </row>
    <row r="142" ht="11.25" customHeight="1">
      <c r="A142" s="393"/>
      <c r="B142" s="393"/>
      <c r="C142" s="393"/>
      <c r="D142" s="393"/>
      <c r="E142" s="393"/>
      <c r="F142" s="393"/>
      <c r="G142" s="393"/>
      <c r="H142" s="393"/>
      <c r="I142" s="393"/>
      <c r="J142" s="393"/>
      <c r="K142" s="393"/>
      <c r="L142" s="393"/>
      <c r="M142" s="393"/>
      <c r="N142" s="393"/>
      <c r="O142" s="393"/>
      <c r="P142" s="393"/>
      <c r="Q142" s="393"/>
      <c r="R142" s="393"/>
      <c r="S142" s="393"/>
      <c r="T142" s="393"/>
      <c r="U142" s="393"/>
      <c r="V142" s="393"/>
      <c r="W142" s="393"/>
      <c r="X142" s="393"/>
      <c r="Y142" s="393"/>
      <c r="Z142" s="393"/>
      <c r="AA142" s="393"/>
      <c r="AB142" s="393"/>
      <c r="AC142" s="393"/>
      <c r="AD142" s="393"/>
      <c r="AE142" s="393"/>
      <c r="AF142" s="393"/>
      <c r="AG142" s="393"/>
      <c r="AH142" s="393"/>
      <c r="AI142" s="393"/>
      <c r="AJ142" s="393"/>
      <c r="AK142" s="393"/>
      <c r="AL142" s="393"/>
      <c r="AM142" s="393"/>
      <c r="AN142" s="393"/>
      <c r="AO142" s="393"/>
      <c r="AP142" s="393"/>
      <c r="AQ142" s="393"/>
      <c r="AR142" s="393"/>
      <c r="AS142" s="393"/>
      <c r="AT142" s="393"/>
      <c r="AU142" s="393"/>
      <c r="AV142" s="393"/>
      <c r="AW142" s="393"/>
      <c r="AX142" s="393"/>
      <c r="AY142" s="403"/>
      <c r="AZ142" s="403"/>
      <c r="BA142" s="403"/>
      <c r="BB142" s="403"/>
      <c r="BC142" s="403"/>
      <c r="BD142" s="403"/>
      <c r="BE142" s="403"/>
      <c r="BF142" s="403"/>
      <c r="BG142" s="403"/>
      <c r="BH142" s="403"/>
      <c r="BI142" s="403"/>
      <c r="BJ142" s="403"/>
      <c r="BK142" s="403"/>
      <c r="BL142" s="403"/>
      <c r="BM142" s="403"/>
      <c r="BN142" s="403"/>
      <c r="BO142" s="403"/>
      <c r="BP142" s="403"/>
      <c r="BQ142" s="403"/>
      <c r="BR142" s="403"/>
      <c r="BS142" s="403"/>
    </row>
    <row r="143" ht="11.25" customHeight="1">
      <c r="A143" s="393"/>
      <c r="B143" s="393"/>
      <c r="C143" s="393"/>
      <c r="D143" s="393"/>
      <c r="E143" s="393"/>
      <c r="F143" s="393"/>
      <c r="G143" s="393"/>
      <c r="H143" s="393"/>
      <c r="I143" s="393"/>
      <c r="J143" s="393"/>
      <c r="K143" s="393"/>
      <c r="L143" s="393"/>
      <c r="M143" s="393"/>
      <c r="N143" s="393"/>
      <c r="O143" s="393"/>
      <c r="P143" s="393"/>
      <c r="Q143" s="393"/>
      <c r="R143" s="393"/>
      <c r="S143" s="393"/>
      <c r="T143" s="393"/>
      <c r="U143" s="393"/>
      <c r="V143" s="393"/>
      <c r="W143" s="393"/>
      <c r="X143" s="393"/>
      <c r="Y143" s="393"/>
      <c r="Z143" s="393"/>
      <c r="AA143" s="393"/>
      <c r="AB143" s="393"/>
      <c r="AC143" s="393"/>
      <c r="AD143" s="393"/>
      <c r="AE143" s="393"/>
      <c r="AF143" s="393"/>
      <c r="AG143" s="393"/>
      <c r="AH143" s="393"/>
      <c r="AI143" s="393"/>
      <c r="AJ143" s="393"/>
      <c r="AK143" s="393"/>
      <c r="AL143" s="393"/>
      <c r="AM143" s="393"/>
      <c r="AN143" s="393"/>
      <c r="AO143" s="393"/>
      <c r="AP143" s="393"/>
      <c r="AQ143" s="393"/>
      <c r="AR143" s="393"/>
      <c r="AS143" s="393"/>
      <c r="AT143" s="393"/>
      <c r="AU143" s="393"/>
      <c r="AV143" s="393"/>
      <c r="AW143" s="393"/>
      <c r="AX143" s="393"/>
      <c r="AY143" s="403"/>
      <c r="AZ143" s="403"/>
      <c r="BA143" s="403"/>
      <c r="BB143" s="403"/>
      <c r="BC143" s="403"/>
      <c r="BD143" s="403"/>
      <c r="BE143" s="403"/>
      <c r="BF143" s="403"/>
      <c r="BG143" s="403"/>
      <c r="BH143" s="403"/>
      <c r="BI143" s="403"/>
      <c r="BJ143" s="403"/>
      <c r="BK143" s="403"/>
      <c r="BL143" s="403"/>
      <c r="BM143" s="403"/>
      <c r="BN143" s="403"/>
      <c r="BO143" s="403"/>
      <c r="BP143" s="403"/>
      <c r="BQ143" s="403"/>
      <c r="BR143" s="403"/>
      <c r="BS143" s="403"/>
    </row>
    <row r="144" ht="11.25" customHeight="1">
      <c r="A144" s="393"/>
      <c r="B144" s="393"/>
      <c r="C144" s="393"/>
      <c r="D144" s="393"/>
      <c r="E144" s="393"/>
      <c r="F144" s="393"/>
      <c r="G144" s="393"/>
      <c r="H144" s="393"/>
      <c r="I144" s="393"/>
      <c r="J144" s="393"/>
      <c r="K144" s="393"/>
      <c r="L144" s="393"/>
      <c r="M144" s="393"/>
      <c r="N144" s="393"/>
      <c r="O144" s="393"/>
      <c r="P144" s="393"/>
      <c r="Q144" s="393"/>
      <c r="R144" s="393"/>
      <c r="S144" s="393"/>
      <c r="T144" s="393"/>
      <c r="U144" s="393"/>
      <c r="V144" s="393"/>
      <c r="W144" s="393"/>
      <c r="X144" s="393"/>
      <c r="Y144" s="393"/>
      <c r="Z144" s="393"/>
      <c r="AA144" s="393"/>
      <c r="AB144" s="393"/>
      <c r="AC144" s="393"/>
      <c r="AD144" s="393"/>
      <c r="AE144" s="393"/>
      <c r="AF144" s="393"/>
      <c r="AG144" s="393"/>
      <c r="AH144" s="393"/>
      <c r="AI144" s="393"/>
      <c r="AJ144" s="393"/>
      <c r="AK144" s="393"/>
      <c r="AL144" s="393"/>
      <c r="AM144" s="393"/>
      <c r="AN144" s="393"/>
      <c r="AO144" s="393"/>
      <c r="AP144" s="393"/>
      <c r="AQ144" s="393"/>
      <c r="AR144" s="393"/>
      <c r="AS144" s="393"/>
      <c r="AT144" s="393"/>
      <c r="AU144" s="393"/>
      <c r="AV144" s="393"/>
      <c r="AW144" s="393"/>
      <c r="AX144" s="393"/>
      <c r="AY144" s="403"/>
      <c r="AZ144" s="403"/>
      <c r="BA144" s="403"/>
      <c r="BB144" s="403"/>
      <c r="BC144" s="403"/>
      <c r="BD144" s="403"/>
      <c r="BE144" s="403"/>
      <c r="BF144" s="403"/>
      <c r="BG144" s="403"/>
      <c r="BH144" s="403"/>
      <c r="BI144" s="403"/>
      <c r="BJ144" s="403"/>
      <c r="BK144" s="403"/>
      <c r="BL144" s="403"/>
      <c r="BM144" s="403"/>
      <c r="BN144" s="403"/>
      <c r="BO144" s="403"/>
      <c r="BP144" s="403"/>
      <c r="BQ144" s="403"/>
      <c r="BR144" s="403"/>
      <c r="BS144" s="403"/>
    </row>
    <row r="145" ht="11.25" customHeight="1">
      <c r="A145" s="393"/>
      <c r="B145" s="393"/>
      <c r="C145" s="393"/>
      <c r="D145" s="393"/>
      <c r="E145" s="393"/>
      <c r="F145" s="393"/>
      <c r="G145" s="393"/>
      <c r="H145" s="393"/>
      <c r="I145" s="393"/>
      <c r="J145" s="393"/>
      <c r="K145" s="393"/>
      <c r="L145" s="393"/>
      <c r="M145" s="393"/>
      <c r="N145" s="393"/>
      <c r="O145" s="393"/>
      <c r="P145" s="393"/>
      <c r="Q145" s="393"/>
      <c r="R145" s="393"/>
      <c r="S145" s="393"/>
      <c r="T145" s="393"/>
      <c r="U145" s="393"/>
      <c r="V145" s="393"/>
      <c r="W145" s="393"/>
      <c r="X145" s="393"/>
      <c r="Y145" s="393"/>
      <c r="Z145" s="393"/>
      <c r="AA145" s="393"/>
      <c r="AB145" s="393"/>
      <c r="AC145" s="393"/>
      <c r="AD145" s="393"/>
      <c r="AE145" s="393"/>
      <c r="AF145" s="393"/>
      <c r="AG145" s="393"/>
      <c r="AH145" s="393"/>
      <c r="AI145" s="393"/>
      <c r="AJ145" s="393"/>
      <c r="AK145" s="393"/>
      <c r="AL145" s="393"/>
      <c r="AM145" s="393"/>
      <c r="AN145" s="393"/>
      <c r="AO145" s="393"/>
      <c r="AP145" s="393"/>
      <c r="AQ145" s="393"/>
      <c r="AR145" s="393"/>
      <c r="AS145" s="393"/>
      <c r="AT145" s="393"/>
      <c r="AU145" s="393"/>
      <c r="AV145" s="393"/>
      <c r="AW145" s="393"/>
      <c r="AX145" s="393"/>
      <c r="AY145" s="403"/>
      <c r="AZ145" s="403"/>
      <c r="BA145" s="403"/>
      <c r="BB145" s="403"/>
      <c r="BC145" s="403"/>
      <c r="BD145" s="403"/>
      <c r="BE145" s="403"/>
      <c r="BF145" s="403"/>
      <c r="BG145" s="403"/>
      <c r="BH145" s="403"/>
      <c r="BI145" s="403"/>
      <c r="BJ145" s="403"/>
      <c r="BK145" s="403"/>
      <c r="BL145" s="403"/>
      <c r="BM145" s="403"/>
      <c r="BN145" s="403"/>
      <c r="BO145" s="403"/>
      <c r="BP145" s="403"/>
      <c r="BQ145" s="403"/>
      <c r="BR145" s="403"/>
      <c r="BS145" s="403"/>
    </row>
    <row r="146" ht="11.25" customHeight="1">
      <c r="A146" s="393"/>
      <c r="B146" s="393"/>
      <c r="C146" s="393"/>
      <c r="D146" s="393"/>
      <c r="E146" s="393"/>
      <c r="F146" s="393"/>
      <c r="G146" s="393"/>
      <c r="H146" s="393"/>
      <c r="I146" s="393"/>
      <c r="J146" s="393"/>
      <c r="K146" s="393"/>
      <c r="L146" s="393"/>
      <c r="M146" s="393"/>
      <c r="N146" s="393"/>
      <c r="O146" s="393"/>
      <c r="P146" s="393"/>
      <c r="Q146" s="393"/>
      <c r="R146" s="393"/>
      <c r="S146" s="393"/>
      <c r="T146" s="393"/>
      <c r="U146" s="393"/>
      <c r="V146" s="393"/>
      <c r="W146" s="393"/>
      <c r="X146" s="393"/>
      <c r="Y146" s="393"/>
      <c r="Z146" s="393"/>
      <c r="AA146" s="393"/>
      <c r="AB146" s="393"/>
      <c r="AC146" s="393"/>
      <c r="AD146" s="393"/>
      <c r="AE146" s="393"/>
      <c r="AF146" s="393"/>
      <c r="AG146" s="393"/>
      <c r="AH146" s="393"/>
      <c r="AI146" s="393"/>
      <c r="AJ146" s="393"/>
      <c r="AK146" s="393"/>
      <c r="AL146" s="393"/>
      <c r="AM146" s="393"/>
      <c r="AN146" s="393"/>
      <c r="AO146" s="393"/>
      <c r="AP146" s="393"/>
      <c r="AQ146" s="393"/>
      <c r="AR146" s="393"/>
      <c r="AS146" s="393"/>
      <c r="AT146" s="393"/>
      <c r="AU146" s="393"/>
      <c r="AV146" s="393"/>
      <c r="AW146" s="393"/>
      <c r="AX146" s="393"/>
      <c r="AY146" s="403"/>
      <c r="AZ146" s="403"/>
      <c r="BA146" s="403"/>
      <c r="BB146" s="403"/>
      <c r="BC146" s="403"/>
      <c r="BD146" s="403"/>
      <c r="BE146" s="403"/>
      <c r="BF146" s="403"/>
      <c r="BG146" s="403"/>
      <c r="BH146" s="403"/>
      <c r="BI146" s="403"/>
      <c r="BJ146" s="403"/>
      <c r="BK146" s="403"/>
      <c r="BL146" s="403"/>
      <c r="BM146" s="403"/>
      <c r="BN146" s="403"/>
      <c r="BO146" s="403"/>
      <c r="BP146" s="403"/>
      <c r="BQ146" s="403"/>
      <c r="BR146" s="403"/>
      <c r="BS146" s="403"/>
    </row>
    <row r="147" ht="11.25" customHeight="1">
      <c r="A147" s="393"/>
      <c r="B147" s="393"/>
      <c r="C147" s="393"/>
      <c r="D147" s="393"/>
      <c r="E147" s="393"/>
      <c r="F147" s="393"/>
      <c r="G147" s="393"/>
      <c r="H147" s="393"/>
      <c r="I147" s="393"/>
      <c r="J147" s="393"/>
      <c r="K147" s="393"/>
      <c r="L147" s="393"/>
      <c r="M147" s="393"/>
      <c r="N147" s="393"/>
      <c r="O147" s="393"/>
      <c r="P147" s="393"/>
      <c r="Q147" s="393"/>
      <c r="R147" s="393"/>
      <c r="S147" s="393"/>
      <c r="T147" s="393"/>
      <c r="U147" s="393"/>
      <c r="V147" s="393"/>
      <c r="W147" s="393"/>
      <c r="X147" s="393"/>
      <c r="Y147" s="393"/>
      <c r="Z147" s="393"/>
      <c r="AA147" s="393"/>
      <c r="AB147" s="393"/>
      <c r="AC147" s="393"/>
      <c r="AD147" s="393"/>
      <c r="AE147" s="393"/>
      <c r="AF147" s="393"/>
      <c r="AG147" s="393"/>
      <c r="AH147" s="393"/>
      <c r="AI147" s="393"/>
      <c r="AJ147" s="393"/>
      <c r="AK147" s="393"/>
      <c r="AL147" s="393"/>
      <c r="AM147" s="393"/>
      <c r="AN147" s="393"/>
      <c r="AO147" s="393"/>
      <c r="AP147" s="393"/>
      <c r="AQ147" s="393"/>
      <c r="AR147" s="393"/>
      <c r="AS147" s="393"/>
      <c r="AT147" s="393"/>
      <c r="AU147" s="393"/>
      <c r="AV147" s="393"/>
      <c r="AW147" s="393"/>
      <c r="AX147" s="393"/>
      <c r="AY147" s="403"/>
      <c r="AZ147" s="403"/>
      <c r="BA147" s="403"/>
      <c r="BB147" s="403"/>
      <c r="BC147" s="403"/>
      <c r="BD147" s="403"/>
      <c r="BE147" s="403"/>
      <c r="BF147" s="403"/>
      <c r="BG147" s="403"/>
      <c r="BH147" s="403"/>
      <c r="BI147" s="403"/>
      <c r="BJ147" s="403"/>
      <c r="BK147" s="403"/>
      <c r="BL147" s="403"/>
      <c r="BM147" s="403"/>
      <c r="BN147" s="403"/>
      <c r="BO147" s="403"/>
      <c r="BP147" s="403"/>
      <c r="BQ147" s="403"/>
      <c r="BR147" s="403"/>
      <c r="BS147" s="403"/>
    </row>
    <row r="148" ht="11.25" customHeight="1">
      <c r="A148" s="393"/>
      <c r="B148" s="393"/>
      <c r="C148" s="393"/>
      <c r="D148" s="393"/>
      <c r="E148" s="393"/>
      <c r="F148" s="393"/>
      <c r="G148" s="393"/>
      <c r="H148" s="393"/>
      <c r="I148" s="393"/>
      <c r="J148" s="393"/>
      <c r="K148" s="393"/>
      <c r="L148" s="393"/>
      <c r="M148" s="393"/>
      <c r="N148" s="393"/>
      <c r="O148" s="393"/>
      <c r="P148" s="393"/>
      <c r="Q148" s="393"/>
      <c r="R148" s="393"/>
      <c r="S148" s="393"/>
      <c r="T148" s="393"/>
      <c r="U148" s="393"/>
      <c r="V148" s="393"/>
      <c r="W148" s="393"/>
      <c r="X148" s="393"/>
      <c r="Y148" s="393"/>
      <c r="Z148" s="393"/>
      <c r="AA148" s="393"/>
      <c r="AB148" s="393"/>
      <c r="AC148" s="393"/>
      <c r="AD148" s="393"/>
      <c r="AE148" s="393"/>
      <c r="AF148" s="393"/>
      <c r="AG148" s="393"/>
      <c r="AH148" s="393"/>
      <c r="AI148" s="393"/>
      <c r="AJ148" s="393"/>
      <c r="AK148" s="393"/>
      <c r="AL148" s="393"/>
      <c r="AM148" s="393"/>
      <c r="AN148" s="393"/>
      <c r="AO148" s="393"/>
      <c r="AP148" s="393"/>
      <c r="AQ148" s="393"/>
      <c r="AR148" s="393"/>
      <c r="AS148" s="393"/>
      <c r="AT148" s="393"/>
      <c r="AU148" s="393"/>
      <c r="AV148" s="393"/>
      <c r="AW148" s="393"/>
      <c r="AX148" s="393"/>
      <c r="AY148" s="403"/>
      <c r="AZ148" s="403"/>
      <c r="BA148" s="403"/>
      <c r="BB148" s="403"/>
      <c r="BC148" s="403"/>
      <c r="BD148" s="403"/>
      <c r="BE148" s="403"/>
      <c r="BF148" s="403"/>
      <c r="BG148" s="403"/>
      <c r="BH148" s="403"/>
      <c r="BI148" s="403"/>
      <c r="BJ148" s="403"/>
      <c r="BK148" s="403"/>
      <c r="BL148" s="403"/>
      <c r="BM148" s="403"/>
      <c r="BN148" s="403"/>
      <c r="BO148" s="403"/>
      <c r="BP148" s="403"/>
      <c r="BQ148" s="403"/>
      <c r="BR148" s="403"/>
      <c r="BS148" s="403"/>
    </row>
    <row r="149" ht="11.25" customHeight="1">
      <c r="A149" s="393"/>
      <c r="B149" s="393"/>
      <c r="C149" s="393"/>
      <c r="D149" s="393"/>
      <c r="E149" s="393"/>
      <c r="F149" s="393"/>
      <c r="G149" s="393"/>
      <c r="H149" s="393"/>
      <c r="I149" s="393"/>
      <c r="J149" s="393"/>
      <c r="K149" s="393"/>
      <c r="L149" s="393"/>
      <c r="M149" s="393"/>
      <c r="N149" s="393"/>
      <c r="O149" s="393"/>
      <c r="P149" s="393"/>
      <c r="Q149" s="393"/>
      <c r="R149" s="393"/>
      <c r="S149" s="393"/>
      <c r="T149" s="393"/>
      <c r="U149" s="393"/>
      <c r="V149" s="393"/>
      <c r="W149" s="393"/>
      <c r="X149" s="393"/>
      <c r="Y149" s="393"/>
      <c r="Z149" s="393"/>
      <c r="AA149" s="393"/>
      <c r="AB149" s="393"/>
      <c r="AC149" s="393"/>
      <c r="AD149" s="393"/>
      <c r="AE149" s="393"/>
      <c r="AF149" s="393"/>
      <c r="AG149" s="393"/>
      <c r="AH149" s="393"/>
      <c r="AI149" s="393"/>
      <c r="AJ149" s="393"/>
      <c r="AK149" s="393"/>
      <c r="AL149" s="393"/>
      <c r="AM149" s="393"/>
      <c r="AN149" s="393"/>
      <c r="AO149" s="393"/>
      <c r="AP149" s="393"/>
      <c r="AQ149" s="393"/>
      <c r="AR149" s="393"/>
      <c r="AS149" s="393"/>
      <c r="AT149" s="393"/>
      <c r="AU149" s="393"/>
      <c r="AV149" s="393"/>
      <c r="AW149" s="393"/>
      <c r="AX149" s="393"/>
      <c r="AY149" s="403"/>
      <c r="AZ149" s="403"/>
      <c r="BA149" s="403"/>
      <c r="BB149" s="403"/>
      <c r="BC149" s="403"/>
      <c r="BD149" s="403"/>
      <c r="BE149" s="403"/>
      <c r="BF149" s="403"/>
      <c r="BG149" s="403"/>
      <c r="BH149" s="403"/>
      <c r="BI149" s="403"/>
      <c r="BJ149" s="403"/>
      <c r="BK149" s="403"/>
      <c r="BL149" s="403"/>
      <c r="BM149" s="403"/>
      <c r="BN149" s="403"/>
      <c r="BO149" s="403"/>
      <c r="BP149" s="403"/>
      <c r="BQ149" s="403"/>
      <c r="BR149" s="403"/>
      <c r="BS149" s="403"/>
    </row>
    <row r="150" ht="11.25" customHeight="1">
      <c r="A150" s="393"/>
      <c r="B150" s="393"/>
      <c r="C150" s="393"/>
      <c r="D150" s="393"/>
      <c r="E150" s="393"/>
      <c r="F150" s="393"/>
      <c r="G150" s="393"/>
      <c r="H150" s="393"/>
      <c r="I150" s="393"/>
      <c r="J150" s="393"/>
      <c r="K150" s="393"/>
      <c r="L150" s="393"/>
      <c r="M150" s="393"/>
      <c r="N150" s="393"/>
      <c r="O150" s="393"/>
      <c r="P150" s="393"/>
      <c r="Q150" s="393"/>
      <c r="R150" s="393"/>
      <c r="S150" s="393"/>
      <c r="T150" s="393"/>
      <c r="U150" s="393"/>
      <c r="V150" s="393"/>
      <c r="W150" s="393"/>
      <c r="X150" s="393"/>
      <c r="Y150" s="393"/>
      <c r="Z150" s="393"/>
      <c r="AA150" s="393"/>
      <c r="AB150" s="393"/>
      <c r="AC150" s="393"/>
      <c r="AD150" s="393"/>
      <c r="AE150" s="393"/>
      <c r="AF150" s="393"/>
      <c r="AG150" s="393"/>
      <c r="AH150" s="393"/>
      <c r="AI150" s="393"/>
      <c r="AJ150" s="393"/>
      <c r="AK150" s="393"/>
      <c r="AL150" s="393"/>
      <c r="AM150" s="393"/>
      <c r="AN150" s="393"/>
      <c r="AO150" s="393"/>
      <c r="AP150" s="393"/>
      <c r="AQ150" s="393"/>
      <c r="AR150" s="393"/>
      <c r="AS150" s="393"/>
      <c r="AT150" s="393"/>
      <c r="AU150" s="393"/>
      <c r="AV150" s="393"/>
      <c r="AW150" s="393"/>
      <c r="AX150" s="393"/>
      <c r="AY150" s="403"/>
      <c r="AZ150" s="403"/>
      <c r="BA150" s="403"/>
      <c r="BB150" s="403"/>
      <c r="BC150" s="403"/>
      <c r="BD150" s="403"/>
      <c r="BE150" s="403"/>
      <c r="BF150" s="403"/>
      <c r="BG150" s="403"/>
      <c r="BH150" s="403"/>
      <c r="BI150" s="403"/>
      <c r="BJ150" s="403"/>
      <c r="BK150" s="403"/>
      <c r="BL150" s="403"/>
      <c r="BM150" s="403"/>
      <c r="BN150" s="403"/>
      <c r="BO150" s="403"/>
      <c r="BP150" s="403"/>
      <c r="BQ150" s="403"/>
      <c r="BR150" s="403"/>
      <c r="BS150" s="403"/>
    </row>
    <row r="151" ht="11.25" customHeight="1">
      <c r="A151" s="393"/>
      <c r="B151" s="393"/>
      <c r="C151" s="393"/>
      <c r="D151" s="393"/>
      <c r="E151" s="393"/>
      <c r="F151" s="393"/>
      <c r="G151" s="393"/>
      <c r="H151" s="393"/>
      <c r="I151" s="393"/>
      <c r="J151" s="393"/>
      <c r="K151" s="393"/>
      <c r="L151" s="393"/>
      <c r="M151" s="393"/>
      <c r="N151" s="393"/>
      <c r="O151" s="393"/>
      <c r="P151" s="393"/>
      <c r="Q151" s="393"/>
      <c r="R151" s="393"/>
      <c r="S151" s="393"/>
      <c r="T151" s="393"/>
      <c r="U151" s="393"/>
      <c r="V151" s="393"/>
      <c r="W151" s="393"/>
      <c r="X151" s="393"/>
      <c r="Y151" s="393"/>
      <c r="Z151" s="393"/>
      <c r="AA151" s="393"/>
      <c r="AB151" s="393"/>
      <c r="AC151" s="393"/>
      <c r="AD151" s="393"/>
      <c r="AE151" s="393"/>
      <c r="AF151" s="393"/>
      <c r="AG151" s="393"/>
      <c r="AH151" s="393"/>
      <c r="AI151" s="393"/>
      <c r="AJ151" s="393"/>
      <c r="AK151" s="393"/>
      <c r="AL151" s="393"/>
      <c r="AM151" s="393"/>
      <c r="AN151" s="393"/>
      <c r="AO151" s="393"/>
      <c r="AP151" s="393"/>
      <c r="AQ151" s="393"/>
      <c r="AR151" s="393"/>
      <c r="AS151" s="393"/>
      <c r="AT151" s="393"/>
      <c r="AU151" s="393"/>
      <c r="AV151" s="393"/>
      <c r="AW151" s="393"/>
      <c r="AX151" s="393"/>
      <c r="AY151" s="403"/>
      <c r="AZ151" s="403"/>
      <c r="BA151" s="403"/>
      <c r="BB151" s="403"/>
      <c r="BC151" s="403"/>
      <c r="BD151" s="403"/>
      <c r="BE151" s="403"/>
      <c r="BF151" s="403"/>
      <c r="BG151" s="403"/>
      <c r="BH151" s="403"/>
      <c r="BI151" s="403"/>
      <c r="BJ151" s="403"/>
      <c r="BK151" s="403"/>
      <c r="BL151" s="403"/>
      <c r="BM151" s="403"/>
      <c r="BN151" s="403"/>
      <c r="BO151" s="403"/>
      <c r="BP151" s="403"/>
      <c r="BQ151" s="403"/>
      <c r="BR151" s="403"/>
      <c r="BS151" s="403"/>
    </row>
    <row r="152" ht="11.25" customHeight="1">
      <c r="A152" s="393"/>
      <c r="B152" s="393"/>
      <c r="C152" s="393"/>
      <c r="D152" s="393"/>
      <c r="E152" s="393"/>
      <c r="F152" s="393"/>
      <c r="G152" s="393"/>
      <c r="H152" s="393"/>
      <c r="I152" s="393"/>
      <c r="J152" s="393"/>
      <c r="K152" s="393"/>
      <c r="L152" s="393"/>
      <c r="M152" s="393"/>
      <c r="N152" s="393"/>
      <c r="O152" s="393"/>
      <c r="P152" s="393"/>
      <c r="Q152" s="393"/>
      <c r="R152" s="393"/>
      <c r="S152" s="393"/>
      <c r="T152" s="393"/>
      <c r="U152" s="393"/>
      <c r="V152" s="393"/>
      <c r="W152" s="393"/>
      <c r="X152" s="393"/>
      <c r="Y152" s="393"/>
      <c r="Z152" s="393"/>
      <c r="AA152" s="393"/>
      <c r="AB152" s="393"/>
      <c r="AC152" s="393"/>
      <c r="AD152" s="393"/>
      <c r="AE152" s="393"/>
      <c r="AF152" s="393"/>
      <c r="AG152" s="393"/>
      <c r="AH152" s="393"/>
      <c r="AI152" s="393"/>
      <c r="AJ152" s="393"/>
      <c r="AK152" s="393"/>
      <c r="AL152" s="393"/>
      <c r="AM152" s="393"/>
      <c r="AN152" s="393"/>
      <c r="AO152" s="393"/>
      <c r="AP152" s="393"/>
      <c r="AQ152" s="393"/>
      <c r="AR152" s="393"/>
      <c r="AS152" s="393"/>
      <c r="AT152" s="393"/>
      <c r="AU152" s="393"/>
      <c r="AV152" s="393"/>
      <c r="AW152" s="393"/>
      <c r="AX152" s="393"/>
      <c r="AY152" s="403"/>
      <c r="AZ152" s="403"/>
      <c r="BA152" s="403"/>
      <c r="BB152" s="403"/>
      <c r="BC152" s="403"/>
      <c r="BD152" s="403"/>
      <c r="BE152" s="403"/>
      <c r="BF152" s="403"/>
      <c r="BG152" s="403"/>
      <c r="BH152" s="403"/>
      <c r="BI152" s="403"/>
      <c r="BJ152" s="403"/>
      <c r="BK152" s="403"/>
      <c r="BL152" s="403"/>
      <c r="BM152" s="403"/>
      <c r="BN152" s="403"/>
      <c r="BO152" s="403"/>
      <c r="BP152" s="403"/>
      <c r="BQ152" s="403"/>
      <c r="BR152" s="403"/>
      <c r="BS152" s="403"/>
    </row>
    <row r="153" ht="11.25" customHeight="1">
      <c r="A153" s="393"/>
      <c r="B153" s="393"/>
      <c r="C153" s="393"/>
      <c r="D153" s="393"/>
      <c r="E153" s="393"/>
      <c r="F153" s="393"/>
      <c r="G153" s="393"/>
      <c r="H153" s="393"/>
      <c r="I153" s="393"/>
      <c r="J153" s="393"/>
      <c r="K153" s="393"/>
      <c r="L153" s="393"/>
      <c r="M153" s="393"/>
      <c r="N153" s="393"/>
      <c r="O153" s="393"/>
      <c r="P153" s="393"/>
      <c r="Q153" s="393"/>
      <c r="R153" s="393"/>
      <c r="S153" s="393"/>
      <c r="T153" s="393"/>
      <c r="U153" s="393"/>
      <c r="V153" s="393"/>
      <c r="W153" s="393"/>
      <c r="X153" s="393"/>
      <c r="Y153" s="393"/>
      <c r="Z153" s="393"/>
      <c r="AA153" s="393"/>
      <c r="AB153" s="393"/>
      <c r="AC153" s="393"/>
      <c r="AD153" s="393"/>
      <c r="AE153" s="393"/>
      <c r="AF153" s="393"/>
      <c r="AG153" s="393"/>
      <c r="AH153" s="393"/>
      <c r="AI153" s="393"/>
      <c r="AJ153" s="393"/>
      <c r="AK153" s="393"/>
      <c r="AL153" s="393"/>
      <c r="AM153" s="393"/>
      <c r="AN153" s="393"/>
      <c r="AO153" s="393"/>
      <c r="AP153" s="393"/>
      <c r="AQ153" s="393"/>
      <c r="AR153" s="393"/>
      <c r="AS153" s="393"/>
      <c r="AT153" s="393"/>
      <c r="AU153" s="393"/>
      <c r="AV153" s="393"/>
      <c r="AW153" s="393"/>
      <c r="AX153" s="393"/>
      <c r="AY153" s="403"/>
      <c r="AZ153" s="403"/>
      <c r="BA153" s="403"/>
      <c r="BB153" s="403"/>
      <c r="BC153" s="403"/>
      <c r="BD153" s="403"/>
      <c r="BE153" s="403"/>
      <c r="BF153" s="403"/>
      <c r="BG153" s="403"/>
      <c r="BH153" s="403"/>
      <c r="BI153" s="403"/>
      <c r="BJ153" s="403"/>
      <c r="BK153" s="403"/>
      <c r="BL153" s="403"/>
      <c r="BM153" s="403"/>
      <c r="BN153" s="403"/>
      <c r="BO153" s="403"/>
      <c r="BP153" s="403"/>
      <c r="BQ153" s="403"/>
      <c r="BR153" s="403"/>
      <c r="BS153" s="403"/>
    </row>
    <row r="154" ht="11.25" customHeight="1">
      <c r="A154" s="393"/>
      <c r="B154" s="393"/>
      <c r="C154" s="393"/>
      <c r="D154" s="393"/>
      <c r="E154" s="393"/>
      <c r="F154" s="393"/>
      <c r="G154" s="393"/>
      <c r="H154" s="393"/>
      <c r="I154" s="393"/>
      <c r="J154" s="393"/>
      <c r="K154" s="393"/>
      <c r="L154" s="393"/>
      <c r="M154" s="393"/>
      <c r="N154" s="393"/>
      <c r="O154" s="393"/>
      <c r="P154" s="393"/>
      <c r="Q154" s="393"/>
      <c r="R154" s="393"/>
      <c r="S154" s="393"/>
      <c r="T154" s="393"/>
      <c r="U154" s="393"/>
      <c r="V154" s="393"/>
      <c r="W154" s="393"/>
      <c r="X154" s="393"/>
      <c r="Y154" s="393"/>
      <c r="Z154" s="393"/>
      <c r="AA154" s="393"/>
      <c r="AB154" s="393"/>
      <c r="AC154" s="393"/>
      <c r="AD154" s="393"/>
      <c r="AE154" s="393"/>
      <c r="AF154" s="393"/>
      <c r="AG154" s="393"/>
      <c r="AH154" s="393"/>
      <c r="AI154" s="393"/>
      <c r="AJ154" s="393"/>
      <c r="AK154" s="393"/>
      <c r="AL154" s="393"/>
      <c r="AM154" s="393"/>
      <c r="AN154" s="393"/>
      <c r="AO154" s="393"/>
      <c r="AP154" s="393"/>
      <c r="AQ154" s="393"/>
      <c r="AR154" s="393"/>
      <c r="AS154" s="393"/>
      <c r="AT154" s="393"/>
      <c r="AU154" s="393"/>
      <c r="AV154" s="393"/>
      <c r="AW154" s="393"/>
      <c r="AX154" s="393"/>
      <c r="AY154" s="403"/>
      <c r="AZ154" s="403"/>
      <c r="BA154" s="403"/>
      <c r="BB154" s="403"/>
      <c r="BC154" s="403"/>
      <c r="BD154" s="403"/>
      <c r="BE154" s="403"/>
      <c r="BF154" s="403"/>
      <c r="BG154" s="403"/>
      <c r="BH154" s="403"/>
      <c r="BI154" s="403"/>
      <c r="BJ154" s="403"/>
      <c r="BK154" s="403"/>
      <c r="BL154" s="403"/>
      <c r="BM154" s="403"/>
      <c r="BN154" s="403"/>
      <c r="BO154" s="403"/>
      <c r="BP154" s="403"/>
      <c r="BQ154" s="403"/>
      <c r="BR154" s="403"/>
      <c r="BS154" s="403"/>
    </row>
    <row r="155" ht="11.25" customHeight="1">
      <c r="A155" s="393"/>
      <c r="B155" s="393"/>
      <c r="C155" s="393"/>
      <c r="D155" s="393"/>
      <c r="E155" s="393"/>
      <c r="F155" s="393"/>
      <c r="G155" s="393"/>
      <c r="H155" s="393"/>
      <c r="I155" s="393"/>
      <c r="J155" s="393"/>
      <c r="K155" s="393"/>
      <c r="L155" s="393"/>
      <c r="M155" s="393"/>
      <c r="N155" s="393"/>
      <c r="O155" s="393"/>
      <c r="P155" s="393"/>
      <c r="Q155" s="393"/>
      <c r="R155" s="393"/>
      <c r="S155" s="393"/>
      <c r="T155" s="393"/>
      <c r="U155" s="393"/>
      <c r="V155" s="393"/>
      <c r="W155" s="393"/>
      <c r="X155" s="393"/>
      <c r="Y155" s="393"/>
      <c r="Z155" s="393"/>
      <c r="AA155" s="393"/>
      <c r="AB155" s="393"/>
      <c r="AC155" s="393"/>
      <c r="AD155" s="393"/>
      <c r="AE155" s="393"/>
      <c r="AF155" s="393"/>
      <c r="AG155" s="393"/>
      <c r="AH155" s="393"/>
      <c r="AI155" s="393"/>
      <c r="AJ155" s="393"/>
      <c r="AK155" s="393"/>
      <c r="AL155" s="393"/>
      <c r="AM155" s="393"/>
      <c r="AN155" s="393"/>
      <c r="AO155" s="393"/>
      <c r="AP155" s="393"/>
      <c r="AQ155" s="393"/>
      <c r="AR155" s="393"/>
      <c r="AS155" s="393"/>
      <c r="AT155" s="393"/>
      <c r="AU155" s="393"/>
      <c r="AV155" s="393"/>
      <c r="AW155" s="393"/>
      <c r="AX155" s="393"/>
      <c r="AY155" s="403"/>
      <c r="AZ155" s="403"/>
      <c r="BA155" s="403"/>
      <c r="BB155" s="403"/>
      <c r="BC155" s="403"/>
      <c r="BD155" s="403"/>
      <c r="BE155" s="403"/>
      <c r="BF155" s="403"/>
      <c r="BG155" s="403"/>
      <c r="BH155" s="403"/>
      <c r="BI155" s="403"/>
      <c r="BJ155" s="403"/>
      <c r="BK155" s="403"/>
      <c r="BL155" s="403"/>
      <c r="BM155" s="403"/>
      <c r="BN155" s="403"/>
      <c r="BO155" s="403"/>
      <c r="BP155" s="403"/>
      <c r="BQ155" s="403"/>
      <c r="BR155" s="403"/>
      <c r="BS155" s="403"/>
    </row>
    <row r="156" ht="11.25" customHeight="1">
      <c r="A156" s="393"/>
      <c r="B156" s="393"/>
      <c r="C156" s="393"/>
      <c r="D156" s="393"/>
      <c r="E156" s="393"/>
      <c r="F156" s="393"/>
      <c r="G156" s="393"/>
      <c r="H156" s="393"/>
      <c r="I156" s="393"/>
      <c r="J156" s="393"/>
      <c r="K156" s="393"/>
      <c r="L156" s="393"/>
      <c r="M156" s="393"/>
      <c r="N156" s="393"/>
      <c r="O156" s="393"/>
      <c r="P156" s="393"/>
      <c r="Q156" s="393"/>
      <c r="R156" s="393"/>
      <c r="S156" s="393"/>
      <c r="T156" s="393"/>
      <c r="U156" s="393"/>
      <c r="V156" s="393"/>
      <c r="W156" s="393"/>
      <c r="X156" s="393"/>
      <c r="Y156" s="393"/>
      <c r="Z156" s="393"/>
      <c r="AA156" s="393"/>
      <c r="AB156" s="393"/>
      <c r="AC156" s="393"/>
      <c r="AD156" s="393"/>
      <c r="AE156" s="393"/>
      <c r="AF156" s="393"/>
      <c r="AG156" s="393"/>
      <c r="AH156" s="393"/>
      <c r="AI156" s="393"/>
      <c r="AJ156" s="393"/>
      <c r="AK156" s="393"/>
      <c r="AL156" s="393"/>
      <c r="AM156" s="393"/>
      <c r="AN156" s="393"/>
      <c r="AO156" s="393"/>
      <c r="AP156" s="393"/>
      <c r="AQ156" s="393"/>
      <c r="AR156" s="393"/>
      <c r="AS156" s="393"/>
      <c r="AT156" s="393"/>
      <c r="AU156" s="393"/>
      <c r="AV156" s="393"/>
      <c r="AW156" s="393"/>
      <c r="AX156" s="393"/>
      <c r="AY156" s="403"/>
      <c r="AZ156" s="403"/>
      <c r="BA156" s="403"/>
      <c r="BB156" s="403"/>
      <c r="BC156" s="403"/>
      <c r="BD156" s="403"/>
      <c r="BE156" s="403"/>
      <c r="BF156" s="403"/>
      <c r="BG156" s="403"/>
      <c r="BH156" s="403"/>
      <c r="BI156" s="403"/>
      <c r="BJ156" s="403"/>
      <c r="BK156" s="403"/>
      <c r="BL156" s="403"/>
      <c r="BM156" s="403"/>
      <c r="BN156" s="403"/>
      <c r="BO156" s="403"/>
      <c r="BP156" s="403"/>
      <c r="BQ156" s="403"/>
      <c r="BR156" s="403"/>
      <c r="BS156" s="403"/>
    </row>
    <row r="157" ht="11.25" customHeight="1">
      <c r="A157" s="393"/>
      <c r="B157" s="393"/>
      <c r="C157" s="393"/>
      <c r="D157" s="393"/>
      <c r="E157" s="393"/>
      <c r="F157" s="393"/>
      <c r="G157" s="393"/>
      <c r="H157" s="393"/>
      <c r="I157" s="393"/>
      <c r="J157" s="393"/>
      <c r="K157" s="393"/>
      <c r="L157" s="393"/>
      <c r="M157" s="393"/>
      <c r="N157" s="393"/>
      <c r="O157" s="393"/>
      <c r="P157" s="393"/>
      <c r="Q157" s="393"/>
      <c r="R157" s="393"/>
      <c r="S157" s="393"/>
      <c r="T157" s="393"/>
      <c r="U157" s="393"/>
      <c r="V157" s="393"/>
      <c r="W157" s="393"/>
      <c r="X157" s="393"/>
      <c r="Y157" s="393"/>
      <c r="Z157" s="393"/>
      <c r="AA157" s="393"/>
      <c r="AB157" s="393"/>
      <c r="AC157" s="393"/>
      <c r="AD157" s="393"/>
      <c r="AE157" s="393"/>
      <c r="AF157" s="393"/>
      <c r="AG157" s="393"/>
      <c r="AH157" s="393"/>
      <c r="AI157" s="393"/>
      <c r="AJ157" s="393"/>
      <c r="AK157" s="393"/>
      <c r="AL157" s="393"/>
      <c r="AM157" s="393"/>
      <c r="AN157" s="393"/>
      <c r="AO157" s="393"/>
      <c r="AP157" s="393"/>
      <c r="AQ157" s="393"/>
      <c r="AR157" s="393"/>
      <c r="AS157" s="393"/>
      <c r="AT157" s="393"/>
      <c r="AU157" s="393"/>
      <c r="AV157" s="393"/>
      <c r="AW157" s="393"/>
      <c r="AX157" s="393"/>
      <c r="AY157" s="403"/>
      <c r="AZ157" s="403"/>
      <c r="BA157" s="403"/>
      <c r="BB157" s="403"/>
      <c r="BC157" s="403"/>
      <c r="BD157" s="403"/>
      <c r="BE157" s="403"/>
      <c r="BF157" s="403"/>
      <c r="BG157" s="403"/>
      <c r="BH157" s="403"/>
      <c r="BI157" s="403"/>
      <c r="BJ157" s="403"/>
      <c r="BK157" s="403"/>
      <c r="BL157" s="403"/>
      <c r="BM157" s="403"/>
      <c r="BN157" s="403"/>
      <c r="BO157" s="403"/>
      <c r="BP157" s="403"/>
      <c r="BQ157" s="403"/>
      <c r="BR157" s="403"/>
      <c r="BS157" s="403"/>
    </row>
    <row r="158" ht="11.25" customHeight="1">
      <c r="A158" s="393"/>
      <c r="B158" s="393"/>
      <c r="C158" s="393"/>
      <c r="D158" s="393"/>
      <c r="E158" s="393"/>
      <c r="F158" s="393"/>
      <c r="G158" s="393"/>
      <c r="H158" s="393"/>
      <c r="I158" s="393"/>
      <c r="J158" s="393"/>
      <c r="K158" s="393"/>
      <c r="L158" s="393"/>
      <c r="M158" s="393"/>
      <c r="N158" s="393"/>
      <c r="O158" s="393"/>
      <c r="P158" s="393"/>
      <c r="Q158" s="393"/>
      <c r="R158" s="393"/>
      <c r="S158" s="393"/>
      <c r="T158" s="393"/>
      <c r="U158" s="393"/>
      <c r="V158" s="393"/>
      <c r="W158" s="393"/>
      <c r="X158" s="393"/>
      <c r="Y158" s="393"/>
      <c r="Z158" s="393"/>
      <c r="AA158" s="393"/>
      <c r="AB158" s="393"/>
      <c r="AC158" s="393"/>
      <c r="AD158" s="393"/>
      <c r="AE158" s="393"/>
      <c r="AF158" s="393"/>
      <c r="AG158" s="393"/>
      <c r="AH158" s="393"/>
      <c r="AI158" s="393"/>
      <c r="AJ158" s="393"/>
      <c r="AK158" s="393"/>
      <c r="AL158" s="393"/>
      <c r="AM158" s="393"/>
      <c r="AN158" s="393"/>
      <c r="AO158" s="393"/>
      <c r="AP158" s="393"/>
      <c r="AQ158" s="393"/>
      <c r="AR158" s="393"/>
      <c r="AS158" s="393"/>
      <c r="AT158" s="393"/>
      <c r="AU158" s="393"/>
      <c r="AV158" s="393"/>
      <c r="AW158" s="393"/>
      <c r="AX158" s="393"/>
      <c r="AY158" s="403"/>
      <c r="AZ158" s="403"/>
      <c r="BA158" s="403"/>
      <c r="BB158" s="403"/>
      <c r="BC158" s="403"/>
      <c r="BD158" s="403"/>
      <c r="BE158" s="403"/>
      <c r="BF158" s="403"/>
      <c r="BG158" s="403"/>
      <c r="BH158" s="403"/>
      <c r="BI158" s="403"/>
      <c r="BJ158" s="403"/>
      <c r="BK158" s="403"/>
      <c r="BL158" s="403"/>
      <c r="BM158" s="403"/>
      <c r="BN158" s="403"/>
      <c r="BO158" s="403"/>
      <c r="BP158" s="403"/>
      <c r="BQ158" s="403"/>
      <c r="BR158" s="403"/>
      <c r="BS158" s="403"/>
    </row>
    <row r="159" ht="11.25" customHeight="1">
      <c r="A159" s="393"/>
      <c r="B159" s="393"/>
      <c r="C159" s="393"/>
      <c r="D159" s="393"/>
      <c r="E159" s="393"/>
      <c r="F159" s="393"/>
      <c r="G159" s="393"/>
      <c r="H159" s="393"/>
      <c r="I159" s="393"/>
      <c r="J159" s="393"/>
      <c r="K159" s="393"/>
      <c r="L159" s="393"/>
      <c r="M159" s="393"/>
      <c r="N159" s="393"/>
      <c r="O159" s="393"/>
      <c r="P159" s="393"/>
      <c r="Q159" s="393"/>
      <c r="R159" s="393"/>
      <c r="S159" s="393"/>
      <c r="T159" s="393"/>
      <c r="U159" s="393"/>
      <c r="V159" s="393"/>
      <c r="W159" s="393"/>
      <c r="X159" s="393"/>
      <c r="Y159" s="393"/>
      <c r="Z159" s="393"/>
      <c r="AA159" s="393"/>
      <c r="AB159" s="393"/>
      <c r="AC159" s="393"/>
      <c r="AD159" s="393"/>
      <c r="AE159" s="393"/>
      <c r="AF159" s="393"/>
      <c r="AG159" s="393"/>
      <c r="AH159" s="393"/>
      <c r="AI159" s="393"/>
      <c r="AJ159" s="393"/>
      <c r="AK159" s="393"/>
      <c r="AL159" s="393"/>
      <c r="AM159" s="393"/>
      <c r="AN159" s="393"/>
      <c r="AO159" s="393"/>
      <c r="AP159" s="393"/>
      <c r="AQ159" s="393"/>
      <c r="AR159" s="393"/>
      <c r="AS159" s="393"/>
      <c r="AT159" s="393"/>
      <c r="AU159" s="393"/>
      <c r="AV159" s="393"/>
      <c r="AW159" s="393"/>
      <c r="AX159" s="393"/>
      <c r="AY159" s="403"/>
      <c r="AZ159" s="403"/>
      <c r="BA159" s="403"/>
      <c r="BB159" s="403"/>
      <c r="BC159" s="403"/>
      <c r="BD159" s="403"/>
      <c r="BE159" s="403"/>
      <c r="BF159" s="403"/>
      <c r="BG159" s="403"/>
      <c r="BH159" s="403"/>
      <c r="BI159" s="403"/>
      <c r="BJ159" s="403"/>
      <c r="BK159" s="403"/>
      <c r="BL159" s="403"/>
      <c r="BM159" s="403"/>
      <c r="BN159" s="403"/>
      <c r="BO159" s="403"/>
      <c r="BP159" s="403"/>
      <c r="BQ159" s="403"/>
      <c r="BR159" s="403"/>
      <c r="BS159" s="403"/>
    </row>
    <row r="160" ht="11.25" customHeight="1">
      <c r="A160" s="393"/>
      <c r="B160" s="393"/>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c r="AA160" s="393"/>
      <c r="AB160" s="393"/>
      <c r="AC160" s="393"/>
      <c r="AD160" s="393"/>
      <c r="AE160" s="393"/>
      <c r="AF160" s="393"/>
      <c r="AG160" s="393"/>
      <c r="AH160" s="393"/>
      <c r="AI160" s="393"/>
      <c r="AJ160" s="393"/>
      <c r="AK160" s="393"/>
      <c r="AL160" s="393"/>
      <c r="AM160" s="393"/>
      <c r="AN160" s="393"/>
      <c r="AO160" s="393"/>
      <c r="AP160" s="393"/>
      <c r="AQ160" s="393"/>
      <c r="AR160" s="393"/>
      <c r="AS160" s="393"/>
      <c r="AT160" s="393"/>
      <c r="AU160" s="393"/>
      <c r="AV160" s="393"/>
      <c r="AW160" s="393"/>
      <c r="AX160" s="393"/>
      <c r="AY160" s="403"/>
      <c r="AZ160" s="403"/>
      <c r="BA160" s="403"/>
      <c r="BB160" s="403"/>
      <c r="BC160" s="403"/>
      <c r="BD160" s="403"/>
      <c r="BE160" s="403"/>
      <c r="BF160" s="403"/>
      <c r="BG160" s="403"/>
      <c r="BH160" s="403"/>
      <c r="BI160" s="403"/>
      <c r="BJ160" s="403"/>
      <c r="BK160" s="403"/>
      <c r="BL160" s="403"/>
      <c r="BM160" s="403"/>
      <c r="BN160" s="403"/>
      <c r="BO160" s="403"/>
      <c r="BP160" s="403"/>
      <c r="BQ160" s="403"/>
      <c r="BR160" s="403"/>
      <c r="BS160" s="403"/>
    </row>
    <row r="161" ht="11.25" customHeight="1">
      <c r="A161" s="393"/>
      <c r="B161" s="393"/>
      <c r="C161" s="393"/>
      <c r="D161" s="393"/>
      <c r="E161" s="393"/>
      <c r="F161" s="393"/>
      <c r="G161" s="393"/>
      <c r="H161" s="393"/>
      <c r="I161" s="393"/>
      <c r="J161" s="393"/>
      <c r="K161" s="393"/>
      <c r="L161" s="393"/>
      <c r="M161" s="393"/>
      <c r="N161" s="393"/>
      <c r="O161" s="393"/>
      <c r="P161" s="393"/>
      <c r="Q161" s="393"/>
      <c r="R161" s="393"/>
      <c r="S161" s="393"/>
      <c r="T161" s="393"/>
      <c r="U161" s="393"/>
      <c r="V161" s="393"/>
      <c r="W161" s="393"/>
      <c r="X161" s="393"/>
      <c r="Y161" s="393"/>
      <c r="Z161" s="393"/>
      <c r="AA161" s="393"/>
      <c r="AB161" s="393"/>
      <c r="AC161" s="393"/>
      <c r="AD161" s="393"/>
      <c r="AE161" s="393"/>
      <c r="AF161" s="393"/>
      <c r="AG161" s="393"/>
      <c r="AH161" s="393"/>
      <c r="AI161" s="393"/>
      <c r="AJ161" s="393"/>
      <c r="AK161" s="393"/>
      <c r="AL161" s="393"/>
      <c r="AM161" s="393"/>
      <c r="AN161" s="393"/>
      <c r="AO161" s="393"/>
      <c r="AP161" s="393"/>
      <c r="AQ161" s="393"/>
      <c r="AR161" s="393"/>
      <c r="AS161" s="393"/>
      <c r="AT161" s="393"/>
      <c r="AU161" s="393"/>
      <c r="AV161" s="393"/>
      <c r="AW161" s="393"/>
      <c r="AX161" s="393"/>
      <c r="AY161" s="403"/>
      <c r="AZ161" s="403"/>
      <c r="BA161" s="403"/>
      <c r="BB161" s="403"/>
      <c r="BC161" s="403"/>
      <c r="BD161" s="403"/>
      <c r="BE161" s="403"/>
      <c r="BF161" s="403"/>
      <c r="BG161" s="403"/>
      <c r="BH161" s="403"/>
      <c r="BI161" s="403"/>
      <c r="BJ161" s="403"/>
      <c r="BK161" s="403"/>
      <c r="BL161" s="403"/>
      <c r="BM161" s="403"/>
      <c r="BN161" s="403"/>
      <c r="BO161" s="403"/>
      <c r="BP161" s="403"/>
      <c r="BQ161" s="403"/>
      <c r="BR161" s="403"/>
      <c r="BS161" s="403"/>
    </row>
    <row r="162" ht="11.25" customHeight="1">
      <c r="A162" s="393"/>
      <c r="B162" s="393"/>
      <c r="C162" s="393"/>
      <c r="D162" s="393"/>
      <c r="E162" s="393"/>
      <c r="F162" s="393"/>
      <c r="G162" s="393"/>
      <c r="H162" s="393"/>
      <c r="I162" s="393"/>
      <c r="J162" s="393"/>
      <c r="K162" s="393"/>
      <c r="L162" s="393"/>
      <c r="M162" s="393"/>
      <c r="N162" s="393"/>
      <c r="O162" s="393"/>
      <c r="P162" s="393"/>
      <c r="Q162" s="393"/>
      <c r="R162" s="393"/>
      <c r="S162" s="393"/>
      <c r="T162" s="393"/>
      <c r="U162" s="393"/>
      <c r="V162" s="393"/>
      <c r="W162" s="393"/>
      <c r="X162" s="393"/>
      <c r="Y162" s="393"/>
      <c r="Z162" s="393"/>
      <c r="AA162" s="393"/>
      <c r="AB162" s="393"/>
      <c r="AC162" s="393"/>
      <c r="AD162" s="393"/>
      <c r="AE162" s="393"/>
      <c r="AF162" s="393"/>
      <c r="AG162" s="393"/>
      <c r="AH162" s="393"/>
      <c r="AI162" s="393"/>
      <c r="AJ162" s="393"/>
      <c r="AK162" s="393"/>
      <c r="AL162" s="393"/>
      <c r="AM162" s="393"/>
      <c r="AN162" s="393"/>
      <c r="AO162" s="393"/>
      <c r="AP162" s="393"/>
      <c r="AQ162" s="393"/>
      <c r="AR162" s="393"/>
      <c r="AS162" s="393"/>
      <c r="AT162" s="393"/>
      <c r="AU162" s="393"/>
      <c r="AV162" s="393"/>
      <c r="AW162" s="393"/>
      <c r="AX162" s="393"/>
      <c r="AY162" s="403"/>
      <c r="AZ162" s="403"/>
      <c r="BA162" s="403"/>
      <c r="BB162" s="403"/>
      <c r="BC162" s="403"/>
      <c r="BD162" s="403"/>
      <c r="BE162" s="403"/>
      <c r="BF162" s="403"/>
      <c r="BG162" s="403"/>
      <c r="BH162" s="403"/>
      <c r="BI162" s="403"/>
      <c r="BJ162" s="403"/>
      <c r="BK162" s="403"/>
      <c r="BL162" s="403"/>
      <c r="BM162" s="403"/>
      <c r="BN162" s="403"/>
      <c r="BO162" s="403"/>
      <c r="BP162" s="403"/>
      <c r="BQ162" s="403"/>
      <c r="BR162" s="403"/>
      <c r="BS162" s="403"/>
    </row>
    <row r="163" ht="11.25" customHeight="1">
      <c r="A163" s="393"/>
      <c r="B163" s="393"/>
      <c r="C163" s="393"/>
      <c r="D163" s="393"/>
      <c r="E163" s="393"/>
      <c r="F163" s="393"/>
      <c r="G163" s="393"/>
      <c r="H163" s="393"/>
      <c r="I163" s="393"/>
      <c r="J163" s="393"/>
      <c r="K163" s="393"/>
      <c r="L163" s="393"/>
      <c r="M163" s="393"/>
      <c r="N163" s="393"/>
      <c r="O163" s="393"/>
      <c r="P163" s="393"/>
      <c r="Q163" s="393"/>
      <c r="R163" s="393"/>
      <c r="S163" s="393"/>
      <c r="T163" s="393"/>
      <c r="U163" s="393"/>
      <c r="V163" s="393"/>
      <c r="W163" s="393"/>
      <c r="X163" s="393"/>
      <c r="Y163" s="393"/>
      <c r="Z163" s="393"/>
      <c r="AA163" s="393"/>
      <c r="AB163" s="393"/>
      <c r="AC163" s="393"/>
      <c r="AD163" s="393"/>
      <c r="AE163" s="393"/>
      <c r="AF163" s="393"/>
      <c r="AG163" s="393"/>
      <c r="AH163" s="393"/>
      <c r="AI163" s="393"/>
      <c r="AJ163" s="393"/>
      <c r="AK163" s="393"/>
      <c r="AL163" s="393"/>
      <c r="AM163" s="393"/>
      <c r="AN163" s="393"/>
      <c r="AO163" s="393"/>
      <c r="AP163" s="393"/>
      <c r="AQ163" s="393"/>
      <c r="AR163" s="393"/>
      <c r="AS163" s="393"/>
      <c r="AT163" s="393"/>
      <c r="AU163" s="393"/>
      <c r="AV163" s="393"/>
      <c r="AW163" s="393"/>
      <c r="AX163" s="393"/>
      <c r="AY163" s="403"/>
      <c r="AZ163" s="403"/>
      <c r="BA163" s="403"/>
      <c r="BB163" s="403"/>
      <c r="BC163" s="403"/>
      <c r="BD163" s="403"/>
      <c r="BE163" s="403"/>
      <c r="BF163" s="403"/>
      <c r="BG163" s="403"/>
      <c r="BH163" s="403"/>
      <c r="BI163" s="403"/>
      <c r="BJ163" s="403"/>
      <c r="BK163" s="403"/>
      <c r="BL163" s="403"/>
      <c r="BM163" s="403"/>
      <c r="BN163" s="403"/>
      <c r="BO163" s="403"/>
      <c r="BP163" s="403"/>
      <c r="BQ163" s="403"/>
      <c r="BR163" s="403"/>
      <c r="BS163" s="403"/>
    </row>
    <row r="164" ht="11.25" customHeight="1">
      <c r="A164" s="393"/>
      <c r="B164" s="393"/>
      <c r="C164" s="393"/>
      <c r="D164" s="393"/>
      <c r="E164" s="393"/>
      <c r="F164" s="393"/>
      <c r="G164" s="393"/>
      <c r="H164" s="393"/>
      <c r="I164" s="393"/>
      <c r="J164" s="393"/>
      <c r="K164" s="393"/>
      <c r="L164" s="393"/>
      <c r="M164" s="393"/>
      <c r="N164" s="393"/>
      <c r="O164" s="393"/>
      <c r="P164" s="393"/>
      <c r="Q164" s="393"/>
      <c r="R164" s="393"/>
      <c r="S164" s="393"/>
      <c r="T164" s="393"/>
      <c r="U164" s="393"/>
      <c r="V164" s="393"/>
      <c r="W164" s="393"/>
      <c r="X164" s="393"/>
      <c r="Y164" s="393"/>
      <c r="Z164" s="393"/>
      <c r="AA164" s="393"/>
      <c r="AB164" s="393"/>
      <c r="AC164" s="393"/>
      <c r="AD164" s="393"/>
      <c r="AE164" s="393"/>
      <c r="AF164" s="393"/>
      <c r="AG164" s="393"/>
      <c r="AH164" s="393"/>
      <c r="AI164" s="393"/>
      <c r="AJ164" s="393"/>
      <c r="AK164" s="393"/>
      <c r="AL164" s="393"/>
      <c r="AM164" s="393"/>
      <c r="AN164" s="393"/>
      <c r="AO164" s="393"/>
      <c r="AP164" s="393"/>
      <c r="AQ164" s="393"/>
      <c r="AR164" s="393"/>
      <c r="AS164" s="393"/>
      <c r="AT164" s="393"/>
      <c r="AU164" s="393"/>
      <c r="AV164" s="393"/>
      <c r="AW164" s="393"/>
      <c r="AX164" s="393"/>
      <c r="AY164" s="403"/>
      <c r="AZ164" s="403"/>
      <c r="BA164" s="403"/>
      <c r="BB164" s="403"/>
      <c r="BC164" s="403"/>
      <c r="BD164" s="403"/>
      <c r="BE164" s="403"/>
      <c r="BF164" s="403"/>
      <c r="BG164" s="403"/>
      <c r="BH164" s="403"/>
      <c r="BI164" s="403"/>
      <c r="BJ164" s="403"/>
      <c r="BK164" s="403"/>
      <c r="BL164" s="403"/>
      <c r="BM164" s="403"/>
      <c r="BN164" s="403"/>
      <c r="BO164" s="403"/>
      <c r="BP164" s="403"/>
      <c r="BQ164" s="403"/>
      <c r="BR164" s="403"/>
      <c r="BS164" s="403"/>
    </row>
    <row r="165" ht="11.25" customHeight="1">
      <c r="A165" s="393"/>
      <c r="B165" s="393"/>
      <c r="C165" s="393"/>
      <c r="D165" s="393"/>
      <c r="E165" s="393"/>
      <c r="F165" s="393"/>
      <c r="G165" s="393"/>
      <c r="H165" s="393"/>
      <c r="I165" s="393"/>
      <c r="J165" s="393"/>
      <c r="K165" s="393"/>
      <c r="L165" s="393"/>
      <c r="M165" s="393"/>
      <c r="N165" s="393"/>
      <c r="O165" s="393"/>
      <c r="P165" s="393"/>
      <c r="Q165" s="393"/>
      <c r="R165" s="393"/>
      <c r="S165" s="393"/>
      <c r="T165" s="393"/>
      <c r="U165" s="393"/>
      <c r="V165" s="393"/>
      <c r="W165" s="393"/>
      <c r="X165" s="393"/>
      <c r="Y165" s="393"/>
      <c r="Z165" s="393"/>
      <c r="AA165" s="393"/>
      <c r="AB165" s="393"/>
      <c r="AC165" s="393"/>
      <c r="AD165" s="393"/>
      <c r="AE165" s="393"/>
      <c r="AF165" s="393"/>
      <c r="AG165" s="393"/>
      <c r="AH165" s="393"/>
      <c r="AI165" s="393"/>
      <c r="AJ165" s="393"/>
      <c r="AK165" s="393"/>
      <c r="AL165" s="393"/>
      <c r="AM165" s="393"/>
      <c r="AN165" s="393"/>
      <c r="AO165" s="393"/>
      <c r="AP165" s="393"/>
      <c r="AQ165" s="393"/>
      <c r="AR165" s="393"/>
      <c r="AS165" s="393"/>
      <c r="AT165" s="393"/>
      <c r="AU165" s="393"/>
      <c r="AV165" s="393"/>
      <c r="AW165" s="393"/>
      <c r="AX165" s="393"/>
      <c r="AY165" s="403"/>
      <c r="AZ165" s="403"/>
      <c r="BA165" s="403"/>
      <c r="BB165" s="403"/>
      <c r="BC165" s="403"/>
      <c r="BD165" s="403"/>
      <c r="BE165" s="403"/>
      <c r="BF165" s="403"/>
      <c r="BG165" s="403"/>
      <c r="BH165" s="403"/>
      <c r="BI165" s="403"/>
      <c r="BJ165" s="403"/>
      <c r="BK165" s="403"/>
      <c r="BL165" s="403"/>
      <c r="BM165" s="403"/>
      <c r="BN165" s="403"/>
      <c r="BO165" s="403"/>
      <c r="BP165" s="403"/>
      <c r="BQ165" s="403"/>
      <c r="BR165" s="403"/>
      <c r="BS165" s="403"/>
    </row>
    <row r="166" ht="11.25" customHeight="1">
      <c r="A166" s="393"/>
      <c r="B166" s="393"/>
      <c r="C166" s="393"/>
      <c r="D166" s="393"/>
      <c r="E166" s="393"/>
      <c r="F166" s="393"/>
      <c r="G166" s="393"/>
      <c r="H166" s="393"/>
      <c r="I166" s="393"/>
      <c r="J166" s="393"/>
      <c r="K166" s="393"/>
      <c r="L166" s="393"/>
      <c r="M166" s="393"/>
      <c r="N166" s="393"/>
      <c r="O166" s="393"/>
      <c r="P166" s="393"/>
      <c r="Q166" s="393"/>
      <c r="R166" s="393"/>
      <c r="S166" s="393"/>
      <c r="T166" s="393"/>
      <c r="U166" s="393"/>
      <c r="V166" s="393"/>
      <c r="W166" s="393"/>
      <c r="X166" s="393"/>
      <c r="Y166" s="393"/>
      <c r="Z166" s="393"/>
      <c r="AA166" s="393"/>
      <c r="AB166" s="393"/>
      <c r="AC166" s="393"/>
      <c r="AD166" s="393"/>
      <c r="AE166" s="393"/>
      <c r="AF166" s="393"/>
      <c r="AG166" s="393"/>
      <c r="AH166" s="393"/>
      <c r="AI166" s="393"/>
      <c r="AJ166" s="393"/>
      <c r="AK166" s="393"/>
      <c r="AL166" s="393"/>
      <c r="AM166" s="393"/>
      <c r="AN166" s="393"/>
      <c r="AO166" s="393"/>
      <c r="AP166" s="393"/>
      <c r="AQ166" s="393"/>
      <c r="AR166" s="393"/>
      <c r="AS166" s="393"/>
      <c r="AT166" s="393"/>
      <c r="AU166" s="393"/>
      <c r="AV166" s="393"/>
      <c r="AW166" s="393"/>
      <c r="AX166" s="393"/>
      <c r="AY166" s="403"/>
      <c r="AZ166" s="403"/>
      <c r="BA166" s="403"/>
      <c r="BB166" s="403"/>
      <c r="BC166" s="403"/>
      <c r="BD166" s="403"/>
      <c r="BE166" s="403"/>
      <c r="BF166" s="403"/>
      <c r="BG166" s="403"/>
      <c r="BH166" s="403"/>
      <c r="BI166" s="403"/>
      <c r="BJ166" s="403"/>
      <c r="BK166" s="403"/>
      <c r="BL166" s="403"/>
      <c r="BM166" s="403"/>
      <c r="BN166" s="403"/>
      <c r="BO166" s="403"/>
      <c r="BP166" s="403"/>
      <c r="BQ166" s="403"/>
      <c r="BR166" s="403"/>
      <c r="BS166" s="403"/>
    </row>
    <row r="167" ht="11.25" customHeight="1">
      <c r="A167" s="393"/>
      <c r="B167" s="393"/>
      <c r="C167" s="393"/>
      <c r="D167" s="393"/>
      <c r="E167" s="393"/>
      <c r="F167" s="393"/>
      <c r="G167" s="393"/>
      <c r="H167" s="393"/>
      <c r="I167" s="393"/>
      <c r="J167" s="393"/>
      <c r="K167" s="393"/>
      <c r="L167" s="393"/>
      <c r="M167" s="393"/>
      <c r="N167" s="393"/>
      <c r="O167" s="393"/>
      <c r="P167" s="393"/>
      <c r="Q167" s="393"/>
      <c r="R167" s="393"/>
      <c r="S167" s="393"/>
      <c r="T167" s="393"/>
      <c r="U167" s="393"/>
      <c r="V167" s="393"/>
      <c r="W167" s="393"/>
      <c r="X167" s="393"/>
      <c r="Y167" s="393"/>
      <c r="Z167" s="393"/>
      <c r="AA167" s="393"/>
      <c r="AB167" s="393"/>
      <c r="AC167" s="393"/>
      <c r="AD167" s="393"/>
      <c r="AE167" s="393"/>
      <c r="AF167" s="393"/>
      <c r="AG167" s="393"/>
      <c r="AH167" s="393"/>
      <c r="AI167" s="393"/>
      <c r="AJ167" s="393"/>
      <c r="AK167" s="393"/>
      <c r="AL167" s="393"/>
      <c r="AM167" s="393"/>
      <c r="AN167" s="393"/>
      <c r="AO167" s="393"/>
      <c r="AP167" s="393"/>
      <c r="AQ167" s="393"/>
      <c r="AR167" s="393"/>
      <c r="AS167" s="393"/>
      <c r="AT167" s="393"/>
      <c r="AU167" s="393"/>
      <c r="AV167" s="393"/>
      <c r="AW167" s="393"/>
      <c r="AX167" s="393"/>
      <c r="AY167" s="403"/>
      <c r="AZ167" s="403"/>
      <c r="BA167" s="403"/>
      <c r="BB167" s="403"/>
      <c r="BC167" s="403"/>
      <c r="BD167" s="403"/>
      <c r="BE167" s="403"/>
      <c r="BF167" s="403"/>
      <c r="BG167" s="403"/>
      <c r="BH167" s="403"/>
      <c r="BI167" s="403"/>
      <c r="BJ167" s="403"/>
      <c r="BK167" s="403"/>
      <c r="BL167" s="403"/>
      <c r="BM167" s="403"/>
      <c r="BN167" s="403"/>
      <c r="BO167" s="403"/>
      <c r="BP167" s="403"/>
      <c r="BQ167" s="403"/>
      <c r="BR167" s="403"/>
      <c r="BS167" s="403"/>
    </row>
    <row r="168" ht="11.25" customHeight="1">
      <c r="A168" s="393"/>
      <c r="B168" s="393"/>
      <c r="C168" s="393"/>
      <c r="D168" s="393"/>
      <c r="E168" s="393"/>
      <c r="F168" s="393"/>
      <c r="G168" s="393"/>
      <c r="H168" s="393"/>
      <c r="I168" s="393"/>
      <c r="J168" s="393"/>
      <c r="K168" s="393"/>
      <c r="L168" s="393"/>
      <c r="M168" s="393"/>
      <c r="N168" s="393"/>
      <c r="O168" s="393"/>
      <c r="P168" s="393"/>
      <c r="Q168" s="393"/>
      <c r="R168" s="393"/>
      <c r="S168" s="393"/>
      <c r="T168" s="393"/>
      <c r="U168" s="393"/>
      <c r="V168" s="393"/>
      <c r="W168" s="393"/>
      <c r="X168" s="393"/>
      <c r="Y168" s="393"/>
      <c r="Z168" s="393"/>
      <c r="AA168" s="393"/>
      <c r="AB168" s="393"/>
      <c r="AC168" s="393"/>
      <c r="AD168" s="393"/>
      <c r="AE168" s="393"/>
      <c r="AF168" s="393"/>
      <c r="AG168" s="393"/>
      <c r="AH168" s="393"/>
      <c r="AI168" s="393"/>
      <c r="AJ168" s="393"/>
      <c r="AK168" s="393"/>
      <c r="AL168" s="393"/>
      <c r="AM168" s="393"/>
      <c r="AN168" s="393"/>
      <c r="AO168" s="393"/>
      <c r="AP168" s="393"/>
      <c r="AQ168" s="393"/>
      <c r="AR168" s="393"/>
      <c r="AS168" s="393"/>
      <c r="AT168" s="393"/>
      <c r="AU168" s="393"/>
      <c r="AV168" s="393"/>
      <c r="AW168" s="393"/>
      <c r="AX168" s="393"/>
      <c r="AY168" s="403"/>
      <c r="AZ168" s="403"/>
      <c r="BA168" s="403"/>
      <c r="BB168" s="403"/>
      <c r="BC168" s="403"/>
      <c r="BD168" s="403"/>
      <c r="BE168" s="403"/>
      <c r="BF168" s="403"/>
      <c r="BG168" s="403"/>
      <c r="BH168" s="403"/>
      <c r="BI168" s="403"/>
      <c r="BJ168" s="403"/>
      <c r="BK168" s="403"/>
      <c r="BL168" s="403"/>
      <c r="BM168" s="403"/>
      <c r="BN168" s="403"/>
      <c r="BO168" s="403"/>
      <c r="BP168" s="403"/>
      <c r="BQ168" s="403"/>
      <c r="BR168" s="403"/>
      <c r="BS168" s="403"/>
    </row>
    <row r="169" ht="11.25" customHeight="1">
      <c r="A169" s="393"/>
      <c r="B169" s="393"/>
      <c r="C169" s="393"/>
      <c r="D169" s="393"/>
      <c r="E169" s="393"/>
      <c r="F169" s="393"/>
      <c r="G169" s="393"/>
      <c r="H169" s="393"/>
      <c r="I169" s="393"/>
      <c r="J169" s="393"/>
      <c r="K169" s="393"/>
      <c r="L169" s="393"/>
      <c r="M169" s="393"/>
      <c r="N169" s="393"/>
      <c r="O169" s="393"/>
      <c r="P169" s="393"/>
      <c r="Q169" s="393"/>
      <c r="R169" s="393"/>
      <c r="S169" s="393"/>
      <c r="T169" s="393"/>
      <c r="U169" s="393"/>
      <c r="V169" s="393"/>
      <c r="W169" s="393"/>
      <c r="X169" s="393"/>
      <c r="Y169" s="393"/>
      <c r="Z169" s="393"/>
      <c r="AA169" s="393"/>
      <c r="AB169" s="393"/>
      <c r="AC169" s="393"/>
      <c r="AD169" s="393"/>
      <c r="AE169" s="393"/>
      <c r="AF169" s="393"/>
      <c r="AG169" s="393"/>
      <c r="AH169" s="393"/>
      <c r="AI169" s="393"/>
      <c r="AJ169" s="393"/>
      <c r="AK169" s="393"/>
      <c r="AL169" s="393"/>
      <c r="AM169" s="393"/>
      <c r="AN169" s="393"/>
      <c r="AO169" s="393"/>
      <c r="AP169" s="393"/>
      <c r="AQ169" s="393"/>
      <c r="AR169" s="393"/>
      <c r="AS169" s="393"/>
      <c r="AT169" s="393"/>
      <c r="AU169" s="393"/>
      <c r="AV169" s="393"/>
      <c r="AW169" s="393"/>
      <c r="AX169" s="393"/>
      <c r="AY169" s="403"/>
      <c r="AZ169" s="403"/>
      <c r="BA169" s="403"/>
      <c r="BB169" s="403"/>
      <c r="BC169" s="403"/>
      <c r="BD169" s="403"/>
      <c r="BE169" s="403"/>
      <c r="BF169" s="403"/>
      <c r="BG169" s="403"/>
      <c r="BH169" s="403"/>
      <c r="BI169" s="403"/>
      <c r="BJ169" s="403"/>
      <c r="BK169" s="403"/>
      <c r="BL169" s="403"/>
      <c r="BM169" s="403"/>
      <c r="BN169" s="403"/>
      <c r="BO169" s="403"/>
      <c r="BP169" s="403"/>
      <c r="BQ169" s="403"/>
      <c r="BR169" s="403"/>
      <c r="BS169" s="403"/>
    </row>
    <row r="170" ht="11.25" customHeight="1">
      <c r="A170" s="393"/>
      <c r="B170" s="393"/>
      <c r="C170" s="393"/>
      <c r="D170" s="393"/>
      <c r="E170" s="393"/>
      <c r="F170" s="393"/>
      <c r="G170" s="393"/>
      <c r="H170" s="393"/>
      <c r="I170" s="393"/>
      <c r="J170" s="393"/>
      <c r="K170" s="393"/>
      <c r="L170" s="393"/>
      <c r="M170" s="393"/>
      <c r="N170" s="393"/>
      <c r="O170" s="393"/>
      <c r="P170" s="393"/>
      <c r="Q170" s="393"/>
      <c r="R170" s="393"/>
      <c r="S170" s="393"/>
      <c r="T170" s="393"/>
      <c r="U170" s="393"/>
      <c r="V170" s="393"/>
      <c r="W170" s="393"/>
      <c r="X170" s="393"/>
      <c r="Y170" s="393"/>
      <c r="Z170" s="393"/>
      <c r="AA170" s="393"/>
      <c r="AB170" s="393"/>
      <c r="AC170" s="393"/>
      <c r="AD170" s="393"/>
      <c r="AE170" s="393"/>
      <c r="AF170" s="393"/>
      <c r="AG170" s="393"/>
      <c r="AH170" s="393"/>
      <c r="AI170" s="393"/>
      <c r="AJ170" s="393"/>
      <c r="AK170" s="393"/>
      <c r="AL170" s="393"/>
      <c r="AM170" s="393"/>
      <c r="AN170" s="393"/>
      <c r="AO170" s="393"/>
      <c r="AP170" s="393"/>
      <c r="AQ170" s="393"/>
      <c r="AR170" s="393"/>
      <c r="AS170" s="393"/>
      <c r="AT170" s="393"/>
      <c r="AU170" s="393"/>
      <c r="AV170" s="393"/>
      <c r="AW170" s="393"/>
      <c r="AX170" s="393"/>
      <c r="AY170" s="403"/>
      <c r="AZ170" s="403"/>
      <c r="BA170" s="403"/>
      <c r="BB170" s="403"/>
      <c r="BC170" s="403"/>
      <c r="BD170" s="403"/>
      <c r="BE170" s="403"/>
      <c r="BF170" s="403"/>
      <c r="BG170" s="403"/>
      <c r="BH170" s="403"/>
      <c r="BI170" s="403"/>
      <c r="BJ170" s="403"/>
      <c r="BK170" s="403"/>
      <c r="BL170" s="403"/>
      <c r="BM170" s="403"/>
      <c r="BN170" s="403"/>
      <c r="BO170" s="403"/>
      <c r="BP170" s="403"/>
      <c r="BQ170" s="403"/>
      <c r="BR170" s="403"/>
      <c r="BS170" s="403"/>
    </row>
    <row r="171" ht="11.25" customHeight="1">
      <c r="A171" s="393"/>
      <c r="B171" s="393"/>
      <c r="C171" s="393"/>
      <c r="D171" s="393"/>
      <c r="E171" s="393"/>
      <c r="F171" s="393"/>
      <c r="G171" s="393"/>
      <c r="H171" s="393"/>
      <c r="I171" s="393"/>
      <c r="J171" s="393"/>
      <c r="K171" s="393"/>
      <c r="L171" s="393"/>
      <c r="M171" s="393"/>
      <c r="N171" s="393"/>
      <c r="O171" s="393"/>
      <c r="P171" s="393"/>
      <c r="Q171" s="393"/>
      <c r="R171" s="393"/>
      <c r="S171" s="393"/>
      <c r="T171" s="393"/>
      <c r="U171" s="393"/>
      <c r="V171" s="393"/>
      <c r="W171" s="393"/>
      <c r="X171" s="393"/>
      <c r="Y171" s="393"/>
      <c r="Z171" s="393"/>
      <c r="AA171" s="393"/>
      <c r="AB171" s="393"/>
      <c r="AC171" s="393"/>
      <c r="AD171" s="393"/>
      <c r="AE171" s="393"/>
      <c r="AF171" s="393"/>
      <c r="AG171" s="393"/>
      <c r="AH171" s="393"/>
      <c r="AI171" s="393"/>
      <c r="AJ171" s="393"/>
      <c r="AK171" s="393"/>
      <c r="AL171" s="393"/>
      <c r="AM171" s="393"/>
      <c r="AN171" s="393"/>
      <c r="AO171" s="393"/>
      <c r="AP171" s="393"/>
      <c r="AQ171" s="393"/>
      <c r="AR171" s="393"/>
      <c r="AS171" s="393"/>
      <c r="AT171" s="393"/>
      <c r="AU171" s="393"/>
      <c r="AV171" s="393"/>
      <c r="AW171" s="393"/>
      <c r="AX171" s="393"/>
      <c r="AY171" s="403"/>
      <c r="AZ171" s="403"/>
      <c r="BA171" s="403"/>
      <c r="BB171" s="403"/>
      <c r="BC171" s="403"/>
      <c r="BD171" s="403"/>
      <c r="BE171" s="403"/>
      <c r="BF171" s="403"/>
      <c r="BG171" s="403"/>
      <c r="BH171" s="403"/>
      <c r="BI171" s="403"/>
      <c r="BJ171" s="403"/>
      <c r="BK171" s="403"/>
      <c r="BL171" s="403"/>
      <c r="BM171" s="403"/>
      <c r="BN171" s="403"/>
      <c r="BO171" s="403"/>
      <c r="BP171" s="403"/>
      <c r="BQ171" s="403"/>
      <c r="BR171" s="403"/>
      <c r="BS171" s="403"/>
    </row>
    <row r="172" ht="11.25" customHeight="1">
      <c r="A172" s="393"/>
      <c r="B172" s="393"/>
      <c r="C172" s="393"/>
      <c r="D172" s="393"/>
      <c r="E172" s="393"/>
      <c r="F172" s="393"/>
      <c r="G172" s="393"/>
      <c r="H172" s="393"/>
      <c r="I172" s="393"/>
      <c r="J172" s="393"/>
      <c r="K172" s="393"/>
      <c r="L172" s="393"/>
      <c r="M172" s="393"/>
      <c r="N172" s="393"/>
      <c r="O172" s="393"/>
      <c r="P172" s="393"/>
      <c r="Q172" s="393"/>
      <c r="R172" s="393"/>
      <c r="S172" s="393"/>
      <c r="T172" s="393"/>
      <c r="U172" s="393"/>
      <c r="V172" s="393"/>
      <c r="W172" s="393"/>
      <c r="X172" s="393"/>
      <c r="Y172" s="393"/>
      <c r="Z172" s="393"/>
      <c r="AA172" s="393"/>
      <c r="AB172" s="393"/>
      <c r="AC172" s="393"/>
      <c r="AD172" s="393"/>
      <c r="AE172" s="393"/>
      <c r="AF172" s="393"/>
      <c r="AG172" s="393"/>
      <c r="AH172" s="393"/>
      <c r="AI172" s="393"/>
      <c r="AJ172" s="393"/>
      <c r="AK172" s="393"/>
      <c r="AL172" s="393"/>
      <c r="AM172" s="393"/>
      <c r="AN172" s="393"/>
      <c r="AO172" s="393"/>
      <c r="AP172" s="393"/>
      <c r="AQ172" s="393"/>
      <c r="AR172" s="393"/>
      <c r="AS172" s="393"/>
      <c r="AT172" s="393"/>
      <c r="AU172" s="393"/>
      <c r="AV172" s="393"/>
      <c r="AW172" s="393"/>
      <c r="AX172" s="393"/>
      <c r="AY172" s="403"/>
      <c r="AZ172" s="403"/>
      <c r="BA172" s="403"/>
      <c r="BB172" s="403"/>
      <c r="BC172" s="403"/>
      <c r="BD172" s="403"/>
      <c r="BE172" s="403"/>
      <c r="BF172" s="403"/>
      <c r="BG172" s="403"/>
      <c r="BH172" s="403"/>
      <c r="BI172" s="403"/>
      <c r="BJ172" s="403"/>
      <c r="BK172" s="403"/>
      <c r="BL172" s="403"/>
      <c r="BM172" s="403"/>
      <c r="BN172" s="403"/>
      <c r="BO172" s="403"/>
      <c r="BP172" s="403"/>
      <c r="BQ172" s="403"/>
      <c r="BR172" s="403"/>
      <c r="BS172" s="403"/>
    </row>
    <row r="173" ht="11.25" customHeight="1">
      <c r="A173" s="393"/>
      <c r="B173" s="393"/>
      <c r="C173" s="393"/>
      <c r="D173" s="393"/>
      <c r="E173" s="393"/>
      <c r="F173" s="393"/>
      <c r="G173" s="393"/>
      <c r="H173" s="393"/>
      <c r="I173" s="393"/>
      <c r="J173" s="393"/>
      <c r="K173" s="393"/>
      <c r="L173" s="393"/>
      <c r="M173" s="393"/>
      <c r="N173" s="393"/>
      <c r="O173" s="393"/>
      <c r="P173" s="393"/>
      <c r="Q173" s="393"/>
      <c r="R173" s="393"/>
      <c r="S173" s="393"/>
      <c r="T173" s="393"/>
      <c r="U173" s="393"/>
      <c r="V173" s="393"/>
      <c r="W173" s="393"/>
      <c r="X173" s="393"/>
      <c r="Y173" s="393"/>
      <c r="Z173" s="393"/>
      <c r="AA173" s="393"/>
      <c r="AB173" s="393"/>
      <c r="AC173" s="393"/>
      <c r="AD173" s="393"/>
      <c r="AE173" s="393"/>
      <c r="AF173" s="393"/>
      <c r="AG173" s="393"/>
      <c r="AH173" s="393"/>
      <c r="AI173" s="393"/>
      <c r="AJ173" s="393"/>
      <c r="AK173" s="393"/>
      <c r="AL173" s="393"/>
      <c r="AM173" s="393"/>
      <c r="AN173" s="393"/>
      <c r="AO173" s="393"/>
      <c r="AP173" s="393"/>
      <c r="AQ173" s="393"/>
      <c r="AR173" s="393"/>
      <c r="AS173" s="393"/>
      <c r="AT173" s="393"/>
      <c r="AU173" s="393"/>
      <c r="AV173" s="393"/>
      <c r="AW173" s="393"/>
      <c r="AX173" s="393"/>
      <c r="AY173" s="403"/>
      <c r="AZ173" s="403"/>
      <c r="BA173" s="403"/>
      <c r="BB173" s="403"/>
      <c r="BC173" s="403"/>
      <c r="BD173" s="403"/>
      <c r="BE173" s="403"/>
      <c r="BF173" s="403"/>
      <c r="BG173" s="403"/>
      <c r="BH173" s="403"/>
      <c r="BI173" s="403"/>
      <c r="BJ173" s="403"/>
      <c r="BK173" s="403"/>
      <c r="BL173" s="403"/>
      <c r="BM173" s="403"/>
      <c r="BN173" s="403"/>
      <c r="BO173" s="403"/>
      <c r="BP173" s="403"/>
      <c r="BQ173" s="403"/>
      <c r="BR173" s="403"/>
      <c r="BS173" s="403"/>
    </row>
    <row r="174" ht="11.25" customHeight="1">
      <c r="A174" s="393"/>
      <c r="B174" s="393"/>
      <c r="C174" s="393"/>
      <c r="D174" s="393"/>
      <c r="E174" s="393"/>
      <c r="F174" s="393"/>
      <c r="G174" s="393"/>
      <c r="H174" s="393"/>
      <c r="I174" s="393"/>
      <c r="J174" s="393"/>
      <c r="K174" s="393"/>
      <c r="L174" s="393"/>
      <c r="M174" s="393"/>
      <c r="N174" s="393"/>
      <c r="O174" s="393"/>
      <c r="P174" s="393"/>
      <c r="Q174" s="393"/>
      <c r="R174" s="393"/>
      <c r="S174" s="393"/>
      <c r="T174" s="393"/>
      <c r="U174" s="393"/>
      <c r="V174" s="393"/>
      <c r="W174" s="393"/>
      <c r="X174" s="393"/>
      <c r="Y174" s="393"/>
      <c r="Z174" s="393"/>
      <c r="AA174" s="393"/>
      <c r="AB174" s="393"/>
      <c r="AC174" s="393"/>
      <c r="AD174" s="393"/>
      <c r="AE174" s="393"/>
      <c r="AF174" s="393"/>
      <c r="AG174" s="393"/>
      <c r="AH174" s="393"/>
      <c r="AI174" s="393"/>
      <c r="AJ174" s="393"/>
      <c r="AK174" s="393"/>
      <c r="AL174" s="393"/>
      <c r="AM174" s="393"/>
      <c r="AN174" s="393"/>
      <c r="AO174" s="393"/>
      <c r="AP174" s="393"/>
      <c r="AQ174" s="393"/>
      <c r="AR174" s="393"/>
      <c r="AS174" s="393"/>
      <c r="AT174" s="393"/>
      <c r="AU174" s="393"/>
      <c r="AV174" s="393"/>
      <c r="AW174" s="393"/>
      <c r="AX174" s="393"/>
      <c r="AY174" s="403"/>
      <c r="AZ174" s="403"/>
      <c r="BA174" s="403"/>
      <c r="BB174" s="403"/>
      <c r="BC174" s="403"/>
      <c r="BD174" s="403"/>
      <c r="BE174" s="403"/>
      <c r="BF174" s="403"/>
      <c r="BG174" s="403"/>
      <c r="BH174" s="403"/>
      <c r="BI174" s="403"/>
      <c r="BJ174" s="403"/>
      <c r="BK174" s="403"/>
      <c r="BL174" s="403"/>
      <c r="BM174" s="403"/>
      <c r="BN174" s="403"/>
      <c r="BO174" s="403"/>
      <c r="BP174" s="403"/>
      <c r="BQ174" s="403"/>
      <c r="BR174" s="403"/>
      <c r="BS174" s="403"/>
    </row>
    <row r="175" ht="11.25" customHeight="1">
      <c r="A175" s="393"/>
      <c r="B175" s="393"/>
      <c r="C175" s="393"/>
      <c r="D175" s="393"/>
      <c r="E175" s="393"/>
      <c r="F175" s="393"/>
      <c r="G175" s="393"/>
      <c r="H175" s="393"/>
      <c r="I175" s="393"/>
      <c r="J175" s="393"/>
      <c r="K175" s="393"/>
      <c r="L175" s="393"/>
      <c r="M175" s="393"/>
      <c r="N175" s="393"/>
      <c r="O175" s="393"/>
      <c r="P175" s="393"/>
      <c r="Q175" s="393"/>
      <c r="R175" s="393"/>
      <c r="S175" s="393"/>
      <c r="T175" s="393"/>
      <c r="U175" s="393"/>
      <c r="V175" s="393"/>
      <c r="W175" s="393"/>
      <c r="X175" s="393"/>
      <c r="Y175" s="393"/>
      <c r="Z175" s="393"/>
      <c r="AA175" s="393"/>
      <c r="AB175" s="393"/>
      <c r="AC175" s="393"/>
      <c r="AD175" s="393"/>
      <c r="AE175" s="393"/>
      <c r="AF175" s="393"/>
      <c r="AG175" s="393"/>
      <c r="AH175" s="393"/>
      <c r="AI175" s="393"/>
      <c r="AJ175" s="393"/>
      <c r="AK175" s="393"/>
      <c r="AL175" s="393"/>
      <c r="AM175" s="393"/>
      <c r="AN175" s="393"/>
      <c r="AO175" s="393"/>
      <c r="AP175" s="393"/>
      <c r="AQ175" s="393"/>
      <c r="AR175" s="393"/>
      <c r="AS175" s="393"/>
      <c r="AT175" s="393"/>
      <c r="AU175" s="393"/>
      <c r="AV175" s="393"/>
      <c r="AW175" s="393"/>
      <c r="AX175" s="393"/>
      <c r="AY175" s="403"/>
      <c r="AZ175" s="403"/>
      <c r="BA175" s="403"/>
      <c r="BB175" s="403"/>
      <c r="BC175" s="403"/>
      <c r="BD175" s="403"/>
      <c r="BE175" s="403"/>
      <c r="BF175" s="403"/>
      <c r="BG175" s="403"/>
      <c r="BH175" s="403"/>
      <c r="BI175" s="403"/>
      <c r="BJ175" s="403"/>
      <c r="BK175" s="403"/>
      <c r="BL175" s="403"/>
      <c r="BM175" s="403"/>
      <c r="BN175" s="403"/>
      <c r="BO175" s="403"/>
      <c r="BP175" s="403"/>
      <c r="BQ175" s="403"/>
      <c r="BR175" s="403"/>
      <c r="BS175" s="403"/>
    </row>
    <row r="176" ht="11.25" customHeight="1">
      <c r="A176" s="393"/>
      <c r="B176" s="393"/>
      <c r="C176" s="393"/>
      <c r="D176" s="393"/>
      <c r="E176" s="393"/>
      <c r="F176" s="393"/>
      <c r="G176" s="393"/>
      <c r="H176" s="393"/>
      <c r="I176" s="393"/>
      <c r="J176" s="393"/>
      <c r="K176" s="393"/>
      <c r="L176" s="393"/>
      <c r="M176" s="393"/>
      <c r="N176" s="393"/>
      <c r="O176" s="393"/>
      <c r="P176" s="393"/>
      <c r="Q176" s="393"/>
      <c r="R176" s="393"/>
      <c r="S176" s="393"/>
      <c r="T176" s="393"/>
      <c r="U176" s="393"/>
      <c r="V176" s="393"/>
      <c r="W176" s="393"/>
      <c r="X176" s="393"/>
      <c r="Y176" s="393"/>
      <c r="Z176" s="393"/>
      <c r="AA176" s="393"/>
      <c r="AB176" s="393"/>
      <c r="AC176" s="393"/>
      <c r="AD176" s="393"/>
      <c r="AE176" s="393"/>
      <c r="AF176" s="393"/>
      <c r="AG176" s="393"/>
      <c r="AH176" s="393"/>
      <c r="AI176" s="393"/>
      <c r="AJ176" s="393"/>
      <c r="AK176" s="393"/>
      <c r="AL176" s="393"/>
      <c r="AM176" s="393"/>
      <c r="AN176" s="393"/>
      <c r="AO176" s="393"/>
      <c r="AP176" s="393"/>
      <c r="AQ176" s="393"/>
      <c r="AR176" s="393"/>
      <c r="AS176" s="393"/>
      <c r="AT176" s="393"/>
      <c r="AU176" s="393"/>
      <c r="AV176" s="393"/>
      <c r="AW176" s="393"/>
      <c r="AX176" s="393"/>
      <c r="AY176" s="403"/>
      <c r="AZ176" s="403"/>
      <c r="BA176" s="403"/>
      <c r="BB176" s="403"/>
      <c r="BC176" s="403"/>
      <c r="BD176" s="403"/>
      <c r="BE176" s="403"/>
      <c r="BF176" s="403"/>
      <c r="BG176" s="403"/>
      <c r="BH176" s="403"/>
      <c r="BI176" s="403"/>
      <c r="BJ176" s="403"/>
      <c r="BK176" s="403"/>
      <c r="BL176" s="403"/>
      <c r="BM176" s="403"/>
      <c r="BN176" s="403"/>
      <c r="BO176" s="403"/>
      <c r="BP176" s="403"/>
      <c r="BQ176" s="403"/>
      <c r="BR176" s="403"/>
      <c r="BS176" s="403"/>
    </row>
    <row r="177" ht="11.25" customHeight="1">
      <c r="A177" s="393"/>
      <c r="B177" s="393"/>
      <c r="C177" s="393"/>
      <c r="D177" s="393"/>
      <c r="E177" s="393"/>
      <c r="F177" s="393"/>
      <c r="G177" s="393"/>
      <c r="H177" s="393"/>
      <c r="I177" s="393"/>
      <c r="J177" s="393"/>
      <c r="K177" s="393"/>
      <c r="L177" s="393"/>
      <c r="M177" s="393"/>
      <c r="N177" s="393"/>
      <c r="O177" s="393"/>
      <c r="P177" s="393"/>
      <c r="Q177" s="393"/>
      <c r="R177" s="393"/>
      <c r="S177" s="393"/>
      <c r="T177" s="393"/>
      <c r="U177" s="393"/>
      <c r="V177" s="393"/>
      <c r="W177" s="393"/>
      <c r="X177" s="393"/>
      <c r="Y177" s="393"/>
      <c r="Z177" s="393"/>
      <c r="AA177" s="393"/>
      <c r="AB177" s="393"/>
      <c r="AC177" s="393"/>
      <c r="AD177" s="393"/>
      <c r="AE177" s="393"/>
      <c r="AF177" s="393"/>
      <c r="AG177" s="393"/>
      <c r="AH177" s="393"/>
      <c r="AI177" s="393"/>
      <c r="AJ177" s="393"/>
      <c r="AK177" s="393"/>
      <c r="AL177" s="393"/>
      <c r="AM177" s="393"/>
      <c r="AN177" s="393"/>
      <c r="AO177" s="393"/>
      <c r="AP177" s="393"/>
      <c r="AQ177" s="393"/>
      <c r="AR177" s="393"/>
      <c r="AS177" s="393"/>
      <c r="AT177" s="393"/>
      <c r="AU177" s="393"/>
      <c r="AV177" s="393"/>
      <c r="AW177" s="393"/>
      <c r="AX177" s="393"/>
      <c r="AY177" s="403"/>
      <c r="AZ177" s="403"/>
      <c r="BA177" s="403"/>
      <c r="BB177" s="403"/>
      <c r="BC177" s="403"/>
      <c r="BD177" s="403"/>
      <c r="BE177" s="403"/>
      <c r="BF177" s="403"/>
      <c r="BG177" s="403"/>
      <c r="BH177" s="403"/>
      <c r="BI177" s="403"/>
      <c r="BJ177" s="403"/>
      <c r="BK177" s="403"/>
      <c r="BL177" s="403"/>
      <c r="BM177" s="403"/>
      <c r="BN177" s="403"/>
      <c r="BO177" s="403"/>
      <c r="BP177" s="403"/>
      <c r="BQ177" s="403"/>
      <c r="BR177" s="403"/>
      <c r="BS177" s="403"/>
    </row>
    <row r="178" ht="11.25" customHeight="1">
      <c r="A178" s="393"/>
      <c r="B178" s="393"/>
      <c r="C178" s="393"/>
      <c r="D178" s="393"/>
      <c r="E178" s="393"/>
      <c r="F178" s="393"/>
      <c r="G178" s="393"/>
      <c r="H178" s="393"/>
      <c r="I178" s="393"/>
      <c r="J178" s="393"/>
      <c r="K178" s="393"/>
      <c r="L178" s="393"/>
      <c r="M178" s="393"/>
      <c r="N178" s="393"/>
      <c r="O178" s="393"/>
      <c r="P178" s="393"/>
      <c r="Q178" s="393"/>
      <c r="R178" s="393"/>
      <c r="S178" s="393"/>
      <c r="T178" s="393"/>
      <c r="U178" s="393"/>
      <c r="V178" s="393"/>
      <c r="W178" s="393"/>
      <c r="X178" s="393"/>
      <c r="Y178" s="393"/>
      <c r="Z178" s="393"/>
      <c r="AA178" s="393"/>
      <c r="AB178" s="393"/>
      <c r="AC178" s="393"/>
      <c r="AD178" s="393"/>
      <c r="AE178" s="393"/>
      <c r="AF178" s="393"/>
      <c r="AG178" s="393"/>
      <c r="AH178" s="393"/>
      <c r="AI178" s="393"/>
      <c r="AJ178" s="393"/>
      <c r="AK178" s="393"/>
      <c r="AL178" s="393"/>
      <c r="AM178" s="393"/>
      <c r="AN178" s="393"/>
      <c r="AO178" s="393"/>
      <c r="AP178" s="393"/>
      <c r="AQ178" s="393"/>
      <c r="AR178" s="393"/>
      <c r="AS178" s="393"/>
      <c r="AT178" s="393"/>
      <c r="AU178" s="393"/>
      <c r="AV178" s="393"/>
      <c r="AW178" s="393"/>
      <c r="AX178" s="393"/>
      <c r="AY178" s="403"/>
      <c r="AZ178" s="403"/>
      <c r="BA178" s="403"/>
      <c r="BB178" s="403"/>
      <c r="BC178" s="403"/>
      <c r="BD178" s="403"/>
      <c r="BE178" s="403"/>
      <c r="BF178" s="403"/>
      <c r="BG178" s="403"/>
      <c r="BH178" s="403"/>
      <c r="BI178" s="403"/>
      <c r="BJ178" s="403"/>
      <c r="BK178" s="403"/>
      <c r="BL178" s="403"/>
      <c r="BM178" s="403"/>
      <c r="BN178" s="403"/>
      <c r="BO178" s="403"/>
      <c r="BP178" s="403"/>
      <c r="BQ178" s="403"/>
      <c r="BR178" s="403"/>
      <c r="BS178" s="403"/>
    </row>
    <row r="179" ht="11.25" customHeight="1">
      <c r="A179" s="393"/>
      <c r="B179" s="393"/>
      <c r="C179" s="393"/>
      <c r="D179" s="393"/>
      <c r="E179" s="393"/>
      <c r="F179" s="393"/>
      <c r="G179" s="393"/>
      <c r="H179" s="393"/>
      <c r="I179" s="393"/>
      <c r="J179" s="393"/>
      <c r="K179" s="393"/>
      <c r="L179" s="393"/>
      <c r="M179" s="393"/>
      <c r="N179" s="393"/>
      <c r="O179" s="393"/>
      <c r="P179" s="393"/>
      <c r="Q179" s="393"/>
      <c r="R179" s="393"/>
      <c r="S179" s="393"/>
      <c r="T179" s="393"/>
      <c r="U179" s="393"/>
      <c r="V179" s="393"/>
      <c r="W179" s="393"/>
      <c r="X179" s="393"/>
      <c r="Y179" s="393"/>
      <c r="Z179" s="393"/>
      <c r="AA179" s="393"/>
      <c r="AB179" s="393"/>
      <c r="AC179" s="393"/>
      <c r="AD179" s="393"/>
      <c r="AE179" s="393"/>
      <c r="AF179" s="393"/>
      <c r="AG179" s="393"/>
      <c r="AH179" s="393"/>
      <c r="AI179" s="393"/>
      <c r="AJ179" s="393"/>
      <c r="AK179" s="393"/>
      <c r="AL179" s="393"/>
      <c r="AM179" s="393"/>
      <c r="AN179" s="393"/>
      <c r="AO179" s="393"/>
      <c r="AP179" s="393"/>
      <c r="AQ179" s="393"/>
      <c r="AR179" s="393"/>
      <c r="AS179" s="393"/>
      <c r="AT179" s="393"/>
      <c r="AU179" s="393"/>
      <c r="AV179" s="393"/>
      <c r="AW179" s="393"/>
      <c r="AX179" s="393"/>
      <c r="AY179" s="403"/>
      <c r="AZ179" s="403"/>
      <c r="BA179" s="403"/>
      <c r="BB179" s="403"/>
      <c r="BC179" s="403"/>
      <c r="BD179" s="403"/>
      <c r="BE179" s="403"/>
      <c r="BF179" s="403"/>
      <c r="BG179" s="403"/>
      <c r="BH179" s="403"/>
      <c r="BI179" s="403"/>
      <c r="BJ179" s="403"/>
      <c r="BK179" s="403"/>
      <c r="BL179" s="403"/>
      <c r="BM179" s="403"/>
      <c r="BN179" s="403"/>
      <c r="BO179" s="403"/>
      <c r="BP179" s="403"/>
      <c r="BQ179" s="403"/>
      <c r="BR179" s="403"/>
      <c r="BS179" s="403"/>
    </row>
    <row r="180" ht="11.25" customHeight="1">
      <c r="A180" s="393"/>
      <c r="B180" s="393"/>
      <c r="C180" s="393"/>
      <c r="D180" s="393"/>
      <c r="E180" s="393"/>
      <c r="F180" s="393"/>
      <c r="G180" s="393"/>
      <c r="H180" s="393"/>
      <c r="I180" s="393"/>
      <c r="J180" s="393"/>
      <c r="K180" s="393"/>
      <c r="L180" s="393"/>
      <c r="M180" s="393"/>
      <c r="N180" s="393"/>
      <c r="O180" s="393"/>
      <c r="P180" s="393"/>
      <c r="Q180" s="393"/>
      <c r="R180" s="393"/>
      <c r="S180" s="393"/>
      <c r="T180" s="393"/>
      <c r="U180" s="393"/>
      <c r="V180" s="393"/>
      <c r="W180" s="393"/>
      <c r="X180" s="393"/>
      <c r="Y180" s="393"/>
      <c r="Z180" s="393"/>
      <c r="AA180" s="393"/>
      <c r="AB180" s="393"/>
      <c r="AC180" s="393"/>
      <c r="AD180" s="393"/>
      <c r="AE180" s="393"/>
      <c r="AF180" s="393"/>
      <c r="AG180" s="393"/>
      <c r="AH180" s="393"/>
      <c r="AI180" s="393"/>
      <c r="AJ180" s="393"/>
      <c r="AK180" s="393"/>
      <c r="AL180" s="393"/>
      <c r="AM180" s="393"/>
      <c r="AN180" s="393"/>
      <c r="AO180" s="393"/>
      <c r="AP180" s="393"/>
      <c r="AQ180" s="393"/>
      <c r="AR180" s="393"/>
      <c r="AS180" s="393"/>
      <c r="AT180" s="393"/>
      <c r="AU180" s="393"/>
      <c r="AV180" s="393"/>
      <c r="AW180" s="393"/>
      <c r="AX180" s="393"/>
      <c r="AY180" s="403"/>
      <c r="AZ180" s="403"/>
      <c r="BA180" s="403"/>
      <c r="BB180" s="403"/>
      <c r="BC180" s="403"/>
      <c r="BD180" s="403"/>
      <c r="BE180" s="403"/>
      <c r="BF180" s="403"/>
      <c r="BG180" s="403"/>
      <c r="BH180" s="403"/>
      <c r="BI180" s="403"/>
      <c r="BJ180" s="403"/>
      <c r="BK180" s="403"/>
      <c r="BL180" s="403"/>
      <c r="BM180" s="403"/>
      <c r="BN180" s="403"/>
      <c r="BO180" s="403"/>
      <c r="BP180" s="403"/>
      <c r="BQ180" s="403"/>
      <c r="BR180" s="403"/>
      <c r="BS180" s="403"/>
    </row>
    <row r="181" ht="11.25" customHeight="1">
      <c r="A181" s="393"/>
      <c r="B181" s="393"/>
      <c r="C181" s="393"/>
      <c r="D181" s="393"/>
      <c r="E181" s="393"/>
      <c r="F181" s="393"/>
      <c r="G181" s="393"/>
      <c r="H181" s="393"/>
      <c r="I181" s="393"/>
      <c r="J181" s="393"/>
      <c r="K181" s="393"/>
      <c r="L181" s="393"/>
      <c r="M181" s="393"/>
      <c r="N181" s="393"/>
      <c r="O181" s="393"/>
      <c r="P181" s="393"/>
      <c r="Q181" s="393"/>
      <c r="R181" s="393"/>
      <c r="S181" s="393"/>
      <c r="T181" s="393"/>
      <c r="U181" s="393"/>
      <c r="V181" s="393"/>
      <c r="W181" s="393"/>
      <c r="X181" s="393"/>
      <c r="Y181" s="393"/>
      <c r="Z181" s="393"/>
      <c r="AA181" s="393"/>
      <c r="AB181" s="393"/>
      <c r="AC181" s="393"/>
      <c r="AD181" s="393"/>
      <c r="AE181" s="393"/>
      <c r="AF181" s="393"/>
      <c r="AG181" s="393"/>
      <c r="AH181" s="393"/>
      <c r="AI181" s="393"/>
      <c r="AJ181" s="393"/>
      <c r="AK181" s="393"/>
      <c r="AL181" s="393"/>
      <c r="AM181" s="393"/>
      <c r="AN181" s="393"/>
      <c r="AO181" s="393"/>
      <c r="AP181" s="393"/>
      <c r="AQ181" s="393"/>
      <c r="AR181" s="393"/>
      <c r="AS181" s="393"/>
      <c r="AT181" s="393"/>
      <c r="AU181" s="393"/>
      <c r="AV181" s="393"/>
      <c r="AW181" s="393"/>
      <c r="AX181" s="393"/>
      <c r="AY181" s="403"/>
      <c r="AZ181" s="403"/>
      <c r="BA181" s="403"/>
      <c r="BB181" s="403"/>
      <c r="BC181" s="403"/>
      <c r="BD181" s="403"/>
      <c r="BE181" s="403"/>
      <c r="BF181" s="403"/>
      <c r="BG181" s="403"/>
      <c r="BH181" s="403"/>
      <c r="BI181" s="403"/>
      <c r="BJ181" s="403"/>
      <c r="BK181" s="403"/>
      <c r="BL181" s="403"/>
      <c r="BM181" s="403"/>
      <c r="BN181" s="403"/>
      <c r="BO181" s="403"/>
      <c r="BP181" s="403"/>
      <c r="BQ181" s="403"/>
      <c r="BR181" s="403"/>
      <c r="BS181" s="403"/>
    </row>
    <row r="182" ht="11.25" customHeight="1">
      <c r="A182" s="393"/>
      <c r="B182" s="393"/>
      <c r="C182" s="393"/>
      <c r="D182" s="393"/>
      <c r="E182" s="393"/>
      <c r="F182" s="393"/>
      <c r="G182" s="393"/>
      <c r="H182" s="393"/>
      <c r="I182" s="393"/>
      <c r="J182" s="393"/>
      <c r="K182" s="393"/>
      <c r="L182" s="393"/>
      <c r="M182" s="393"/>
      <c r="N182" s="393"/>
      <c r="O182" s="393"/>
      <c r="P182" s="393"/>
      <c r="Q182" s="393"/>
      <c r="R182" s="393"/>
      <c r="S182" s="393"/>
      <c r="T182" s="393"/>
      <c r="U182" s="393"/>
      <c r="V182" s="393"/>
      <c r="W182" s="393"/>
      <c r="X182" s="393"/>
      <c r="Y182" s="393"/>
      <c r="Z182" s="393"/>
      <c r="AA182" s="393"/>
      <c r="AB182" s="393"/>
      <c r="AC182" s="393"/>
      <c r="AD182" s="393"/>
      <c r="AE182" s="393"/>
      <c r="AF182" s="393"/>
      <c r="AG182" s="393"/>
      <c r="AH182" s="393"/>
      <c r="AI182" s="393"/>
      <c r="AJ182" s="393"/>
      <c r="AK182" s="393"/>
      <c r="AL182" s="393"/>
      <c r="AM182" s="393"/>
      <c r="AN182" s="393"/>
      <c r="AO182" s="393"/>
      <c r="AP182" s="393"/>
      <c r="AQ182" s="393"/>
      <c r="AR182" s="393"/>
      <c r="AS182" s="393"/>
      <c r="AT182" s="393"/>
      <c r="AU182" s="393"/>
      <c r="AV182" s="393"/>
      <c r="AW182" s="393"/>
      <c r="AX182" s="393"/>
      <c r="AY182" s="403"/>
      <c r="AZ182" s="403"/>
      <c r="BA182" s="403"/>
      <c r="BB182" s="403"/>
      <c r="BC182" s="403"/>
      <c r="BD182" s="403"/>
      <c r="BE182" s="403"/>
      <c r="BF182" s="403"/>
      <c r="BG182" s="403"/>
      <c r="BH182" s="403"/>
      <c r="BI182" s="403"/>
      <c r="BJ182" s="403"/>
      <c r="BK182" s="403"/>
      <c r="BL182" s="403"/>
      <c r="BM182" s="403"/>
      <c r="BN182" s="403"/>
      <c r="BO182" s="403"/>
      <c r="BP182" s="403"/>
      <c r="BQ182" s="403"/>
      <c r="BR182" s="403"/>
      <c r="BS182" s="403"/>
    </row>
    <row r="183" ht="11.25" customHeight="1">
      <c r="A183" s="393"/>
      <c r="B183" s="393"/>
      <c r="C183" s="393"/>
      <c r="D183" s="393"/>
      <c r="E183" s="393"/>
      <c r="F183" s="393"/>
      <c r="G183" s="393"/>
      <c r="H183" s="393"/>
      <c r="I183" s="393"/>
      <c r="J183" s="393"/>
      <c r="K183" s="393"/>
      <c r="L183" s="393"/>
      <c r="M183" s="393"/>
      <c r="N183" s="393"/>
      <c r="O183" s="393"/>
      <c r="P183" s="393"/>
      <c r="Q183" s="393"/>
      <c r="R183" s="393"/>
      <c r="S183" s="393"/>
      <c r="T183" s="393"/>
      <c r="U183" s="393"/>
      <c r="V183" s="393"/>
      <c r="W183" s="393"/>
      <c r="X183" s="393"/>
      <c r="Y183" s="393"/>
      <c r="Z183" s="393"/>
      <c r="AA183" s="393"/>
      <c r="AB183" s="393"/>
      <c r="AC183" s="393"/>
      <c r="AD183" s="393"/>
      <c r="AE183" s="393"/>
      <c r="AF183" s="393"/>
      <c r="AG183" s="393"/>
      <c r="AH183" s="393"/>
      <c r="AI183" s="393"/>
      <c r="AJ183" s="393"/>
      <c r="AK183" s="393"/>
      <c r="AL183" s="393"/>
      <c r="AM183" s="393"/>
      <c r="AN183" s="393"/>
      <c r="AO183" s="393"/>
      <c r="AP183" s="393"/>
      <c r="AQ183" s="393"/>
      <c r="AR183" s="393"/>
      <c r="AS183" s="393"/>
      <c r="AT183" s="393"/>
      <c r="AU183" s="393"/>
      <c r="AV183" s="393"/>
      <c r="AW183" s="393"/>
      <c r="AX183" s="393"/>
      <c r="AY183" s="403"/>
      <c r="AZ183" s="403"/>
      <c r="BA183" s="403"/>
      <c r="BB183" s="403"/>
      <c r="BC183" s="403"/>
      <c r="BD183" s="403"/>
      <c r="BE183" s="403"/>
      <c r="BF183" s="403"/>
      <c r="BG183" s="403"/>
      <c r="BH183" s="403"/>
      <c r="BI183" s="403"/>
      <c r="BJ183" s="403"/>
      <c r="BK183" s="403"/>
      <c r="BL183" s="403"/>
      <c r="BM183" s="403"/>
      <c r="BN183" s="403"/>
      <c r="BO183" s="403"/>
      <c r="BP183" s="403"/>
      <c r="BQ183" s="403"/>
      <c r="BR183" s="403"/>
      <c r="BS183" s="403"/>
    </row>
    <row r="184" ht="11.25" customHeight="1">
      <c r="A184" s="393"/>
      <c r="B184" s="393"/>
      <c r="C184" s="393"/>
      <c r="D184" s="393"/>
      <c r="E184" s="393"/>
      <c r="F184" s="393"/>
      <c r="G184" s="393"/>
      <c r="H184" s="393"/>
      <c r="I184" s="393"/>
      <c r="J184" s="393"/>
      <c r="K184" s="393"/>
      <c r="L184" s="393"/>
      <c r="M184" s="393"/>
      <c r="N184" s="393"/>
      <c r="O184" s="393"/>
      <c r="P184" s="393"/>
      <c r="Q184" s="393"/>
      <c r="R184" s="393"/>
      <c r="S184" s="393"/>
      <c r="T184" s="393"/>
      <c r="U184" s="393"/>
      <c r="V184" s="393"/>
      <c r="W184" s="393"/>
      <c r="X184" s="393"/>
      <c r="Y184" s="393"/>
      <c r="Z184" s="393"/>
      <c r="AA184" s="393"/>
      <c r="AB184" s="393"/>
      <c r="AC184" s="393"/>
      <c r="AD184" s="393"/>
      <c r="AE184" s="393"/>
      <c r="AF184" s="393"/>
      <c r="AG184" s="393"/>
      <c r="AH184" s="393"/>
      <c r="AI184" s="393"/>
      <c r="AJ184" s="393"/>
      <c r="AK184" s="393"/>
      <c r="AL184" s="393"/>
      <c r="AM184" s="393"/>
      <c r="AN184" s="393"/>
      <c r="AO184" s="393"/>
      <c r="AP184" s="393"/>
      <c r="AQ184" s="393"/>
      <c r="AR184" s="393"/>
      <c r="AS184" s="393"/>
      <c r="AT184" s="393"/>
      <c r="AU184" s="393"/>
      <c r="AV184" s="393"/>
      <c r="AW184" s="393"/>
      <c r="AX184" s="393"/>
      <c r="AY184" s="403"/>
      <c r="AZ184" s="403"/>
      <c r="BA184" s="403"/>
      <c r="BB184" s="403"/>
      <c r="BC184" s="403"/>
      <c r="BD184" s="403"/>
      <c r="BE184" s="403"/>
      <c r="BF184" s="403"/>
      <c r="BG184" s="403"/>
      <c r="BH184" s="403"/>
      <c r="BI184" s="403"/>
      <c r="BJ184" s="403"/>
      <c r="BK184" s="403"/>
      <c r="BL184" s="403"/>
      <c r="BM184" s="403"/>
      <c r="BN184" s="403"/>
      <c r="BO184" s="403"/>
      <c r="BP184" s="403"/>
      <c r="BQ184" s="403"/>
      <c r="BR184" s="403"/>
      <c r="BS184" s="403"/>
    </row>
    <row r="185" ht="11.25" customHeight="1">
      <c r="A185" s="393"/>
      <c r="B185" s="393"/>
      <c r="C185" s="393"/>
      <c r="D185" s="393"/>
      <c r="E185" s="393"/>
      <c r="F185" s="393"/>
      <c r="G185" s="393"/>
      <c r="H185" s="393"/>
      <c r="I185" s="393"/>
      <c r="J185" s="393"/>
      <c r="K185" s="393"/>
      <c r="L185" s="393"/>
      <c r="M185" s="393"/>
      <c r="N185" s="393"/>
      <c r="O185" s="393"/>
      <c r="P185" s="393"/>
      <c r="Q185" s="393"/>
      <c r="R185" s="393"/>
      <c r="S185" s="393"/>
      <c r="T185" s="393"/>
      <c r="U185" s="393"/>
      <c r="V185" s="393"/>
      <c r="W185" s="393"/>
      <c r="X185" s="393"/>
      <c r="Y185" s="393"/>
      <c r="Z185" s="393"/>
      <c r="AA185" s="393"/>
      <c r="AB185" s="393"/>
      <c r="AC185" s="393"/>
      <c r="AD185" s="393"/>
      <c r="AE185" s="393"/>
      <c r="AF185" s="393"/>
      <c r="AG185" s="393"/>
      <c r="AH185" s="393"/>
      <c r="AI185" s="393"/>
      <c r="AJ185" s="393"/>
      <c r="AK185" s="393"/>
      <c r="AL185" s="393"/>
      <c r="AM185" s="393"/>
      <c r="AN185" s="393"/>
      <c r="AO185" s="393"/>
      <c r="AP185" s="393"/>
      <c r="AQ185" s="393"/>
      <c r="AR185" s="393"/>
      <c r="AS185" s="393"/>
      <c r="AT185" s="393"/>
      <c r="AU185" s="393"/>
      <c r="AV185" s="393"/>
      <c r="AW185" s="393"/>
      <c r="AX185" s="393"/>
      <c r="AY185" s="403"/>
      <c r="AZ185" s="403"/>
      <c r="BA185" s="403"/>
      <c r="BB185" s="403"/>
      <c r="BC185" s="403"/>
      <c r="BD185" s="403"/>
      <c r="BE185" s="403"/>
      <c r="BF185" s="403"/>
      <c r="BG185" s="403"/>
      <c r="BH185" s="403"/>
      <c r="BI185" s="403"/>
      <c r="BJ185" s="403"/>
      <c r="BK185" s="403"/>
      <c r="BL185" s="403"/>
      <c r="BM185" s="403"/>
      <c r="BN185" s="403"/>
      <c r="BO185" s="403"/>
      <c r="BP185" s="403"/>
      <c r="BQ185" s="403"/>
      <c r="BR185" s="403"/>
      <c r="BS185" s="403"/>
    </row>
    <row r="186" ht="11.25" customHeight="1">
      <c r="A186" s="393"/>
      <c r="B186" s="393"/>
      <c r="C186" s="393"/>
      <c r="D186" s="393"/>
      <c r="E186" s="393"/>
      <c r="F186" s="393"/>
      <c r="G186" s="393"/>
      <c r="H186" s="393"/>
      <c r="I186" s="393"/>
      <c r="J186" s="393"/>
      <c r="K186" s="393"/>
      <c r="L186" s="393"/>
      <c r="M186" s="393"/>
      <c r="N186" s="393"/>
      <c r="O186" s="393"/>
      <c r="P186" s="393"/>
      <c r="Q186" s="393"/>
      <c r="R186" s="393"/>
      <c r="S186" s="393"/>
      <c r="T186" s="393"/>
      <c r="U186" s="393"/>
      <c r="V186" s="393"/>
      <c r="W186" s="393"/>
      <c r="X186" s="393"/>
      <c r="Y186" s="393"/>
      <c r="Z186" s="393"/>
      <c r="AA186" s="393"/>
      <c r="AB186" s="393"/>
      <c r="AC186" s="393"/>
      <c r="AD186" s="393"/>
      <c r="AE186" s="393"/>
      <c r="AF186" s="393"/>
      <c r="AG186" s="393"/>
      <c r="AH186" s="393"/>
      <c r="AI186" s="393"/>
      <c r="AJ186" s="393"/>
      <c r="AK186" s="393"/>
      <c r="AL186" s="393"/>
      <c r="AM186" s="393"/>
      <c r="AN186" s="393"/>
      <c r="AO186" s="393"/>
      <c r="AP186" s="393"/>
      <c r="AQ186" s="393"/>
      <c r="AR186" s="393"/>
      <c r="AS186" s="393"/>
      <c r="AT186" s="393"/>
      <c r="AU186" s="393"/>
      <c r="AV186" s="393"/>
      <c r="AW186" s="393"/>
      <c r="AX186" s="393"/>
      <c r="AY186" s="403"/>
      <c r="AZ186" s="403"/>
      <c r="BA186" s="403"/>
      <c r="BB186" s="403"/>
      <c r="BC186" s="403"/>
      <c r="BD186" s="403"/>
      <c r="BE186" s="403"/>
      <c r="BF186" s="403"/>
      <c r="BG186" s="403"/>
      <c r="BH186" s="403"/>
      <c r="BI186" s="403"/>
      <c r="BJ186" s="403"/>
      <c r="BK186" s="403"/>
      <c r="BL186" s="403"/>
      <c r="BM186" s="403"/>
      <c r="BN186" s="403"/>
      <c r="BO186" s="403"/>
      <c r="BP186" s="403"/>
      <c r="BQ186" s="403"/>
      <c r="BR186" s="403"/>
      <c r="BS186" s="403"/>
    </row>
    <row r="187" ht="11.25" customHeight="1">
      <c r="A187" s="393"/>
      <c r="B187" s="393"/>
      <c r="C187" s="393"/>
      <c r="D187" s="393"/>
      <c r="E187" s="393"/>
      <c r="F187" s="393"/>
      <c r="G187" s="393"/>
      <c r="H187" s="393"/>
      <c r="I187" s="393"/>
      <c r="J187" s="393"/>
      <c r="K187" s="393"/>
      <c r="L187" s="393"/>
      <c r="M187" s="393"/>
      <c r="N187" s="393"/>
      <c r="O187" s="393"/>
      <c r="P187" s="393"/>
      <c r="Q187" s="393"/>
      <c r="R187" s="393"/>
      <c r="S187" s="393"/>
      <c r="T187" s="393"/>
      <c r="U187" s="393"/>
      <c r="V187" s="393"/>
      <c r="W187" s="393"/>
      <c r="X187" s="393"/>
      <c r="Y187" s="393"/>
      <c r="Z187" s="393"/>
      <c r="AA187" s="393"/>
      <c r="AB187" s="393"/>
      <c r="AC187" s="393"/>
      <c r="AD187" s="393"/>
      <c r="AE187" s="393"/>
      <c r="AF187" s="393"/>
      <c r="AG187" s="393"/>
      <c r="AH187" s="393"/>
      <c r="AI187" s="393"/>
      <c r="AJ187" s="393"/>
      <c r="AK187" s="393"/>
      <c r="AL187" s="393"/>
      <c r="AM187" s="393"/>
      <c r="AN187" s="393"/>
      <c r="AO187" s="393"/>
      <c r="AP187" s="393"/>
      <c r="AQ187" s="393"/>
      <c r="AR187" s="393"/>
      <c r="AS187" s="393"/>
      <c r="AT187" s="393"/>
      <c r="AU187" s="393"/>
      <c r="AV187" s="393"/>
      <c r="AW187" s="393"/>
      <c r="AX187" s="393"/>
      <c r="AY187" s="403"/>
      <c r="AZ187" s="403"/>
      <c r="BA187" s="403"/>
      <c r="BB187" s="403"/>
      <c r="BC187" s="403"/>
      <c r="BD187" s="403"/>
      <c r="BE187" s="403"/>
      <c r="BF187" s="403"/>
      <c r="BG187" s="403"/>
      <c r="BH187" s="403"/>
      <c r="BI187" s="403"/>
      <c r="BJ187" s="403"/>
      <c r="BK187" s="403"/>
      <c r="BL187" s="403"/>
      <c r="BM187" s="403"/>
      <c r="BN187" s="403"/>
      <c r="BO187" s="403"/>
      <c r="BP187" s="403"/>
      <c r="BQ187" s="403"/>
      <c r="BR187" s="403"/>
      <c r="BS187" s="403"/>
    </row>
    <row r="188" ht="11.25" customHeight="1">
      <c r="A188" s="393"/>
      <c r="B188" s="393"/>
      <c r="C188" s="393"/>
      <c r="D188" s="393"/>
      <c r="E188" s="393"/>
      <c r="F188" s="393"/>
      <c r="G188" s="393"/>
      <c r="H188" s="393"/>
      <c r="I188" s="393"/>
      <c r="J188" s="393"/>
      <c r="K188" s="393"/>
      <c r="L188" s="393"/>
      <c r="M188" s="393"/>
      <c r="N188" s="393"/>
      <c r="O188" s="393"/>
      <c r="P188" s="393"/>
      <c r="Q188" s="393"/>
      <c r="R188" s="393"/>
      <c r="S188" s="393"/>
      <c r="T188" s="393"/>
      <c r="U188" s="393"/>
      <c r="V188" s="393"/>
      <c r="W188" s="393"/>
      <c r="X188" s="393"/>
      <c r="Y188" s="393"/>
      <c r="Z188" s="393"/>
      <c r="AA188" s="393"/>
      <c r="AB188" s="393"/>
      <c r="AC188" s="393"/>
      <c r="AD188" s="393"/>
      <c r="AE188" s="393"/>
      <c r="AF188" s="393"/>
      <c r="AG188" s="393"/>
      <c r="AH188" s="393"/>
      <c r="AI188" s="393"/>
      <c r="AJ188" s="393"/>
      <c r="AK188" s="393"/>
      <c r="AL188" s="393"/>
      <c r="AM188" s="393"/>
      <c r="AN188" s="393"/>
      <c r="AO188" s="393"/>
      <c r="AP188" s="393"/>
      <c r="AQ188" s="393"/>
      <c r="AR188" s="393"/>
      <c r="AS188" s="393"/>
      <c r="AT188" s="393"/>
      <c r="AU188" s="393"/>
      <c r="AV188" s="393"/>
      <c r="AW188" s="393"/>
      <c r="AX188" s="393"/>
      <c r="AY188" s="403"/>
      <c r="AZ188" s="403"/>
      <c r="BA188" s="403"/>
      <c r="BB188" s="403"/>
      <c r="BC188" s="403"/>
      <c r="BD188" s="403"/>
      <c r="BE188" s="403"/>
      <c r="BF188" s="403"/>
      <c r="BG188" s="403"/>
      <c r="BH188" s="403"/>
      <c r="BI188" s="403"/>
      <c r="BJ188" s="403"/>
      <c r="BK188" s="403"/>
      <c r="BL188" s="403"/>
      <c r="BM188" s="403"/>
      <c r="BN188" s="403"/>
      <c r="BO188" s="403"/>
      <c r="BP188" s="403"/>
      <c r="BQ188" s="403"/>
      <c r="BR188" s="403"/>
      <c r="BS188" s="403"/>
    </row>
    <row r="189" ht="11.25" customHeight="1">
      <c r="A189" s="393"/>
      <c r="B189" s="393"/>
      <c r="C189" s="393"/>
      <c r="D189" s="393"/>
      <c r="E189" s="393"/>
      <c r="F189" s="393"/>
      <c r="G189" s="393"/>
      <c r="H189" s="393"/>
      <c r="I189" s="393"/>
      <c r="J189" s="393"/>
      <c r="K189" s="393"/>
      <c r="L189" s="393"/>
      <c r="M189" s="393"/>
      <c r="N189" s="393"/>
      <c r="O189" s="393"/>
      <c r="P189" s="393"/>
      <c r="Q189" s="393"/>
      <c r="R189" s="393"/>
      <c r="S189" s="393"/>
      <c r="T189" s="393"/>
      <c r="U189" s="393"/>
      <c r="V189" s="393"/>
      <c r="W189" s="393"/>
      <c r="X189" s="393"/>
      <c r="Y189" s="393"/>
      <c r="Z189" s="393"/>
      <c r="AA189" s="393"/>
      <c r="AB189" s="393"/>
      <c r="AC189" s="393"/>
      <c r="AD189" s="393"/>
      <c r="AE189" s="393"/>
      <c r="AF189" s="393"/>
      <c r="AG189" s="393"/>
      <c r="AH189" s="393"/>
      <c r="AI189" s="393"/>
      <c r="AJ189" s="393"/>
      <c r="AK189" s="393"/>
      <c r="AL189" s="393"/>
      <c r="AM189" s="393"/>
      <c r="AN189" s="393"/>
      <c r="AO189" s="393"/>
      <c r="AP189" s="393"/>
      <c r="AQ189" s="393"/>
      <c r="AR189" s="393"/>
      <c r="AS189" s="393"/>
      <c r="AT189" s="393"/>
      <c r="AU189" s="393"/>
      <c r="AV189" s="393"/>
      <c r="AW189" s="393"/>
      <c r="AX189" s="393"/>
      <c r="AY189" s="403"/>
      <c r="AZ189" s="403"/>
      <c r="BA189" s="403"/>
      <c r="BB189" s="403"/>
      <c r="BC189" s="403"/>
      <c r="BD189" s="403"/>
      <c r="BE189" s="403"/>
      <c r="BF189" s="403"/>
      <c r="BG189" s="403"/>
      <c r="BH189" s="403"/>
      <c r="BI189" s="403"/>
      <c r="BJ189" s="403"/>
      <c r="BK189" s="403"/>
      <c r="BL189" s="403"/>
      <c r="BM189" s="403"/>
      <c r="BN189" s="403"/>
      <c r="BO189" s="403"/>
      <c r="BP189" s="403"/>
      <c r="BQ189" s="403"/>
      <c r="BR189" s="403"/>
      <c r="BS189" s="403"/>
    </row>
    <row r="190" ht="11.25" customHeight="1">
      <c r="A190" s="393"/>
      <c r="B190" s="393"/>
      <c r="C190" s="393"/>
      <c r="D190" s="393"/>
      <c r="E190" s="393"/>
      <c r="F190" s="393"/>
      <c r="G190" s="393"/>
      <c r="H190" s="393"/>
      <c r="I190" s="393"/>
      <c r="J190" s="393"/>
      <c r="K190" s="393"/>
      <c r="L190" s="393"/>
      <c r="M190" s="393"/>
      <c r="N190" s="393"/>
      <c r="O190" s="393"/>
      <c r="P190" s="393"/>
      <c r="Q190" s="393"/>
      <c r="R190" s="393"/>
      <c r="S190" s="393"/>
      <c r="T190" s="393"/>
      <c r="U190" s="393"/>
      <c r="V190" s="393"/>
      <c r="W190" s="393"/>
      <c r="X190" s="393"/>
      <c r="Y190" s="393"/>
      <c r="Z190" s="393"/>
      <c r="AA190" s="393"/>
      <c r="AB190" s="393"/>
      <c r="AC190" s="393"/>
      <c r="AD190" s="393"/>
      <c r="AE190" s="393"/>
      <c r="AF190" s="393"/>
      <c r="AG190" s="393"/>
      <c r="AH190" s="393"/>
      <c r="AI190" s="393"/>
      <c r="AJ190" s="393"/>
      <c r="AK190" s="393"/>
      <c r="AL190" s="393"/>
      <c r="AM190" s="393"/>
      <c r="AN190" s="393"/>
      <c r="AO190" s="393"/>
      <c r="AP190" s="393"/>
      <c r="AQ190" s="393"/>
      <c r="AR190" s="393"/>
      <c r="AS190" s="393"/>
      <c r="AT190" s="393"/>
      <c r="AU190" s="393"/>
      <c r="AV190" s="393"/>
      <c r="AW190" s="393"/>
      <c r="AX190" s="393"/>
      <c r="AY190" s="403"/>
      <c r="AZ190" s="403"/>
      <c r="BA190" s="403"/>
      <c r="BB190" s="403"/>
      <c r="BC190" s="403"/>
      <c r="BD190" s="403"/>
      <c r="BE190" s="403"/>
      <c r="BF190" s="403"/>
      <c r="BG190" s="403"/>
      <c r="BH190" s="403"/>
      <c r="BI190" s="403"/>
      <c r="BJ190" s="403"/>
      <c r="BK190" s="403"/>
      <c r="BL190" s="403"/>
      <c r="BM190" s="403"/>
      <c r="BN190" s="403"/>
      <c r="BO190" s="403"/>
      <c r="BP190" s="403"/>
      <c r="BQ190" s="403"/>
      <c r="BR190" s="403"/>
      <c r="BS190" s="403"/>
    </row>
    <row r="191" ht="11.25" customHeight="1">
      <c r="A191" s="393"/>
      <c r="B191" s="393"/>
      <c r="C191" s="393"/>
      <c r="D191" s="393"/>
      <c r="E191" s="393"/>
      <c r="F191" s="393"/>
      <c r="G191" s="393"/>
      <c r="H191" s="393"/>
      <c r="I191" s="393"/>
      <c r="J191" s="393"/>
      <c r="K191" s="393"/>
      <c r="L191" s="393"/>
      <c r="M191" s="393"/>
      <c r="N191" s="393"/>
      <c r="O191" s="393"/>
      <c r="P191" s="393"/>
      <c r="Q191" s="393"/>
      <c r="R191" s="393"/>
      <c r="S191" s="393"/>
      <c r="T191" s="393"/>
      <c r="U191" s="393"/>
      <c r="V191" s="393"/>
      <c r="W191" s="393"/>
      <c r="X191" s="393"/>
      <c r="Y191" s="393"/>
      <c r="Z191" s="393"/>
      <c r="AA191" s="393"/>
      <c r="AB191" s="393"/>
      <c r="AC191" s="393"/>
      <c r="AD191" s="393"/>
      <c r="AE191" s="393"/>
      <c r="AF191" s="393"/>
      <c r="AG191" s="393"/>
      <c r="AH191" s="393"/>
      <c r="AI191" s="393"/>
      <c r="AJ191" s="393"/>
      <c r="AK191" s="393"/>
      <c r="AL191" s="393"/>
      <c r="AM191" s="393"/>
      <c r="AN191" s="393"/>
      <c r="AO191" s="393"/>
      <c r="AP191" s="393"/>
      <c r="AQ191" s="393"/>
      <c r="AR191" s="393"/>
      <c r="AS191" s="393"/>
      <c r="AT191" s="393"/>
      <c r="AU191" s="393"/>
      <c r="AV191" s="393"/>
      <c r="AW191" s="393"/>
      <c r="AX191" s="393"/>
      <c r="AY191" s="403"/>
      <c r="AZ191" s="403"/>
      <c r="BA191" s="403"/>
      <c r="BB191" s="403"/>
      <c r="BC191" s="403"/>
      <c r="BD191" s="403"/>
      <c r="BE191" s="403"/>
      <c r="BF191" s="403"/>
      <c r="BG191" s="403"/>
      <c r="BH191" s="403"/>
      <c r="BI191" s="403"/>
      <c r="BJ191" s="403"/>
      <c r="BK191" s="403"/>
      <c r="BL191" s="403"/>
      <c r="BM191" s="403"/>
      <c r="BN191" s="403"/>
      <c r="BO191" s="403"/>
      <c r="BP191" s="403"/>
      <c r="BQ191" s="403"/>
      <c r="BR191" s="403"/>
      <c r="BS191" s="403"/>
    </row>
    <row r="192" ht="11.25" customHeight="1">
      <c r="A192" s="393"/>
      <c r="B192" s="393"/>
      <c r="C192" s="393"/>
      <c r="D192" s="393"/>
      <c r="E192" s="393"/>
      <c r="F192" s="393"/>
      <c r="G192" s="393"/>
      <c r="H192" s="393"/>
      <c r="I192" s="393"/>
      <c r="J192" s="393"/>
      <c r="K192" s="393"/>
      <c r="L192" s="393"/>
      <c r="M192" s="393"/>
      <c r="N192" s="393"/>
      <c r="O192" s="393"/>
      <c r="P192" s="393"/>
      <c r="Q192" s="393"/>
      <c r="R192" s="393"/>
      <c r="S192" s="393"/>
      <c r="T192" s="393"/>
      <c r="U192" s="393"/>
      <c r="V192" s="393"/>
      <c r="W192" s="393"/>
      <c r="X192" s="393"/>
      <c r="Y192" s="393"/>
      <c r="Z192" s="393"/>
      <c r="AA192" s="393"/>
      <c r="AB192" s="393"/>
      <c r="AC192" s="393"/>
      <c r="AD192" s="393"/>
      <c r="AE192" s="393"/>
      <c r="AF192" s="393"/>
      <c r="AG192" s="393"/>
      <c r="AH192" s="393"/>
      <c r="AI192" s="393"/>
      <c r="AJ192" s="393"/>
      <c r="AK192" s="393"/>
      <c r="AL192" s="393"/>
      <c r="AM192" s="393"/>
      <c r="AN192" s="393"/>
      <c r="AO192" s="393"/>
      <c r="AP192" s="393"/>
      <c r="AQ192" s="393"/>
      <c r="AR192" s="393"/>
      <c r="AS192" s="393"/>
      <c r="AT192" s="393"/>
      <c r="AU192" s="393"/>
      <c r="AV192" s="393"/>
      <c r="AW192" s="393"/>
      <c r="AX192" s="393"/>
      <c r="AY192" s="403"/>
      <c r="AZ192" s="403"/>
      <c r="BA192" s="403"/>
      <c r="BB192" s="403"/>
      <c r="BC192" s="403"/>
      <c r="BD192" s="403"/>
      <c r="BE192" s="403"/>
      <c r="BF192" s="403"/>
      <c r="BG192" s="403"/>
      <c r="BH192" s="403"/>
      <c r="BI192" s="403"/>
      <c r="BJ192" s="403"/>
      <c r="BK192" s="403"/>
      <c r="BL192" s="403"/>
      <c r="BM192" s="403"/>
      <c r="BN192" s="403"/>
      <c r="BO192" s="403"/>
      <c r="BP192" s="403"/>
      <c r="BQ192" s="403"/>
      <c r="BR192" s="403"/>
      <c r="BS192" s="403"/>
    </row>
    <row r="193" ht="11.25" customHeight="1">
      <c r="A193" s="393"/>
      <c r="B193" s="393"/>
      <c r="C193" s="393"/>
      <c r="D193" s="393"/>
      <c r="E193" s="393"/>
      <c r="F193" s="393"/>
      <c r="G193" s="393"/>
      <c r="H193" s="393"/>
      <c r="I193" s="393"/>
      <c r="J193" s="393"/>
      <c r="K193" s="393"/>
      <c r="L193" s="393"/>
      <c r="M193" s="393"/>
      <c r="N193" s="393"/>
      <c r="O193" s="393"/>
      <c r="P193" s="393"/>
      <c r="Q193" s="393"/>
      <c r="R193" s="393"/>
      <c r="S193" s="393"/>
      <c r="T193" s="393"/>
      <c r="U193" s="393"/>
      <c r="V193" s="393"/>
      <c r="W193" s="393"/>
      <c r="X193" s="393"/>
      <c r="Y193" s="393"/>
      <c r="Z193" s="393"/>
      <c r="AA193" s="393"/>
      <c r="AB193" s="393"/>
      <c r="AC193" s="393"/>
      <c r="AD193" s="393"/>
      <c r="AE193" s="393"/>
      <c r="AF193" s="393"/>
      <c r="AG193" s="393"/>
      <c r="AH193" s="393"/>
      <c r="AI193" s="393"/>
      <c r="AJ193" s="393"/>
      <c r="AK193" s="393"/>
      <c r="AL193" s="393"/>
      <c r="AM193" s="393"/>
      <c r="AN193" s="393"/>
      <c r="AO193" s="393"/>
      <c r="AP193" s="393"/>
      <c r="AQ193" s="393"/>
      <c r="AR193" s="393"/>
      <c r="AS193" s="393"/>
      <c r="AT193" s="393"/>
      <c r="AU193" s="393"/>
      <c r="AV193" s="393"/>
      <c r="AW193" s="393"/>
      <c r="AX193" s="393"/>
      <c r="AY193" s="403"/>
      <c r="AZ193" s="403"/>
      <c r="BA193" s="403"/>
      <c r="BB193" s="403"/>
      <c r="BC193" s="403"/>
      <c r="BD193" s="403"/>
      <c r="BE193" s="403"/>
      <c r="BF193" s="403"/>
      <c r="BG193" s="403"/>
      <c r="BH193" s="403"/>
      <c r="BI193" s="403"/>
      <c r="BJ193" s="403"/>
      <c r="BK193" s="403"/>
      <c r="BL193" s="403"/>
      <c r="BM193" s="403"/>
      <c r="BN193" s="403"/>
      <c r="BO193" s="403"/>
      <c r="BP193" s="403"/>
      <c r="BQ193" s="403"/>
      <c r="BR193" s="403"/>
      <c r="BS193" s="403"/>
    </row>
    <row r="194" ht="11.25" customHeight="1">
      <c r="A194" s="393"/>
      <c r="B194" s="393"/>
      <c r="C194" s="393"/>
      <c r="D194" s="393"/>
      <c r="E194" s="393"/>
      <c r="F194" s="393"/>
      <c r="G194" s="393"/>
      <c r="H194" s="393"/>
      <c r="I194" s="393"/>
      <c r="J194" s="393"/>
      <c r="K194" s="393"/>
      <c r="L194" s="393"/>
      <c r="M194" s="393"/>
      <c r="N194" s="393"/>
      <c r="O194" s="393"/>
      <c r="P194" s="393"/>
      <c r="Q194" s="393"/>
      <c r="R194" s="393"/>
      <c r="S194" s="393"/>
      <c r="T194" s="393"/>
      <c r="U194" s="393"/>
      <c r="V194" s="393"/>
      <c r="W194" s="393"/>
      <c r="X194" s="393"/>
      <c r="Y194" s="393"/>
      <c r="Z194" s="393"/>
      <c r="AA194" s="393"/>
      <c r="AB194" s="393"/>
      <c r="AC194" s="393"/>
      <c r="AD194" s="393"/>
      <c r="AE194" s="393"/>
      <c r="AF194" s="393"/>
      <c r="AG194" s="393"/>
      <c r="AH194" s="393"/>
      <c r="AI194" s="393"/>
      <c r="AJ194" s="393"/>
      <c r="AK194" s="393"/>
      <c r="AL194" s="393"/>
      <c r="AM194" s="393"/>
      <c r="AN194" s="393"/>
      <c r="AO194" s="393"/>
      <c r="AP194" s="393"/>
      <c r="AQ194" s="393"/>
      <c r="AR194" s="393"/>
      <c r="AS194" s="393"/>
      <c r="AT194" s="393"/>
      <c r="AU194" s="393"/>
      <c r="AV194" s="393"/>
      <c r="AW194" s="393"/>
      <c r="AX194" s="393"/>
      <c r="AY194" s="403"/>
      <c r="AZ194" s="403"/>
      <c r="BA194" s="403"/>
      <c r="BB194" s="403"/>
      <c r="BC194" s="403"/>
      <c r="BD194" s="403"/>
      <c r="BE194" s="403"/>
      <c r="BF194" s="403"/>
      <c r="BG194" s="403"/>
      <c r="BH194" s="403"/>
      <c r="BI194" s="403"/>
      <c r="BJ194" s="403"/>
      <c r="BK194" s="403"/>
      <c r="BL194" s="403"/>
      <c r="BM194" s="403"/>
      <c r="BN194" s="403"/>
      <c r="BO194" s="403"/>
      <c r="BP194" s="403"/>
      <c r="BQ194" s="403"/>
      <c r="BR194" s="403"/>
      <c r="BS194" s="403"/>
    </row>
    <row r="195" ht="11.25" customHeight="1">
      <c r="A195" s="393"/>
      <c r="B195" s="393"/>
      <c r="C195" s="393"/>
      <c r="D195" s="393"/>
      <c r="E195" s="393"/>
      <c r="F195" s="393"/>
      <c r="G195" s="393"/>
      <c r="H195" s="393"/>
      <c r="I195" s="393"/>
      <c r="J195" s="393"/>
      <c r="K195" s="393"/>
      <c r="L195" s="393"/>
      <c r="M195" s="393"/>
      <c r="N195" s="393"/>
      <c r="O195" s="393"/>
      <c r="P195" s="393"/>
      <c r="Q195" s="393"/>
      <c r="R195" s="393"/>
      <c r="S195" s="393"/>
      <c r="T195" s="393"/>
      <c r="U195" s="393"/>
      <c r="V195" s="393"/>
      <c r="W195" s="393"/>
      <c r="X195" s="393"/>
      <c r="Y195" s="393"/>
      <c r="Z195" s="393"/>
      <c r="AA195" s="393"/>
      <c r="AB195" s="393"/>
      <c r="AC195" s="393"/>
      <c r="AD195" s="393"/>
      <c r="AE195" s="393"/>
      <c r="AF195" s="393"/>
      <c r="AG195" s="393"/>
      <c r="AH195" s="393"/>
      <c r="AI195" s="393"/>
      <c r="AJ195" s="393"/>
      <c r="AK195" s="393"/>
      <c r="AL195" s="393"/>
      <c r="AM195" s="393"/>
      <c r="AN195" s="393"/>
      <c r="AO195" s="393"/>
      <c r="AP195" s="393"/>
      <c r="AQ195" s="393"/>
      <c r="AR195" s="393"/>
      <c r="AS195" s="393"/>
      <c r="AT195" s="393"/>
      <c r="AU195" s="393"/>
      <c r="AV195" s="393"/>
      <c r="AW195" s="393"/>
      <c r="AX195" s="393"/>
      <c r="AY195" s="403"/>
      <c r="AZ195" s="403"/>
      <c r="BA195" s="403"/>
      <c r="BB195" s="403"/>
      <c r="BC195" s="403"/>
      <c r="BD195" s="403"/>
      <c r="BE195" s="403"/>
      <c r="BF195" s="403"/>
      <c r="BG195" s="403"/>
      <c r="BH195" s="403"/>
      <c r="BI195" s="403"/>
      <c r="BJ195" s="403"/>
      <c r="BK195" s="403"/>
      <c r="BL195" s="403"/>
      <c r="BM195" s="403"/>
      <c r="BN195" s="403"/>
      <c r="BO195" s="403"/>
      <c r="BP195" s="403"/>
      <c r="BQ195" s="403"/>
      <c r="BR195" s="403"/>
      <c r="BS195" s="403"/>
    </row>
    <row r="196" ht="11.25" customHeight="1">
      <c r="A196" s="393"/>
      <c r="B196" s="393"/>
      <c r="C196" s="393"/>
      <c r="D196" s="393"/>
      <c r="E196" s="393"/>
      <c r="F196" s="393"/>
      <c r="G196" s="393"/>
      <c r="H196" s="393"/>
      <c r="I196" s="393"/>
      <c r="J196" s="393"/>
      <c r="K196" s="393"/>
      <c r="L196" s="393"/>
      <c r="M196" s="393"/>
      <c r="N196" s="393"/>
      <c r="O196" s="393"/>
      <c r="P196" s="393"/>
      <c r="Q196" s="393"/>
      <c r="R196" s="393"/>
      <c r="S196" s="393"/>
      <c r="T196" s="393"/>
      <c r="U196" s="393"/>
      <c r="V196" s="393"/>
      <c r="W196" s="393"/>
      <c r="X196" s="393"/>
      <c r="Y196" s="393"/>
      <c r="Z196" s="393"/>
      <c r="AA196" s="393"/>
      <c r="AB196" s="393"/>
      <c r="AC196" s="393"/>
      <c r="AD196" s="393"/>
      <c r="AE196" s="393"/>
      <c r="AF196" s="393"/>
      <c r="AG196" s="393"/>
      <c r="AH196" s="393"/>
      <c r="AI196" s="393"/>
      <c r="AJ196" s="393"/>
      <c r="AK196" s="393"/>
      <c r="AL196" s="393"/>
      <c r="AM196" s="393"/>
      <c r="AN196" s="393"/>
      <c r="AO196" s="393"/>
      <c r="AP196" s="393"/>
      <c r="AQ196" s="393"/>
      <c r="AR196" s="393"/>
      <c r="AS196" s="393"/>
      <c r="AT196" s="393"/>
      <c r="AU196" s="393"/>
      <c r="AV196" s="393"/>
      <c r="AW196" s="393"/>
      <c r="AX196" s="393"/>
      <c r="AY196" s="403"/>
      <c r="AZ196" s="403"/>
      <c r="BA196" s="403"/>
      <c r="BB196" s="403"/>
      <c r="BC196" s="403"/>
      <c r="BD196" s="403"/>
      <c r="BE196" s="403"/>
      <c r="BF196" s="403"/>
      <c r="BG196" s="403"/>
      <c r="BH196" s="403"/>
      <c r="BI196" s="403"/>
      <c r="BJ196" s="403"/>
      <c r="BK196" s="403"/>
      <c r="BL196" s="403"/>
      <c r="BM196" s="403"/>
      <c r="BN196" s="403"/>
      <c r="BO196" s="403"/>
      <c r="BP196" s="403"/>
      <c r="BQ196" s="403"/>
      <c r="BR196" s="403"/>
      <c r="BS196" s="403"/>
    </row>
    <row r="197" ht="11.25" customHeight="1">
      <c r="A197" s="393"/>
      <c r="B197" s="393"/>
      <c r="C197" s="393"/>
      <c r="D197" s="393"/>
      <c r="E197" s="393"/>
      <c r="F197" s="393"/>
      <c r="G197" s="393"/>
      <c r="H197" s="393"/>
      <c r="I197" s="393"/>
      <c r="J197" s="393"/>
      <c r="K197" s="393"/>
      <c r="L197" s="393"/>
      <c r="M197" s="393"/>
      <c r="N197" s="393"/>
      <c r="O197" s="393"/>
      <c r="P197" s="393"/>
      <c r="Q197" s="393"/>
      <c r="R197" s="393"/>
      <c r="S197" s="393"/>
      <c r="T197" s="393"/>
      <c r="U197" s="393"/>
      <c r="V197" s="393"/>
      <c r="W197" s="393"/>
      <c r="X197" s="393"/>
      <c r="Y197" s="393"/>
      <c r="Z197" s="393"/>
      <c r="AA197" s="393"/>
      <c r="AB197" s="393"/>
      <c r="AC197" s="393"/>
      <c r="AD197" s="393"/>
      <c r="AE197" s="393"/>
      <c r="AF197" s="393"/>
      <c r="AG197" s="393"/>
      <c r="AH197" s="393"/>
      <c r="AI197" s="393"/>
      <c r="AJ197" s="393"/>
      <c r="AK197" s="393"/>
      <c r="AL197" s="393"/>
      <c r="AM197" s="393"/>
      <c r="AN197" s="393"/>
      <c r="AO197" s="393"/>
      <c r="AP197" s="393"/>
      <c r="AQ197" s="393"/>
      <c r="AR197" s="393"/>
      <c r="AS197" s="393"/>
      <c r="AT197" s="393"/>
      <c r="AU197" s="393"/>
      <c r="AV197" s="393"/>
      <c r="AW197" s="393"/>
      <c r="AX197" s="393"/>
      <c r="AY197" s="403"/>
      <c r="AZ197" s="403"/>
      <c r="BA197" s="403"/>
      <c r="BB197" s="403"/>
      <c r="BC197" s="403"/>
      <c r="BD197" s="403"/>
      <c r="BE197" s="403"/>
      <c r="BF197" s="403"/>
      <c r="BG197" s="403"/>
      <c r="BH197" s="403"/>
      <c r="BI197" s="403"/>
      <c r="BJ197" s="403"/>
      <c r="BK197" s="403"/>
      <c r="BL197" s="403"/>
      <c r="BM197" s="403"/>
      <c r="BN197" s="403"/>
      <c r="BO197" s="403"/>
      <c r="BP197" s="403"/>
      <c r="BQ197" s="403"/>
      <c r="BR197" s="403"/>
      <c r="BS197" s="403"/>
    </row>
    <row r="198" ht="11.25" customHeight="1">
      <c r="A198" s="393"/>
      <c r="B198" s="393"/>
      <c r="C198" s="393"/>
      <c r="D198" s="393"/>
      <c r="E198" s="393"/>
      <c r="F198" s="393"/>
      <c r="G198" s="393"/>
      <c r="H198" s="393"/>
      <c r="I198" s="393"/>
      <c r="J198" s="393"/>
      <c r="K198" s="393"/>
      <c r="L198" s="393"/>
      <c r="M198" s="393"/>
      <c r="N198" s="393"/>
      <c r="O198" s="393"/>
      <c r="P198" s="393"/>
      <c r="Q198" s="393"/>
      <c r="R198" s="393"/>
      <c r="S198" s="393"/>
      <c r="T198" s="393"/>
      <c r="U198" s="393"/>
      <c r="V198" s="393"/>
      <c r="W198" s="393"/>
      <c r="X198" s="393"/>
      <c r="Y198" s="393"/>
      <c r="Z198" s="393"/>
      <c r="AA198" s="393"/>
      <c r="AB198" s="393"/>
      <c r="AC198" s="393"/>
      <c r="AD198" s="393"/>
      <c r="AE198" s="393"/>
      <c r="AF198" s="393"/>
      <c r="AG198" s="393"/>
      <c r="AH198" s="393"/>
      <c r="AI198" s="393"/>
      <c r="AJ198" s="393"/>
      <c r="AK198" s="393"/>
      <c r="AL198" s="393"/>
      <c r="AM198" s="393"/>
      <c r="AN198" s="393"/>
      <c r="AO198" s="393"/>
      <c r="AP198" s="393"/>
      <c r="AQ198" s="393"/>
      <c r="AR198" s="393"/>
      <c r="AS198" s="393"/>
      <c r="AT198" s="393"/>
      <c r="AU198" s="393"/>
      <c r="AV198" s="393"/>
      <c r="AW198" s="393"/>
      <c r="AX198" s="393"/>
      <c r="AY198" s="403"/>
      <c r="AZ198" s="403"/>
      <c r="BA198" s="403"/>
      <c r="BB198" s="403"/>
      <c r="BC198" s="403"/>
      <c r="BD198" s="403"/>
      <c r="BE198" s="403"/>
      <c r="BF198" s="403"/>
      <c r="BG198" s="403"/>
      <c r="BH198" s="403"/>
      <c r="BI198" s="403"/>
      <c r="BJ198" s="403"/>
      <c r="BK198" s="403"/>
      <c r="BL198" s="403"/>
      <c r="BM198" s="403"/>
      <c r="BN198" s="403"/>
      <c r="BO198" s="403"/>
      <c r="BP198" s="403"/>
      <c r="BQ198" s="403"/>
      <c r="BR198" s="403"/>
      <c r="BS198" s="403"/>
    </row>
    <row r="199" ht="11.25" customHeight="1">
      <c r="A199" s="393"/>
      <c r="B199" s="393"/>
      <c r="C199" s="393"/>
      <c r="D199" s="393"/>
      <c r="E199" s="393"/>
      <c r="F199" s="393"/>
      <c r="G199" s="393"/>
      <c r="H199" s="393"/>
      <c r="I199" s="393"/>
      <c r="J199" s="393"/>
      <c r="K199" s="393"/>
      <c r="L199" s="393"/>
      <c r="M199" s="393"/>
      <c r="N199" s="393"/>
      <c r="O199" s="393"/>
      <c r="P199" s="393"/>
      <c r="Q199" s="393"/>
      <c r="R199" s="393"/>
      <c r="S199" s="393"/>
      <c r="T199" s="393"/>
      <c r="U199" s="393"/>
      <c r="V199" s="393"/>
      <c r="W199" s="393"/>
      <c r="X199" s="393"/>
      <c r="Y199" s="393"/>
      <c r="Z199" s="393"/>
      <c r="AA199" s="393"/>
      <c r="AB199" s="393"/>
      <c r="AC199" s="393"/>
      <c r="AD199" s="393"/>
      <c r="AE199" s="393"/>
      <c r="AF199" s="393"/>
      <c r="AG199" s="393"/>
      <c r="AH199" s="393"/>
      <c r="AI199" s="393"/>
      <c r="AJ199" s="393"/>
      <c r="AK199" s="393"/>
      <c r="AL199" s="393"/>
      <c r="AM199" s="393"/>
      <c r="AN199" s="393"/>
      <c r="AO199" s="393"/>
      <c r="AP199" s="393"/>
      <c r="AQ199" s="393"/>
      <c r="AR199" s="393"/>
      <c r="AS199" s="393"/>
      <c r="AT199" s="393"/>
      <c r="AU199" s="393"/>
      <c r="AV199" s="393"/>
      <c r="AW199" s="393"/>
      <c r="AX199" s="393"/>
      <c r="AY199" s="403"/>
      <c r="AZ199" s="403"/>
      <c r="BA199" s="403"/>
      <c r="BB199" s="403"/>
      <c r="BC199" s="403"/>
      <c r="BD199" s="403"/>
      <c r="BE199" s="403"/>
      <c r="BF199" s="403"/>
      <c r="BG199" s="403"/>
      <c r="BH199" s="403"/>
      <c r="BI199" s="403"/>
      <c r="BJ199" s="403"/>
      <c r="BK199" s="403"/>
      <c r="BL199" s="403"/>
      <c r="BM199" s="403"/>
      <c r="BN199" s="403"/>
      <c r="BO199" s="403"/>
      <c r="BP199" s="403"/>
      <c r="BQ199" s="403"/>
      <c r="BR199" s="403"/>
      <c r="BS199" s="403"/>
    </row>
    <row r="200" ht="11.25" customHeight="1">
      <c r="A200" s="393"/>
      <c r="B200" s="393"/>
      <c r="C200" s="393"/>
      <c r="D200" s="393"/>
      <c r="E200" s="393"/>
      <c r="F200" s="393"/>
      <c r="G200" s="393"/>
      <c r="H200" s="393"/>
      <c r="I200" s="393"/>
      <c r="J200" s="393"/>
      <c r="K200" s="393"/>
      <c r="L200" s="393"/>
      <c r="M200" s="393"/>
      <c r="N200" s="393"/>
      <c r="O200" s="393"/>
      <c r="P200" s="393"/>
      <c r="Q200" s="393"/>
      <c r="R200" s="393"/>
      <c r="S200" s="393"/>
      <c r="T200" s="393"/>
      <c r="U200" s="393"/>
      <c r="V200" s="393"/>
      <c r="W200" s="393"/>
      <c r="X200" s="393"/>
      <c r="Y200" s="393"/>
      <c r="Z200" s="393"/>
      <c r="AA200" s="393"/>
      <c r="AB200" s="393"/>
      <c r="AC200" s="393"/>
      <c r="AD200" s="393"/>
      <c r="AE200" s="393"/>
      <c r="AF200" s="393"/>
      <c r="AG200" s="393"/>
      <c r="AH200" s="393"/>
      <c r="AI200" s="393"/>
      <c r="AJ200" s="393"/>
      <c r="AK200" s="393"/>
      <c r="AL200" s="393"/>
      <c r="AM200" s="393"/>
      <c r="AN200" s="393"/>
      <c r="AO200" s="393"/>
      <c r="AP200" s="393"/>
      <c r="AQ200" s="393"/>
      <c r="AR200" s="393"/>
      <c r="AS200" s="393"/>
      <c r="AT200" s="393"/>
      <c r="AU200" s="393"/>
      <c r="AV200" s="393"/>
      <c r="AW200" s="393"/>
      <c r="AX200" s="393"/>
      <c r="AY200" s="403"/>
      <c r="AZ200" s="403"/>
      <c r="BA200" s="403"/>
      <c r="BB200" s="403"/>
      <c r="BC200" s="403"/>
      <c r="BD200" s="403"/>
      <c r="BE200" s="403"/>
      <c r="BF200" s="403"/>
      <c r="BG200" s="403"/>
      <c r="BH200" s="403"/>
      <c r="BI200" s="403"/>
      <c r="BJ200" s="403"/>
      <c r="BK200" s="403"/>
      <c r="BL200" s="403"/>
      <c r="BM200" s="403"/>
      <c r="BN200" s="403"/>
      <c r="BO200" s="403"/>
      <c r="BP200" s="403"/>
      <c r="BQ200" s="403"/>
      <c r="BR200" s="403"/>
      <c r="BS200" s="403"/>
    </row>
    <row r="201" ht="11.25" customHeight="1">
      <c r="A201" s="393"/>
      <c r="B201" s="393"/>
      <c r="C201" s="393"/>
      <c r="D201" s="393"/>
      <c r="E201" s="393"/>
      <c r="F201" s="393"/>
      <c r="G201" s="393"/>
      <c r="H201" s="393"/>
      <c r="I201" s="393"/>
      <c r="J201" s="393"/>
      <c r="K201" s="393"/>
      <c r="L201" s="393"/>
      <c r="M201" s="393"/>
      <c r="N201" s="393"/>
      <c r="O201" s="393"/>
      <c r="P201" s="393"/>
      <c r="Q201" s="393"/>
      <c r="R201" s="393"/>
      <c r="S201" s="393"/>
      <c r="T201" s="393"/>
      <c r="U201" s="393"/>
      <c r="V201" s="393"/>
      <c r="W201" s="393"/>
      <c r="X201" s="393"/>
      <c r="Y201" s="393"/>
      <c r="Z201" s="393"/>
      <c r="AA201" s="393"/>
      <c r="AB201" s="393"/>
      <c r="AC201" s="393"/>
      <c r="AD201" s="393"/>
      <c r="AE201" s="393"/>
      <c r="AF201" s="393"/>
      <c r="AG201" s="393"/>
      <c r="AH201" s="393"/>
      <c r="AI201" s="393"/>
      <c r="AJ201" s="393"/>
      <c r="AK201" s="393"/>
      <c r="AL201" s="393"/>
      <c r="AM201" s="393"/>
      <c r="AN201" s="393"/>
      <c r="AO201" s="393"/>
      <c r="AP201" s="393"/>
      <c r="AQ201" s="393"/>
      <c r="AR201" s="393"/>
      <c r="AS201" s="393"/>
      <c r="AT201" s="393"/>
      <c r="AU201" s="393"/>
      <c r="AV201" s="393"/>
      <c r="AW201" s="393"/>
      <c r="AX201" s="393"/>
      <c r="AY201" s="403"/>
      <c r="AZ201" s="403"/>
      <c r="BA201" s="403"/>
      <c r="BB201" s="403"/>
      <c r="BC201" s="403"/>
      <c r="BD201" s="403"/>
      <c r="BE201" s="403"/>
      <c r="BF201" s="403"/>
      <c r="BG201" s="403"/>
      <c r="BH201" s="403"/>
      <c r="BI201" s="403"/>
      <c r="BJ201" s="403"/>
      <c r="BK201" s="403"/>
      <c r="BL201" s="403"/>
      <c r="BM201" s="403"/>
      <c r="BN201" s="403"/>
      <c r="BO201" s="403"/>
      <c r="BP201" s="403"/>
      <c r="BQ201" s="403"/>
      <c r="BR201" s="403"/>
      <c r="BS201" s="403"/>
    </row>
    <row r="202" ht="11.25" customHeight="1">
      <c r="A202" s="393"/>
      <c r="B202" s="393"/>
      <c r="C202" s="393"/>
      <c r="D202" s="393"/>
      <c r="E202" s="393"/>
      <c r="F202" s="393"/>
      <c r="G202" s="393"/>
      <c r="H202" s="393"/>
      <c r="I202" s="393"/>
      <c r="J202" s="393"/>
      <c r="K202" s="393"/>
      <c r="L202" s="393"/>
      <c r="M202" s="393"/>
      <c r="N202" s="393"/>
      <c r="O202" s="393"/>
      <c r="P202" s="393"/>
      <c r="Q202" s="393"/>
      <c r="R202" s="393"/>
      <c r="S202" s="393"/>
      <c r="T202" s="393"/>
      <c r="U202" s="393"/>
      <c r="V202" s="393"/>
      <c r="W202" s="393"/>
      <c r="X202" s="393"/>
      <c r="Y202" s="393"/>
      <c r="Z202" s="393"/>
      <c r="AA202" s="393"/>
      <c r="AB202" s="393"/>
      <c r="AC202" s="393"/>
      <c r="AD202" s="393"/>
      <c r="AE202" s="393"/>
      <c r="AF202" s="393"/>
      <c r="AG202" s="393"/>
      <c r="AH202" s="393"/>
      <c r="AI202" s="393"/>
      <c r="AJ202" s="393"/>
      <c r="AK202" s="393"/>
      <c r="AL202" s="393"/>
      <c r="AM202" s="393"/>
      <c r="AN202" s="393"/>
      <c r="AO202" s="393"/>
      <c r="AP202" s="393"/>
      <c r="AQ202" s="393"/>
      <c r="AR202" s="393"/>
      <c r="AS202" s="393"/>
      <c r="AT202" s="393"/>
      <c r="AU202" s="393"/>
      <c r="AV202" s="393"/>
      <c r="AW202" s="393"/>
      <c r="AX202" s="393"/>
      <c r="AY202" s="403"/>
      <c r="AZ202" s="403"/>
      <c r="BA202" s="403"/>
      <c r="BB202" s="403"/>
      <c r="BC202" s="403"/>
      <c r="BD202" s="403"/>
      <c r="BE202" s="403"/>
      <c r="BF202" s="403"/>
      <c r="BG202" s="403"/>
      <c r="BH202" s="403"/>
      <c r="BI202" s="403"/>
      <c r="BJ202" s="403"/>
      <c r="BK202" s="403"/>
      <c r="BL202" s="403"/>
      <c r="BM202" s="403"/>
      <c r="BN202" s="403"/>
      <c r="BO202" s="403"/>
      <c r="BP202" s="403"/>
      <c r="BQ202" s="403"/>
      <c r="BR202" s="403"/>
      <c r="BS202" s="403"/>
    </row>
    <row r="203" ht="11.25" customHeight="1">
      <c r="A203" s="393"/>
      <c r="B203" s="393"/>
      <c r="C203" s="393"/>
      <c r="D203" s="393"/>
      <c r="E203" s="393"/>
      <c r="F203" s="393"/>
      <c r="G203" s="393"/>
      <c r="H203" s="393"/>
      <c r="I203" s="393"/>
      <c r="J203" s="393"/>
      <c r="K203" s="393"/>
      <c r="L203" s="393"/>
      <c r="M203" s="393"/>
      <c r="N203" s="393"/>
      <c r="O203" s="393"/>
      <c r="P203" s="393"/>
      <c r="Q203" s="393"/>
      <c r="R203" s="393"/>
      <c r="S203" s="393"/>
      <c r="T203" s="393"/>
      <c r="U203" s="393"/>
      <c r="V203" s="393"/>
      <c r="W203" s="393"/>
      <c r="X203" s="393"/>
      <c r="Y203" s="393"/>
      <c r="Z203" s="393"/>
      <c r="AA203" s="393"/>
      <c r="AB203" s="393"/>
      <c r="AC203" s="393"/>
      <c r="AD203" s="393"/>
      <c r="AE203" s="393"/>
      <c r="AF203" s="393"/>
      <c r="AG203" s="393"/>
      <c r="AH203" s="393"/>
      <c r="AI203" s="393"/>
      <c r="AJ203" s="393"/>
      <c r="AK203" s="393"/>
      <c r="AL203" s="393"/>
      <c r="AM203" s="393"/>
      <c r="AN203" s="393"/>
      <c r="AO203" s="393"/>
      <c r="AP203" s="393"/>
      <c r="AQ203" s="393"/>
      <c r="AR203" s="393"/>
      <c r="AS203" s="393"/>
      <c r="AT203" s="393"/>
      <c r="AU203" s="393"/>
      <c r="AV203" s="393"/>
      <c r="AW203" s="393"/>
      <c r="AX203" s="393"/>
      <c r="AY203" s="403"/>
      <c r="AZ203" s="403"/>
      <c r="BA203" s="403"/>
      <c r="BB203" s="403"/>
      <c r="BC203" s="403"/>
      <c r="BD203" s="403"/>
      <c r="BE203" s="403"/>
      <c r="BF203" s="403"/>
      <c r="BG203" s="403"/>
      <c r="BH203" s="403"/>
      <c r="BI203" s="403"/>
      <c r="BJ203" s="403"/>
      <c r="BK203" s="403"/>
      <c r="BL203" s="403"/>
      <c r="BM203" s="403"/>
      <c r="BN203" s="403"/>
      <c r="BO203" s="403"/>
      <c r="BP203" s="403"/>
      <c r="BQ203" s="403"/>
      <c r="BR203" s="403"/>
      <c r="BS203" s="403"/>
    </row>
    <row r="204" ht="11.25" customHeight="1">
      <c r="A204" s="393"/>
      <c r="B204" s="393"/>
      <c r="C204" s="393"/>
      <c r="D204" s="393"/>
      <c r="E204" s="393"/>
      <c r="F204" s="393"/>
      <c r="G204" s="393"/>
      <c r="H204" s="393"/>
      <c r="I204" s="393"/>
      <c r="J204" s="393"/>
      <c r="K204" s="393"/>
      <c r="L204" s="393"/>
      <c r="M204" s="393"/>
      <c r="N204" s="393"/>
      <c r="O204" s="393"/>
      <c r="P204" s="393"/>
      <c r="Q204" s="393"/>
      <c r="R204" s="393"/>
      <c r="S204" s="393"/>
      <c r="T204" s="393"/>
      <c r="U204" s="393"/>
      <c r="V204" s="393"/>
      <c r="W204" s="393"/>
      <c r="X204" s="393"/>
      <c r="Y204" s="393"/>
      <c r="Z204" s="393"/>
      <c r="AA204" s="393"/>
      <c r="AB204" s="393"/>
      <c r="AC204" s="393"/>
      <c r="AD204" s="393"/>
      <c r="AE204" s="393"/>
      <c r="AF204" s="393"/>
      <c r="AG204" s="393"/>
      <c r="AH204" s="393"/>
      <c r="AI204" s="393"/>
      <c r="AJ204" s="393"/>
      <c r="AK204" s="393"/>
      <c r="AL204" s="393"/>
      <c r="AM204" s="393"/>
      <c r="AN204" s="393"/>
      <c r="AO204" s="393"/>
      <c r="AP204" s="393"/>
      <c r="AQ204" s="393"/>
      <c r="AR204" s="393"/>
      <c r="AS204" s="393"/>
      <c r="AT204" s="393"/>
      <c r="AU204" s="393"/>
      <c r="AV204" s="393"/>
      <c r="AW204" s="393"/>
      <c r="AX204" s="393"/>
      <c r="AY204" s="403"/>
      <c r="AZ204" s="403"/>
      <c r="BA204" s="403"/>
      <c r="BB204" s="403"/>
      <c r="BC204" s="403"/>
      <c r="BD204" s="403"/>
      <c r="BE204" s="403"/>
      <c r="BF204" s="403"/>
      <c r="BG204" s="403"/>
      <c r="BH204" s="403"/>
      <c r="BI204" s="403"/>
      <c r="BJ204" s="403"/>
      <c r="BK204" s="403"/>
      <c r="BL204" s="403"/>
      <c r="BM204" s="403"/>
      <c r="BN204" s="403"/>
      <c r="BO204" s="403"/>
      <c r="BP204" s="403"/>
      <c r="BQ204" s="403"/>
      <c r="BR204" s="403"/>
      <c r="BS204" s="403"/>
    </row>
    <row r="205" ht="11.25" customHeight="1">
      <c r="A205" s="393"/>
      <c r="B205" s="393"/>
      <c r="C205" s="393"/>
      <c r="D205" s="393"/>
      <c r="E205" s="393"/>
      <c r="F205" s="393"/>
      <c r="G205" s="393"/>
      <c r="H205" s="393"/>
      <c r="I205" s="393"/>
      <c r="J205" s="393"/>
      <c r="K205" s="393"/>
      <c r="L205" s="393"/>
      <c r="M205" s="393"/>
      <c r="N205" s="393"/>
      <c r="O205" s="393"/>
      <c r="P205" s="393"/>
      <c r="Q205" s="393"/>
      <c r="R205" s="393"/>
      <c r="S205" s="393"/>
      <c r="T205" s="393"/>
      <c r="U205" s="393"/>
      <c r="V205" s="393"/>
      <c r="W205" s="393"/>
      <c r="X205" s="393"/>
      <c r="Y205" s="393"/>
      <c r="Z205" s="393"/>
      <c r="AA205" s="393"/>
      <c r="AB205" s="393"/>
      <c r="AC205" s="393"/>
      <c r="AD205" s="393"/>
      <c r="AE205" s="393"/>
      <c r="AF205" s="393"/>
      <c r="AG205" s="393"/>
      <c r="AH205" s="393"/>
      <c r="AI205" s="393"/>
      <c r="AJ205" s="393"/>
      <c r="AK205" s="393"/>
      <c r="AL205" s="393"/>
      <c r="AM205" s="393"/>
      <c r="AN205" s="393"/>
      <c r="AO205" s="393"/>
      <c r="AP205" s="393"/>
      <c r="AQ205" s="393"/>
      <c r="AR205" s="393"/>
      <c r="AS205" s="393"/>
      <c r="AT205" s="393"/>
      <c r="AU205" s="393"/>
      <c r="AV205" s="393"/>
      <c r="AW205" s="393"/>
      <c r="AX205" s="393"/>
      <c r="AY205" s="403"/>
      <c r="AZ205" s="403"/>
      <c r="BA205" s="403"/>
      <c r="BB205" s="403"/>
      <c r="BC205" s="403"/>
      <c r="BD205" s="403"/>
      <c r="BE205" s="403"/>
      <c r="BF205" s="403"/>
      <c r="BG205" s="403"/>
      <c r="BH205" s="403"/>
      <c r="BI205" s="403"/>
      <c r="BJ205" s="403"/>
      <c r="BK205" s="403"/>
      <c r="BL205" s="403"/>
      <c r="BM205" s="403"/>
      <c r="BN205" s="403"/>
      <c r="BO205" s="403"/>
      <c r="BP205" s="403"/>
      <c r="BQ205" s="403"/>
      <c r="BR205" s="403"/>
      <c r="BS205" s="403"/>
    </row>
    <row r="206" ht="11.25" customHeight="1">
      <c r="A206" s="393"/>
      <c r="B206" s="393"/>
      <c r="C206" s="393"/>
      <c r="D206" s="393"/>
      <c r="E206" s="393"/>
      <c r="F206" s="393"/>
      <c r="G206" s="393"/>
      <c r="H206" s="393"/>
      <c r="I206" s="393"/>
      <c r="J206" s="393"/>
      <c r="K206" s="393"/>
      <c r="L206" s="393"/>
      <c r="M206" s="393"/>
      <c r="N206" s="393"/>
      <c r="O206" s="393"/>
      <c r="P206" s="393"/>
      <c r="Q206" s="393"/>
      <c r="R206" s="393"/>
      <c r="S206" s="393"/>
      <c r="T206" s="393"/>
      <c r="U206" s="393"/>
      <c r="V206" s="393"/>
      <c r="W206" s="393"/>
      <c r="X206" s="393"/>
      <c r="Y206" s="393"/>
      <c r="Z206" s="393"/>
      <c r="AA206" s="393"/>
      <c r="AB206" s="393"/>
      <c r="AC206" s="393"/>
      <c r="AD206" s="393"/>
      <c r="AE206" s="393"/>
      <c r="AF206" s="393"/>
      <c r="AG206" s="393"/>
      <c r="AH206" s="393"/>
      <c r="AI206" s="393"/>
      <c r="AJ206" s="393"/>
      <c r="AK206" s="393"/>
      <c r="AL206" s="393"/>
      <c r="AM206" s="393"/>
      <c r="AN206" s="393"/>
      <c r="AO206" s="393"/>
      <c r="AP206" s="393"/>
      <c r="AQ206" s="393"/>
      <c r="AR206" s="393"/>
      <c r="AS206" s="393"/>
      <c r="AT206" s="393"/>
      <c r="AU206" s="393"/>
      <c r="AV206" s="393"/>
      <c r="AW206" s="393"/>
      <c r="AX206" s="393"/>
      <c r="AY206" s="403"/>
      <c r="AZ206" s="403"/>
      <c r="BA206" s="403"/>
      <c r="BB206" s="403"/>
      <c r="BC206" s="403"/>
      <c r="BD206" s="403"/>
      <c r="BE206" s="403"/>
      <c r="BF206" s="403"/>
      <c r="BG206" s="403"/>
      <c r="BH206" s="403"/>
      <c r="BI206" s="403"/>
      <c r="BJ206" s="403"/>
      <c r="BK206" s="403"/>
      <c r="BL206" s="403"/>
      <c r="BM206" s="403"/>
      <c r="BN206" s="403"/>
      <c r="BO206" s="403"/>
      <c r="BP206" s="403"/>
      <c r="BQ206" s="403"/>
      <c r="BR206" s="403"/>
      <c r="BS206" s="403"/>
    </row>
    <row r="207" ht="11.25" customHeight="1">
      <c r="A207" s="393"/>
      <c r="B207" s="393"/>
      <c r="C207" s="393"/>
      <c r="D207" s="393"/>
      <c r="E207" s="393"/>
      <c r="F207" s="393"/>
      <c r="G207" s="393"/>
      <c r="H207" s="393"/>
      <c r="I207" s="393"/>
      <c r="J207" s="393"/>
      <c r="K207" s="393"/>
      <c r="L207" s="393"/>
      <c r="M207" s="393"/>
      <c r="N207" s="393"/>
      <c r="O207" s="393"/>
      <c r="P207" s="393"/>
      <c r="Q207" s="393"/>
      <c r="R207" s="393"/>
      <c r="S207" s="393"/>
      <c r="T207" s="393"/>
      <c r="U207" s="393"/>
      <c r="V207" s="393"/>
      <c r="W207" s="393"/>
      <c r="X207" s="393"/>
      <c r="Y207" s="393"/>
      <c r="Z207" s="393"/>
      <c r="AA207" s="393"/>
      <c r="AB207" s="393"/>
      <c r="AC207" s="393"/>
      <c r="AD207" s="393"/>
      <c r="AE207" s="393"/>
      <c r="AF207" s="393"/>
      <c r="AG207" s="393"/>
      <c r="AH207" s="393"/>
      <c r="AI207" s="393"/>
      <c r="AJ207" s="393"/>
      <c r="AK207" s="393"/>
      <c r="AL207" s="393"/>
      <c r="AM207" s="393"/>
      <c r="AN207" s="393"/>
      <c r="AO207" s="393"/>
      <c r="AP207" s="393"/>
      <c r="AQ207" s="393"/>
      <c r="AR207" s="393"/>
      <c r="AS207" s="393"/>
      <c r="AT207" s="393"/>
      <c r="AU207" s="393"/>
      <c r="AV207" s="393"/>
      <c r="AW207" s="393"/>
      <c r="AX207" s="393"/>
      <c r="AY207" s="403"/>
      <c r="AZ207" s="403"/>
      <c r="BA207" s="403"/>
      <c r="BB207" s="403"/>
      <c r="BC207" s="403"/>
      <c r="BD207" s="403"/>
      <c r="BE207" s="403"/>
      <c r="BF207" s="403"/>
      <c r="BG207" s="403"/>
      <c r="BH207" s="403"/>
      <c r="BI207" s="403"/>
      <c r="BJ207" s="403"/>
      <c r="BK207" s="403"/>
      <c r="BL207" s="403"/>
      <c r="BM207" s="403"/>
      <c r="BN207" s="403"/>
      <c r="BO207" s="403"/>
      <c r="BP207" s="403"/>
      <c r="BQ207" s="403"/>
      <c r="BR207" s="403"/>
      <c r="BS207" s="403"/>
    </row>
    <row r="208" ht="11.25" customHeight="1">
      <c r="A208" s="393"/>
      <c r="B208" s="393"/>
      <c r="C208" s="393"/>
      <c r="D208" s="393"/>
      <c r="E208" s="393"/>
      <c r="F208" s="393"/>
      <c r="G208" s="393"/>
      <c r="H208" s="393"/>
      <c r="I208" s="393"/>
      <c r="J208" s="393"/>
      <c r="K208" s="393"/>
      <c r="L208" s="393"/>
      <c r="M208" s="393"/>
      <c r="N208" s="393"/>
      <c r="O208" s="393"/>
      <c r="P208" s="393"/>
      <c r="Q208" s="393"/>
      <c r="R208" s="393"/>
      <c r="S208" s="393"/>
      <c r="T208" s="393"/>
      <c r="U208" s="393"/>
      <c r="V208" s="393"/>
      <c r="W208" s="393"/>
      <c r="X208" s="393"/>
      <c r="Y208" s="393"/>
      <c r="Z208" s="393"/>
      <c r="AA208" s="393"/>
      <c r="AB208" s="393"/>
      <c r="AC208" s="393"/>
      <c r="AD208" s="393"/>
      <c r="AE208" s="393"/>
      <c r="AF208" s="393"/>
      <c r="AG208" s="393"/>
      <c r="AH208" s="393"/>
      <c r="AI208" s="393"/>
      <c r="AJ208" s="393"/>
      <c r="AK208" s="393"/>
      <c r="AL208" s="393"/>
      <c r="AM208" s="393"/>
      <c r="AN208" s="393"/>
      <c r="AO208" s="393"/>
      <c r="AP208" s="393"/>
      <c r="AQ208" s="393"/>
      <c r="AR208" s="393"/>
      <c r="AS208" s="393"/>
      <c r="AT208" s="393"/>
      <c r="AU208" s="393"/>
      <c r="AV208" s="393"/>
      <c r="AW208" s="393"/>
      <c r="AX208" s="393"/>
      <c r="AY208" s="403"/>
      <c r="AZ208" s="403"/>
      <c r="BA208" s="403"/>
      <c r="BB208" s="403"/>
      <c r="BC208" s="403"/>
      <c r="BD208" s="403"/>
      <c r="BE208" s="403"/>
      <c r="BF208" s="403"/>
      <c r="BG208" s="403"/>
      <c r="BH208" s="403"/>
      <c r="BI208" s="403"/>
      <c r="BJ208" s="403"/>
      <c r="BK208" s="403"/>
      <c r="BL208" s="403"/>
      <c r="BM208" s="403"/>
      <c r="BN208" s="403"/>
      <c r="BO208" s="403"/>
      <c r="BP208" s="403"/>
      <c r="BQ208" s="403"/>
      <c r="BR208" s="403"/>
      <c r="BS208" s="403"/>
    </row>
    <row r="209" ht="11.25" customHeight="1">
      <c r="A209" s="393"/>
      <c r="B209" s="393"/>
      <c r="C209" s="393"/>
      <c r="D209" s="393"/>
      <c r="E209" s="393"/>
      <c r="F209" s="393"/>
      <c r="G209" s="393"/>
      <c r="H209" s="393"/>
      <c r="I209" s="393"/>
      <c r="J209" s="393"/>
      <c r="K209" s="393"/>
      <c r="L209" s="393"/>
      <c r="M209" s="393"/>
      <c r="N209" s="393"/>
      <c r="O209" s="393"/>
      <c r="P209" s="393"/>
      <c r="Q209" s="393"/>
      <c r="R209" s="393"/>
      <c r="S209" s="393"/>
      <c r="T209" s="393"/>
      <c r="U209" s="393"/>
      <c r="V209" s="393"/>
      <c r="W209" s="393"/>
      <c r="X209" s="393"/>
      <c r="Y209" s="393"/>
      <c r="Z209" s="393"/>
      <c r="AA209" s="393"/>
      <c r="AB209" s="393"/>
      <c r="AC209" s="393"/>
      <c r="AD209" s="393"/>
      <c r="AE209" s="393"/>
      <c r="AF209" s="393"/>
      <c r="AG209" s="393"/>
      <c r="AH209" s="393"/>
      <c r="AI209" s="393"/>
      <c r="AJ209" s="393"/>
      <c r="AK209" s="393"/>
      <c r="AL209" s="393"/>
      <c r="AM209" s="393"/>
      <c r="AN209" s="393"/>
      <c r="AO209" s="393"/>
      <c r="AP209" s="393"/>
      <c r="AQ209" s="393"/>
      <c r="AR209" s="393"/>
      <c r="AS209" s="393"/>
      <c r="AT209" s="393"/>
      <c r="AU209" s="393"/>
      <c r="AV209" s="393"/>
      <c r="AW209" s="393"/>
      <c r="AX209" s="393"/>
      <c r="AY209" s="403"/>
      <c r="AZ209" s="403"/>
      <c r="BA209" s="403"/>
      <c r="BB209" s="403"/>
      <c r="BC209" s="403"/>
      <c r="BD209" s="403"/>
      <c r="BE209" s="403"/>
      <c r="BF209" s="403"/>
      <c r="BG209" s="403"/>
      <c r="BH209" s="403"/>
      <c r="BI209" s="403"/>
      <c r="BJ209" s="403"/>
      <c r="BK209" s="403"/>
      <c r="BL209" s="403"/>
      <c r="BM209" s="403"/>
      <c r="BN209" s="403"/>
      <c r="BO209" s="403"/>
      <c r="BP209" s="403"/>
      <c r="BQ209" s="403"/>
      <c r="BR209" s="403"/>
      <c r="BS209" s="403"/>
    </row>
    <row r="210" ht="11.25" customHeight="1">
      <c r="A210" s="393"/>
      <c r="B210" s="393"/>
      <c r="C210" s="393"/>
      <c r="D210" s="393"/>
      <c r="E210" s="393"/>
      <c r="F210" s="393"/>
      <c r="G210" s="393"/>
      <c r="H210" s="393"/>
      <c r="I210" s="393"/>
      <c r="J210" s="393"/>
      <c r="K210" s="393"/>
      <c r="L210" s="393"/>
      <c r="M210" s="393"/>
      <c r="N210" s="393"/>
      <c r="O210" s="393"/>
      <c r="P210" s="393"/>
      <c r="Q210" s="393"/>
      <c r="R210" s="393"/>
      <c r="S210" s="393"/>
      <c r="T210" s="393"/>
      <c r="U210" s="393"/>
      <c r="V210" s="393"/>
      <c r="W210" s="393"/>
      <c r="X210" s="393"/>
      <c r="Y210" s="393"/>
      <c r="Z210" s="393"/>
      <c r="AA210" s="393"/>
      <c r="AB210" s="393"/>
      <c r="AC210" s="393"/>
      <c r="AD210" s="393"/>
      <c r="AE210" s="393"/>
      <c r="AF210" s="393"/>
      <c r="AG210" s="393"/>
      <c r="AH210" s="393"/>
      <c r="AI210" s="393"/>
      <c r="AJ210" s="393"/>
      <c r="AK210" s="393"/>
      <c r="AL210" s="393"/>
      <c r="AM210" s="393"/>
      <c r="AN210" s="393"/>
      <c r="AO210" s="393"/>
      <c r="AP210" s="393"/>
      <c r="AQ210" s="393"/>
      <c r="AR210" s="393"/>
      <c r="AS210" s="393"/>
      <c r="AT210" s="393"/>
      <c r="AU210" s="393"/>
      <c r="AV210" s="393"/>
      <c r="AW210" s="393"/>
      <c r="AX210" s="393"/>
      <c r="AY210" s="403"/>
      <c r="AZ210" s="403"/>
      <c r="BA210" s="403"/>
      <c r="BB210" s="403"/>
      <c r="BC210" s="403"/>
      <c r="BD210" s="403"/>
      <c r="BE210" s="403"/>
      <c r="BF210" s="403"/>
      <c r="BG210" s="403"/>
      <c r="BH210" s="403"/>
      <c r="BI210" s="403"/>
      <c r="BJ210" s="403"/>
      <c r="BK210" s="403"/>
      <c r="BL210" s="403"/>
      <c r="BM210" s="403"/>
      <c r="BN210" s="403"/>
      <c r="BO210" s="403"/>
      <c r="BP210" s="403"/>
      <c r="BQ210" s="403"/>
      <c r="BR210" s="403"/>
      <c r="BS210" s="403"/>
    </row>
    <row r="211" ht="11.25" customHeight="1">
      <c r="A211" s="393"/>
      <c r="B211" s="393"/>
      <c r="C211" s="393"/>
      <c r="D211" s="393"/>
      <c r="E211" s="393"/>
      <c r="F211" s="393"/>
      <c r="G211" s="393"/>
      <c r="H211" s="393"/>
      <c r="I211" s="393"/>
      <c r="J211" s="393"/>
      <c r="K211" s="393"/>
      <c r="L211" s="393"/>
      <c r="M211" s="393"/>
      <c r="N211" s="393"/>
      <c r="O211" s="393"/>
      <c r="P211" s="393"/>
      <c r="Q211" s="393"/>
      <c r="R211" s="393"/>
      <c r="S211" s="393"/>
      <c r="T211" s="393"/>
      <c r="U211" s="393"/>
      <c r="V211" s="393"/>
      <c r="W211" s="393"/>
      <c r="X211" s="393"/>
      <c r="Y211" s="393"/>
      <c r="Z211" s="393"/>
      <c r="AA211" s="393"/>
      <c r="AB211" s="393"/>
      <c r="AC211" s="393"/>
      <c r="AD211" s="393"/>
      <c r="AE211" s="393"/>
      <c r="AF211" s="393"/>
      <c r="AG211" s="393"/>
      <c r="AH211" s="393"/>
      <c r="AI211" s="393"/>
      <c r="AJ211" s="393"/>
      <c r="AK211" s="393"/>
      <c r="AL211" s="393"/>
      <c r="AM211" s="393"/>
      <c r="AN211" s="393"/>
      <c r="AO211" s="393"/>
      <c r="AP211" s="393"/>
      <c r="AQ211" s="393"/>
      <c r="AR211" s="393"/>
      <c r="AS211" s="393"/>
      <c r="AT211" s="393"/>
      <c r="AU211" s="393"/>
      <c r="AV211" s="393"/>
      <c r="AW211" s="393"/>
      <c r="AX211" s="393"/>
      <c r="AY211" s="403"/>
      <c r="AZ211" s="403"/>
      <c r="BA211" s="403"/>
      <c r="BB211" s="403"/>
      <c r="BC211" s="403"/>
      <c r="BD211" s="403"/>
      <c r="BE211" s="403"/>
      <c r="BF211" s="403"/>
      <c r="BG211" s="403"/>
      <c r="BH211" s="403"/>
      <c r="BI211" s="403"/>
      <c r="BJ211" s="403"/>
      <c r="BK211" s="403"/>
      <c r="BL211" s="403"/>
      <c r="BM211" s="403"/>
      <c r="BN211" s="403"/>
      <c r="BO211" s="403"/>
      <c r="BP211" s="403"/>
      <c r="BQ211" s="403"/>
      <c r="BR211" s="403"/>
      <c r="BS211" s="403"/>
    </row>
    <row r="212" ht="11.25" customHeight="1">
      <c r="A212" s="393"/>
      <c r="B212" s="393"/>
      <c r="C212" s="393"/>
      <c r="D212" s="393"/>
      <c r="E212" s="393"/>
      <c r="F212" s="393"/>
      <c r="G212" s="393"/>
      <c r="H212" s="393"/>
      <c r="I212" s="393"/>
      <c r="J212" s="393"/>
      <c r="K212" s="393"/>
      <c r="L212" s="393"/>
      <c r="M212" s="393"/>
      <c r="N212" s="393"/>
      <c r="O212" s="393"/>
      <c r="P212" s="393"/>
      <c r="Q212" s="393"/>
      <c r="R212" s="393"/>
      <c r="S212" s="393"/>
      <c r="T212" s="393"/>
      <c r="U212" s="393"/>
      <c r="V212" s="393"/>
      <c r="W212" s="393"/>
      <c r="X212" s="393"/>
      <c r="Y212" s="393"/>
      <c r="Z212" s="393"/>
      <c r="AA212" s="393"/>
      <c r="AB212" s="393"/>
      <c r="AC212" s="393"/>
      <c r="AD212" s="393"/>
      <c r="AE212" s="393"/>
      <c r="AF212" s="393"/>
      <c r="AG212" s="393"/>
      <c r="AH212" s="393"/>
      <c r="AI212" s="393"/>
      <c r="AJ212" s="393"/>
      <c r="AK212" s="393"/>
      <c r="AL212" s="393"/>
      <c r="AM212" s="393"/>
      <c r="AN212" s="393"/>
      <c r="AO212" s="393"/>
      <c r="AP212" s="393"/>
      <c r="AQ212" s="393"/>
      <c r="AR212" s="393"/>
      <c r="AS212" s="393"/>
      <c r="AT212" s="393"/>
      <c r="AU212" s="393"/>
      <c r="AV212" s="393"/>
      <c r="AW212" s="393"/>
      <c r="AX212" s="393"/>
      <c r="AY212" s="403"/>
      <c r="AZ212" s="403"/>
      <c r="BA212" s="403"/>
      <c r="BB212" s="403"/>
      <c r="BC212" s="403"/>
      <c r="BD212" s="403"/>
      <c r="BE212" s="403"/>
      <c r="BF212" s="403"/>
      <c r="BG212" s="403"/>
      <c r="BH212" s="403"/>
      <c r="BI212" s="403"/>
      <c r="BJ212" s="403"/>
      <c r="BK212" s="403"/>
      <c r="BL212" s="403"/>
      <c r="BM212" s="403"/>
      <c r="BN212" s="403"/>
      <c r="BO212" s="403"/>
      <c r="BP212" s="403"/>
      <c r="BQ212" s="403"/>
      <c r="BR212" s="403"/>
      <c r="BS212" s="403"/>
    </row>
    <row r="213" ht="11.25" customHeight="1">
      <c r="A213" s="393"/>
      <c r="B213" s="393"/>
      <c r="C213" s="393"/>
      <c r="D213" s="393"/>
      <c r="E213" s="393"/>
      <c r="F213" s="393"/>
      <c r="G213" s="393"/>
      <c r="H213" s="393"/>
      <c r="I213" s="393"/>
      <c r="J213" s="393"/>
      <c r="K213" s="393"/>
      <c r="L213" s="393"/>
      <c r="M213" s="393"/>
      <c r="N213" s="393"/>
      <c r="O213" s="393"/>
      <c r="P213" s="393"/>
      <c r="Q213" s="393"/>
      <c r="R213" s="393"/>
      <c r="S213" s="393"/>
      <c r="T213" s="393"/>
      <c r="U213" s="393"/>
      <c r="V213" s="393"/>
      <c r="W213" s="393"/>
      <c r="X213" s="393"/>
      <c r="Y213" s="393"/>
      <c r="Z213" s="393"/>
      <c r="AA213" s="393"/>
      <c r="AB213" s="393"/>
      <c r="AC213" s="393"/>
      <c r="AD213" s="393"/>
      <c r="AE213" s="393"/>
      <c r="AF213" s="393"/>
      <c r="AG213" s="393"/>
      <c r="AH213" s="393"/>
      <c r="AI213" s="393"/>
      <c r="AJ213" s="393"/>
      <c r="AK213" s="393"/>
      <c r="AL213" s="393"/>
      <c r="AM213" s="393"/>
      <c r="AN213" s="393"/>
      <c r="AO213" s="393"/>
      <c r="AP213" s="393"/>
      <c r="AQ213" s="393"/>
      <c r="AR213" s="393"/>
      <c r="AS213" s="393"/>
      <c r="AT213" s="393"/>
      <c r="AU213" s="393"/>
      <c r="AV213" s="393"/>
      <c r="AW213" s="393"/>
      <c r="AX213" s="393"/>
      <c r="AY213" s="403"/>
      <c r="AZ213" s="403"/>
      <c r="BA213" s="403"/>
      <c r="BB213" s="403"/>
      <c r="BC213" s="403"/>
      <c r="BD213" s="403"/>
      <c r="BE213" s="403"/>
      <c r="BF213" s="403"/>
      <c r="BG213" s="403"/>
      <c r="BH213" s="403"/>
      <c r="BI213" s="403"/>
      <c r="BJ213" s="403"/>
      <c r="BK213" s="403"/>
      <c r="BL213" s="403"/>
      <c r="BM213" s="403"/>
      <c r="BN213" s="403"/>
      <c r="BO213" s="403"/>
      <c r="BP213" s="403"/>
      <c r="BQ213" s="403"/>
      <c r="BR213" s="403"/>
      <c r="BS213" s="403"/>
    </row>
    <row r="214" ht="11.25" customHeight="1">
      <c r="A214" s="393"/>
      <c r="B214" s="393"/>
      <c r="C214" s="393"/>
      <c r="D214" s="393"/>
      <c r="E214" s="393"/>
      <c r="F214" s="393"/>
      <c r="G214" s="393"/>
      <c r="H214" s="393"/>
      <c r="I214" s="393"/>
      <c r="J214" s="393"/>
      <c r="K214" s="393"/>
      <c r="L214" s="393"/>
      <c r="M214" s="393"/>
      <c r="N214" s="393"/>
      <c r="O214" s="393"/>
      <c r="P214" s="393"/>
      <c r="Q214" s="393"/>
      <c r="R214" s="393"/>
      <c r="S214" s="393"/>
      <c r="T214" s="393"/>
      <c r="U214" s="393"/>
      <c r="V214" s="393"/>
      <c r="W214" s="393"/>
      <c r="X214" s="393"/>
      <c r="Y214" s="393"/>
      <c r="Z214" s="393"/>
      <c r="AA214" s="393"/>
      <c r="AB214" s="393"/>
      <c r="AC214" s="393"/>
      <c r="AD214" s="393"/>
      <c r="AE214" s="393"/>
      <c r="AF214" s="393"/>
      <c r="AG214" s="393"/>
      <c r="AH214" s="393"/>
      <c r="AI214" s="393"/>
      <c r="AJ214" s="393"/>
      <c r="AK214" s="393"/>
      <c r="AL214" s="393"/>
      <c r="AM214" s="393"/>
      <c r="AN214" s="393"/>
      <c r="AO214" s="393"/>
      <c r="AP214" s="393"/>
      <c r="AQ214" s="393"/>
      <c r="AR214" s="393"/>
      <c r="AS214" s="393"/>
      <c r="AT214" s="393"/>
      <c r="AU214" s="393"/>
      <c r="AV214" s="393"/>
      <c r="AW214" s="393"/>
      <c r="AX214" s="393"/>
      <c r="AY214" s="403"/>
      <c r="AZ214" s="403"/>
      <c r="BA214" s="403"/>
      <c r="BB214" s="403"/>
      <c r="BC214" s="403"/>
      <c r="BD214" s="403"/>
      <c r="BE214" s="403"/>
      <c r="BF214" s="403"/>
      <c r="BG214" s="403"/>
      <c r="BH214" s="403"/>
      <c r="BI214" s="403"/>
      <c r="BJ214" s="403"/>
      <c r="BK214" s="403"/>
      <c r="BL214" s="403"/>
      <c r="BM214" s="403"/>
      <c r="BN214" s="403"/>
      <c r="BO214" s="403"/>
      <c r="BP214" s="403"/>
      <c r="BQ214" s="403"/>
      <c r="BR214" s="403"/>
      <c r="BS214" s="403"/>
    </row>
    <row r="215" ht="11.25" customHeight="1">
      <c r="A215" s="393"/>
      <c r="B215" s="393"/>
      <c r="C215" s="393"/>
      <c r="D215" s="393"/>
      <c r="E215" s="393"/>
      <c r="F215" s="393"/>
      <c r="G215" s="393"/>
      <c r="H215" s="393"/>
      <c r="I215" s="393"/>
      <c r="J215" s="393"/>
      <c r="K215" s="393"/>
      <c r="L215" s="393"/>
      <c r="M215" s="393"/>
      <c r="N215" s="393"/>
      <c r="O215" s="393"/>
      <c r="P215" s="393"/>
      <c r="Q215" s="393"/>
      <c r="R215" s="393"/>
      <c r="S215" s="393"/>
      <c r="T215" s="393"/>
      <c r="U215" s="393"/>
      <c r="V215" s="393"/>
      <c r="W215" s="393"/>
      <c r="X215" s="393"/>
      <c r="Y215" s="393"/>
      <c r="Z215" s="393"/>
      <c r="AA215" s="393"/>
      <c r="AB215" s="393"/>
      <c r="AC215" s="393"/>
      <c r="AD215" s="393"/>
      <c r="AE215" s="393"/>
      <c r="AF215" s="393"/>
      <c r="AG215" s="393"/>
      <c r="AH215" s="393"/>
      <c r="AI215" s="393"/>
      <c r="AJ215" s="393"/>
      <c r="AK215" s="393"/>
      <c r="AL215" s="393"/>
      <c r="AM215" s="393"/>
      <c r="AN215" s="393"/>
      <c r="AO215" s="393"/>
      <c r="AP215" s="393"/>
      <c r="AQ215" s="393"/>
      <c r="AR215" s="393"/>
      <c r="AS215" s="393"/>
      <c r="AT215" s="393"/>
      <c r="AU215" s="393"/>
      <c r="AV215" s="393"/>
      <c r="AW215" s="393"/>
      <c r="AX215" s="393"/>
      <c r="AY215" s="403"/>
      <c r="AZ215" s="403"/>
      <c r="BA215" s="403"/>
      <c r="BB215" s="403"/>
      <c r="BC215" s="403"/>
      <c r="BD215" s="403"/>
      <c r="BE215" s="403"/>
      <c r="BF215" s="403"/>
      <c r="BG215" s="403"/>
      <c r="BH215" s="403"/>
      <c r="BI215" s="403"/>
      <c r="BJ215" s="403"/>
      <c r="BK215" s="403"/>
      <c r="BL215" s="403"/>
      <c r="BM215" s="403"/>
      <c r="BN215" s="403"/>
      <c r="BO215" s="403"/>
      <c r="BP215" s="403"/>
      <c r="BQ215" s="403"/>
      <c r="BR215" s="403"/>
      <c r="BS215" s="403"/>
    </row>
    <row r="216" ht="11.25" customHeight="1">
      <c r="A216" s="393"/>
      <c r="B216" s="393"/>
      <c r="C216" s="393"/>
      <c r="D216" s="393"/>
      <c r="E216" s="393"/>
      <c r="F216" s="393"/>
      <c r="G216" s="393"/>
      <c r="H216" s="393"/>
      <c r="I216" s="393"/>
      <c r="J216" s="393"/>
      <c r="K216" s="393"/>
      <c r="L216" s="393"/>
      <c r="M216" s="393"/>
      <c r="N216" s="393"/>
      <c r="O216" s="393"/>
      <c r="P216" s="393"/>
      <c r="Q216" s="393"/>
      <c r="R216" s="393"/>
      <c r="S216" s="393"/>
      <c r="T216" s="393"/>
      <c r="U216" s="393"/>
      <c r="V216" s="393"/>
      <c r="W216" s="393"/>
      <c r="X216" s="393"/>
      <c r="Y216" s="393"/>
      <c r="Z216" s="393"/>
      <c r="AA216" s="393"/>
      <c r="AB216" s="393"/>
      <c r="AC216" s="393"/>
      <c r="AD216" s="393"/>
      <c r="AE216" s="393"/>
      <c r="AF216" s="393"/>
      <c r="AG216" s="393"/>
      <c r="AH216" s="393"/>
      <c r="AI216" s="393"/>
      <c r="AJ216" s="393"/>
      <c r="AK216" s="393"/>
      <c r="AL216" s="393"/>
      <c r="AM216" s="393"/>
      <c r="AN216" s="393"/>
      <c r="AO216" s="393"/>
      <c r="AP216" s="393"/>
      <c r="AQ216" s="393"/>
      <c r="AR216" s="393"/>
      <c r="AS216" s="393"/>
      <c r="AT216" s="393"/>
      <c r="AU216" s="393"/>
      <c r="AV216" s="393"/>
      <c r="AW216" s="393"/>
      <c r="AX216" s="393"/>
      <c r="AY216" s="403"/>
      <c r="AZ216" s="403"/>
      <c r="BA216" s="403"/>
      <c r="BB216" s="403"/>
      <c r="BC216" s="403"/>
      <c r="BD216" s="403"/>
      <c r="BE216" s="403"/>
      <c r="BF216" s="403"/>
      <c r="BG216" s="403"/>
      <c r="BH216" s="403"/>
      <c r="BI216" s="403"/>
      <c r="BJ216" s="403"/>
      <c r="BK216" s="403"/>
      <c r="BL216" s="403"/>
      <c r="BM216" s="403"/>
      <c r="BN216" s="403"/>
      <c r="BO216" s="403"/>
      <c r="BP216" s="403"/>
      <c r="BQ216" s="403"/>
      <c r="BR216" s="403"/>
      <c r="BS216" s="403"/>
    </row>
    <row r="217" ht="11.25" customHeight="1">
      <c r="A217" s="393"/>
      <c r="B217" s="393"/>
      <c r="C217" s="393"/>
      <c r="D217" s="393"/>
      <c r="E217" s="393"/>
      <c r="F217" s="393"/>
      <c r="G217" s="393"/>
      <c r="H217" s="393"/>
      <c r="I217" s="393"/>
      <c r="J217" s="393"/>
      <c r="K217" s="393"/>
      <c r="L217" s="393"/>
      <c r="M217" s="393"/>
      <c r="N217" s="393"/>
      <c r="O217" s="393"/>
      <c r="P217" s="393"/>
      <c r="Q217" s="393"/>
      <c r="R217" s="393"/>
      <c r="S217" s="393"/>
      <c r="T217" s="393"/>
      <c r="U217" s="393"/>
      <c r="V217" s="393"/>
      <c r="W217" s="393"/>
      <c r="X217" s="393"/>
      <c r="Y217" s="393"/>
      <c r="Z217" s="393"/>
      <c r="AA217" s="393"/>
      <c r="AB217" s="393"/>
      <c r="AC217" s="393"/>
      <c r="AD217" s="393"/>
      <c r="AE217" s="393"/>
      <c r="AF217" s="393"/>
      <c r="AG217" s="393"/>
      <c r="AH217" s="393"/>
      <c r="AI217" s="393"/>
      <c r="AJ217" s="393"/>
      <c r="AK217" s="393"/>
      <c r="AL217" s="393"/>
      <c r="AM217" s="393"/>
      <c r="AN217" s="393"/>
      <c r="AO217" s="393"/>
      <c r="AP217" s="393"/>
      <c r="AQ217" s="393"/>
      <c r="AR217" s="393"/>
      <c r="AS217" s="393"/>
      <c r="AT217" s="393"/>
      <c r="AU217" s="393"/>
      <c r="AV217" s="393"/>
      <c r="AW217" s="393"/>
      <c r="AX217" s="393"/>
      <c r="AY217" s="403"/>
      <c r="AZ217" s="403"/>
      <c r="BA217" s="403"/>
      <c r="BB217" s="403"/>
      <c r="BC217" s="403"/>
      <c r="BD217" s="403"/>
      <c r="BE217" s="403"/>
      <c r="BF217" s="403"/>
      <c r="BG217" s="403"/>
      <c r="BH217" s="403"/>
      <c r="BI217" s="403"/>
      <c r="BJ217" s="403"/>
      <c r="BK217" s="403"/>
      <c r="BL217" s="403"/>
      <c r="BM217" s="403"/>
      <c r="BN217" s="403"/>
      <c r="BO217" s="403"/>
      <c r="BP217" s="403"/>
      <c r="BQ217" s="403"/>
      <c r="BR217" s="403"/>
      <c r="BS217" s="403"/>
    </row>
    <row r="218" ht="11.25" customHeight="1">
      <c r="A218" s="393"/>
      <c r="B218" s="393"/>
      <c r="C218" s="393"/>
      <c r="D218" s="393"/>
      <c r="E218" s="393"/>
      <c r="F218" s="393"/>
      <c r="G218" s="393"/>
      <c r="H218" s="393"/>
      <c r="I218" s="393"/>
      <c r="J218" s="393"/>
      <c r="K218" s="393"/>
      <c r="L218" s="393"/>
      <c r="M218" s="393"/>
      <c r="N218" s="393"/>
      <c r="O218" s="393"/>
      <c r="P218" s="393"/>
      <c r="Q218" s="393"/>
      <c r="R218" s="393"/>
      <c r="S218" s="393"/>
      <c r="T218" s="393"/>
      <c r="U218" s="393"/>
      <c r="V218" s="393"/>
      <c r="W218" s="393"/>
      <c r="X218" s="393"/>
      <c r="Y218" s="393"/>
      <c r="Z218" s="393"/>
      <c r="AA218" s="393"/>
      <c r="AB218" s="393"/>
      <c r="AC218" s="393"/>
      <c r="AD218" s="393"/>
      <c r="AE218" s="393"/>
      <c r="AF218" s="393"/>
      <c r="AG218" s="393"/>
      <c r="AH218" s="393"/>
      <c r="AI218" s="393"/>
      <c r="AJ218" s="393"/>
      <c r="AK218" s="393"/>
      <c r="AL218" s="393"/>
      <c r="AM218" s="393"/>
      <c r="AN218" s="393"/>
      <c r="AO218" s="393"/>
      <c r="AP218" s="393"/>
      <c r="AQ218" s="393"/>
      <c r="AR218" s="393"/>
      <c r="AS218" s="393"/>
      <c r="AT218" s="393"/>
      <c r="AU218" s="393"/>
      <c r="AV218" s="393"/>
      <c r="AW218" s="393"/>
      <c r="AX218" s="393"/>
      <c r="AY218" s="403"/>
      <c r="AZ218" s="403"/>
      <c r="BA218" s="403"/>
      <c r="BB218" s="403"/>
      <c r="BC218" s="403"/>
      <c r="BD218" s="403"/>
      <c r="BE218" s="403"/>
      <c r="BF218" s="403"/>
      <c r="BG218" s="403"/>
      <c r="BH218" s="403"/>
      <c r="BI218" s="403"/>
      <c r="BJ218" s="403"/>
      <c r="BK218" s="403"/>
      <c r="BL218" s="403"/>
      <c r="BM218" s="403"/>
      <c r="BN218" s="403"/>
      <c r="BO218" s="403"/>
      <c r="BP218" s="403"/>
      <c r="BQ218" s="403"/>
      <c r="BR218" s="403"/>
      <c r="BS218" s="403"/>
    </row>
    <row r="219" ht="11.25" customHeight="1">
      <c r="A219" s="393"/>
      <c r="B219" s="393"/>
      <c r="C219" s="393"/>
      <c r="D219" s="393"/>
      <c r="E219" s="393"/>
      <c r="F219" s="393"/>
      <c r="G219" s="393"/>
      <c r="H219" s="393"/>
      <c r="I219" s="393"/>
      <c r="J219" s="393"/>
      <c r="K219" s="393"/>
      <c r="L219" s="393"/>
      <c r="M219" s="393"/>
      <c r="N219" s="393"/>
      <c r="O219" s="393"/>
      <c r="P219" s="393"/>
      <c r="Q219" s="393"/>
      <c r="R219" s="393"/>
      <c r="S219" s="393"/>
      <c r="T219" s="393"/>
      <c r="U219" s="393"/>
      <c r="V219" s="393"/>
      <c r="W219" s="393"/>
      <c r="X219" s="393"/>
      <c r="Y219" s="393"/>
      <c r="Z219" s="393"/>
      <c r="AA219" s="393"/>
      <c r="AB219" s="393"/>
      <c r="AC219" s="393"/>
      <c r="AD219" s="393"/>
      <c r="AE219" s="393"/>
      <c r="AF219" s="393"/>
      <c r="AG219" s="393"/>
      <c r="AH219" s="393"/>
      <c r="AI219" s="393"/>
      <c r="AJ219" s="393"/>
      <c r="AK219" s="393"/>
      <c r="AL219" s="393"/>
      <c r="AM219" s="393"/>
      <c r="AN219" s="393"/>
      <c r="AO219" s="393"/>
      <c r="AP219" s="393"/>
      <c r="AQ219" s="393"/>
      <c r="AR219" s="393"/>
      <c r="AS219" s="393"/>
      <c r="AT219" s="393"/>
      <c r="AU219" s="393"/>
      <c r="AV219" s="393"/>
      <c r="AW219" s="393"/>
      <c r="AX219" s="393"/>
      <c r="AY219" s="403"/>
      <c r="AZ219" s="403"/>
      <c r="BA219" s="403"/>
      <c r="BB219" s="403"/>
      <c r="BC219" s="403"/>
      <c r="BD219" s="403"/>
      <c r="BE219" s="403"/>
      <c r="BF219" s="403"/>
      <c r="BG219" s="403"/>
      <c r="BH219" s="403"/>
      <c r="BI219" s="403"/>
      <c r="BJ219" s="403"/>
      <c r="BK219" s="403"/>
      <c r="BL219" s="403"/>
      <c r="BM219" s="403"/>
      <c r="BN219" s="403"/>
      <c r="BO219" s="403"/>
      <c r="BP219" s="403"/>
      <c r="BQ219" s="403"/>
      <c r="BR219" s="403"/>
      <c r="BS219" s="403"/>
    </row>
    <row r="220" ht="11.25" customHeight="1">
      <c r="A220" s="393"/>
      <c r="B220" s="393"/>
      <c r="C220" s="393"/>
      <c r="D220" s="393"/>
      <c r="E220" s="393"/>
      <c r="F220" s="393"/>
      <c r="G220" s="393"/>
      <c r="H220" s="393"/>
      <c r="I220" s="393"/>
      <c r="J220" s="393"/>
      <c r="K220" s="393"/>
      <c r="L220" s="393"/>
      <c r="M220" s="393"/>
      <c r="N220" s="393"/>
      <c r="O220" s="393"/>
      <c r="P220" s="393"/>
      <c r="Q220" s="393"/>
      <c r="R220" s="393"/>
      <c r="S220" s="393"/>
      <c r="T220" s="393"/>
      <c r="U220" s="393"/>
      <c r="V220" s="393"/>
      <c r="W220" s="393"/>
      <c r="X220" s="393"/>
      <c r="Y220" s="393"/>
      <c r="Z220" s="393"/>
      <c r="AA220" s="393"/>
      <c r="AB220" s="393"/>
      <c r="AC220" s="393"/>
      <c r="AD220" s="393"/>
      <c r="AE220" s="393"/>
      <c r="AF220" s="393"/>
      <c r="AG220" s="393"/>
      <c r="AH220" s="393"/>
      <c r="AI220" s="393"/>
      <c r="AJ220" s="393"/>
      <c r="AK220" s="393"/>
      <c r="AL220" s="393"/>
      <c r="AM220" s="393"/>
      <c r="AN220" s="393"/>
      <c r="AO220" s="393"/>
      <c r="AP220" s="393"/>
      <c r="AQ220" s="393"/>
      <c r="AR220" s="393"/>
      <c r="AS220" s="393"/>
      <c r="AT220" s="393"/>
      <c r="AU220" s="393"/>
      <c r="AV220" s="393"/>
      <c r="AW220" s="393"/>
      <c r="AX220" s="393"/>
      <c r="AY220" s="403"/>
      <c r="AZ220" s="403"/>
      <c r="BA220" s="403"/>
      <c r="BB220" s="403"/>
      <c r="BC220" s="403"/>
      <c r="BD220" s="403"/>
      <c r="BE220" s="403"/>
      <c r="BF220" s="403"/>
      <c r="BG220" s="403"/>
      <c r="BH220" s="403"/>
      <c r="BI220" s="403"/>
      <c r="BJ220" s="403"/>
      <c r="BK220" s="403"/>
      <c r="BL220" s="403"/>
      <c r="BM220" s="403"/>
      <c r="BN220" s="403"/>
      <c r="BO220" s="403"/>
      <c r="BP220" s="403"/>
      <c r="BQ220" s="403"/>
      <c r="BR220" s="403"/>
      <c r="BS220" s="403"/>
    </row>
    <row r="221" ht="11.25" customHeight="1">
      <c r="A221" s="393"/>
      <c r="B221" s="393"/>
      <c r="C221" s="393"/>
      <c r="D221" s="393"/>
      <c r="E221" s="393"/>
      <c r="F221" s="393"/>
      <c r="G221" s="393"/>
      <c r="H221" s="393"/>
      <c r="I221" s="393"/>
      <c r="J221" s="393"/>
      <c r="K221" s="393"/>
      <c r="L221" s="393"/>
      <c r="M221" s="393"/>
      <c r="N221" s="393"/>
      <c r="O221" s="393"/>
      <c r="P221" s="393"/>
      <c r="Q221" s="393"/>
      <c r="R221" s="393"/>
      <c r="S221" s="393"/>
      <c r="T221" s="393"/>
      <c r="U221" s="393"/>
      <c r="V221" s="393"/>
      <c r="W221" s="393"/>
      <c r="X221" s="393"/>
      <c r="Y221" s="393"/>
      <c r="Z221" s="393"/>
      <c r="AA221" s="393"/>
      <c r="AB221" s="393"/>
      <c r="AC221" s="393"/>
      <c r="AD221" s="393"/>
      <c r="AE221" s="393"/>
      <c r="AF221" s="393"/>
      <c r="AG221" s="393"/>
      <c r="AH221" s="393"/>
      <c r="AI221" s="393"/>
      <c r="AJ221" s="393"/>
      <c r="AK221" s="393"/>
      <c r="AL221" s="393"/>
      <c r="AM221" s="393"/>
      <c r="AN221" s="393"/>
      <c r="AO221" s="393"/>
      <c r="AP221" s="393"/>
      <c r="AQ221" s="393"/>
      <c r="AR221" s="393"/>
      <c r="AS221" s="393"/>
      <c r="AT221" s="393"/>
      <c r="AU221" s="393"/>
      <c r="AV221" s="393"/>
      <c r="AW221" s="393"/>
      <c r="AX221" s="393"/>
      <c r="AY221" s="403"/>
      <c r="AZ221" s="403"/>
      <c r="BA221" s="403"/>
      <c r="BB221" s="403"/>
      <c r="BC221" s="403"/>
      <c r="BD221" s="403"/>
      <c r="BE221" s="403"/>
      <c r="BF221" s="403"/>
      <c r="BG221" s="403"/>
      <c r="BH221" s="403"/>
      <c r="BI221" s="403"/>
      <c r="BJ221" s="403"/>
      <c r="BK221" s="403"/>
      <c r="BL221" s="403"/>
      <c r="BM221" s="403"/>
      <c r="BN221" s="403"/>
      <c r="BO221" s="403"/>
      <c r="BP221" s="403"/>
      <c r="BQ221" s="403"/>
      <c r="BR221" s="403"/>
      <c r="BS221" s="403"/>
    </row>
    <row r="222" ht="11.25" customHeight="1">
      <c r="A222" s="393"/>
      <c r="B222" s="393"/>
      <c r="C222" s="393"/>
      <c r="D222" s="393"/>
      <c r="E222" s="393"/>
      <c r="F222" s="393"/>
      <c r="G222" s="393"/>
      <c r="H222" s="393"/>
      <c r="I222" s="393"/>
      <c r="J222" s="393"/>
      <c r="K222" s="393"/>
      <c r="L222" s="393"/>
      <c r="M222" s="393"/>
      <c r="N222" s="393"/>
      <c r="O222" s="393"/>
      <c r="P222" s="393"/>
      <c r="Q222" s="393"/>
      <c r="R222" s="393"/>
      <c r="S222" s="393"/>
      <c r="T222" s="393"/>
      <c r="U222" s="393"/>
      <c r="V222" s="393"/>
      <c r="W222" s="393"/>
      <c r="X222" s="393"/>
      <c r="Y222" s="393"/>
      <c r="Z222" s="393"/>
      <c r="AA222" s="393"/>
      <c r="AB222" s="393"/>
      <c r="AC222" s="393"/>
      <c r="AD222" s="393"/>
      <c r="AE222" s="393"/>
      <c r="AF222" s="393"/>
      <c r="AG222" s="393"/>
      <c r="AH222" s="393"/>
      <c r="AI222" s="393"/>
      <c r="AJ222" s="393"/>
      <c r="AK222" s="393"/>
      <c r="AL222" s="393"/>
      <c r="AM222" s="393"/>
      <c r="AN222" s="393"/>
      <c r="AO222" s="393"/>
      <c r="AP222" s="393"/>
      <c r="AQ222" s="393"/>
      <c r="AR222" s="393"/>
      <c r="AS222" s="393"/>
      <c r="AT222" s="393"/>
      <c r="AU222" s="393"/>
      <c r="AV222" s="393"/>
      <c r="AW222" s="393"/>
      <c r="AX222" s="393"/>
      <c r="AY222" s="403"/>
      <c r="AZ222" s="403"/>
      <c r="BA222" s="403"/>
      <c r="BB222" s="403"/>
      <c r="BC222" s="403"/>
      <c r="BD222" s="403"/>
      <c r="BE222" s="403"/>
      <c r="BF222" s="403"/>
      <c r="BG222" s="403"/>
      <c r="BH222" s="403"/>
      <c r="BI222" s="403"/>
      <c r="BJ222" s="403"/>
      <c r="BK222" s="403"/>
      <c r="BL222" s="403"/>
      <c r="BM222" s="403"/>
      <c r="BN222" s="403"/>
      <c r="BO222" s="403"/>
      <c r="BP222" s="403"/>
      <c r="BQ222" s="403"/>
      <c r="BR222" s="403"/>
      <c r="BS222" s="403"/>
    </row>
    <row r="223" ht="11.25" customHeight="1">
      <c r="A223" s="393"/>
      <c r="B223" s="393"/>
      <c r="C223" s="393"/>
      <c r="D223" s="393"/>
      <c r="E223" s="393"/>
      <c r="F223" s="393"/>
      <c r="G223" s="393"/>
      <c r="H223" s="393"/>
      <c r="I223" s="393"/>
      <c r="J223" s="393"/>
      <c r="K223" s="393"/>
      <c r="L223" s="393"/>
      <c r="M223" s="393"/>
      <c r="N223" s="393"/>
      <c r="O223" s="393"/>
      <c r="P223" s="393"/>
      <c r="Q223" s="393"/>
      <c r="R223" s="393"/>
      <c r="S223" s="393"/>
      <c r="T223" s="393"/>
      <c r="U223" s="393"/>
      <c r="V223" s="393"/>
      <c r="W223" s="393"/>
      <c r="X223" s="393"/>
      <c r="Y223" s="393"/>
      <c r="Z223" s="393"/>
      <c r="AA223" s="393"/>
      <c r="AB223" s="393"/>
      <c r="AC223" s="393"/>
      <c r="AD223" s="393"/>
      <c r="AE223" s="393"/>
      <c r="AF223" s="393"/>
      <c r="AG223" s="393"/>
      <c r="AH223" s="393"/>
      <c r="AI223" s="393"/>
      <c r="AJ223" s="393"/>
      <c r="AK223" s="393"/>
      <c r="AL223" s="393"/>
      <c r="AM223" s="393"/>
      <c r="AN223" s="393"/>
      <c r="AO223" s="393"/>
      <c r="AP223" s="393"/>
      <c r="AQ223" s="393"/>
      <c r="AR223" s="393"/>
      <c r="AS223" s="393"/>
      <c r="AT223" s="393"/>
      <c r="AU223" s="393"/>
      <c r="AV223" s="393"/>
      <c r="AW223" s="393"/>
      <c r="AX223" s="393"/>
      <c r="AY223" s="403"/>
      <c r="AZ223" s="403"/>
      <c r="BA223" s="403"/>
      <c r="BB223" s="403"/>
      <c r="BC223" s="403"/>
      <c r="BD223" s="403"/>
      <c r="BE223" s="403"/>
      <c r="BF223" s="403"/>
      <c r="BG223" s="403"/>
      <c r="BH223" s="403"/>
      <c r="BI223" s="403"/>
      <c r="BJ223" s="403"/>
      <c r="BK223" s="403"/>
      <c r="BL223" s="403"/>
      <c r="BM223" s="403"/>
      <c r="BN223" s="403"/>
      <c r="BO223" s="403"/>
      <c r="BP223" s="403"/>
      <c r="BQ223" s="403"/>
      <c r="BR223" s="403"/>
      <c r="BS223" s="403"/>
    </row>
    <row r="224" ht="11.25" customHeight="1">
      <c r="A224" s="393"/>
      <c r="B224" s="393"/>
      <c r="C224" s="393"/>
      <c r="D224" s="393"/>
      <c r="E224" s="393"/>
      <c r="F224" s="393"/>
      <c r="G224" s="393"/>
      <c r="H224" s="393"/>
      <c r="I224" s="393"/>
      <c r="J224" s="393"/>
      <c r="K224" s="393"/>
      <c r="L224" s="393"/>
      <c r="M224" s="393"/>
      <c r="N224" s="393"/>
      <c r="O224" s="393"/>
      <c r="P224" s="393"/>
      <c r="Q224" s="393"/>
      <c r="R224" s="393"/>
      <c r="S224" s="393"/>
      <c r="T224" s="393"/>
      <c r="U224" s="393"/>
      <c r="V224" s="393"/>
      <c r="W224" s="393"/>
      <c r="X224" s="393"/>
      <c r="Y224" s="393"/>
      <c r="Z224" s="393"/>
      <c r="AA224" s="393"/>
      <c r="AB224" s="393"/>
      <c r="AC224" s="393"/>
      <c r="AD224" s="393"/>
      <c r="AE224" s="393"/>
      <c r="AF224" s="393"/>
      <c r="AG224" s="393"/>
      <c r="AH224" s="393"/>
      <c r="AI224" s="393"/>
      <c r="AJ224" s="393"/>
      <c r="AK224" s="393"/>
      <c r="AL224" s="393"/>
      <c r="AM224" s="393"/>
      <c r="AN224" s="393"/>
      <c r="AO224" s="393"/>
      <c r="AP224" s="393"/>
      <c r="AQ224" s="393"/>
      <c r="AR224" s="393"/>
      <c r="AS224" s="393"/>
      <c r="AT224" s="393"/>
      <c r="AU224" s="393"/>
      <c r="AV224" s="393"/>
      <c r="AW224" s="393"/>
      <c r="AX224" s="393"/>
      <c r="AY224" s="403"/>
      <c r="AZ224" s="403"/>
      <c r="BA224" s="403"/>
      <c r="BB224" s="403"/>
      <c r="BC224" s="403"/>
      <c r="BD224" s="403"/>
      <c r="BE224" s="403"/>
      <c r="BF224" s="403"/>
      <c r="BG224" s="403"/>
      <c r="BH224" s="403"/>
      <c r="BI224" s="403"/>
      <c r="BJ224" s="403"/>
      <c r="BK224" s="403"/>
      <c r="BL224" s="403"/>
      <c r="BM224" s="403"/>
      <c r="BN224" s="403"/>
      <c r="BO224" s="403"/>
      <c r="BP224" s="403"/>
      <c r="BQ224" s="403"/>
      <c r="BR224" s="403"/>
      <c r="BS224" s="403"/>
    </row>
    <row r="225" ht="11.25" customHeight="1">
      <c r="A225" s="393"/>
      <c r="B225" s="393"/>
      <c r="C225" s="393"/>
      <c r="D225" s="393"/>
      <c r="E225" s="393"/>
      <c r="F225" s="393"/>
      <c r="G225" s="393"/>
      <c r="H225" s="393"/>
      <c r="I225" s="393"/>
      <c r="J225" s="393"/>
      <c r="K225" s="393"/>
      <c r="L225" s="393"/>
      <c r="M225" s="393"/>
      <c r="N225" s="393"/>
      <c r="O225" s="393"/>
      <c r="P225" s="393"/>
      <c r="Q225" s="393"/>
      <c r="R225" s="393"/>
      <c r="S225" s="393"/>
      <c r="T225" s="393"/>
      <c r="U225" s="393"/>
      <c r="V225" s="393"/>
      <c r="W225" s="393"/>
      <c r="X225" s="393"/>
      <c r="Y225" s="393"/>
      <c r="Z225" s="393"/>
      <c r="AA225" s="393"/>
      <c r="AB225" s="393"/>
      <c r="AC225" s="393"/>
      <c r="AD225" s="393"/>
      <c r="AE225" s="393"/>
      <c r="AF225" s="393"/>
      <c r="AG225" s="393"/>
      <c r="AH225" s="393"/>
      <c r="AI225" s="393"/>
      <c r="AJ225" s="393"/>
      <c r="AK225" s="393"/>
      <c r="AL225" s="393"/>
      <c r="AM225" s="393"/>
      <c r="AN225" s="393"/>
      <c r="AO225" s="393"/>
      <c r="AP225" s="393"/>
      <c r="AQ225" s="393"/>
      <c r="AR225" s="393"/>
      <c r="AS225" s="393"/>
      <c r="AT225" s="393"/>
      <c r="AU225" s="393"/>
      <c r="AV225" s="393"/>
      <c r="AW225" s="393"/>
      <c r="AX225" s="393"/>
      <c r="AY225" s="403"/>
      <c r="AZ225" s="403"/>
      <c r="BA225" s="403"/>
      <c r="BB225" s="403"/>
      <c r="BC225" s="403"/>
      <c r="BD225" s="403"/>
      <c r="BE225" s="403"/>
      <c r="BF225" s="403"/>
      <c r="BG225" s="403"/>
      <c r="BH225" s="403"/>
      <c r="BI225" s="403"/>
      <c r="BJ225" s="403"/>
      <c r="BK225" s="403"/>
      <c r="BL225" s="403"/>
      <c r="BM225" s="403"/>
      <c r="BN225" s="403"/>
      <c r="BO225" s="403"/>
      <c r="BP225" s="403"/>
      <c r="BQ225" s="403"/>
      <c r="BR225" s="403"/>
      <c r="BS225" s="403"/>
    </row>
    <row r="226" ht="11.25" customHeight="1">
      <c r="A226" s="393"/>
      <c r="B226" s="393"/>
      <c r="C226" s="393"/>
      <c r="D226" s="393"/>
      <c r="E226" s="393"/>
      <c r="F226" s="393"/>
      <c r="G226" s="393"/>
      <c r="H226" s="393"/>
      <c r="I226" s="393"/>
      <c r="J226" s="393"/>
      <c r="K226" s="393"/>
      <c r="L226" s="393"/>
      <c r="M226" s="393"/>
      <c r="N226" s="393"/>
      <c r="O226" s="393"/>
      <c r="P226" s="393"/>
      <c r="Q226" s="393"/>
      <c r="R226" s="393"/>
      <c r="S226" s="393"/>
      <c r="T226" s="393"/>
      <c r="U226" s="393"/>
      <c r="V226" s="393"/>
      <c r="W226" s="393"/>
      <c r="X226" s="393"/>
      <c r="Y226" s="393"/>
      <c r="Z226" s="393"/>
      <c r="AA226" s="393"/>
      <c r="AB226" s="393"/>
      <c r="AC226" s="393"/>
      <c r="AD226" s="393"/>
      <c r="AE226" s="393"/>
      <c r="AF226" s="393"/>
      <c r="AG226" s="393"/>
      <c r="AH226" s="393"/>
      <c r="AI226" s="393"/>
      <c r="AJ226" s="393"/>
      <c r="AK226" s="393"/>
      <c r="AL226" s="393"/>
      <c r="AM226" s="393"/>
      <c r="AN226" s="393"/>
      <c r="AO226" s="393"/>
      <c r="AP226" s="393"/>
      <c r="AQ226" s="393"/>
      <c r="AR226" s="393"/>
      <c r="AS226" s="393"/>
      <c r="AT226" s="393"/>
      <c r="AU226" s="393"/>
      <c r="AV226" s="393"/>
      <c r="AW226" s="393"/>
      <c r="AX226" s="393"/>
      <c r="AY226" s="403"/>
      <c r="AZ226" s="403"/>
      <c r="BA226" s="403"/>
      <c r="BB226" s="403"/>
      <c r="BC226" s="403"/>
      <c r="BD226" s="403"/>
      <c r="BE226" s="403"/>
      <c r="BF226" s="403"/>
      <c r="BG226" s="403"/>
      <c r="BH226" s="403"/>
      <c r="BI226" s="403"/>
      <c r="BJ226" s="403"/>
      <c r="BK226" s="403"/>
      <c r="BL226" s="403"/>
      <c r="BM226" s="403"/>
      <c r="BN226" s="403"/>
      <c r="BO226" s="403"/>
      <c r="BP226" s="403"/>
      <c r="BQ226" s="403"/>
      <c r="BR226" s="403"/>
      <c r="BS226" s="403"/>
    </row>
    <row r="227" ht="11.25" customHeight="1">
      <c r="A227" s="393"/>
      <c r="B227" s="393"/>
      <c r="C227" s="393"/>
      <c r="D227" s="393"/>
      <c r="E227" s="393"/>
      <c r="F227" s="393"/>
      <c r="G227" s="393"/>
      <c r="H227" s="393"/>
      <c r="I227" s="393"/>
      <c r="J227" s="393"/>
      <c r="K227" s="393"/>
      <c r="L227" s="393"/>
      <c r="M227" s="393"/>
      <c r="N227" s="393"/>
      <c r="O227" s="393"/>
      <c r="P227" s="393"/>
      <c r="Q227" s="393"/>
      <c r="R227" s="393"/>
      <c r="S227" s="393"/>
      <c r="T227" s="393"/>
      <c r="U227" s="393"/>
      <c r="V227" s="393"/>
      <c r="W227" s="393"/>
      <c r="X227" s="393"/>
      <c r="Y227" s="393"/>
      <c r="Z227" s="393"/>
      <c r="AA227" s="393"/>
      <c r="AB227" s="393"/>
      <c r="AC227" s="393"/>
      <c r="AD227" s="393"/>
      <c r="AE227" s="393"/>
      <c r="AF227" s="393"/>
      <c r="AG227" s="393"/>
      <c r="AH227" s="393"/>
      <c r="AI227" s="393"/>
      <c r="AJ227" s="393"/>
      <c r="AK227" s="393"/>
      <c r="AL227" s="393"/>
      <c r="AM227" s="393"/>
      <c r="AN227" s="393"/>
      <c r="AO227" s="393"/>
      <c r="AP227" s="393"/>
      <c r="AQ227" s="393"/>
      <c r="AR227" s="393"/>
      <c r="AS227" s="393"/>
      <c r="AT227" s="393"/>
      <c r="AU227" s="393"/>
      <c r="AV227" s="393"/>
      <c r="AW227" s="393"/>
      <c r="AX227" s="393"/>
      <c r="AY227" s="403"/>
      <c r="AZ227" s="403"/>
      <c r="BA227" s="403"/>
      <c r="BB227" s="403"/>
      <c r="BC227" s="403"/>
      <c r="BD227" s="403"/>
      <c r="BE227" s="403"/>
      <c r="BF227" s="403"/>
      <c r="BG227" s="403"/>
      <c r="BH227" s="403"/>
      <c r="BI227" s="403"/>
      <c r="BJ227" s="403"/>
      <c r="BK227" s="403"/>
      <c r="BL227" s="403"/>
      <c r="BM227" s="403"/>
      <c r="BN227" s="403"/>
      <c r="BO227" s="403"/>
      <c r="BP227" s="403"/>
      <c r="BQ227" s="403"/>
      <c r="BR227" s="403"/>
      <c r="BS227" s="403"/>
    </row>
    <row r="228" ht="11.25" customHeight="1">
      <c r="A228" s="393"/>
      <c r="B228" s="393"/>
      <c r="C228" s="393"/>
      <c r="D228" s="393"/>
      <c r="E228" s="393"/>
      <c r="F228" s="393"/>
      <c r="G228" s="393"/>
      <c r="H228" s="393"/>
      <c r="I228" s="393"/>
      <c r="J228" s="393"/>
      <c r="K228" s="393"/>
      <c r="L228" s="393"/>
      <c r="M228" s="393"/>
      <c r="N228" s="393"/>
      <c r="O228" s="393"/>
      <c r="P228" s="393"/>
      <c r="Q228" s="393"/>
      <c r="R228" s="393"/>
      <c r="S228" s="393"/>
      <c r="T228" s="393"/>
      <c r="U228" s="393"/>
      <c r="V228" s="393"/>
      <c r="W228" s="393"/>
      <c r="X228" s="393"/>
      <c r="Y228" s="393"/>
      <c r="Z228" s="393"/>
      <c r="AA228" s="393"/>
      <c r="AB228" s="393"/>
      <c r="AC228" s="393"/>
      <c r="AD228" s="393"/>
      <c r="AE228" s="393"/>
      <c r="AF228" s="393"/>
      <c r="AG228" s="393"/>
      <c r="AH228" s="393"/>
      <c r="AI228" s="393"/>
      <c r="AJ228" s="393"/>
      <c r="AK228" s="393"/>
      <c r="AL228" s="393"/>
      <c r="AM228" s="393"/>
      <c r="AN228" s="393"/>
      <c r="AO228" s="393"/>
      <c r="AP228" s="393"/>
      <c r="AQ228" s="393"/>
      <c r="AR228" s="393"/>
      <c r="AS228" s="393"/>
      <c r="AT228" s="393"/>
      <c r="AU228" s="393"/>
      <c r="AV228" s="393"/>
      <c r="AW228" s="393"/>
      <c r="AX228" s="393"/>
      <c r="AY228" s="403"/>
      <c r="AZ228" s="403"/>
      <c r="BA228" s="403"/>
      <c r="BB228" s="403"/>
      <c r="BC228" s="403"/>
      <c r="BD228" s="403"/>
      <c r="BE228" s="403"/>
      <c r="BF228" s="403"/>
      <c r="BG228" s="403"/>
      <c r="BH228" s="403"/>
      <c r="BI228" s="403"/>
      <c r="BJ228" s="403"/>
      <c r="BK228" s="403"/>
      <c r="BL228" s="403"/>
      <c r="BM228" s="403"/>
      <c r="BN228" s="403"/>
      <c r="BO228" s="403"/>
      <c r="BP228" s="403"/>
      <c r="BQ228" s="403"/>
      <c r="BR228" s="403"/>
      <c r="BS228" s="403"/>
    </row>
    <row r="229" ht="11.25" customHeight="1">
      <c r="A229" s="393"/>
      <c r="B229" s="393"/>
      <c r="C229" s="393"/>
      <c r="D229" s="393"/>
      <c r="E229" s="393"/>
      <c r="F229" s="393"/>
      <c r="G229" s="393"/>
      <c r="H229" s="393"/>
      <c r="I229" s="393"/>
      <c r="J229" s="393"/>
      <c r="K229" s="393"/>
      <c r="L229" s="393"/>
      <c r="M229" s="393"/>
      <c r="N229" s="393"/>
      <c r="O229" s="393"/>
      <c r="P229" s="393"/>
      <c r="Q229" s="393"/>
      <c r="R229" s="393"/>
      <c r="S229" s="393"/>
      <c r="T229" s="393"/>
      <c r="U229" s="393"/>
      <c r="V229" s="393"/>
      <c r="W229" s="393"/>
      <c r="X229" s="393"/>
      <c r="Y229" s="393"/>
      <c r="Z229" s="393"/>
      <c r="AA229" s="393"/>
      <c r="AB229" s="393"/>
      <c r="AC229" s="393"/>
      <c r="AD229" s="393"/>
      <c r="AE229" s="393"/>
      <c r="AF229" s="393"/>
      <c r="AG229" s="393"/>
      <c r="AH229" s="393"/>
      <c r="AI229" s="393"/>
      <c r="AJ229" s="393"/>
      <c r="AK229" s="393"/>
      <c r="AL229" s="393"/>
      <c r="AM229" s="393"/>
      <c r="AN229" s="393"/>
      <c r="AO229" s="393"/>
      <c r="AP229" s="393"/>
      <c r="AQ229" s="393"/>
      <c r="AR229" s="393"/>
      <c r="AS229" s="393"/>
      <c r="AT229" s="393"/>
      <c r="AU229" s="393"/>
      <c r="AV229" s="393"/>
      <c r="AW229" s="393"/>
      <c r="AX229" s="393"/>
      <c r="AY229" s="403"/>
      <c r="AZ229" s="403"/>
      <c r="BA229" s="403"/>
      <c r="BB229" s="403"/>
      <c r="BC229" s="403"/>
      <c r="BD229" s="403"/>
      <c r="BE229" s="403"/>
      <c r="BF229" s="403"/>
      <c r="BG229" s="403"/>
      <c r="BH229" s="403"/>
      <c r="BI229" s="403"/>
      <c r="BJ229" s="403"/>
      <c r="BK229" s="403"/>
      <c r="BL229" s="403"/>
      <c r="BM229" s="403"/>
      <c r="BN229" s="403"/>
      <c r="BO229" s="403"/>
      <c r="BP229" s="403"/>
      <c r="BQ229" s="403"/>
      <c r="BR229" s="403"/>
      <c r="BS229" s="403"/>
    </row>
    <row r="230" ht="11.25" customHeight="1">
      <c r="A230" s="393"/>
      <c r="B230" s="393"/>
      <c r="C230" s="393"/>
      <c r="D230" s="393"/>
      <c r="E230" s="393"/>
      <c r="F230" s="393"/>
      <c r="G230" s="393"/>
      <c r="H230" s="393"/>
      <c r="I230" s="393"/>
      <c r="J230" s="393"/>
      <c r="K230" s="393"/>
      <c r="L230" s="393"/>
      <c r="M230" s="393"/>
      <c r="N230" s="393"/>
      <c r="O230" s="393"/>
      <c r="P230" s="393"/>
      <c r="Q230" s="393"/>
      <c r="R230" s="393"/>
      <c r="S230" s="393"/>
      <c r="T230" s="393"/>
      <c r="U230" s="393"/>
      <c r="V230" s="393"/>
      <c r="W230" s="393"/>
      <c r="X230" s="393"/>
      <c r="Y230" s="393"/>
      <c r="Z230" s="393"/>
      <c r="AA230" s="393"/>
      <c r="AB230" s="393"/>
      <c r="AC230" s="393"/>
      <c r="AD230" s="393"/>
      <c r="AE230" s="393"/>
      <c r="AF230" s="393"/>
      <c r="AG230" s="393"/>
      <c r="AH230" s="393"/>
      <c r="AI230" s="393"/>
      <c r="AJ230" s="393"/>
      <c r="AK230" s="393"/>
      <c r="AL230" s="393"/>
      <c r="AM230" s="393"/>
      <c r="AN230" s="393"/>
      <c r="AO230" s="393"/>
      <c r="AP230" s="393"/>
      <c r="AQ230" s="393"/>
      <c r="AR230" s="393"/>
      <c r="AS230" s="393"/>
      <c r="AT230" s="393"/>
      <c r="AU230" s="393"/>
      <c r="AV230" s="393"/>
      <c r="AW230" s="393"/>
      <c r="AX230" s="393"/>
      <c r="AY230" s="403"/>
      <c r="AZ230" s="403"/>
      <c r="BA230" s="403"/>
      <c r="BB230" s="403"/>
      <c r="BC230" s="403"/>
      <c r="BD230" s="403"/>
      <c r="BE230" s="403"/>
      <c r="BF230" s="403"/>
      <c r="BG230" s="403"/>
      <c r="BH230" s="403"/>
      <c r="BI230" s="403"/>
      <c r="BJ230" s="403"/>
      <c r="BK230" s="403"/>
      <c r="BL230" s="403"/>
      <c r="BM230" s="403"/>
      <c r="BN230" s="403"/>
      <c r="BO230" s="403"/>
      <c r="BP230" s="403"/>
      <c r="BQ230" s="403"/>
      <c r="BR230" s="403"/>
      <c r="BS230" s="403"/>
    </row>
    <row r="231" ht="11.25" customHeight="1">
      <c r="A231" s="393"/>
      <c r="B231" s="393"/>
      <c r="C231" s="393"/>
      <c r="D231" s="393"/>
      <c r="E231" s="393"/>
      <c r="F231" s="393"/>
      <c r="G231" s="393"/>
      <c r="H231" s="393"/>
      <c r="I231" s="393"/>
      <c r="J231" s="393"/>
      <c r="K231" s="393"/>
      <c r="L231" s="393"/>
      <c r="M231" s="393"/>
      <c r="N231" s="393"/>
      <c r="O231" s="393"/>
      <c r="P231" s="393"/>
      <c r="Q231" s="393"/>
      <c r="R231" s="393"/>
      <c r="S231" s="393"/>
      <c r="T231" s="393"/>
      <c r="U231" s="393"/>
      <c r="V231" s="393"/>
      <c r="W231" s="393"/>
      <c r="X231" s="393"/>
      <c r="Y231" s="393"/>
      <c r="Z231" s="393"/>
      <c r="AA231" s="393"/>
      <c r="AB231" s="393"/>
      <c r="AC231" s="393"/>
      <c r="AD231" s="393"/>
      <c r="AE231" s="393"/>
      <c r="AF231" s="393"/>
      <c r="AG231" s="393"/>
      <c r="AH231" s="393"/>
      <c r="AI231" s="393"/>
      <c r="AJ231" s="393"/>
      <c r="AK231" s="393"/>
      <c r="AL231" s="393"/>
      <c r="AM231" s="393"/>
      <c r="AN231" s="393"/>
      <c r="AO231" s="393"/>
      <c r="AP231" s="393"/>
      <c r="AQ231" s="393"/>
      <c r="AR231" s="393"/>
      <c r="AS231" s="393"/>
      <c r="AT231" s="393"/>
      <c r="AU231" s="393"/>
      <c r="AV231" s="393"/>
      <c r="AW231" s="393"/>
      <c r="AX231" s="393"/>
      <c r="AY231" s="403"/>
      <c r="AZ231" s="403"/>
      <c r="BA231" s="403"/>
      <c r="BB231" s="403"/>
      <c r="BC231" s="403"/>
      <c r="BD231" s="403"/>
      <c r="BE231" s="403"/>
      <c r="BF231" s="403"/>
      <c r="BG231" s="403"/>
      <c r="BH231" s="403"/>
      <c r="BI231" s="403"/>
      <c r="BJ231" s="403"/>
      <c r="BK231" s="403"/>
      <c r="BL231" s="403"/>
      <c r="BM231" s="403"/>
      <c r="BN231" s="403"/>
      <c r="BO231" s="403"/>
      <c r="BP231" s="403"/>
      <c r="BQ231" s="403"/>
      <c r="BR231" s="403"/>
      <c r="BS231" s="403"/>
    </row>
    <row r="232" ht="11.25" customHeight="1">
      <c r="A232" s="393"/>
      <c r="B232" s="393"/>
      <c r="C232" s="393"/>
      <c r="D232" s="393"/>
      <c r="E232" s="393"/>
      <c r="F232" s="393"/>
      <c r="G232" s="393"/>
      <c r="H232" s="393"/>
      <c r="I232" s="393"/>
      <c r="J232" s="393"/>
      <c r="K232" s="393"/>
      <c r="L232" s="393"/>
      <c r="M232" s="393"/>
      <c r="N232" s="393"/>
      <c r="O232" s="393"/>
      <c r="P232" s="393"/>
      <c r="Q232" s="393"/>
      <c r="R232" s="393"/>
      <c r="S232" s="393"/>
      <c r="T232" s="393"/>
      <c r="U232" s="393"/>
      <c r="V232" s="393"/>
      <c r="W232" s="393"/>
      <c r="X232" s="393"/>
      <c r="Y232" s="393"/>
      <c r="Z232" s="393"/>
      <c r="AA232" s="393"/>
      <c r="AB232" s="393"/>
      <c r="AC232" s="393"/>
      <c r="AD232" s="393"/>
      <c r="AE232" s="393"/>
      <c r="AF232" s="393"/>
      <c r="AG232" s="393"/>
      <c r="AH232" s="393"/>
      <c r="AI232" s="393"/>
      <c r="AJ232" s="393"/>
      <c r="AK232" s="393"/>
      <c r="AL232" s="393"/>
      <c r="AM232" s="393"/>
      <c r="AN232" s="393"/>
      <c r="AO232" s="393"/>
      <c r="AP232" s="393"/>
      <c r="AQ232" s="393"/>
      <c r="AR232" s="393"/>
      <c r="AS232" s="393"/>
      <c r="AT232" s="393"/>
      <c r="AU232" s="393"/>
      <c r="AV232" s="393"/>
      <c r="AW232" s="393"/>
      <c r="AX232" s="393"/>
      <c r="AY232" s="403"/>
      <c r="AZ232" s="403"/>
      <c r="BA232" s="403"/>
      <c r="BB232" s="403"/>
      <c r="BC232" s="403"/>
      <c r="BD232" s="403"/>
      <c r="BE232" s="403"/>
      <c r="BF232" s="403"/>
      <c r="BG232" s="403"/>
      <c r="BH232" s="403"/>
      <c r="BI232" s="403"/>
      <c r="BJ232" s="403"/>
      <c r="BK232" s="403"/>
      <c r="BL232" s="403"/>
      <c r="BM232" s="403"/>
      <c r="BN232" s="403"/>
      <c r="BO232" s="403"/>
      <c r="BP232" s="403"/>
      <c r="BQ232" s="403"/>
      <c r="BR232" s="403"/>
      <c r="BS232" s="403"/>
    </row>
    <row r="233" ht="11.25" customHeight="1">
      <c r="A233" s="393"/>
      <c r="B233" s="393"/>
      <c r="C233" s="393"/>
      <c r="D233" s="393"/>
      <c r="E233" s="393"/>
      <c r="F233" s="393"/>
      <c r="G233" s="393"/>
      <c r="H233" s="393"/>
      <c r="I233" s="393"/>
      <c r="J233" s="393"/>
      <c r="K233" s="393"/>
      <c r="L233" s="393"/>
      <c r="M233" s="393"/>
      <c r="N233" s="393"/>
      <c r="O233" s="393"/>
      <c r="P233" s="393"/>
      <c r="Q233" s="393"/>
      <c r="R233" s="393"/>
      <c r="S233" s="393"/>
      <c r="T233" s="393"/>
      <c r="U233" s="393"/>
      <c r="V233" s="393"/>
      <c r="W233" s="393"/>
      <c r="X233" s="393"/>
      <c r="Y233" s="393"/>
      <c r="Z233" s="393"/>
      <c r="AA233" s="393"/>
      <c r="AB233" s="393"/>
      <c r="AC233" s="393"/>
      <c r="AD233" s="393"/>
      <c r="AE233" s="393"/>
      <c r="AF233" s="393"/>
      <c r="AG233" s="393"/>
      <c r="AH233" s="393"/>
      <c r="AI233" s="393"/>
      <c r="AJ233" s="393"/>
      <c r="AK233" s="393"/>
      <c r="AL233" s="393"/>
      <c r="AM233" s="393"/>
      <c r="AN233" s="393"/>
      <c r="AO233" s="393"/>
      <c r="AP233" s="393"/>
      <c r="AQ233" s="393"/>
      <c r="AR233" s="393"/>
      <c r="AS233" s="393"/>
      <c r="AT233" s="393"/>
      <c r="AU233" s="393"/>
      <c r="AV233" s="393"/>
      <c r="AW233" s="393"/>
      <c r="AX233" s="393"/>
      <c r="AY233" s="403"/>
      <c r="AZ233" s="403"/>
      <c r="BA233" s="403"/>
      <c r="BB233" s="403"/>
      <c r="BC233" s="403"/>
      <c r="BD233" s="403"/>
      <c r="BE233" s="403"/>
      <c r="BF233" s="403"/>
      <c r="BG233" s="403"/>
      <c r="BH233" s="403"/>
      <c r="BI233" s="403"/>
      <c r="BJ233" s="403"/>
      <c r="BK233" s="403"/>
      <c r="BL233" s="403"/>
      <c r="BM233" s="403"/>
      <c r="BN233" s="403"/>
      <c r="BO233" s="403"/>
      <c r="BP233" s="403"/>
      <c r="BQ233" s="403"/>
      <c r="BR233" s="403"/>
      <c r="BS233" s="403"/>
    </row>
    <row r="234" ht="11.25" customHeight="1">
      <c r="A234" s="393"/>
      <c r="B234" s="393"/>
      <c r="C234" s="393"/>
      <c r="D234" s="393"/>
      <c r="E234" s="393"/>
      <c r="F234" s="393"/>
      <c r="G234" s="393"/>
      <c r="H234" s="393"/>
      <c r="I234" s="393"/>
      <c r="J234" s="393"/>
      <c r="K234" s="393"/>
      <c r="L234" s="393"/>
      <c r="M234" s="393"/>
      <c r="N234" s="393"/>
      <c r="O234" s="393"/>
      <c r="P234" s="393"/>
      <c r="Q234" s="393"/>
      <c r="R234" s="393"/>
      <c r="S234" s="393"/>
      <c r="T234" s="393"/>
      <c r="U234" s="393"/>
      <c r="V234" s="393"/>
      <c r="W234" s="393"/>
      <c r="X234" s="393"/>
      <c r="Y234" s="393"/>
      <c r="Z234" s="393"/>
      <c r="AA234" s="393"/>
      <c r="AB234" s="393"/>
      <c r="AC234" s="393"/>
      <c r="AD234" s="393"/>
      <c r="AE234" s="393"/>
      <c r="AF234" s="393"/>
      <c r="AG234" s="393"/>
      <c r="AH234" s="393"/>
      <c r="AI234" s="393"/>
      <c r="AJ234" s="393"/>
      <c r="AK234" s="393"/>
      <c r="AL234" s="393"/>
      <c r="AM234" s="393"/>
      <c r="AN234" s="393"/>
      <c r="AO234" s="393"/>
      <c r="AP234" s="393"/>
      <c r="AQ234" s="393"/>
      <c r="AR234" s="393"/>
      <c r="AS234" s="393"/>
      <c r="AT234" s="393"/>
      <c r="AU234" s="393"/>
      <c r="AV234" s="393"/>
      <c r="AW234" s="393"/>
      <c r="AX234" s="393"/>
      <c r="AY234" s="403"/>
      <c r="AZ234" s="403"/>
      <c r="BA234" s="403"/>
      <c r="BB234" s="403"/>
      <c r="BC234" s="403"/>
      <c r="BD234" s="403"/>
      <c r="BE234" s="403"/>
      <c r="BF234" s="403"/>
      <c r="BG234" s="403"/>
      <c r="BH234" s="403"/>
      <c r="BI234" s="403"/>
      <c r="BJ234" s="403"/>
      <c r="BK234" s="403"/>
      <c r="BL234" s="403"/>
      <c r="BM234" s="403"/>
      <c r="BN234" s="403"/>
      <c r="BO234" s="403"/>
      <c r="BP234" s="403"/>
      <c r="BQ234" s="403"/>
      <c r="BR234" s="403"/>
      <c r="BS234" s="403"/>
    </row>
    <row r="235" ht="11.25" customHeight="1">
      <c r="A235" s="393"/>
      <c r="B235" s="393"/>
      <c r="C235" s="393"/>
      <c r="D235" s="393"/>
      <c r="E235" s="393"/>
      <c r="F235" s="393"/>
      <c r="G235" s="393"/>
      <c r="H235" s="393"/>
      <c r="I235" s="393"/>
      <c r="J235" s="393"/>
      <c r="K235" s="393"/>
      <c r="L235" s="393"/>
      <c r="M235" s="393"/>
      <c r="N235" s="393"/>
      <c r="O235" s="393"/>
      <c r="P235" s="393"/>
      <c r="Q235" s="393"/>
      <c r="R235" s="393"/>
      <c r="S235" s="393"/>
      <c r="T235" s="393"/>
      <c r="U235" s="393"/>
      <c r="V235" s="393"/>
      <c r="W235" s="393"/>
      <c r="X235" s="393"/>
      <c r="Y235" s="393"/>
      <c r="Z235" s="393"/>
      <c r="AA235" s="393"/>
      <c r="AB235" s="393"/>
      <c r="AC235" s="393"/>
      <c r="AD235" s="393"/>
      <c r="AE235" s="393"/>
      <c r="AF235" s="393"/>
      <c r="AG235" s="393"/>
      <c r="AH235" s="393"/>
      <c r="AI235" s="393"/>
      <c r="AJ235" s="393"/>
      <c r="AK235" s="393"/>
      <c r="AL235" s="393"/>
      <c r="AM235" s="393"/>
      <c r="AN235" s="393"/>
      <c r="AO235" s="393"/>
      <c r="AP235" s="393"/>
      <c r="AQ235" s="393"/>
      <c r="AR235" s="393"/>
      <c r="AS235" s="393"/>
      <c r="AT235" s="393"/>
      <c r="AU235" s="393"/>
      <c r="AV235" s="393"/>
      <c r="AW235" s="393"/>
      <c r="AX235" s="393"/>
      <c r="AY235" s="403"/>
      <c r="AZ235" s="403"/>
      <c r="BA235" s="403"/>
      <c r="BB235" s="403"/>
      <c r="BC235" s="403"/>
      <c r="BD235" s="403"/>
      <c r="BE235" s="403"/>
      <c r="BF235" s="403"/>
      <c r="BG235" s="403"/>
      <c r="BH235" s="403"/>
      <c r="BI235" s="403"/>
      <c r="BJ235" s="403"/>
      <c r="BK235" s="403"/>
      <c r="BL235" s="403"/>
      <c r="BM235" s="403"/>
      <c r="BN235" s="403"/>
      <c r="BO235" s="403"/>
      <c r="BP235" s="403"/>
      <c r="BQ235" s="403"/>
      <c r="BR235" s="403"/>
      <c r="BS235" s="403"/>
    </row>
    <row r="236" ht="11.25" customHeight="1">
      <c r="A236" s="393"/>
      <c r="B236" s="393"/>
      <c r="C236" s="393"/>
      <c r="D236" s="393"/>
      <c r="E236" s="393"/>
      <c r="F236" s="393"/>
      <c r="G236" s="393"/>
      <c r="H236" s="393"/>
      <c r="I236" s="393"/>
      <c r="J236" s="393"/>
      <c r="K236" s="393"/>
      <c r="L236" s="393"/>
      <c r="M236" s="393"/>
      <c r="N236" s="393"/>
      <c r="O236" s="393"/>
      <c r="P236" s="393"/>
      <c r="Q236" s="393"/>
      <c r="R236" s="393"/>
      <c r="S236" s="393"/>
      <c r="T236" s="393"/>
      <c r="U236" s="393"/>
      <c r="V236" s="393"/>
      <c r="W236" s="393"/>
      <c r="X236" s="393"/>
      <c r="Y236" s="393"/>
      <c r="Z236" s="393"/>
      <c r="AA236" s="393"/>
      <c r="AB236" s="393"/>
      <c r="AC236" s="393"/>
      <c r="AD236" s="393"/>
      <c r="AE236" s="393"/>
      <c r="AF236" s="393"/>
      <c r="AG236" s="393"/>
      <c r="AH236" s="393"/>
      <c r="AI236" s="393"/>
      <c r="AJ236" s="393"/>
      <c r="AK236" s="393"/>
      <c r="AL236" s="393"/>
      <c r="AM236" s="393"/>
      <c r="AN236" s="393"/>
      <c r="AO236" s="393"/>
      <c r="AP236" s="393"/>
      <c r="AQ236" s="393"/>
      <c r="AR236" s="393"/>
      <c r="AS236" s="393"/>
      <c r="AT236" s="393"/>
      <c r="AU236" s="393"/>
      <c r="AV236" s="393"/>
      <c r="AW236" s="393"/>
      <c r="AX236" s="393"/>
      <c r="AY236" s="403"/>
      <c r="AZ236" s="403"/>
      <c r="BA236" s="403"/>
      <c r="BB236" s="403"/>
      <c r="BC236" s="403"/>
      <c r="BD236" s="403"/>
      <c r="BE236" s="403"/>
      <c r="BF236" s="403"/>
      <c r="BG236" s="403"/>
      <c r="BH236" s="403"/>
      <c r="BI236" s="403"/>
      <c r="BJ236" s="403"/>
      <c r="BK236" s="403"/>
      <c r="BL236" s="403"/>
      <c r="BM236" s="403"/>
      <c r="BN236" s="403"/>
      <c r="BO236" s="403"/>
      <c r="BP236" s="403"/>
      <c r="BQ236" s="403"/>
      <c r="BR236" s="403"/>
      <c r="BS236" s="403"/>
    </row>
    <row r="237" ht="11.25" customHeight="1">
      <c r="A237" s="393"/>
      <c r="B237" s="393"/>
      <c r="C237" s="393"/>
      <c r="D237" s="393"/>
      <c r="E237" s="393"/>
      <c r="F237" s="393"/>
      <c r="G237" s="393"/>
      <c r="H237" s="393"/>
      <c r="I237" s="393"/>
      <c r="J237" s="393"/>
      <c r="K237" s="393"/>
      <c r="L237" s="393"/>
      <c r="M237" s="393"/>
      <c r="N237" s="393"/>
      <c r="O237" s="393"/>
      <c r="P237" s="393"/>
      <c r="Q237" s="393"/>
      <c r="R237" s="393"/>
      <c r="S237" s="393"/>
      <c r="T237" s="393"/>
      <c r="U237" s="393"/>
      <c r="V237" s="393"/>
      <c r="W237" s="393"/>
      <c r="X237" s="393"/>
      <c r="Y237" s="393"/>
      <c r="Z237" s="393"/>
      <c r="AA237" s="393"/>
      <c r="AB237" s="393"/>
      <c r="AC237" s="393"/>
      <c r="AD237" s="393"/>
      <c r="AE237" s="393"/>
      <c r="AF237" s="393"/>
      <c r="AG237" s="393"/>
      <c r="AH237" s="393"/>
      <c r="AI237" s="393"/>
      <c r="AJ237" s="393"/>
      <c r="AK237" s="393"/>
      <c r="AL237" s="393"/>
      <c r="AM237" s="393"/>
      <c r="AN237" s="393"/>
      <c r="AO237" s="393"/>
      <c r="AP237" s="393"/>
      <c r="AQ237" s="393"/>
      <c r="AR237" s="393"/>
      <c r="AS237" s="393"/>
      <c r="AT237" s="393"/>
      <c r="AU237" s="393"/>
      <c r="AV237" s="393"/>
      <c r="AW237" s="393"/>
      <c r="AX237" s="393"/>
      <c r="AY237" s="403"/>
      <c r="AZ237" s="403"/>
      <c r="BA237" s="403"/>
      <c r="BB237" s="403"/>
      <c r="BC237" s="403"/>
      <c r="BD237" s="403"/>
      <c r="BE237" s="403"/>
      <c r="BF237" s="403"/>
      <c r="BG237" s="403"/>
      <c r="BH237" s="403"/>
      <c r="BI237" s="403"/>
      <c r="BJ237" s="403"/>
      <c r="BK237" s="403"/>
      <c r="BL237" s="403"/>
      <c r="BM237" s="403"/>
      <c r="BN237" s="403"/>
      <c r="BO237" s="403"/>
      <c r="BP237" s="403"/>
      <c r="BQ237" s="403"/>
      <c r="BR237" s="403"/>
      <c r="BS237" s="403"/>
    </row>
    <row r="238" ht="11.25" customHeight="1">
      <c r="A238" s="393"/>
      <c r="B238" s="393"/>
      <c r="C238" s="393"/>
      <c r="D238" s="393"/>
      <c r="E238" s="393"/>
      <c r="F238" s="393"/>
      <c r="G238" s="393"/>
      <c r="H238" s="393"/>
      <c r="I238" s="393"/>
      <c r="J238" s="393"/>
      <c r="K238" s="393"/>
      <c r="L238" s="393"/>
      <c r="M238" s="393"/>
      <c r="N238" s="393"/>
      <c r="O238" s="393"/>
      <c r="P238" s="393"/>
      <c r="Q238" s="393"/>
      <c r="R238" s="393"/>
      <c r="S238" s="393"/>
      <c r="T238" s="393"/>
      <c r="U238" s="393"/>
      <c r="V238" s="393"/>
      <c r="W238" s="393"/>
      <c r="X238" s="393"/>
      <c r="Y238" s="393"/>
      <c r="Z238" s="393"/>
      <c r="AA238" s="393"/>
      <c r="AB238" s="393"/>
      <c r="AC238" s="393"/>
      <c r="AD238" s="393"/>
      <c r="AE238" s="393"/>
      <c r="AF238" s="393"/>
      <c r="AG238" s="393"/>
      <c r="AH238" s="393"/>
      <c r="AI238" s="393"/>
      <c r="AJ238" s="393"/>
      <c r="AK238" s="393"/>
      <c r="AL238" s="393"/>
      <c r="AM238" s="393"/>
      <c r="AN238" s="393"/>
      <c r="AO238" s="393"/>
      <c r="AP238" s="393"/>
      <c r="AQ238" s="393"/>
      <c r="AR238" s="393"/>
      <c r="AS238" s="393"/>
      <c r="AT238" s="393"/>
      <c r="AU238" s="393"/>
      <c r="AV238" s="393"/>
      <c r="AW238" s="393"/>
      <c r="AX238" s="393"/>
      <c r="AY238" s="403"/>
      <c r="AZ238" s="403"/>
      <c r="BA238" s="403"/>
      <c r="BB238" s="403"/>
      <c r="BC238" s="403"/>
      <c r="BD238" s="403"/>
      <c r="BE238" s="403"/>
      <c r="BF238" s="403"/>
      <c r="BG238" s="403"/>
      <c r="BH238" s="403"/>
      <c r="BI238" s="403"/>
      <c r="BJ238" s="403"/>
      <c r="BK238" s="403"/>
      <c r="BL238" s="403"/>
      <c r="BM238" s="403"/>
      <c r="BN238" s="403"/>
      <c r="BO238" s="403"/>
      <c r="BP238" s="403"/>
      <c r="BQ238" s="403"/>
      <c r="BR238" s="403"/>
      <c r="BS238" s="403"/>
    </row>
    <row r="239" ht="11.25" customHeight="1">
      <c r="A239" s="393"/>
      <c r="B239" s="393"/>
      <c r="C239" s="393"/>
      <c r="D239" s="393"/>
      <c r="E239" s="393"/>
      <c r="F239" s="393"/>
      <c r="G239" s="393"/>
      <c r="H239" s="393"/>
      <c r="I239" s="393"/>
      <c r="J239" s="393"/>
      <c r="K239" s="393"/>
      <c r="L239" s="393"/>
      <c r="M239" s="393"/>
      <c r="N239" s="393"/>
      <c r="O239" s="393"/>
      <c r="P239" s="393"/>
      <c r="Q239" s="393"/>
      <c r="R239" s="393"/>
      <c r="S239" s="393"/>
      <c r="T239" s="393"/>
      <c r="U239" s="393"/>
      <c r="V239" s="393"/>
      <c r="W239" s="393"/>
      <c r="X239" s="393"/>
      <c r="Y239" s="393"/>
      <c r="Z239" s="393"/>
      <c r="AA239" s="393"/>
      <c r="AB239" s="393"/>
      <c r="AC239" s="393"/>
      <c r="AD239" s="393"/>
      <c r="AE239" s="393"/>
      <c r="AF239" s="393"/>
      <c r="AG239" s="393"/>
      <c r="AH239" s="393"/>
      <c r="AI239" s="393"/>
      <c r="AJ239" s="393"/>
      <c r="AK239" s="393"/>
      <c r="AL239" s="393"/>
      <c r="AM239" s="393"/>
      <c r="AN239" s="393"/>
      <c r="AO239" s="393"/>
      <c r="AP239" s="393"/>
      <c r="AQ239" s="393"/>
      <c r="AR239" s="393"/>
      <c r="AS239" s="393"/>
      <c r="AT239" s="393"/>
      <c r="AU239" s="393"/>
      <c r="AV239" s="393"/>
      <c r="AW239" s="393"/>
      <c r="AX239" s="393"/>
      <c r="AY239" s="403"/>
      <c r="AZ239" s="403"/>
      <c r="BA239" s="403"/>
      <c r="BB239" s="403"/>
      <c r="BC239" s="403"/>
      <c r="BD239" s="403"/>
      <c r="BE239" s="403"/>
      <c r="BF239" s="403"/>
      <c r="BG239" s="403"/>
      <c r="BH239" s="403"/>
      <c r="BI239" s="403"/>
      <c r="BJ239" s="403"/>
      <c r="BK239" s="403"/>
      <c r="BL239" s="403"/>
      <c r="BM239" s="403"/>
      <c r="BN239" s="403"/>
      <c r="BO239" s="403"/>
      <c r="BP239" s="403"/>
      <c r="BQ239" s="403"/>
      <c r="BR239" s="403"/>
      <c r="BS239" s="403"/>
    </row>
    <row r="240" ht="11.25" customHeight="1">
      <c r="A240" s="393"/>
      <c r="B240" s="393"/>
      <c r="C240" s="393"/>
      <c r="D240" s="393"/>
      <c r="E240" s="393"/>
      <c r="F240" s="393"/>
      <c r="G240" s="393"/>
      <c r="H240" s="393"/>
      <c r="I240" s="393"/>
      <c r="J240" s="393"/>
      <c r="K240" s="393"/>
      <c r="L240" s="393"/>
      <c r="M240" s="393"/>
      <c r="N240" s="393"/>
      <c r="O240" s="393"/>
      <c r="P240" s="393"/>
      <c r="Q240" s="393"/>
      <c r="R240" s="393"/>
      <c r="S240" s="393"/>
      <c r="T240" s="393"/>
      <c r="U240" s="393"/>
      <c r="V240" s="393"/>
      <c r="W240" s="393"/>
      <c r="X240" s="393"/>
      <c r="Y240" s="393"/>
      <c r="Z240" s="393"/>
      <c r="AA240" s="393"/>
      <c r="AB240" s="393"/>
      <c r="AC240" s="393"/>
      <c r="AD240" s="393"/>
      <c r="AE240" s="393"/>
      <c r="AF240" s="393"/>
      <c r="AG240" s="393"/>
      <c r="AH240" s="393"/>
      <c r="AI240" s="393"/>
      <c r="AJ240" s="393"/>
      <c r="AK240" s="393"/>
      <c r="AL240" s="393"/>
      <c r="AM240" s="393"/>
      <c r="AN240" s="393"/>
      <c r="AO240" s="393"/>
      <c r="AP240" s="393"/>
      <c r="AQ240" s="393"/>
      <c r="AR240" s="393"/>
      <c r="AS240" s="393"/>
      <c r="AT240" s="393"/>
      <c r="AU240" s="393"/>
      <c r="AV240" s="393"/>
      <c r="AW240" s="393"/>
      <c r="AX240" s="393"/>
      <c r="AY240" s="403"/>
      <c r="AZ240" s="403"/>
      <c r="BA240" s="403"/>
      <c r="BB240" s="403"/>
      <c r="BC240" s="403"/>
      <c r="BD240" s="403"/>
      <c r="BE240" s="403"/>
      <c r="BF240" s="403"/>
      <c r="BG240" s="403"/>
      <c r="BH240" s="403"/>
      <c r="BI240" s="403"/>
      <c r="BJ240" s="403"/>
      <c r="BK240" s="403"/>
      <c r="BL240" s="403"/>
      <c r="BM240" s="403"/>
      <c r="BN240" s="403"/>
      <c r="BO240" s="403"/>
      <c r="BP240" s="403"/>
      <c r="BQ240" s="403"/>
      <c r="BR240" s="403"/>
      <c r="BS240" s="403"/>
    </row>
    <row r="241" ht="11.25" customHeight="1">
      <c r="A241" s="393"/>
      <c r="B241" s="393"/>
      <c r="C241" s="393"/>
      <c r="D241" s="393"/>
      <c r="E241" s="393"/>
      <c r="F241" s="393"/>
      <c r="G241" s="393"/>
      <c r="H241" s="393"/>
      <c r="I241" s="393"/>
      <c r="J241" s="393"/>
      <c r="K241" s="393"/>
      <c r="L241" s="393"/>
      <c r="M241" s="393"/>
      <c r="N241" s="393"/>
      <c r="O241" s="393"/>
      <c r="P241" s="393"/>
      <c r="Q241" s="393"/>
      <c r="R241" s="393"/>
      <c r="S241" s="393"/>
      <c r="T241" s="393"/>
      <c r="U241" s="393"/>
      <c r="V241" s="393"/>
      <c r="W241" s="393"/>
      <c r="X241" s="393"/>
      <c r="Y241" s="393"/>
      <c r="Z241" s="393"/>
      <c r="AA241" s="393"/>
      <c r="AB241" s="393"/>
      <c r="AC241" s="393"/>
      <c r="AD241" s="393"/>
      <c r="AE241" s="393"/>
      <c r="AF241" s="393"/>
      <c r="AG241" s="393"/>
      <c r="AH241" s="393"/>
      <c r="AI241" s="393"/>
      <c r="AJ241" s="393"/>
      <c r="AK241" s="393"/>
      <c r="AL241" s="393"/>
      <c r="AM241" s="393"/>
      <c r="AN241" s="393"/>
      <c r="AO241" s="393"/>
      <c r="AP241" s="393"/>
      <c r="AQ241" s="393"/>
      <c r="AR241" s="393"/>
      <c r="AS241" s="393"/>
      <c r="AT241" s="393"/>
      <c r="AU241" s="393"/>
      <c r="AV241" s="393"/>
      <c r="AW241" s="393"/>
      <c r="AX241" s="393"/>
      <c r="AY241" s="403"/>
      <c r="AZ241" s="403"/>
      <c r="BA241" s="403"/>
      <c r="BB241" s="403"/>
      <c r="BC241" s="403"/>
      <c r="BD241" s="403"/>
      <c r="BE241" s="403"/>
      <c r="BF241" s="403"/>
      <c r="BG241" s="403"/>
      <c r="BH241" s="403"/>
      <c r="BI241" s="403"/>
      <c r="BJ241" s="403"/>
      <c r="BK241" s="403"/>
      <c r="BL241" s="403"/>
      <c r="BM241" s="403"/>
      <c r="BN241" s="403"/>
      <c r="BO241" s="403"/>
      <c r="BP241" s="403"/>
      <c r="BQ241" s="403"/>
      <c r="BR241" s="403"/>
      <c r="BS241" s="403"/>
    </row>
    <row r="242" ht="11.25" customHeight="1">
      <c r="A242" s="393"/>
      <c r="B242" s="393"/>
      <c r="C242" s="393"/>
      <c r="D242" s="393"/>
      <c r="E242" s="393"/>
      <c r="F242" s="393"/>
      <c r="G242" s="393"/>
      <c r="H242" s="393"/>
      <c r="I242" s="393"/>
      <c r="J242" s="393"/>
      <c r="K242" s="393"/>
      <c r="L242" s="393"/>
      <c r="M242" s="393"/>
      <c r="N242" s="393"/>
      <c r="O242" s="393"/>
      <c r="P242" s="393"/>
      <c r="Q242" s="393"/>
      <c r="R242" s="393"/>
      <c r="S242" s="393"/>
      <c r="T242" s="393"/>
      <c r="U242" s="393"/>
      <c r="V242" s="393"/>
      <c r="W242" s="393"/>
      <c r="X242" s="393"/>
      <c r="Y242" s="393"/>
      <c r="Z242" s="393"/>
      <c r="AA242" s="393"/>
      <c r="AB242" s="393"/>
      <c r="AC242" s="393"/>
      <c r="AD242" s="393"/>
      <c r="AE242" s="393"/>
      <c r="AF242" s="393"/>
      <c r="AG242" s="393"/>
      <c r="AH242" s="393"/>
      <c r="AI242" s="393"/>
      <c r="AJ242" s="393"/>
      <c r="AK242" s="393"/>
      <c r="AL242" s="393"/>
      <c r="AM242" s="393"/>
      <c r="AN242" s="393"/>
      <c r="AO242" s="393"/>
      <c r="AP242" s="393"/>
      <c r="AQ242" s="393"/>
      <c r="AR242" s="393"/>
      <c r="AS242" s="393"/>
      <c r="AT242" s="393"/>
      <c r="AU242" s="393"/>
      <c r="AV242" s="393"/>
      <c r="AW242" s="393"/>
      <c r="AX242" s="393"/>
      <c r="AY242" s="403"/>
      <c r="AZ242" s="403"/>
      <c r="BA242" s="403"/>
      <c r="BB242" s="403"/>
      <c r="BC242" s="403"/>
      <c r="BD242" s="403"/>
      <c r="BE242" s="403"/>
      <c r="BF242" s="403"/>
      <c r="BG242" s="403"/>
      <c r="BH242" s="403"/>
      <c r="BI242" s="403"/>
      <c r="BJ242" s="403"/>
      <c r="BK242" s="403"/>
      <c r="BL242" s="403"/>
      <c r="BM242" s="403"/>
      <c r="BN242" s="403"/>
      <c r="BO242" s="403"/>
      <c r="BP242" s="403"/>
      <c r="BQ242" s="403"/>
      <c r="BR242" s="403"/>
      <c r="BS242" s="403"/>
    </row>
    <row r="243" ht="11.25" customHeight="1">
      <c r="A243" s="393"/>
      <c r="B243" s="393"/>
      <c r="C243" s="393"/>
      <c r="D243" s="393"/>
      <c r="E243" s="393"/>
      <c r="F243" s="393"/>
      <c r="G243" s="393"/>
      <c r="H243" s="393"/>
      <c r="I243" s="393"/>
      <c r="J243" s="393"/>
      <c r="K243" s="393"/>
      <c r="L243" s="393"/>
      <c r="M243" s="393"/>
      <c r="N243" s="393"/>
      <c r="O243" s="393"/>
      <c r="P243" s="393"/>
      <c r="Q243" s="393"/>
      <c r="R243" s="393"/>
      <c r="S243" s="393"/>
      <c r="T243" s="393"/>
      <c r="U243" s="393"/>
      <c r="V243" s="393"/>
      <c r="W243" s="393"/>
      <c r="X243" s="393"/>
      <c r="Y243" s="393"/>
      <c r="Z243" s="393"/>
      <c r="AA243" s="393"/>
      <c r="AB243" s="393"/>
      <c r="AC243" s="393"/>
      <c r="AD243" s="393"/>
      <c r="AE243" s="393"/>
      <c r="AF243" s="393"/>
      <c r="AG243" s="393"/>
      <c r="AH243" s="393"/>
      <c r="AI243" s="393"/>
      <c r="AJ243" s="393"/>
      <c r="AK243" s="393"/>
      <c r="AL243" s="393"/>
      <c r="AM243" s="393"/>
      <c r="AN243" s="393"/>
      <c r="AO243" s="393"/>
      <c r="AP243" s="393"/>
      <c r="AQ243" s="393"/>
      <c r="AR243" s="393"/>
      <c r="AS243" s="393"/>
      <c r="AT243" s="393"/>
      <c r="AU243" s="393"/>
      <c r="AV243" s="393"/>
      <c r="AW243" s="393"/>
      <c r="AX243" s="393"/>
      <c r="AY243" s="403"/>
      <c r="AZ243" s="403"/>
      <c r="BA243" s="403"/>
      <c r="BB243" s="403"/>
      <c r="BC243" s="403"/>
      <c r="BD243" s="403"/>
      <c r="BE243" s="403"/>
      <c r="BF243" s="403"/>
      <c r="BG243" s="403"/>
      <c r="BH243" s="403"/>
      <c r="BI243" s="403"/>
      <c r="BJ243" s="403"/>
      <c r="BK243" s="403"/>
      <c r="BL243" s="403"/>
      <c r="BM243" s="403"/>
      <c r="BN243" s="403"/>
      <c r="BO243" s="403"/>
      <c r="BP243" s="403"/>
      <c r="BQ243" s="403"/>
      <c r="BR243" s="403"/>
      <c r="BS243" s="403"/>
    </row>
    <row r="244" ht="11.25" customHeight="1">
      <c r="A244" s="393"/>
      <c r="B244" s="393"/>
      <c r="C244" s="393"/>
      <c r="D244" s="393"/>
      <c r="E244" s="393"/>
      <c r="F244" s="393"/>
      <c r="G244" s="393"/>
      <c r="H244" s="393"/>
      <c r="I244" s="393"/>
      <c r="J244" s="393"/>
      <c r="K244" s="393"/>
      <c r="L244" s="393"/>
      <c r="M244" s="393"/>
      <c r="N244" s="393"/>
      <c r="O244" s="393"/>
      <c r="P244" s="393"/>
      <c r="Q244" s="393"/>
      <c r="R244" s="393"/>
      <c r="S244" s="393"/>
      <c r="T244" s="393"/>
      <c r="U244" s="393"/>
      <c r="V244" s="393"/>
      <c r="W244" s="393"/>
      <c r="X244" s="393"/>
      <c r="Y244" s="393"/>
      <c r="Z244" s="393"/>
      <c r="AA244" s="393"/>
      <c r="AB244" s="393"/>
      <c r="AC244" s="393"/>
      <c r="AD244" s="393"/>
      <c r="AE244" s="393"/>
      <c r="AF244" s="393"/>
      <c r="AG244" s="393"/>
      <c r="AH244" s="393"/>
      <c r="AI244" s="393"/>
      <c r="AJ244" s="393"/>
      <c r="AK244" s="393"/>
      <c r="AL244" s="393"/>
      <c r="AM244" s="393"/>
      <c r="AN244" s="393"/>
      <c r="AO244" s="393"/>
      <c r="AP244" s="393"/>
      <c r="AQ244" s="393"/>
      <c r="AR244" s="393"/>
      <c r="AS244" s="393"/>
      <c r="AT244" s="393"/>
      <c r="AU244" s="393"/>
      <c r="AV244" s="393"/>
      <c r="AW244" s="393"/>
      <c r="AX244" s="393"/>
      <c r="AY244" s="403"/>
      <c r="AZ244" s="403"/>
      <c r="BA244" s="403"/>
      <c r="BB244" s="403"/>
      <c r="BC244" s="403"/>
      <c r="BD244" s="403"/>
      <c r="BE244" s="403"/>
      <c r="BF244" s="403"/>
      <c r="BG244" s="403"/>
      <c r="BH244" s="403"/>
      <c r="BI244" s="403"/>
      <c r="BJ244" s="403"/>
      <c r="BK244" s="403"/>
      <c r="BL244" s="403"/>
      <c r="BM244" s="403"/>
      <c r="BN244" s="403"/>
      <c r="BO244" s="403"/>
      <c r="BP244" s="403"/>
      <c r="BQ244" s="403"/>
      <c r="BR244" s="403"/>
      <c r="BS244" s="403"/>
    </row>
    <row r="245" ht="11.25" customHeight="1">
      <c r="A245" s="393"/>
      <c r="B245" s="393"/>
      <c r="C245" s="393"/>
      <c r="D245" s="393"/>
      <c r="E245" s="393"/>
      <c r="F245" s="393"/>
      <c r="G245" s="393"/>
      <c r="H245" s="393"/>
      <c r="I245" s="393"/>
      <c r="J245" s="393"/>
      <c r="K245" s="393"/>
      <c r="L245" s="393"/>
      <c r="M245" s="393"/>
      <c r="N245" s="393"/>
      <c r="O245" s="393"/>
      <c r="P245" s="393"/>
      <c r="Q245" s="393"/>
      <c r="R245" s="393"/>
      <c r="S245" s="393"/>
      <c r="T245" s="393"/>
      <c r="U245" s="393"/>
      <c r="V245" s="393"/>
      <c r="W245" s="393"/>
      <c r="X245" s="393"/>
      <c r="Y245" s="393"/>
      <c r="Z245" s="393"/>
      <c r="AA245" s="393"/>
      <c r="AB245" s="393"/>
      <c r="AC245" s="393"/>
      <c r="AD245" s="393"/>
      <c r="AE245" s="393"/>
      <c r="AF245" s="393"/>
      <c r="AG245" s="393"/>
      <c r="AH245" s="393"/>
      <c r="AI245" s="393"/>
      <c r="AJ245" s="393"/>
      <c r="AK245" s="393"/>
      <c r="AL245" s="393"/>
      <c r="AM245" s="393"/>
      <c r="AN245" s="393"/>
      <c r="AO245" s="393"/>
      <c r="AP245" s="393"/>
      <c r="AQ245" s="393"/>
      <c r="AR245" s="393"/>
      <c r="AS245" s="393"/>
      <c r="AT245" s="393"/>
      <c r="AU245" s="393"/>
      <c r="AV245" s="393"/>
      <c r="AW245" s="393"/>
      <c r="AX245" s="393"/>
      <c r="AY245" s="403"/>
      <c r="AZ245" s="403"/>
      <c r="BA245" s="403"/>
      <c r="BB245" s="403"/>
      <c r="BC245" s="403"/>
      <c r="BD245" s="403"/>
      <c r="BE245" s="403"/>
      <c r="BF245" s="403"/>
      <c r="BG245" s="403"/>
      <c r="BH245" s="403"/>
      <c r="BI245" s="403"/>
      <c r="BJ245" s="403"/>
      <c r="BK245" s="403"/>
      <c r="BL245" s="403"/>
      <c r="BM245" s="403"/>
      <c r="BN245" s="403"/>
      <c r="BO245" s="403"/>
      <c r="BP245" s="403"/>
      <c r="BQ245" s="403"/>
      <c r="BR245" s="403"/>
      <c r="BS245" s="403"/>
    </row>
    <row r="246" ht="11.25" customHeight="1">
      <c r="A246" s="393"/>
      <c r="B246" s="393"/>
      <c r="C246" s="393"/>
      <c r="D246" s="393"/>
      <c r="E246" s="393"/>
      <c r="F246" s="393"/>
      <c r="G246" s="393"/>
      <c r="H246" s="393"/>
      <c r="I246" s="393"/>
      <c r="J246" s="393"/>
      <c r="K246" s="393"/>
      <c r="L246" s="393"/>
      <c r="M246" s="393"/>
      <c r="N246" s="393"/>
      <c r="O246" s="393"/>
      <c r="P246" s="393"/>
      <c r="Q246" s="393"/>
      <c r="R246" s="393"/>
      <c r="S246" s="393"/>
      <c r="T246" s="393"/>
      <c r="U246" s="393"/>
      <c r="V246" s="393"/>
      <c r="W246" s="393"/>
      <c r="X246" s="393"/>
      <c r="Y246" s="393"/>
      <c r="Z246" s="393"/>
      <c r="AA246" s="393"/>
      <c r="AB246" s="393"/>
      <c r="AC246" s="393"/>
      <c r="AD246" s="393"/>
      <c r="AE246" s="393"/>
      <c r="AF246" s="393"/>
      <c r="AG246" s="393"/>
      <c r="AH246" s="393"/>
      <c r="AI246" s="393"/>
      <c r="AJ246" s="393"/>
      <c r="AK246" s="393"/>
      <c r="AL246" s="393"/>
      <c r="AM246" s="393"/>
      <c r="AN246" s="393"/>
      <c r="AO246" s="393"/>
      <c r="AP246" s="393"/>
      <c r="AQ246" s="393"/>
      <c r="AR246" s="393"/>
      <c r="AS246" s="393"/>
      <c r="AT246" s="393"/>
      <c r="AU246" s="393"/>
      <c r="AV246" s="393"/>
      <c r="AW246" s="393"/>
      <c r="AX246" s="393"/>
      <c r="AY246" s="403"/>
      <c r="AZ246" s="403"/>
      <c r="BA246" s="403"/>
      <c r="BB246" s="403"/>
      <c r="BC246" s="403"/>
      <c r="BD246" s="403"/>
      <c r="BE246" s="403"/>
      <c r="BF246" s="403"/>
      <c r="BG246" s="403"/>
      <c r="BH246" s="403"/>
      <c r="BI246" s="403"/>
      <c r="BJ246" s="403"/>
      <c r="BK246" s="403"/>
      <c r="BL246" s="403"/>
      <c r="BM246" s="403"/>
      <c r="BN246" s="403"/>
      <c r="BO246" s="403"/>
      <c r="BP246" s="403"/>
      <c r="BQ246" s="403"/>
      <c r="BR246" s="403"/>
      <c r="BS246" s="403"/>
    </row>
    <row r="247" ht="11.25" customHeight="1">
      <c r="A247" s="393"/>
      <c r="B247" s="393"/>
      <c r="C247" s="393"/>
      <c r="D247" s="393"/>
      <c r="E247" s="393"/>
      <c r="F247" s="393"/>
      <c r="G247" s="393"/>
      <c r="H247" s="393"/>
      <c r="I247" s="393"/>
      <c r="J247" s="393"/>
      <c r="K247" s="393"/>
      <c r="L247" s="393"/>
      <c r="M247" s="393"/>
      <c r="N247" s="393"/>
      <c r="O247" s="393"/>
      <c r="P247" s="393"/>
      <c r="Q247" s="393"/>
      <c r="R247" s="393"/>
      <c r="S247" s="393"/>
      <c r="T247" s="393"/>
      <c r="U247" s="393"/>
      <c r="V247" s="393"/>
      <c r="W247" s="393"/>
      <c r="X247" s="393"/>
      <c r="Y247" s="393"/>
      <c r="Z247" s="393"/>
      <c r="AA247" s="393"/>
      <c r="AB247" s="393"/>
      <c r="AC247" s="393"/>
      <c r="AD247" s="393"/>
      <c r="AE247" s="393"/>
      <c r="AF247" s="393"/>
      <c r="AG247" s="393"/>
      <c r="AH247" s="393"/>
      <c r="AI247" s="393"/>
      <c r="AJ247" s="393"/>
      <c r="AK247" s="393"/>
      <c r="AL247" s="393"/>
      <c r="AM247" s="393"/>
      <c r="AN247" s="393"/>
      <c r="AO247" s="393"/>
      <c r="AP247" s="393"/>
      <c r="AQ247" s="393"/>
      <c r="AR247" s="393"/>
      <c r="AS247" s="393"/>
      <c r="AT247" s="393"/>
      <c r="AU247" s="393"/>
      <c r="AV247" s="393"/>
      <c r="AW247" s="393"/>
      <c r="AX247" s="393"/>
      <c r="AY247" s="403"/>
      <c r="AZ247" s="403"/>
      <c r="BA247" s="403"/>
      <c r="BB247" s="403"/>
      <c r="BC247" s="403"/>
      <c r="BD247" s="403"/>
      <c r="BE247" s="403"/>
      <c r="BF247" s="403"/>
      <c r="BG247" s="403"/>
      <c r="BH247" s="403"/>
      <c r="BI247" s="403"/>
      <c r="BJ247" s="403"/>
      <c r="BK247" s="403"/>
      <c r="BL247" s="403"/>
      <c r="BM247" s="403"/>
      <c r="BN247" s="403"/>
      <c r="BO247" s="403"/>
      <c r="BP247" s="403"/>
      <c r="BQ247" s="403"/>
      <c r="BR247" s="403"/>
      <c r="BS247" s="403"/>
    </row>
    <row r="248" ht="11.25" customHeight="1">
      <c r="A248" s="393"/>
      <c r="B248" s="393"/>
      <c r="C248" s="393"/>
      <c r="D248" s="393"/>
      <c r="E248" s="393"/>
      <c r="F248" s="393"/>
      <c r="G248" s="393"/>
      <c r="H248" s="393"/>
      <c r="I248" s="393"/>
      <c r="J248" s="393"/>
      <c r="K248" s="393"/>
      <c r="L248" s="393"/>
      <c r="M248" s="393"/>
      <c r="N248" s="393"/>
      <c r="O248" s="393"/>
      <c r="P248" s="393"/>
      <c r="Q248" s="393"/>
      <c r="R248" s="393"/>
      <c r="S248" s="393"/>
      <c r="T248" s="393"/>
      <c r="U248" s="393"/>
      <c r="V248" s="393"/>
      <c r="W248" s="393"/>
      <c r="X248" s="393"/>
      <c r="Y248" s="393"/>
      <c r="Z248" s="393"/>
      <c r="AA248" s="393"/>
      <c r="AB248" s="393"/>
      <c r="AC248" s="393"/>
      <c r="AD248" s="393"/>
      <c r="AE248" s="393"/>
      <c r="AF248" s="393"/>
      <c r="AG248" s="393"/>
      <c r="AH248" s="393"/>
      <c r="AI248" s="393"/>
      <c r="AJ248" s="393"/>
      <c r="AK248" s="393"/>
      <c r="AL248" s="393"/>
      <c r="AM248" s="393"/>
      <c r="AN248" s="393"/>
      <c r="AO248" s="393"/>
      <c r="AP248" s="393"/>
      <c r="AQ248" s="393"/>
      <c r="AR248" s="393"/>
      <c r="AS248" s="393"/>
      <c r="AT248" s="393"/>
      <c r="AU248" s="393"/>
      <c r="AV248" s="393"/>
      <c r="AW248" s="393"/>
      <c r="AX248" s="393"/>
      <c r="AY248" s="403"/>
      <c r="AZ248" s="403"/>
      <c r="BA248" s="403"/>
      <c r="BB248" s="403"/>
      <c r="BC248" s="403"/>
      <c r="BD248" s="403"/>
      <c r="BE248" s="403"/>
      <c r="BF248" s="403"/>
      <c r="BG248" s="403"/>
      <c r="BH248" s="403"/>
      <c r="BI248" s="403"/>
      <c r="BJ248" s="403"/>
      <c r="BK248" s="403"/>
      <c r="BL248" s="403"/>
      <c r="BM248" s="403"/>
      <c r="BN248" s="403"/>
      <c r="BO248" s="403"/>
      <c r="BP248" s="403"/>
      <c r="BQ248" s="403"/>
      <c r="BR248" s="403"/>
      <c r="BS248" s="403"/>
    </row>
    <row r="249" ht="11.25" customHeight="1">
      <c r="A249" s="393"/>
      <c r="B249" s="393"/>
      <c r="C249" s="393"/>
      <c r="D249" s="393"/>
      <c r="E249" s="393"/>
      <c r="F249" s="393"/>
      <c r="G249" s="393"/>
      <c r="H249" s="393"/>
      <c r="I249" s="393"/>
      <c r="J249" s="393"/>
      <c r="K249" s="393"/>
      <c r="L249" s="393"/>
      <c r="M249" s="393"/>
      <c r="N249" s="393"/>
      <c r="O249" s="393"/>
      <c r="P249" s="393"/>
      <c r="Q249" s="393"/>
      <c r="R249" s="393"/>
      <c r="S249" s="393"/>
      <c r="T249" s="393"/>
      <c r="U249" s="393"/>
      <c r="V249" s="393"/>
      <c r="W249" s="393"/>
      <c r="X249" s="393"/>
      <c r="Y249" s="393"/>
      <c r="Z249" s="393"/>
      <c r="AA249" s="393"/>
      <c r="AB249" s="393"/>
      <c r="AC249" s="393"/>
      <c r="AD249" s="393"/>
      <c r="AE249" s="393"/>
      <c r="AF249" s="393"/>
      <c r="AG249" s="393"/>
      <c r="AH249" s="393"/>
      <c r="AI249" s="393"/>
      <c r="AJ249" s="393"/>
      <c r="AK249" s="393"/>
      <c r="AL249" s="393"/>
      <c r="AM249" s="393"/>
      <c r="AN249" s="393"/>
      <c r="AO249" s="393"/>
      <c r="AP249" s="393"/>
      <c r="AQ249" s="393"/>
      <c r="AR249" s="393"/>
      <c r="AS249" s="393"/>
      <c r="AT249" s="393"/>
      <c r="AU249" s="393"/>
      <c r="AV249" s="393"/>
      <c r="AW249" s="393"/>
      <c r="AX249" s="393"/>
      <c r="AY249" s="403"/>
      <c r="AZ249" s="403"/>
      <c r="BA249" s="403"/>
      <c r="BB249" s="403"/>
      <c r="BC249" s="403"/>
      <c r="BD249" s="403"/>
      <c r="BE249" s="403"/>
      <c r="BF249" s="403"/>
      <c r="BG249" s="403"/>
      <c r="BH249" s="403"/>
      <c r="BI249" s="403"/>
      <c r="BJ249" s="403"/>
      <c r="BK249" s="403"/>
      <c r="BL249" s="403"/>
      <c r="BM249" s="403"/>
      <c r="BN249" s="403"/>
      <c r="BO249" s="403"/>
      <c r="BP249" s="403"/>
      <c r="BQ249" s="403"/>
      <c r="BR249" s="403"/>
      <c r="BS249" s="403"/>
    </row>
    <row r="250" ht="11.25" customHeight="1">
      <c r="A250" s="393"/>
      <c r="B250" s="393"/>
      <c r="C250" s="393"/>
      <c r="D250" s="393"/>
      <c r="E250" s="393"/>
      <c r="F250" s="393"/>
      <c r="G250" s="393"/>
      <c r="H250" s="393"/>
      <c r="I250" s="393"/>
      <c r="J250" s="393"/>
      <c r="K250" s="393"/>
      <c r="L250" s="393"/>
      <c r="M250" s="393"/>
      <c r="N250" s="393"/>
      <c r="O250" s="393"/>
      <c r="P250" s="393"/>
      <c r="Q250" s="393"/>
      <c r="R250" s="393"/>
      <c r="S250" s="393"/>
      <c r="T250" s="393"/>
      <c r="U250" s="393"/>
      <c r="V250" s="393"/>
      <c r="W250" s="393"/>
      <c r="X250" s="393"/>
      <c r="Y250" s="393"/>
      <c r="Z250" s="393"/>
      <c r="AA250" s="393"/>
      <c r="AB250" s="393"/>
      <c r="AC250" s="393"/>
      <c r="AD250" s="393"/>
      <c r="AE250" s="393"/>
      <c r="AF250" s="393"/>
      <c r="AG250" s="393"/>
      <c r="AH250" s="393"/>
      <c r="AI250" s="393"/>
      <c r="AJ250" s="393"/>
      <c r="AK250" s="393"/>
      <c r="AL250" s="393"/>
      <c r="AM250" s="393"/>
      <c r="AN250" s="393"/>
      <c r="AO250" s="393"/>
      <c r="AP250" s="393"/>
      <c r="AQ250" s="393"/>
      <c r="AR250" s="393"/>
      <c r="AS250" s="393"/>
      <c r="AT250" s="393"/>
      <c r="AU250" s="393"/>
      <c r="AV250" s="393"/>
      <c r="AW250" s="393"/>
      <c r="AX250" s="393"/>
      <c r="AY250" s="403"/>
      <c r="AZ250" s="403"/>
      <c r="BA250" s="403"/>
      <c r="BB250" s="403"/>
      <c r="BC250" s="403"/>
      <c r="BD250" s="403"/>
      <c r="BE250" s="403"/>
      <c r="BF250" s="403"/>
      <c r="BG250" s="403"/>
      <c r="BH250" s="403"/>
      <c r="BI250" s="403"/>
      <c r="BJ250" s="403"/>
      <c r="BK250" s="403"/>
      <c r="BL250" s="403"/>
      <c r="BM250" s="403"/>
      <c r="BN250" s="403"/>
      <c r="BO250" s="403"/>
      <c r="BP250" s="403"/>
      <c r="BQ250" s="403"/>
      <c r="BR250" s="403"/>
      <c r="BS250" s="403"/>
    </row>
    <row r="251" ht="11.25" customHeight="1">
      <c r="A251" s="393"/>
      <c r="B251" s="393"/>
      <c r="C251" s="393"/>
      <c r="D251" s="393"/>
      <c r="E251" s="393"/>
      <c r="F251" s="393"/>
      <c r="G251" s="393"/>
      <c r="H251" s="393"/>
      <c r="I251" s="393"/>
      <c r="J251" s="393"/>
      <c r="K251" s="393"/>
      <c r="L251" s="393"/>
      <c r="M251" s="393"/>
      <c r="N251" s="393"/>
      <c r="O251" s="393"/>
      <c r="P251" s="393"/>
      <c r="Q251" s="393"/>
      <c r="R251" s="393"/>
      <c r="S251" s="393"/>
      <c r="T251" s="393"/>
      <c r="U251" s="393"/>
      <c r="V251" s="393"/>
      <c r="W251" s="393"/>
      <c r="X251" s="393"/>
      <c r="Y251" s="393"/>
      <c r="Z251" s="393"/>
      <c r="AA251" s="393"/>
      <c r="AB251" s="393"/>
      <c r="AC251" s="393"/>
      <c r="AD251" s="393"/>
      <c r="AE251" s="393"/>
      <c r="AF251" s="393"/>
      <c r="AG251" s="393"/>
      <c r="AH251" s="393"/>
      <c r="AI251" s="393"/>
      <c r="AJ251" s="393"/>
      <c r="AK251" s="393"/>
      <c r="AL251" s="393"/>
      <c r="AM251" s="393"/>
      <c r="AN251" s="393"/>
      <c r="AO251" s="393"/>
      <c r="AP251" s="393"/>
      <c r="AQ251" s="393"/>
      <c r="AR251" s="393"/>
      <c r="AS251" s="393"/>
      <c r="AT251" s="393"/>
      <c r="AU251" s="393"/>
      <c r="AV251" s="393"/>
      <c r="AW251" s="393"/>
      <c r="AX251" s="393"/>
      <c r="AY251" s="403"/>
      <c r="AZ251" s="403"/>
      <c r="BA251" s="403"/>
      <c r="BB251" s="403"/>
      <c r="BC251" s="403"/>
      <c r="BD251" s="403"/>
      <c r="BE251" s="403"/>
      <c r="BF251" s="403"/>
      <c r="BG251" s="403"/>
      <c r="BH251" s="403"/>
      <c r="BI251" s="403"/>
      <c r="BJ251" s="403"/>
      <c r="BK251" s="403"/>
      <c r="BL251" s="403"/>
      <c r="BM251" s="403"/>
      <c r="BN251" s="403"/>
      <c r="BO251" s="403"/>
      <c r="BP251" s="403"/>
      <c r="BQ251" s="403"/>
      <c r="BR251" s="403"/>
      <c r="BS251" s="403"/>
    </row>
    <row r="252" ht="11.25" customHeight="1">
      <c r="A252" s="393"/>
      <c r="B252" s="393"/>
      <c r="C252" s="393"/>
      <c r="D252" s="393"/>
      <c r="E252" s="393"/>
      <c r="F252" s="393"/>
      <c r="G252" s="393"/>
      <c r="H252" s="393"/>
      <c r="I252" s="393"/>
      <c r="J252" s="393"/>
      <c r="K252" s="393"/>
      <c r="L252" s="393"/>
      <c r="M252" s="393"/>
      <c r="N252" s="393"/>
      <c r="O252" s="393"/>
      <c r="P252" s="393"/>
      <c r="Q252" s="393"/>
      <c r="R252" s="393"/>
      <c r="S252" s="393"/>
      <c r="T252" s="393"/>
      <c r="U252" s="393"/>
      <c r="V252" s="393"/>
      <c r="W252" s="393"/>
      <c r="X252" s="393"/>
      <c r="Y252" s="393"/>
      <c r="Z252" s="393"/>
      <c r="AA252" s="393"/>
      <c r="AB252" s="393"/>
      <c r="AC252" s="393"/>
      <c r="AD252" s="393"/>
      <c r="AE252" s="393"/>
      <c r="AF252" s="393"/>
      <c r="AG252" s="393"/>
      <c r="AH252" s="393"/>
      <c r="AI252" s="393"/>
      <c r="AJ252" s="393"/>
      <c r="AK252" s="393"/>
      <c r="AL252" s="393"/>
      <c r="AM252" s="393"/>
      <c r="AN252" s="393"/>
      <c r="AO252" s="393"/>
      <c r="AP252" s="393"/>
      <c r="AQ252" s="393"/>
      <c r="AR252" s="393"/>
      <c r="AS252" s="393"/>
      <c r="AT252" s="393"/>
      <c r="AU252" s="393"/>
      <c r="AV252" s="393"/>
      <c r="AW252" s="393"/>
      <c r="AX252" s="393"/>
      <c r="AY252" s="403"/>
      <c r="AZ252" s="403"/>
      <c r="BA252" s="403"/>
      <c r="BB252" s="403"/>
      <c r="BC252" s="403"/>
      <c r="BD252" s="403"/>
      <c r="BE252" s="403"/>
      <c r="BF252" s="403"/>
      <c r="BG252" s="403"/>
      <c r="BH252" s="403"/>
      <c r="BI252" s="403"/>
      <c r="BJ252" s="403"/>
      <c r="BK252" s="403"/>
      <c r="BL252" s="403"/>
      <c r="BM252" s="403"/>
      <c r="BN252" s="403"/>
      <c r="BO252" s="403"/>
      <c r="BP252" s="403"/>
      <c r="BQ252" s="403"/>
      <c r="BR252" s="403"/>
      <c r="BS252" s="403"/>
    </row>
    <row r="253" ht="11.25" customHeight="1">
      <c r="A253" s="393"/>
      <c r="B253" s="393"/>
      <c r="C253" s="393"/>
      <c r="D253" s="393"/>
      <c r="E253" s="393"/>
      <c r="F253" s="393"/>
      <c r="G253" s="393"/>
      <c r="H253" s="393"/>
      <c r="I253" s="393"/>
      <c r="J253" s="393"/>
      <c r="K253" s="393"/>
      <c r="L253" s="393"/>
      <c r="M253" s="393"/>
      <c r="N253" s="393"/>
      <c r="O253" s="393"/>
      <c r="P253" s="393"/>
      <c r="Q253" s="393"/>
      <c r="R253" s="393"/>
      <c r="S253" s="393"/>
      <c r="T253" s="393"/>
      <c r="U253" s="393"/>
      <c r="V253" s="393"/>
      <c r="W253" s="393"/>
      <c r="X253" s="393"/>
      <c r="Y253" s="393"/>
      <c r="Z253" s="393"/>
      <c r="AA253" s="393"/>
      <c r="AB253" s="393"/>
      <c r="AC253" s="393"/>
      <c r="AD253" s="393"/>
      <c r="AE253" s="393"/>
      <c r="AF253" s="393"/>
      <c r="AG253" s="393"/>
      <c r="AH253" s="393"/>
      <c r="AI253" s="393"/>
      <c r="AJ253" s="393"/>
      <c r="AK253" s="393"/>
      <c r="AL253" s="393"/>
      <c r="AM253" s="393"/>
      <c r="AN253" s="393"/>
      <c r="AO253" s="393"/>
      <c r="AP253" s="393"/>
      <c r="AQ253" s="393"/>
      <c r="AR253" s="393"/>
      <c r="AS253" s="393"/>
      <c r="AT253" s="393"/>
      <c r="AU253" s="393"/>
      <c r="AV253" s="393"/>
      <c r="AW253" s="393"/>
      <c r="AX253" s="393"/>
      <c r="AY253" s="403"/>
      <c r="AZ253" s="403"/>
      <c r="BA253" s="403"/>
      <c r="BB253" s="403"/>
      <c r="BC253" s="403"/>
      <c r="BD253" s="403"/>
      <c r="BE253" s="403"/>
      <c r="BF253" s="403"/>
      <c r="BG253" s="403"/>
      <c r="BH253" s="403"/>
      <c r="BI253" s="403"/>
      <c r="BJ253" s="403"/>
      <c r="BK253" s="403"/>
      <c r="BL253" s="403"/>
      <c r="BM253" s="403"/>
      <c r="BN253" s="403"/>
      <c r="BO253" s="403"/>
      <c r="BP253" s="403"/>
      <c r="BQ253" s="403"/>
      <c r="BR253" s="403"/>
      <c r="BS253" s="403"/>
    </row>
    <row r="254" ht="11.25" customHeight="1">
      <c r="A254" s="393"/>
      <c r="B254" s="393"/>
      <c r="C254" s="393"/>
      <c r="D254" s="393"/>
      <c r="E254" s="393"/>
      <c r="F254" s="393"/>
      <c r="G254" s="393"/>
      <c r="H254" s="393"/>
      <c r="I254" s="393"/>
      <c r="J254" s="393"/>
      <c r="K254" s="393"/>
      <c r="L254" s="393"/>
      <c r="M254" s="393"/>
      <c r="N254" s="393"/>
      <c r="O254" s="393"/>
      <c r="P254" s="393"/>
      <c r="Q254" s="393"/>
      <c r="R254" s="393"/>
      <c r="S254" s="393"/>
      <c r="T254" s="393"/>
      <c r="U254" s="393"/>
      <c r="V254" s="393"/>
      <c r="W254" s="393"/>
      <c r="X254" s="393"/>
      <c r="Y254" s="393"/>
      <c r="Z254" s="393"/>
      <c r="AA254" s="393"/>
      <c r="AB254" s="393"/>
      <c r="AC254" s="393"/>
      <c r="AD254" s="393"/>
      <c r="AE254" s="393"/>
      <c r="AF254" s="393"/>
      <c r="AG254" s="393"/>
      <c r="AH254" s="393"/>
      <c r="AI254" s="393"/>
      <c r="AJ254" s="393"/>
      <c r="AK254" s="393"/>
      <c r="AL254" s="393"/>
      <c r="AM254" s="393"/>
      <c r="AN254" s="393"/>
      <c r="AO254" s="393"/>
      <c r="AP254" s="393"/>
      <c r="AQ254" s="393"/>
      <c r="AR254" s="393"/>
      <c r="AS254" s="393"/>
      <c r="AT254" s="393"/>
      <c r="AU254" s="393"/>
      <c r="AV254" s="393"/>
      <c r="AW254" s="393"/>
      <c r="AX254" s="393"/>
      <c r="AY254" s="403"/>
      <c r="AZ254" s="403"/>
      <c r="BA254" s="403"/>
      <c r="BB254" s="403"/>
      <c r="BC254" s="403"/>
      <c r="BD254" s="403"/>
      <c r="BE254" s="403"/>
      <c r="BF254" s="403"/>
      <c r="BG254" s="403"/>
      <c r="BH254" s="403"/>
      <c r="BI254" s="403"/>
      <c r="BJ254" s="403"/>
      <c r="BK254" s="403"/>
      <c r="BL254" s="403"/>
      <c r="BM254" s="403"/>
      <c r="BN254" s="403"/>
      <c r="BO254" s="403"/>
      <c r="BP254" s="403"/>
      <c r="BQ254" s="403"/>
      <c r="BR254" s="403"/>
      <c r="BS254" s="403"/>
    </row>
    <row r="255" ht="11.25" customHeight="1">
      <c r="A255" s="393"/>
      <c r="B255" s="393"/>
      <c r="C255" s="393"/>
      <c r="D255" s="393"/>
      <c r="E255" s="393"/>
      <c r="F255" s="393"/>
      <c r="G255" s="393"/>
      <c r="H255" s="393"/>
      <c r="I255" s="393"/>
      <c r="J255" s="393"/>
      <c r="K255" s="393"/>
      <c r="L255" s="393"/>
      <c r="M255" s="393"/>
      <c r="N255" s="393"/>
      <c r="O255" s="393"/>
      <c r="P255" s="393"/>
      <c r="Q255" s="393"/>
      <c r="R255" s="393"/>
      <c r="S255" s="393"/>
      <c r="T255" s="393"/>
      <c r="U255" s="393"/>
      <c r="V255" s="393"/>
      <c r="W255" s="393"/>
      <c r="X255" s="393"/>
      <c r="Y255" s="393"/>
      <c r="Z255" s="393"/>
      <c r="AA255" s="393"/>
      <c r="AB255" s="393"/>
      <c r="AC255" s="393"/>
      <c r="AD255" s="393"/>
      <c r="AE255" s="393"/>
      <c r="AF255" s="393"/>
      <c r="AG255" s="393"/>
      <c r="AH255" s="393"/>
      <c r="AI255" s="393"/>
      <c r="AJ255" s="393"/>
      <c r="AK255" s="393"/>
      <c r="AL255" s="393"/>
      <c r="AM255" s="393"/>
      <c r="AN255" s="393"/>
      <c r="AO255" s="393"/>
      <c r="AP255" s="393"/>
      <c r="AQ255" s="393"/>
      <c r="AR255" s="393"/>
      <c r="AS255" s="393"/>
      <c r="AT255" s="393"/>
      <c r="AU255" s="393"/>
      <c r="AV255" s="393"/>
      <c r="AW255" s="393"/>
      <c r="AX255" s="393"/>
      <c r="AY255" s="403"/>
      <c r="AZ255" s="403"/>
      <c r="BA255" s="403"/>
      <c r="BB255" s="403"/>
      <c r="BC255" s="403"/>
      <c r="BD255" s="403"/>
      <c r="BE255" s="403"/>
      <c r="BF255" s="403"/>
      <c r="BG255" s="403"/>
      <c r="BH255" s="403"/>
      <c r="BI255" s="403"/>
      <c r="BJ255" s="403"/>
      <c r="BK255" s="403"/>
      <c r="BL255" s="403"/>
      <c r="BM255" s="403"/>
      <c r="BN255" s="403"/>
      <c r="BO255" s="403"/>
      <c r="BP255" s="403"/>
      <c r="BQ255" s="403"/>
      <c r="BR255" s="403"/>
      <c r="BS255" s="403"/>
    </row>
    <row r="256" ht="11.25" customHeight="1">
      <c r="A256" s="393"/>
      <c r="B256" s="393"/>
      <c r="C256" s="393"/>
      <c r="D256" s="393"/>
      <c r="E256" s="393"/>
      <c r="F256" s="393"/>
      <c r="G256" s="393"/>
      <c r="H256" s="393"/>
      <c r="I256" s="393"/>
      <c r="J256" s="393"/>
      <c r="K256" s="393"/>
      <c r="L256" s="393"/>
      <c r="M256" s="393"/>
      <c r="N256" s="393"/>
      <c r="O256" s="393"/>
      <c r="P256" s="393"/>
      <c r="Q256" s="393"/>
      <c r="R256" s="393"/>
      <c r="S256" s="393"/>
      <c r="T256" s="393"/>
      <c r="U256" s="393"/>
      <c r="V256" s="393"/>
      <c r="W256" s="393"/>
      <c r="X256" s="393"/>
      <c r="Y256" s="393"/>
      <c r="Z256" s="393"/>
      <c r="AA256" s="393"/>
      <c r="AB256" s="393"/>
      <c r="AC256" s="393"/>
      <c r="AD256" s="393"/>
      <c r="AE256" s="393"/>
      <c r="AF256" s="393"/>
      <c r="AG256" s="393"/>
      <c r="AH256" s="393"/>
      <c r="AI256" s="393"/>
      <c r="AJ256" s="393"/>
      <c r="AK256" s="393"/>
      <c r="AL256" s="393"/>
      <c r="AM256" s="393"/>
      <c r="AN256" s="393"/>
      <c r="AO256" s="393"/>
      <c r="AP256" s="393"/>
      <c r="AQ256" s="393"/>
      <c r="AR256" s="393"/>
      <c r="AS256" s="393"/>
      <c r="AT256" s="393"/>
      <c r="AU256" s="393"/>
      <c r="AV256" s="393"/>
      <c r="AW256" s="393"/>
      <c r="AX256" s="393"/>
      <c r="AY256" s="403"/>
      <c r="AZ256" s="403"/>
      <c r="BA256" s="403"/>
      <c r="BB256" s="403"/>
      <c r="BC256" s="403"/>
      <c r="BD256" s="403"/>
      <c r="BE256" s="403"/>
      <c r="BF256" s="403"/>
      <c r="BG256" s="403"/>
      <c r="BH256" s="403"/>
      <c r="BI256" s="403"/>
      <c r="BJ256" s="403"/>
      <c r="BK256" s="403"/>
      <c r="BL256" s="403"/>
      <c r="BM256" s="403"/>
      <c r="BN256" s="403"/>
      <c r="BO256" s="403"/>
      <c r="BP256" s="403"/>
      <c r="BQ256" s="403"/>
      <c r="BR256" s="403"/>
      <c r="BS256" s="403"/>
    </row>
    <row r="257" ht="11.25" customHeight="1">
      <c r="A257" s="393"/>
      <c r="B257" s="393"/>
      <c r="C257" s="393"/>
      <c r="D257" s="393"/>
      <c r="E257" s="393"/>
      <c r="F257" s="393"/>
      <c r="G257" s="393"/>
      <c r="H257" s="393"/>
      <c r="I257" s="393"/>
      <c r="J257" s="393"/>
      <c r="K257" s="393"/>
      <c r="L257" s="393"/>
      <c r="M257" s="393"/>
      <c r="N257" s="393"/>
      <c r="O257" s="393"/>
      <c r="P257" s="393"/>
      <c r="Q257" s="393"/>
      <c r="R257" s="393"/>
      <c r="S257" s="393"/>
      <c r="T257" s="393"/>
      <c r="U257" s="393"/>
      <c r="V257" s="393"/>
      <c r="W257" s="393"/>
      <c r="X257" s="393"/>
      <c r="Y257" s="393"/>
      <c r="Z257" s="393"/>
      <c r="AA257" s="393"/>
      <c r="AB257" s="393"/>
      <c r="AC257" s="393"/>
      <c r="AD257" s="393"/>
      <c r="AE257" s="393"/>
      <c r="AF257" s="393"/>
      <c r="AG257" s="393"/>
      <c r="AH257" s="393"/>
      <c r="AI257" s="393"/>
      <c r="AJ257" s="393"/>
      <c r="AK257" s="393"/>
      <c r="AL257" s="393"/>
      <c r="AM257" s="393"/>
      <c r="AN257" s="393"/>
      <c r="AO257" s="393"/>
      <c r="AP257" s="393"/>
      <c r="AQ257" s="393"/>
      <c r="AR257" s="393"/>
      <c r="AS257" s="393"/>
      <c r="AT257" s="393"/>
      <c r="AU257" s="393"/>
      <c r="AV257" s="393"/>
      <c r="AW257" s="393"/>
      <c r="AX257" s="393"/>
      <c r="AY257" s="403"/>
      <c r="AZ257" s="403"/>
      <c r="BA257" s="403"/>
      <c r="BB257" s="403"/>
      <c r="BC257" s="403"/>
      <c r="BD257" s="403"/>
      <c r="BE257" s="403"/>
      <c r="BF257" s="403"/>
      <c r="BG257" s="403"/>
      <c r="BH257" s="403"/>
      <c r="BI257" s="403"/>
      <c r="BJ257" s="403"/>
      <c r="BK257" s="403"/>
      <c r="BL257" s="403"/>
      <c r="BM257" s="403"/>
      <c r="BN257" s="403"/>
      <c r="BO257" s="403"/>
      <c r="BP257" s="403"/>
      <c r="BQ257" s="403"/>
      <c r="BR257" s="403"/>
      <c r="BS257" s="403"/>
    </row>
    <row r="258" ht="11.25" customHeight="1">
      <c r="A258" s="393"/>
      <c r="B258" s="393"/>
      <c r="C258" s="393"/>
      <c r="D258" s="393"/>
      <c r="E258" s="393"/>
      <c r="F258" s="393"/>
      <c r="G258" s="393"/>
      <c r="H258" s="393"/>
      <c r="I258" s="393"/>
      <c r="J258" s="393"/>
      <c r="K258" s="393"/>
      <c r="L258" s="393"/>
      <c r="M258" s="393"/>
      <c r="N258" s="393"/>
      <c r="O258" s="393"/>
      <c r="P258" s="393"/>
      <c r="Q258" s="393"/>
      <c r="R258" s="393"/>
      <c r="S258" s="393"/>
      <c r="T258" s="393"/>
      <c r="U258" s="393"/>
      <c r="V258" s="393"/>
      <c r="W258" s="393"/>
      <c r="X258" s="393"/>
      <c r="Y258" s="393"/>
      <c r="Z258" s="393"/>
      <c r="AA258" s="393"/>
      <c r="AB258" s="393"/>
      <c r="AC258" s="393"/>
      <c r="AD258" s="393"/>
      <c r="AE258" s="393"/>
      <c r="AF258" s="393"/>
      <c r="AG258" s="393"/>
      <c r="AH258" s="393"/>
      <c r="AI258" s="393"/>
      <c r="AJ258" s="393"/>
      <c r="AK258" s="393"/>
      <c r="AL258" s="393"/>
      <c r="AM258" s="393"/>
      <c r="AN258" s="393"/>
      <c r="AO258" s="393"/>
      <c r="AP258" s="393"/>
      <c r="AQ258" s="393"/>
      <c r="AR258" s="393"/>
      <c r="AS258" s="393"/>
      <c r="AT258" s="393"/>
      <c r="AU258" s="393"/>
      <c r="AV258" s="393"/>
      <c r="AW258" s="393"/>
      <c r="AX258" s="393"/>
      <c r="AY258" s="403"/>
      <c r="AZ258" s="403"/>
      <c r="BA258" s="403"/>
      <c r="BB258" s="403"/>
      <c r="BC258" s="403"/>
      <c r="BD258" s="403"/>
      <c r="BE258" s="403"/>
      <c r="BF258" s="403"/>
      <c r="BG258" s="403"/>
      <c r="BH258" s="403"/>
      <c r="BI258" s="403"/>
      <c r="BJ258" s="403"/>
      <c r="BK258" s="403"/>
      <c r="BL258" s="403"/>
      <c r="BM258" s="403"/>
      <c r="BN258" s="403"/>
      <c r="BO258" s="403"/>
      <c r="BP258" s="403"/>
      <c r="BQ258" s="403"/>
      <c r="BR258" s="403"/>
      <c r="BS258" s="403"/>
    </row>
    <row r="259" ht="11.25" customHeight="1">
      <c r="A259" s="393"/>
      <c r="B259" s="393"/>
      <c r="C259" s="393"/>
      <c r="D259" s="393"/>
      <c r="E259" s="393"/>
      <c r="F259" s="393"/>
      <c r="G259" s="393"/>
      <c r="H259" s="393"/>
      <c r="I259" s="393"/>
      <c r="J259" s="393"/>
      <c r="K259" s="393"/>
      <c r="L259" s="393"/>
      <c r="M259" s="393"/>
      <c r="N259" s="393"/>
      <c r="O259" s="393"/>
      <c r="P259" s="393"/>
      <c r="Q259" s="393"/>
      <c r="R259" s="393"/>
      <c r="S259" s="393"/>
      <c r="T259" s="393"/>
      <c r="U259" s="393"/>
      <c r="V259" s="393"/>
      <c r="W259" s="393"/>
      <c r="X259" s="393"/>
      <c r="Y259" s="393"/>
      <c r="Z259" s="393"/>
      <c r="AA259" s="393"/>
      <c r="AB259" s="393"/>
      <c r="AC259" s="393"/>
      <c r="AD259" s="393"/>
      <c r="AE259" s="393"/>
      <c r="AF259" s="393"/>
      <c r="AG259" s="393"/>
      <c r="AH259" s="393"/>
      <c r="AI259" s="393"/>
      <c r="AJ259" s="393"/>
      <c r="AK259" s="393"/>
      <c r="AL259" s="393"/>
      <c r="AM259" s="393"/>
      <c r="AN259" s="393"/>
      <c r="AO259" s="393"/>
      <c r="AP259" s="393"/>
      <c r="AQ259" s="393"/>
      <c r="AR259" s="393"/>
      <c r="AS259" s="393"/>
      <c r="AT259" s="393"/>
      <c r="AU259" s="393"/>
      <c r="AV259" s="393"/>
      <c r="AW259" s="393"/>
      <c r="AX259" s="393"/>
      <c r="AY259" s="403"/>
      <c r="AZ259" s="403"/>
      <c r="BA259" s="403"/>
      <c r="BB259" s="403"/>
      <c r="BC259" s="403"/>
      <c r="BD259" s="403"/>
      <c r="BE259" s="403"/>
      <c r="BF259" s="403"/>
      <c r="BG259" s="403"/>
      <c r="BH259" s="403"/>
      <c r="BI259" s="403"/>
      <c r="BJ259" s="403"/>
      <c r="BK259" s="403"/>
      <c r="BL259" s="403"/>
      <c r="BM259" s="403"/>
      <c r="BN259" s="403"/>
      <c r="BO259" s="403"/>
      <c r="BP259" s="403"/>
      <c r="BQ259" s="403"/>
      <c r="BR259" s="403"/>
      <c r="BS259" s="403"/>
    </row>
    <row r="260" ht="11.25" customHeight="1">
      <c r="A260" s="393"/>
      <c r="B260" s="393"/>
      <c r="C260" s="393"/>
      <c r="D260" s="393"/>
      <c r="E260" s="393"/>
      <c r="F260" s="393"/>
      <c r="G260" s="393"/>
      <c r="H260" s="393"/>
      <c r="I260" s="393"/>
      <c r="J260" s="393"/>
      <c r="K260" s="393"/>
      <c r="L260" s="393"/>
      <c r="M260" s="393"/>
      <c r="N260" s="393"/>
      <c r="O260" s="393"/>
      <c r="P260" s="393"/>
      <c r="Q260" s="393"/>
      <c r="R260" s="393"/>
      <c r="S260" s="393"/>
      <c r="T260" s="393"/>
      <c r="U260" s="393"/>
      <c r="V260" s="393"/>
      <c r="W260" s="393"/>
      <c r="X260" s="393"/>
      <c r="Y260" s="393"/>
      <c r="Z260" s="393"/>
      <c r="AA260" s="393"/>
      <c r="AB260" s="393"/>
      <c r="AC260" s="393"/>
      <c r="AD260" s="393"/>
      <c r="AE260" s="393"/>
      <c r="AF260" s="393"/>
      <c r="AG260" s="393"/>
      <c r="AH260" s="393"/>
      <c r="AI260" s="393"/>
      <c r="AJ260" s="393"/>
      <c r="AK260" s="393"/>
      <c r="AL260" s="393"/>
      <c r="AM260" s="393"/>
      <c r="AN260" s="393"/>
      <c r="AO260" s="393"/>
      <c r="AP260" s="393"/>
      <c r="AQ260" s="393"/>
      <c r="AR260" s="393"/>
      <c r="AS260" s="393"/>
      <c r="AT260" s="393"/>
      <c r="AU260" s="393"/>
      <c r="AV260" s="393"/>
      <c r="AW260" s="393"/>
      <c r="AX260" s="393"/>
      <c r="AY260" s="403"/>
      <c r="AZ260" s="403"/>
      <c r="BA260" s="403"/>
      <c r="BB260" s="403"/>
      <c r="BC260" s="403"/>
      <c r="BD260" s="403"/>
      <c r="BE260" s="403"/>
      <c r="BF260" s="403"/>
      <c r="BG260" s="403"/>
      <c r="BH260" s="403"/>
      <c r="BI260" s="403"/>
      <c r="BJ260" s="403"/>
      <c r="BK260" s="403"/>
      <c r="BL260" s="403"/>
      <c r="BM260" s="403"/>
      <c r="BN260" s="403"/>
      <c r="BO260" s="403"/>
      <c r="BP260" s="403"/>
      <c r="BQ260" s="403"/>
      <c r="BR260" s="403"/>
      <c r="BS260" s="403"/>
    </row>
    <row r="261" ht="11.25" customHeight="1">
      <c r="A261" s="393"/>
      <c r="B261" s="393"/>
      <c r="C261" s="393"/>
      <c r="D261" s="393"/>
      <c r="E261" s="393"/>
      <c r="F261" s="393"/>
      <c r="G261" s="393"/>
      <c r="H261" s="393"/>
      <c r="I261" s="393"/>
      <c r="J261" s="393"/>
      <c r="K261" s="393"/>
      <c r="L261" s="393"/>
      <c r="M261" s="393"/>
      <c r="N261" s="393"/>
      <c r="O261" s="393"/>
      <c r="P261" s="393"/>
      <c r="Q261" s="393"/>
      <c r="R261" s="393"/>
      <c r="S261" s="393"/>
      <c r="T261" s="393"/>
      <c r="U261" s="393"/>
      <c r="V261" s="393"/>
      <c r="W261" s="393"/>
      <c r="X261" s="393"/>
      <c r="Y261" s="393"/>
      <c r="Z261" s="393"/>
      <c r="AA261" s="393"/>
      <c r="AB261" s="393"/>
      <c r="AC261" s="393"/>
      <c r="AD261" s="393"/>
      <c r="AE261" s="393"/>
      <c r="AF261" s="393"/>
      <c r="AG261" s="393"/>
      <c r="AH261" s="393"/>
      <c r="AI261" s="393"/>
      <c r="AJ261" s="393"/>
      <c r="AK261" s="393"/>
      <c r="AL261" s="393"/>
      <c r="AM261" s="393"/>
      <c r="AN261" s="393"/>
      <c r="AO261" s="393"/>
      <c r="AP261" s="393"/>
      <c r="AQ261" s="393"/>
      <c r="AR261" s="393"/>
      <c r="AS261" s="393"/>
      <c r="AT261" s="393"/>
      <c r="AU261" s="393"/>
      <c r="AV261" s="393"/>
      <c r="AW261" s="393"/>
      <c r="AX261" s="393"/>
      <c r="AY261" s="403"/>
      <c r="AZ261" s="403"/>
      <c r="BA261" s="403"/>
      <c r="BB261" s="403"/>
      <c r="BC261" s="403"/>
      <c r="BD261" s="403"/>
      <c r="BE261" s="403"/>
      <c r="BF261" s="403"/>
      <c r="BG261" s="403"/>
      <c r="BH261" s="403"/>
      <c r="BI261" s="403"/>
      <c r="BJ261" s="403"/>
      <c r="BK261" s="403"/>
      <c r="BL261" s="403"/>
      <c r="BM261" s="403"/>
      <c r="BN261" s="403"/>
      <c r="BO261" s="403"/>
      <c r="BP261" s="403"/>
      <c r="BQ261" s="403"/>
      <c r="BR261" s="403"/>
      <c r="BS261" s="403"/>
    </row>
    <row r="262" ht="11.25" customHeight="1">
      <c r="A262" s="393"/>
      <c r="B262" s="393"/>
      <c r="C262" s="393"/>
      <c r="D262" s="393"/>
      <c r="E262" s="393"/>
      <c r="F262" s="393"/>
      <c r="G262" s="393"/>
      <c r="H262" s="393"/>
      <c r="I262" s="393"/>
      <c r="J262" s="393"/>
      <c r="K262" s="393"/>
      <c r="L262" s="393"/>
      <c r="M262" s="393"/>
      <c r="N262" s="393"/>
      <c r="O262" s="393"/>
      <c r="P262" s="393"/>
      <c r="Q262" s="393"/>
      <c r="R262" s="393"/>
      <c r="S262" s="393"/>
      <c r="T262" s="393"/>
      <c r="U262" s="393"/>
      <c r="V262" s="393"/>
      <c r="W262" s="393"/>
      <c r="X262" s="393"/>
      <c r="Y262" s="393"/>
      <c r="Z262" s="393"/>
      <c r="AA262" s="393"/>
      <c r="AB262" s="393"/>
      <c r="AC262" s="393"/>
      <c r="AD262" s="393"/>
      <c r="AE262" s="393"/>
      <c r="AF262" s="393"/>
      <c r="AG262" s="393"/>
      <c r="AH262" s="393"/>
      <c r="AI262" s="393"/>
      <c r="AJ262" s="393"/>
      <c r="AK262" s="393"/>
      <c r="AL262" s="393"/>
      <c r="AM262" s="393"/>
      <c r="AN262" s="393"/>
      <c r="AO262" s="393"/>
      <c r="AP262" s="393"/>
      <c r="AQ262" s="393"/>
      <c r="AR262" s="393"/>
      <c r="AS262" s="393"/>
      <c r="AT262" s="393"/>
      <c r="AU262" s="393"/>
      <c r="AV262" s="393"/>
      <c r="AW262" s="393"/>
      <c r="AX262" s="393"/>
      <c r="AY262" s="403"/>
      <c r="AZ262" s="403"/>
      <c r="BA262" s="403"/>
      <c r="BB262" s="403"/>
      <c r="BC262" s="403"/>
      <c r="BD262" s="403"/>
      <c r="BE262" s="403"/>
      <c r="BF262" s="403"/>
      <c r="BG262" s="403"/>
      <c r="BH262" s="403"/>
      <c r="BI262" s="403"/>
      <c r="BJ262" s="403"/>
      <c r="BK262" s="403"/>
      <c r="BL262" s="403"/>
      <c r="BM262" s="403"/>
      <c r="BN262" s="403"/>
      <c r="BO262" s="403"/>
      <c r="BP262" s="403"/>
      <c r="BQ262" s="403"/>
      <c r="BR262" s="403"/>
      <c r="BS262" s="403"/>
    </row>
    <row r="263" ht="11.25" customHeight="1">
      <c r="A263" s="393"/>
      <c r="B263" s="393"/>
      <c r="C263" s="393"/>
      <c r="D263" s="393"/>
      <c r="E263" s="393"/>
      <c r="F263" s="393"/>
      <c r="G263" s="393"/>
      <c r="H263" s="393"/>
      <c r="I263" s="393"/>
      <c r="J263" s="393"/>
      <c r="K263" s="393"/>
      <c r="L263" s="393"/>
      <c r="M263" s="393"/>
      <c r="N263" s="393"/>
      <c r="O263" s="393"/>
      <c r="P263" s="393"/>
      <c r="Q263" s="393"/>
      <c r="R263" s="393"/>
      <c r="S263" s="393"/>
      <c r="T263" s="393"/>
      <c r="U263" s="393"/>
      <c r="V263" s="393"/>
      <c r="W263" s="393"/>
      <c r="X263" s="393"/>
      <c r="Y263" s="393"/>
      <c r="Z263" s="393"/>
      <c r="AA263" s="393"/>
      <c r="AB263" s="393"/>
      <c r="AC263" s="393"/>
      <c r="AD263" s="393"/>
      <c r="AE263" s="393"/>
      <c r="AF263" s="393"/>
      <c r="AG263" s="393"/>
      <c r="AH263" s="393"/>
      <c r="AI263" s="393"/>
      <c r="AJ263" s="393"/>
      <c r="AK263" s="393"/>
      <c r="AL263" s="393"/>
      <c r="AM263" s="393"/>
      <c r="AN263" s="393"/>
      <c r="AO263" s="393"/>
      <c r="AP263" s="393"/>
      <c r="AQ263" s="393"/>
      <c r="AR263" s="393"/>
      <c r="AS263" s="393"/>
      <c r="AT263" s="393"/>
      <c r="AU263" s="393"/>
      <c r="AV263" s="393"/>
      <c r="AW263" s="393"/>
      <c r="AX263" s="393"/>
      <c r="AY263" s="403"/>
      <c r="AZ263" s="403"/>
      <c r="BA263" s="403"/>
      <c r="BB263" s="403"/>
      <c r="BC263" s="403"/>
      <c r="BD263" s="403"/>
      <c r="BE263" s="403"/>
      <c r="BF263" s="403"/>
      <c r="BG263" s="403"/>
      <c r="BH263" s="403"/>
      <c r="BI263" s="403"/>
      <c r="BJ263" s="403"/>
      <c r="BK263" s="403"/>
      <c r="BL263" s="403"/>
      <c r="BM263" s="403"/>
      <c r="BN263" s="403"/>
      <c r="BO263" s="403"/>
      <c r="BP263" s="403"/>
      <c r="BQ263" s="403"/>
      <c r="BR263" s="403"/>
      <c r="BS263" s="403"/>
    </row>
    <row r="264" ht="11.25" customHeight="1">
      <c r="A264" s="393"/>
      <c r="B264" s="393"/>
      <c r="C264" s="393"/>
      <c r="D264" s="393"/>
      <c r="E264" s="393"/>
      <c r="F264" s="393"/>
      <c r="G264" s="393"/>
      <c r="H264" s="393"/>
      <c r="I264" s="393"/>
      <c r="J264" s="393"/>
      <c r="K264" s="393"/>
      <c r="L264" s="393"/>
      <c r="M264" s="393"/>
      <c r="N264" s="393"/>
      <c r="O264" s="393"/>
      <c r="P264" s="393"/>
      <c r="Q264" s="393"/>
      <c r="R264" s="393"/>
      <c r="S264" s="393"/>
      <c r="T264" s="393"/>
      <c r="U264" s="393"/>
      <c r="V264" s="393"/>
      <c r="W264" s="393"/>
      <c r="X264" s="393"/>
      <c r="Y264" s="393"/>
      <c r="Z264" s="393"/>
      <c r="AA264" s="393"/>
      <c r="AB264" s="393"/>
      <c r="AC264" s="393"/>
      <c r="AD264" s="393"/>
      <c r="AE264" s="393"/>
      <c r="AF264" s="393"/>
      <c r="AG264" s="393"/>
      <c r="AH264" s="393"/>
      <c r="AI264" s="393"/>
      <c r="AJ264" s="393"/>
      <c r="AK264" s="393"/>
      <c r="AL264" s="393"/>
      <c r="AM264" s="393"/>
      <c r="AN264" s="393"/>
      <c r="AO264" s="393"/>
      <c r="AP264" s="393"/>
      <c r="AQ264" s="393"/>
      <c r="AR264" s="393"/>
      <c r="AS264" s="393"/>
      <c r="AT264" s="393"/>
      <c r="AU264" s="393"/>
      <c r="AV264" s="393"/>
      <c r="AW264" s="393"/>
      <c r="AX264" s="393"/>
      <c r="AY264" s="403"/>
      <c r="AZ264" s="403"/>
      <c r="BA264" s="403"/>
      <c r="BB264" s="403"/>
      <c r="BC264" s="403"/>
      <c r="BD264" s="403"/>
      <c r="BE264" s="403"/>
      <c r="BF264" s="403"/>
      <c r="BG264" s="403"/>
      <c r="BH264" s="403"/>
      <c r="BI264" s="403"/>
      <c r="BJ264" s="403"/>
      <c r="BK264" s="403"/>
      <c r="BL264" s="403"/>
      <c r="BM264" s="403"/>
      <c r="BN264" s="403"/>
      <c r="BO264" s="403"/>
      <c r="BP264" s="403"/>
      <c r="BQ264" s="403"/>
      <c r="BR264" s="403"/>
      <c r="BS264" s="403"/>
    </row>
    <row r="265" ht="11.25" customHeight="1">
      <c r="A265" s="393"/>
      <c r="B265" s="393"/>
      <c r="C265" s="393"/>
      <c r="D265" s="393"/>
      <c r="E265" s="393"/>
      <c r="F265" s="393"/>
      <c r="G265" s="393"/>
      <c r="H265" s="393"/>
      <c r="I265" s="393"/>
      <c r="J265" s="393"/>
      <c r="K265" s="393"/>
      <c r="L265" s="393"/>
      <c r="M265" s="393"/>
      <c r="N265" s="393"/>
      <c r="O265" s="393"/>
      <c r="P265" s="393"/>
      <c r="Q265" s="393"/>
      <c r="R265" s="393"/>
      <c r="S265" s="393"/>
      <c r="T265" s="393"/>
      <c r="U265" s="393"/>
      <c r="V265" s="393"/>
      <c r="W265" s="393"/>
      <c r="X265" s="393"/>
      <c r="Y265" s="393"/>
      <c r="Z265" s="393"/>
      <c r="AA265" s="393"/>
      <c r="AB265" s="393"/>
      <c r="AC265" s="393"/>
      <c r="AD265" s="393"/>
      <c r="AE265" s="393"/>
      <c r="AF265" s="393"/>
      <c r="AG265" s="393"/>
      <c r="AH265" s="393"/>
      <c r="AI265" s="393"/>
      <c r="AJ265" s="393"/>
      <c r="AK265" s="393"/>
      <c r="AL265" s="393"/>
      <c r="AM265" s="393"/>
      <c r="AN265" s="393"/>
      <c r="AO265" s="393"/>
      <c r="AP265" s="393"/>
      <c r="AQ265" s="393"/>
      <c r="AR265" s="393"/>
      <c r="AS265" s="393"/>
      <c r="AT265" s="393"/>
      <c r="AU265" s="393"/>
      <c r="AV265" s="393"/>
      <c r="AW265" s="393"/>
      <c r="AX265" s="393"/>
      <c r="AY265" s="403"/>
      <c r="AZ265" s="403"/>
      <c r="BA265" s="403"/>
      <c r="BB265" s="403"/>
      <c r="BC265" s="403"/>
      <c r="BD265" s="403"/>
      <c r="BE265" s="403"/>
      <c r="BF265" s="403"/>
      <c r="BG265" s="403"/>
      <c r="BH265" s="403"/>
      <c r="BI265" s="403"/>
      <c r="BJ265" s="403"/>
      <c r="BK265" s="403"/>
      <c r="BL265" s="403"/>
      <c r="BM265" s="403"/>
      <c r="BN265" s="403"/>
      <c r="BO265" s="403"/>
      <c r="BP265" s="403"/>
      <c r="BQ265" s="403"/>
      <c r="BR265" s="403"/>
      <c r="BS265" s="403"/>
    </row>
    <row r="266" ht="11.25" customHeight="1">
      <c r="A266" s="393"/>
      <c r="B266" s="393"/>
      <c r="C266" s="393"/>
      <c r="D266" s="393"/>
      <c r="E266" s="393"/>
      <c r="F266" s="393"/>
      <c r="G266" s="393"/>
      <c r="H266" s="393"/>
      <c r="I266" s="393"/>
      <c r="J266" s="393"/>
      <c r="K266" s="393"/>
      <c r="L266" s="393"/>
      <c r="M266" s="393"/>
      <c r="N266" s="393"/>
      <c r="O266" s="393"/>
      <c r="P266" s="393"/>
      <c r="Q266" s="393"/>
      <c r="R266" s="393"/>
      <c r="S266" s="393"/>
      <c r="T266" s="393"/>
      <c r="U266" s="393"/>
      <c r="V266" s="393"/>
      <c r="W266" s="393"/>
      <c r="X266" s="393"/>
      <c r="Y266" s="393"/>
      <c r="Z266" s="393"/>
      <c r="AA266" s="393"/>
      <c r="AB266" s="393"/>
      <c r="AC266" s="393"/>
      <c r="AD266" s="393"/>
      <c r="AE266" s="393"/>
      <c r="AF266" s="393"/>
      <c r="AG266" s="393"/>
      <c r="AH266" s="393"/>
      <c r="AI266" s="393"/>
      <c r="AJ266" s="393"/>
      <c r="AK266" s="393"/>
      <c r="AL266" s="393"/>
      <c r="AM266" s="393"/>
      <c r="AN266" s="393"/>
      <c r="AO266" s="393"/>
      <c r="AP266" s="393"/>
      <c r="AQ266" s="393"/>
      <c r="AR266" s="393"/>
      <c r="AS266" s="393"/>
      <c r="AT266" s="393"/>
      <c r="AU266" s="393"/>
      <c r="AV266" s="393"/>
      <c r="AW266" s="393"/>
      <c r="AX266" s="393"/>
      <c r="AY266" s="403"/>
      <c r="AZ266" s="403"/>
      <c r="BA266" s="403"/>
      <c r="BB266" s="403"/>
      <c r="BC266" s="403"/>
      <c r="BD266" s="403"/>
      <c r="BE266" s="403"/>
      <c r="BF266" s="403"/>
      <c r="BG266" s="403"/>
      <c r="BH266" s="403"/>
      <c r="BI266" s="403"/>
      <c r="BJ266" s="403"/>
      <c r="BK266" s="403"/>
      <c r="BL266" s="403"/>
      <c r="BM266" s="403"/>
      <c r="BN266" s="403"/>
      <c r="BO266" s="403"/>
      <c r="BP266" s="403"/>
      <c r="BQ266" s="403"/>
      <c r="BR266" s="403"/>
      <c r="BS266" s="403"/>
    </row>
    <row r="267" ht="11.25" customHeight="1">
      <c r="A267" s="393"/>
      <c r="B267" s="393"/>
      <c r="C267" s="393"/>
      <c r="D267" s="393"/>
      <c r="E267" s="393"/>
      <c r="F267" s="393"/>
      <c r="G267" s="393"/>
      <c r="H267" s="393"/>
      <c r="I267" s="393"/>
      <c r="J267" s="393"/>
      <c r="K267" s="393"/>
      <c r="L267" s="393"/>
      <c r="M267" s="393"/>
      <c r="N267" s="393"/>
      <c r="O267" s="393"/>
      <c r="P267" s="393"/>
      <c r="Q267" s="393"/>
      <c r="R267" s="393"/>
      <c r="S267" s="393"/>
      <c r="T267" s="393"/>
      <c r="U267" s="393"/>
      <c r="V267" s="393"/>
      <c r="W267" s="393"/>
      <c r="X267" s="393"/>
      <c r="Y267" s="393"/>
      <c r="Z267" s="393"/>
      <c r="AA267" s="393"/>
      <c r="AB267" s="393"/>
      <c r="AC267" s="393"/>
      <c r="AD267" s="393"/>
      <c r="AE267" s="393"/>
      <c r="AF267" s="393"/>
      <c r="AG267" s="393"/>
      <c r="AH267" s="393"/>
      <c r="AI267" s="393"/>
      <c r="AJ267" s="393"/>
      <c r="AK267" s="393"/>
      <c r="AL267" s="393"/>
      <c r="AM267" s="393"/>
      <c r="AN267" s="393"/>
      <c r="AO267" s="393"/>
      <c r="AP267" s="393"/>
      <c r="AQ267" s="393"/>
      <c r="AR267" s="393"/>
      <c r="AS267" s="393"/>
      <c r="AT267" s="393"/>
      <c r="AU267" s="393"/>
      <c r="AV267" s="393"/>
      <c r="AW267" s="393"/>
      <c r="AX267" s="393"/>
      <c r="AY267" s="403"/>
      <c r="AZ267" s="403"/>
      <c r="BA267" s="403"/>
      <c r="BB267" s="403"/>
      <c r="BC267" s="403"/>
      <c r="BD267" s="403"/>
      <c r="BE267" s="403"/>
      <c r="BF267" s="403"/>
      <c r="BG267" s="403"/>
      <c r="BH267" s="403"/>
      <c r="BI267" s="403"/>
      <c r="BJ267" s="403"/>
      <c r="BK267" s="403"/>
      <c r="BL267" s="403"/>
      <c r="BM267" s="403"/>
      <c r="BN267" s="403"/>
      <c r="BO267" s="403"/>
      <c r="BP267" s="403"/>
      <c r="BQ267" s="403"/>
      <c r="BR267" s="403"/>
      <c r="BS267" s="403"/>
    </row>
    <row r="268" ht="11.25" customHeight="1">
      <c r="A268" s="393"/>
      <c r="B268" s="393"/>
      <c r="C268" s="393"/>
      <c r="D268" s="393"/>
      <c r="E268" s="393"/>
      <c r="F268" s="393"/>
      <c r="G268" s="393"/>
      <c r="H268" s="393"/>
      <c r="I268" s="393"/>
      <c r="J268" s="393"/>
      <c r="K268" s="393"/>
      <c r="L268" s="393"/>
      <c r="M268" s="393"/>
      <c r="N268" s="393"/>
      <c r="O268" s="393"/>
      <c r="P268" s="393"/>
      <c r="Q268" s="393"/>
      <c r="R268" s="393"/>
      <c r="S268" s="393"/>
      <c r="T268" s="393"/>
      <c r="U268" s="393"/>
      <c r="V268" s="393"/>
      <c r="W268" s="393"/>
      <c r="X268" s="393"/>
      <c r="Y268" s="393"/>
      <c r="Z268" s="393"/>
      <c r="AA268" s="393"/>
      <c r="AB268" s="393"/>
      <c r="AC268" s="393"/>
      <c r="AD268" s="393"/>
      <c r="AE268" s="393"/>
      <c r="AF268" s="393"/>
      <c r="AG268" s="393"/>
      <c r="AH268" s="393"/>
      <c r="AI268" s="393"/>
      <c r="AJ268" s="393"/>
      <c r="AK268" s="393"/>
      <c r="AL268" s="393"/>
      <c r="AM268" s="393"/>
      <c r="AN268" s="393"/>
      <c r="AO268" s="393"/>
      <c r="AP268" s="393"/>
      <c r="AQ268" s="393"/>
      <c r="AR268" s="393"/>
      <c r="AS268" s="393"/>
      <c r="AT268" s="393"/>
      <c r="AU268" s="393"/>
      <c r="AV268" s="393"/>
      <c r="AW268" s="393"/>
      <c r="AX268" s="393"/>
      <c r="AY268" s="403"/>
      <c r="AZ268" s="403"/>
      <c r="BA268" s="403"/>
      <c r="BB268" s="403"/>
      <c r="BC268" s="403"/>
      <c r="BD268" s="403"/>
      <c r="BE268" s="403"/>
      <c r="BF268" s="403"/>
      <c r="BG268" s="403"/>
      <c r="BH268" s="403"/>
      <c r="BI268" s="403"/>
      <c r="BJ268" s="403"/>
      <c r="BK268" s="403"/>
      <c r="BL268" s="403"/>
      <c r="BM268" s="403"/>
      <c r="BN268" s="403"/>
      <c r="BO268" s="403"/>
      <c r="BP268" s="403"/>
      <c r="BQ268" s="403"/>
      <c r="BR268" s="403"/>
      <c r="BS268" s="403"/>
    </row>
    <row r="269" ht="11.25" customHeight="1">
      <c r="A269" s="393"/>
      <c r="B269" s="393"/>
      <c r="C269" s="393"/>
      <c r="D269" s="393"/>
      <c r="E269" s="393"/>
      <c r="F269" s="393"/>
      <c r="G269" s="393"/>
      <c r="H269" s="393"/>
      <c r="I269" s="393"/>
      <c r="J269" s="393"/>
      <c r="K269" s="393"/>
      <c r="L269" s="393"/>
      <c r="M269" s="393"/>
      <c r="N269" s="393"/>
      <c r="O269" s="393"/>
      <c r="P269" s="393"/>
      <c r="Q269" s="393"/>
      <c r="R269" s="393"/>
      <c r="S269" s="393"/>
      <c r="T269" s="393"/>
      <c r="U269" s="393"/>
      <c r="V269" s="393"/>
      <c r="W269" s="393"/>
      <c r="X269" s="393"/>
      <c r="Y269" s="393"/>
      <c r="Z269" s="393"/>
      <c r="AA269" s="393"/>
      <c r="AB269" s="393"/>
      <c r="AC269" s="393"/>
      <c r="AD269" s="393"/>
      <c r="AE269" s="393"/>
      <c r="AF269" s="393"/>
      <c r="AG269" s="393"/>
      <c r="AH269" s="393"/>
      <c r="AI269" s="393"/>
      <c r="AJ269" s="393"/>
      <c r="AK269" s="393"/>
      <c r="AL269" s="393"/>
      <c r="AM269" s="393"/>
      <c r="AN269" s="393"/>
      <c r="AO269" s="393"/>
      <c r="AP269" s="393"/>
      <c r="AQ269" s="393"/>
      <c r="AR269" s="393"/>
      <c r="AS269" s="393"/>
      <c r="AT269" s="393"/>
      <c r="AU269" s="393"/>
      <c r="AV269" s="393"/>
      <c r="AW269" s="393"/>
      <c r="AX269" s="393"/>
      <c r="AY269" s="403"/>
      <c r="AZ269" s="403"/>
      <c r="BA269" s="403"/>
      <c r="BB269" s="403"/>
      <c r="BC269" s="403"/>
      <c r="BD269" s="403"/>
      <c r="BE269" s="403"/>
      <c r="BF269" s="403"/>
      <c r="BG269" s="403"/>
      <c r="BH269" s="403"/>
      <c r="BI269" s="403"/>
      <c r="BJ269" s="403"/>
      <c r="BK269" s="403"/>
      <c r="BL269" s="403"/>
      <c r="BM269" s="403"/>
      <c r="BN269" s="403"/>
      <c r="BO269" s="403"/>
      <c r="BP269" s="403"/>
      <c r="BQ269" s="403"/>
      <c r="BR269" s="403"/>
      <c r="BS269" s="403"/>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S2:AU2"/>
    <mergeCell ref="AV2:AX2"/>
    <mergeCell ref="X2:Z2"/>
    <mergeCell ref="AA2:AC2"/>
    <mergeCell ref="AD2:AF2"/>
    <mergeCell ref="AG2:AI2"/>
    <mergeCell ref="AJ2:AL2"/>
    <mergeCell ref="AM2:AO2"/>
    <mergeCell ref="AP2:AR2"/>
    <mergeCell ref="B2:E2"/>
    <mergeCell ref="F2:H2"/>
    <mergeCell ref="I2:K2"/>
    <mergeCell ref="L2:N2"/>
    <mergeCell ref="O2:Q2"/>
    <mergeCell ref="R2:T2"/>
    <mergeCell ref="U2:W2"/>
    <mergeCell ref="AS19:AU19"/>
    <mergeCell ref="AV19:AX19"/>
    <mergeCell ref="X19:Z19"/>
    <mergeCell ref="AA19:AC19"/>
    <mergeCell ref="AD19:AF19"/>
    <mergeCell ref="AG19:AI19"/>
    <mergeCell ref="AJ19:AL19"/>
    <mergeCell ref="AM19:AO19"/>
    <mergeCell ref="AP19:AR19"/>
    <mergeCell ref="B30:M30"/>
    <mergeCell ref="B40:M40"/>
    <mergeCell ref="B50:M50"/>
    <mergeCell ref="B60:M60"/>
    <mergeCell ref="B70:M70"/>
    <mergeCell ref="B19:E19"/>
    <mergeCell ref="F19:H19"/>
    <mergeCell ref="I19:K19"/>
    <mergeCell ref="L19:N19"/>
    <mergeCell ref="O19:Q19"/>
    <mergeCell ref="R19:T19"/>
    <mergeCell ref="U19:W19"/>
  </mergeCells>
  <printOptions/>
  <pageMargins bottom="0.75" footer="0.0" header="0.0" left="0.7" right="0.7" top="0.75"/>
  <pageSetup paperSize="9" orientation="portrait"/>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5"/>
    <col customWidth="1" min="2" max="2" width="11.5"/>
    <col customWidth="1" min="3" max="3" width="13.88"/>
    <col customWidth="1" min="4" max="4" width="8.5"/>
    <col customWidth="1" min="5" max="5" width="13.63"/>
    <col customWidth="1" min="6" max="20" width="10.5"/>
    <col customWidth="1" min="21" max="21" width="11.5"/>
    <col customWidth="1" min="22" max="26" width="10.63"/>
  </cols>
  <sheetData>
    <row r="1" ht="12.75" customHeight="1">
      <c r="A1" s="590"/>
      <c r="B1" s="590"/>
      <c r="C1" s="590"/>
      <c r="D1" s="590"/>
      <c r="E1" s="590"/>
      <c r="F1" s="590"/>
      <c r="G1" s="590"/>
      <c r="H1" s="590"/>
      <c r="I1" s="590"/>
      <c r="J1" s="590"/>
      <c r="K1" s="590"/>
      <c r="L1" s="590"/>
      <c r="M1" s="590"/>
      <c r="N1" s="590"/>
      <c r="O1" s="590"/>
      <c r="P1" s="590"/>
      <c r="Q1" s="590"/>
      <c r="R1" s="590"/>
      <c r="S1" s="590"/>
      <c r="T1" s="590"/>
      <c r="U1" s="590"/>
      <c r="V1" s="590"/>
      <c r="W1" s="590"/>
      <c r="X1" s="590"/>
      <c r="Y1" s="590"/>
      <c r="Z1" s="590"/>
    </row>
    <row r="2" ht="12.75" customHeight="1">
      <c r="A2" s="591" t="s">
        <v>1636</v>
      </c>
      <c r="B2" s="277"/>
      <c r="C2" s="277"/>
      <c r="D2" s="277"/>
      <c r="E2" s="278"/>
      <c r="F2" s="402">
        <v>45957.0</v>
      </c>
      <c r="G2" s="402">
        <f t="shared" ref="G2:H2" si="1">+F2+30</f>
        <v>45987</v>
      </c>
      <c r="H2" s="402">
        <f t="shared" si="1"/>
        <v>46017</v>
      </c>
      <c r="I2" s="402">
        <v>46023.0</v>
      </c>
      <c r="J2" s="402">
        <v>46054.0</v>
      </c>
      <c r="K2" s="402">
        <v>46112.0</v>
      </c>
      <c r="L2" s="402">
        <v>46142.0</v>
      </c>
      <c r="M2" s="402">
        <v>46172.0</v>
      </c>
      <c r="N2" s="402">
        <v>46202.0</v>
      </c>
      <c r="O2" s="402">
        <v>46232.0</v>
      </c>
      <c r="P2" s="402">
        <v>46262.0</v>
      </c>
      <c r="Q2" s="402">
        <v>46292.0</v>
      </c>
      <c r="R2" s="402">
        <v>46322.0</v>
      </c>
      <c r="S2" s="435">
        <v>46352.0</v>
      </c>
      <c r="T2" s="402">
        <v>46382.0</v>
      </c>
      <c r="U2" s="590"/>
      <c r="V2" s="590"/>
      <c r="W2" s="590"/>
      <c r="X2" s="590"/>
      <c r="Y2" s="590"/>
      <c r="Z2" s="590"/>
    </row>
    <row r="3" ht="12.75" customHeight="1">
      <c r="A3" s="592" t="s">
        <v>1570</v>
      </c>
      <c r="B3" s="592" t="s">
        <v>1637</v>
      </c>
      <c r="C3" s="592" t="s">
        <v>1638</v>
      </c>
      <c r="D3" s="592" t="s">
        <v>1639</v>
      </c>
      <c r="E3" s="592" t="s">
        <v>1523</v>
      </c>
      <c r="F3" s="590"/>
      <c r="G3" s="590"/>
      <c r="H3" s="590"/>
      <c r="I3" s="590"/>
      <c r="J3" s="590"/>
      <c r="K3" s="590"/>
      <c r="L3" s="590"/>
      <c r="M3" s="590"/>
      <c r="N3" s="590"/>
      <c r="O3" s="590"/>
      <c r="P3" s="590"/>
      <c r="Q3" s="590"/>
      <c r="R3" s="590"/>
      <c r="S3" s="590"/>
      <c r="T3" s="590"/>
      <c r="U3" s="590"/>
      <c r="V3" s="590"/>
      <c r="W3" s="590"/>
      <c r="X3" s="590"/>
      <c r="Y3" s="590"/>
      <c r="Z3" s="590"/>
    </row>
    <row r="4" ht="12.75" customHeight="1">
      <c r="A4" s="593" t="s">
        <v>1640</v>
      </c>
      <c r="B4" s="594">
        <v>748624.3522213256</v>
      </c>
      <c r="C4" s="595">
        <v>1.65472508239999E8</v>
      </c>
      <c r="D4" s="596">
        <v>0.5</v>
      </c>
      <c r="E4" s="597">
        <f>C4*D4%</f>
        <v>827362.5412</v>
      </c>
      <c r="F4" s="598">
        <f t="shared" ref="F4:T4" si="2">+E4*(1+F6)</f>
        <v>846391.8796</v>
      </c>
      <c r="G4" s="598">
        <f t="shared" si="2"/>
        <v>863319.7172</v>
      </c>
      <c r="H4" s="598">
        <f t="shared" si="2"/>
        <v>880586.1116</v>
      </c>
      <c r="I4" s="598">
        <f t="shared" si="2"/>
        <v>906123.1088</v>
      </c>
      <c r="J4" s="598">
        <f t="shared" si="2"/>
        <v>932400.679</v>
      </c>
      <c r="K4" s="598">
        <f t="shared" si="2"/>
        <v>964102.3021</v>
      </c>
      <c r="L4" s="598">
        <f t="shared" si="2"/>
        <v>989168.9619</v>
      </c>
      <c r="M4" s="598">
        <f t="shared" si="2"/>
        <v>1017854.862</v>
      </c>
      <c r="N4" s="598">
        <f t="shared" si="2"/>
        <v>1047372.653</v>
      </c>
      <c r="O4" s="598">
        <f t="shared" si="2"/>
        <v>1077746.46</v>
      </c>
      <c r="P4" s="598">
        <f t="shared" si="2"/>
        <v>1109001.107</v>
      </c>
      <c r="Q4" s="598">
        <f t="shared" si="2"/>
        <v>1141162.139</v>
      </c>
      <c r="R4" s="598">
        <f t="shared" si="2"/>
        <v>1174255.841</v>
      </c>
      <c r="S4" s="598">
        <f t="shared" si="2"/>
        <v>1208309.261</v>
      </c>
      <c r="T4" s="598">
        <f t="shared" si="2"/>
        <v>1243350.229</v>
      </c>
      <c r="U4" s="599">
        <f>SUM(I4:T4)</f>
        <v>12810847.6</v>
      </c>
      <c r="V4" s="590"/>
      <c r="W4" s="590"/>
      <c r="X4" s="590"/>
      <c r="Y4" s="590"/>
      <c r="Z4" s="590"/>
    </row>
    <row r="5" ht="12.75" customHeight="1">
      <c r="A5" s="590"/>
      <c r="B5" s="590"/>
      <c r="C5" s="590"/>
      <c r="D5" s="590"/>
      <c r="E5" s="590"/>
      <c r="F5" s="590"/>
      <c r="G5" s="590"/>
      <c r="H5" s="590"/>
      <c r="I5" s="590"/>
      <c r="J5" s="590"/>
      <c r="K5" s="590"/>
      <c r="L5" s="590"/>
      <c r="M5" s="590"/>
      <c r="N5" s="590"/>
      <c r="O5" s="590"/>
      <c r="P5" s="590"/>
      <c r="Q5" s="590"/>
      <c r="R5" s="590"/>
      <c r="S5" s="590"/>
      <c r="T5" s="590"/>
      <c r="U5" s="590"/>
      <c r="V5" s="590"/>
      <c r="W5" s="590"/>
      <c r="X5" s="590"/>
      <c r="Y5" s="590"/>
      <c r="Z5" s="590"/>
    </row>
    <row r="6" ht="12.75" customHeight="1">
      <c r="A6" s="590"/>
      <c r="B6" s="590"/>
      <c r="C6" s="422"/>
      <c r="D6" s="422"/>
      <c r="E6" s="422" t="s">
        <v>1641</v>
      </c>
      <c r="F6" s="424">
        <f>+Flk!K34</f>
        <v>0.023</v>
      </c>
      <c r="G6" s="424">
        <f>+Flk!L34</f>
        <v>0.02</v>
      </c>
      <c r="H6" s="424">
        <f>+Flk!M34</f>
        <v>0.02</v>
      </c>
      <c r="I6" s="424">
        <f>+Flk!B71</f>
        <v>0.029</v>
      </c>
      <c r="J6" s="424">
        <f>+Flk!C71</f>
        <v>0.029</v>
      </c>
      <c r="K6" s="424">
        <f>+Flk!D71</f>
        <v>0.034</v>
      </c>
      <c r="L6" s="424">
        <f>+Flk!E71</f>
        <v>0.026</v>
      </c>
      <c r="M6" s="424">
        <f>+Flk!F71</f>
        <v>0.029</v>
      </c>
      <c r="N6" s="424">
        <f>+Flk!G71</f>
        <v>0.029</v>
      </c>
      <c r="O6" s="424">
        <f>+Flk!H71</f>
        <v>0.029</v>
      </c>
      <c r="P6" s="424">
        <f>+Flk!I71</f>
        <v>0.029</v>
      </c>
      <c r="Q6" s="424">
        <f>+Flk!J71</f>
        <v>0.029</v>
      </c>
      <c r="R6" s="424">
        <f>+Flk!K71</f>
        <v>0.029</v>
      </c>
      <c r="S6" s="424">
        <f>+Flk!L71</f>
        <v>0.029</v>
      </c>
      <c r="T6" s="424">
        <f>+Flk!M71</f>
        <v>0.029</v>
      </c>
      <c r="U6" s="590"/>
      <c r="V6" s="590"/>
      <c r="W6" s="590"/>
      <c r="X6" s="590"/>
      <c r="Y6" s="590"/>
      <c r="Z6" s="590"/>
    </row>
    <row r="7" ht="12.75" customHeight="1">
      <c r="A7" s="590"/>
      <c r="B7" s="590"/>
      <c r="C7" s="590"/>
      <c r="D7" s="590"/>
      <c r="E7" s="590"/>
      <c r="F7" s="590"/>
      <c r="G7" s="590"/>
      <c r="H7" s="590"/>
      <c r="I7" s="590"/>
      <c r="J7" s="590"/>
      <c r="K7" s="590"/>
      <c r="L7" s="590"/>
      <c r="M7" s="590"/>
      <c r="N7" s="590"/>
      <c r="O7" s="590"/>
      <c r="P7" s="590"/>
      <c r="Q7" s="590"/>
      <c r="R7" s="590"/>
      <c r="S7" s="590"/>
      <c r="T7" s="590"/>
      <c r="U7" s="590"/>
      <c r="V7" s="590"/>
      <c r="W7" s="590"/>
      <c r="X7" s="590"/>
      <c r="Y7" s="590"/>
      <c r="Z7" s="590"/>
    </row>
    <row r="8" ht="12.75" customHeight="1">
      <c r="A8" s="590"/>
      <c r="B8" s="590"/>
      <c r="C8" s="590"/>
      <c r="D8" s="590"/>
      <c r="E8" s="590"/>
      <c r="F8" s="590"/>
      <c r="G8" s="590"/>
      <c r="H8" s="590"/>
      <c r="I8" s="590"/>
      <c r="J8" s="590"/>
      <c r="K8" s="590"/>
      <c r="L8" s="590"/>
      <c r="M8" s="590"/>
      <c r="N8" s="590"/>
      <c r="O8" s="590"/>
      <c r="P8" s="590"/>
      <c r="Q8" s="590"/>
      <c r="R8" s="590"/>
      <c r="S8" s="590"/>
      <c r="T8" s="590"/>
      <c r="U8" s="590"/>
      <c r="V8" s="590"/>
      <c r="W8" s="590"/>
      <c r="X8" s="590"/>
      <c r="Y8" s="590"/>
      <c r="Z8" s="590"/>
    </row>
    <row r="9" ht="12.75" customHeight="1">
      <c r="A9" s="590" t="s">
        <v>1642</v>
      </c>
      <c r="B9" s="590"/>
      <c r="C9" s="590"/>
      <c r="D9" s="590"/>
      <c r="E9" s="590"/>
      <c r="F9" s="590"/>
      <c r="G9" s="590"/>
      <c r="H9" s="590"/>
      <c r="I9" s="590"/>
      <c r="J9" s="590"/>
      <c r="K9" s="590"/>
      <c r="L9" s="590"/>
      <c r="M9" s="590"/>
      <c r="N9" s="590"/>
      <c r="O9" s="590"/>
      <c r="P9" s="590"/>
      <c r="Q9" s="590"/>
      <c r="R9" s="590"/>
      <c r="S9" s="590"/>
      <c r="T9" s="590"/>
      <c r="U9" s="590"/>
      <c r="V9" s="590"/>
      <c r="W9" s="590"/>
      <c r="X9" s="590"/>
      <c r="Y9" s="590"/>
      <c r="Z9" s="590"/>
    </row>
    <row r="10" ht="12.75" customHeight="1">
      <c r="A10" s="600" t="s">
        <v>1643</v>
      </c>
      <c r="B10" s="590"/>
      <c r="C10" s="590"/>
      <c r="D10" s="590"/>
      <c r="E10" s="590"/>
      <c r="F10" s="590"/>
      <c r="G10" s="590"/>
      <c r="H10" s="590"/>
      <c r="I10" s="590"/>
      <c r="J10" s="590"/>
      <c r="K10" s="590"/>
      <c r="L10" s="590"/>
      <c r="M10" s="590"/>
      <c r="N10" s="590"/>
      <c r="O10" s="590"/>
      <c r="P10" s="590"/>
      <c r="Q10" s="590"/>
      <c r="R10" s="590"/>
      <c r="S10" s="590"/>
      <c r="T10" s="590"/>
      <c r="U10" s="590"/>
      <c r="V10" s="590"/>
      <c r="W10" s="590"/>
      <c r="X10" s="590"/>
      <c r="Y10" s="590"/>
      <c r="Z10" s="590"/>
    </row>
    <row r="11" ht="12.75" customHeight="1">
      <c r="A11" s="590"/>
      <c r="B11" s="590"/>
      <c r="C11" s="590"/>
      <c r="D11" s="590"/>
      <c r="E11" s="590"/>
      <c r="F11" s="590"/>
      <c r="G11" s="590"/>
      <c r="H11" s="590"/>
      <c r="I11" s="590"/>
      <c r="J11" s="590"/>
      <c r="K11" s="590"/>
      <c r="L11" s="590"/>
      <c r="M11" s="590"/>
      <c r="N11" s="590"/>
      <c r="O11" s="590"/>
      <c r="P11" s="590"/>
      <c r="Q11" s="590"/>
      <c r="R11" s="590"/>
      <c r="S11" s="590"/>
      <c r="T11" s="590"/>
      <c r="U11" s="590"/>
      <c r="V11" s="590"/>
      <c r="W11" s="590"/>
      <c r="X11" s="590"/>
      <c r="Y11" s="590"/>
      <c r="Z11" s="590"/>
    </row>
    <row r="12" ht="12.75" customHeight="1">
      <c r="A12" s="590"/>
      <c r="B12" s="590"/>
      <c r="C12" s="590"/>
      <c r="D12" s="590"/>
      <c r="E12" s="590"/>
      <c r="F12" s="590"/>
      <c r="G12" s="590"/>
      <c r="H12" s="590"/>
      <c r="I12" s="590"/>
      <c r="J12" s="590"/>
      <c r="K12" s="590"/>
      <c r="L12" s="590"/>
      <c r="M12" s="590"/>
      <c r="N12" s="590"/>
      <c r="O12" s="590"/>
      <c r="P12" s="590"/>
      <c r="Q12" s="590"/>
      <c r="R12" s="590"/>
      <c r="S12" s="590"/>
      <c r="T12" s="590"/>
      <c r="U12" s="590"/>
      <c r="V12" s="590"/>
      <c r="W12" s="590"/>
      <c r="X12" s="590"/>
      <c r="Y12" s="590"/>
      <c r="Z12" s="590"/>
    </row>
    <row r="13" ht="12.75" customHeight="1">
      <c r="A13" s="590"/>
      <c r="B13" s="590"/>
      <c r="C13" s="590"/>
      <c r="D13" s="590"/>
      <c r="E13" s="590"/>
      <c r="F13" s="590"/>
      <c r="G13" s="590"/>
      <c r="H13" s="590"/>
      <c r="I13" s="590"/>
      <c r="J13" s="590"/>
      <c r="K13" s="590"/>
      <c r="L13" s="590"/>
      <c r="M13" s="590"/>
      <c r="N13" s="590"/>
      <c r="O13" s="590"/>
      <c r="P13" s="590"/>
      <c r="Q13" s="590"/>
      <c r="R13" s="590"/>
      <c r="S13" s="590"/>
      <c r="T13" s="590"/>
      <c r="U13" s="590"/>
      <c r="V13" s="590"/>
      <c r="W13" s="590"/>
      <c r="X13" s="590"/>
      <c r="Y13" s="590"/>
      <c r="Z13" s="590"/>
    </row>
    <row r="14" ht="12.75" customHeight="1">
      <c r="A14" s="590"/>
      <c r="B14" s="590"/>
      <c r="C14" s="590"/>
      <c r="D14" s="590"/>
      <c r="E14" s="590"/>
      <c r="F14" s="590"/>
      <c r="G14" s="590"/>
      <c r="H14" s="590"/>
      <c r="I14" s="590"/>
      <c r="J14" s="590"/>
      <c r="K14" s="590"/>
      <c r="L14" s="590"/>
      <c r="M14" s="590"/>
      <c r="N14" s="590"/>
      <c r="O14" s="590"/>
      <c r="P14" s="590"/>
      <c r="Q14" s="590"/>
      <c r="R14" s="590"/>
      <c r="S14" s="590"/>
      <c r="T14" s="590"/>
      <c r="U14" s="590"/>
      <c r="V14" s="590"/>
      <c r="W14" s="590"/>
      <c r="X14" s="590"/>
      <c r="Y14" s="590"/>
      <c r="Z14" s="590"/>
    </row>
    <row r="15" ht="12.75" customHeight="1">
      <c r="A15" s="590"/>
      <c r="B15" s="590"/>
      <c r="C15" s="590"/>
      <c r="D15" s="590"/>
      <c r="E15" s="590"/>
      <c r="F15" s="590"/>
      <c r="G15" s="590"/>
      <c r="H15" s="590"/>
      <c r="I15" s="590"/>
      <c r="J15" s="590"/>
      <c r="K15" s="590"/>
      <c r="L15" s="590"/>
      <c r="M15" s="590"/>
      <c r="N15" s="590"/>
      <c r="O15" s="590"/>
      <c r="P15" s="590"/>
      <c r="Q15" s="590"/>
      <c r="R15" s="590"/>
      <c r="S15" s="590"/>
      <c r="T15" s="590"/>
      <c r="U15" s="590"/>
      <c r="V15" s="590"/>
      <c r="W15" s="590"/>
      <c r="X15" s="590"/>
      <c r="Y15" s="590"/>
      <c r="Z15" s="590"/>
    </row>
    <row r="16" ht="12.75" customHeight="1">
      <c r="A16" s="590"/>
      <c r="B16" s="590"/>
      <c r="C16" s="590"/>
      <c r="D16" s="590"/>
      <c r="E16" s="590"/>
      <c r="F16" s="590"/>
      <c r="G16" s="590"/>
      <c r="H16" s="590"/>
      <c r="I16" s="590"/>
      <c r="J16" s="590"/>
      <c r="K16" s="590"/>
      <c r="L16" s="590"/>
      <c r="M16" s="590"/>
      <c r="N16" s="590"/>
      <c r="O16" s="590"/>
      <c r="P16" s="590"/>
      <c r="Q16" s="590"/>
      <c r="R16" s="590"/>
      <c r="S16" s="590"/>
      <c r="T16" s="590"/>
      <c r="U16" s="590"/>
      <c r="V16" s="590"/>
      <c r="W16" s="590"/>
      <c r="X16" s="590"/>
      <c r="Y16" s="590"/>
      <c r="Z16" s="590"/>
    </row>
    <row r="17" ht="12.75" customHeight="1">
      <c r="A17" s="590"/>
      <c r="B17" s="590"/>
      <c r="C17" s="590"/>
      <c r="D17" s="590"/>
      <c r="E17" s="590"/>
      <c r="F17" s="590"/>
      <c r="G17" s="590"/>
      <c r="H17" s="590"/>
      <c r="I17" s="590"/>
      <c r="J17" s="590"/>
      <c r="K17" s="590"/>
      <c r="L17" s="590"/>
      <c r="M17" s="590"/>
      <c r="N17" s="590"/>
      <c r="O17" s="590"/>
      <c r="P17" s="590"/>
      <c r="Q17" s="590"/>
      <c r="R17" s="590"/>
      <c r="S17" s="590"/>
      <c r="T17" s="590"/>
      <c r="U17" s="590"/>
      <c r="V17" s="590"/>
      <c r="W17" s="590"/>
      <c r="X17" s="590"/>
      <c r="Y17" s="590"/>
      <c r="Z17" s="590"/>
    </row>
    <row r="18" ht="12.75" customHeight="1">
      <c r="A18" s="590"/>
      <c r="B18" s="590"/>
      <c r="C18" s="590"/>
      <c r="D18" s="590"/>
      <c r="E18" s="590"/>
      <c r="F18" s="590"/>
      <c r="G18" s="590"/>
      <c r="H18" s="590"/>
      <c r="I18" s="590"/>
      <c r="J18" s="590"/>
      <c r="K18" s="590"/>
      <c r="L18" s="590"/>
      <c r="M18" s="590"/>
      <c r="N18" s="590"/>
      <c r="O18" s="590"/>
      <c r="P18" s="590"/>
      <c r="Q18" s="590"/>
      <c r="R18" s="590"/>
      <c r="S18" s="590"/>
      <c r="T18" s="590"/>
      <c r="U18" s="590"/>
      <c r="V18" s="590"/>
      <c r="W18" s="590"/>
      <c r="X18" s="590"/>
      <c r="Y18" s="590"/>
      <c r="Z18" s="590"/>
    </row>
    <row r="19" ht="12.75" customHeight="1">
      <c r="A19" s="590"/>
      <c r="B19" s="590"/>
      <c r="C19" s="590"/>
      <c r="D19" s="590"/>
      <c r="E19" s="590"/>
      <c r="F19" s="590"/>
      <c r="G19" s="590"/>
      <c r="H19" s="590"/>
      <c r="I19" s="590"/>
      <c r="J19" s="590"/>
      <c r="K19" s="590"/>
      <c r="L19" s="590"/>
      <c r="M19" s="590"/>
      <c r="N19" s="590"/>
      <c r="O19" s="590"/>
      <c r="P19" s="590"/>
      <c r="Q19" s="590"/>
      <c r="R19" s="590"/>
      <c r="S19" s="590"/>
      <c r="T19" s="590"/>
      <c r="U19" s="590"/>
      <c r="V19" s="590"/>
      <c r="W19" s="590"/>
      <c r="X19" s="590"/>
      <c r="Y19" s="590"/>
      <c r="Z19" s="590"/>
    </row>
    <row r="20" ht="12.75" customHeight="1">
      <c r="A20" s="590"/>
      <c r="B20" s="590"/>
      <c r="C20" s="590"/>
      <c r="D20" s="590"/>
      <c r="E20" s="590"/>
      <c r="F20" s="590"/>
      <c r="G20" s="590"/>
      <c r="H20" s="590"/>
      <c r="I20" s="590"/>
      <c r="J20" s="590"/>
      <c r="K20" s="590"/>
      <c r="L20" s="590"/>
      <c r="M20" s="590"/>
      <c r="N20" s="590"/>
      <c r="O20" s="590"/>
      <c r="P20" s="590"/>
      <c r="Q20" s="590"/>
      <c r="R20" s="590"/>
      <c r="S20" s="590"/>
      <c r="T20" s="590"/>
      <c r="U20" s="590"/>
      <c r="V20" s="590"/>
      <c r="W20" s="590"/>
      <c r="X20" s="590"/>
      <c r="Y20" s="590"/>
      <c r="Z20" s="590"/>
    </row>
    <row r="21" ht="12.75" customHeight="1">
      <c r="A21" s="590"/>
      <c r="B21" s="590"/>
      <c r="C21" s="590"/>
      <c r="D21" s="590"/>
      <c r="E21" s="590"/>
      <c r="F21" s="590"/>
      <c r="G21" s="590"/>
      <c r="H21" s="590"/>
      <c r="I21" s="590"/>
      <c r="J21" s="590"/>
      <c r="K21" s="590"/>
      <c r="L21" s="590"/>
      <c r="M21" s="590"/>
      <c r="N21" s="590"/>
      <c r="O21" s="590"/>
      <c r="P21" s="590"/>
      <c r="Q21" s="590"/>
      <c r="R21" s="590"/>
      <c r="S21" s="590"/>
      <c r="T21" s="590"/>
      <c r="U21" s="590"/>
      <c r="V21" s="590"/>
      <c r="W21" s="590"/>
      <c r="X21" s="590"/>
      <c r="Y21" s="590"/>
      <c r="Z21" s="590"/>
    </row>
    <row r="22" ht="12.75" customHeight="1">
      <c r="A22" s="590"/>
      <c r="B22" s="590"/>
      <c r="C22" s="590"/>
      <c r="D22" s="590"/>
      <c r="E22" s="590"/>
      <c r="F22" s="590"/>
      <c r="G22" s="590"/>
      <c r="H22" s="590"/>
      <c r="I22" s="590"/>
      <c r="J22" s="590"/>
      <c r="K22" s="590"/>
      <c r="L22" s="590"/>
      <c r="M22" s="590"/>
      <c r="N22" s="590"/>
      <c r="O22" s="590"/>
      <c r="P22" s="590"/>
      <c r="Q22" s="590"/>
      <c r="R22" s="590"/>
      <c r="S22" s="590"/>
      <c r="T22" s="590"/>
      <c r="U22" s="590"/>
      <c r="V22" s="590"/>
      <c r="W22" s="590"/>
      <c r="X22" s="590"/>
      <c r="Y22" s="590"/>
      <c r="Z22" s="590"/>
    </row>
    <row r="23" ht="12.75" customHeight="1">
      <c r="A23" s="590"/>
      <c r="B23" s="590"/>
      <c r="C23" s="590"/>
      <c r="D23" s="590"/>
      <c r="E23" s="590"/>
      <c r="F23" s="590"/>
      <c r="G23" s="590"/>
      <c r="H23" s="590"/>
      <c r="I23" s="590"/>
      <c r="J23" s="590"/>
      <c r="K23" s="590"/>
      <c r="L23" s="590"/>
      <c r="M23" s="590"/>
      <c r="N23" s="590"/>
      <c r="O23" s="590"/>
      <c r="P23" s="590"/>
      <c r="Q23" s="590"/>
      <c r="R23" s="590"/>
      <c r="S23" s="590"/>
      <c r="T23" s="590"/>
      <c r="U23" s="590"/>
      <c r="V23" s="590"/>
      <c r="W23" s="590"/>
      <c r="X23" s="590"/>
      <c r="Y23" s="590"/>
      <c r="Z23" s="590"/>
    </row>
    <row r="24" ht="12.75" customHeight="1">
      <c r="A24" s="590"/>
      <c r="B24" s="590"/>
      <c r="C24" s="590"/>
      <c r="D24" s="590"/>
      <c r="E24" s="590"/>
      <c r="F24" s="590"/>
      <c r="G24" s="590"/>
      <c r="H24" s="590"/>
      <c r="I24" s="590"/>
      <c r="J24" s="590"/>
      <c r="K24" s="590"/>
      <c r="L24" s="590"/>
      <c r="M24" s="590"/>
      <c r="N24" s="590"/>
      <c r="O24" s="590"/>
      <c r="P24" s="590"/>
      <c r="Q24" s="590"/>
      <c r="R24" s="590"/>
      <c r="S24" s="590"/>
      <c r="T24" s="590"/>
      <c r="U24" s="590"/>
      <c r="V24" s="590"/>
      <c r="W24" s="590"/>
      <c r="X24" s="590"/>
      <c r="Y24" s="590"/>
      <c r="Z24" s="590"/>
    </row>
    <row r="25" ht="12.75" customHeight="1">
      <c r="A25" s="590"/>
      <c r="B25" s="590"/>
      <c r="C25" s="590"/>
      <c r="D25" s="590"/>
      <c r="E25" s="590"/>
      <c r="F25" s="590"/>
      <c r="G25" s="590"/>
      <c r="H25" s="590"/>
      <c r="I25" s="590"/>
      <c r="J25" s="590"/>
      <c r="K25" s="590"/>
      <c r="L25" s="590"/>
      <c r="M25" s="590"/>
      <c r="N25" s="590"/>
      <c r="O25" s="590"/>
      <c r="P25" s="590"/>
      <c r="Q25" s="590"/>
      <c r="R25" s="590"/>
      <c r="S25" s="590"/>
      <c r="T25" s="590"/>
      <c r="U25" s="590"/>
      <c r="V25" s="590"/>
      <c r="W25" s="590"/>
      <c r="X25" s="590"/>
      <c r="Y25" s="590"/>
      <c r="Z25" s="590"/>
    </row>
    <row r="26" ht="12.75" customHeight="1">
      <c r="A26" s="590"/>
      <c r="B26" s="590"/>
      <c r="C26" s="590"/>
      <c r="D26" s="590"/>
      <c r="E26" s="590"/>
      <c r="F26" s="590"/>
      <c r="G26" s="590"/>
      <c r="H26" s="590"/>
      <c r="I26" s="590"/>
      <c r="J26" s="590"/>
      <c r="K26" s="590"/>
      <c r="L26" s="590"/>
      <c r="M26" s="590"/>
      <c r="N26" s="590"/>
      <c r="O26" s="590"/>
      <c r="P26" s="590"/>
      <c r="Q26" s="590"/>
      <c r="R26" s="590"/>
      <c r="S26" s="590"/>
      <c r="T26" s="590"/>
      <c r="U26" s="590"/>
      <c r="V26" s="590"/>
      <c r="W26" s="590"/>
      <c r="X26" s="590"/>
      <c r="Y26" s="590"/>
      <c r="Z26" s="590"/>
    </row>
    <row r="27" ht="12.75" customHeight="1">
      <c r="A27" s="590"/>
      <c r="B27" s="590"/>
      <c r="C27" s="590"/>
      <c r="D27" s="590"/>
      <c r="E27" s="590"/>
      <c r="F27" s="590"/>
      <c r="G27" s="590"/>
      <c r="H27" s="590"/>
      <c r="I27" s="590"/>
      <c r="J27" s="590"/>
      <c r="K27" s="590"/>
      <c r="L27" s="590"/>
      <c r="M27" s="590"/>
      <c r="N27" s="590"/>
      <c r="O27" s="590"/>
      <c r="P27" s="590"/>
      <c r="Q27" s="590"/>
      <c r="R27" s="590"/>
      <c r="S27" s="590"/>
      <c r="T27" s="590"/>
      <c r="U27" s="590"/>
      <c r="V27" s="590"/>
      <c r="W27" s="590"/>
      <c r="X27" s="590"/>
      <c r="Y27" s="590"/>
      <c r="Z27" s="590"/>
    </row>
    <row r="28" ht="12.75" customHeight="1">
      <c r="A28" s="590"/>
      <c r="B28" s="590"/>
      <c r="C28" s="590"/>
      <c r="D28" s="590"/>
      <c r="E28" s="590"/>
      <c r="F28" s="590"/>
      <c r="G28" s="590"/>
      <c r="H28" s="590"/>
      <c r="I28" s="590"/>
      <c r="J28" s="590"/>
      <c r="K28" s="590"/>
      <c r="L28" s="590"/>
      <c r="M28" s="590"/>
      <c r="N28" s="590"/>
      <c r="O28" s="590"/>
      <c r="P28" s="590"/>
      <c r="Q28" s="590"/>
      <c r="R28" s="590"/>
      <c r="S28" s="590"/>
      <c r="T28" s="590"/>
      <c r="U28" s="590"/>
      <c r="V28" s="590"/>
      <c r="W28" s="590"/>
      <c r="X28" s="590"/>
      <c r="Y28" s="590"/>
      <c r="Z28" s="590"/>
    </row>
    <row r="29" ht="12.75" customHeight="1">
      <c r="A29" s="590"/>
      <c r="B29" s="590"/>
      <c r="C29" s="590"/>
      <c r="D29" s="590"/>
      <c r="E29" s="590"/>
      <c r="F29" s="590"/>
      <c r="G29" s="590"/>
      <c r="H29" s="590"/>
      <c r="I29" s="590"/>
      <c r="J29" s="590"/>
      <c r="K29" s="590"/>
      <c r="L29" s="590"/>
      <c r="M29" s="590"/>
      <c r="N29" s="590"/>
      <c r="O29" s="590"/>
      <c r="P29" s="590"/>
      <c r="Q29" s="590"/>
      <c r="R29" s="590"/>
      <c r="S29" s="590"/>
      <c r="T29" s="590"/>
      <c r="U29" s="590"/>
      <c r="V29" s="590"/>
      <c r="W29" s="590"/>
      <c r="X29" s="590"/>
      <c r="Y29" s="590"/>
      <c r="Z29" s="590"/>
    </row>
    <row r="30" ht="12.75" customHeight="1">
      <c r="A30" s="590"/>
      <c r="B30" s="590"/>
      <c r="C30" s="590"/>
      <c r="D30" s="590"/>
      <c r="E30" s="590"/>
      <c r="F30" s="590"/>
      <c r="G30" s="590"/>
      <c r="H30" s="590"/>
      <c r="I30" s="590"/>
      <c r="J30" s="590"/>
      <c r="K30" s="590"/>
      <c r="L30" s="590"/>
      <c r="M30" s="590"/>
      <c r="N30" s="590"/>
      <c r="O30" s="590"/>
      <c r="P30" s="590"/>
      <c r="Q30" s="590"/>
      <c r="R30" s="590"/>
      <c r="S30" s="590"/>
      <c r="T30" s="590"/>
      <c r="U30" s="590"/>
      <c r="V30" s="590"/>
      <c r="W30" s="590"/>
      <c r="X30" s="590"/>
      <c r="Y30" s="590"/>
      <c r="Z30" s="590"/>
    </row>
    <row r="31" ht="12.75" customHeight="1">
      <c r="A31" s="590"/>
      <c r="B31" s="590"/>
      <c r="C31" s="590"/>
      <c r="D31" s="590"/>
      <c r="E31" s="590"/>
      <c r="F31" s="590"/>
      <c r="G31" s="590"/>
      <c r="H31" s="590"/>
      <c r="I31" s="590"/>
      <c r="J31" s="590"/>
      <c r="K31" s="590"/>
      <c r="L31" s="590"/>
      <c r="M31" s="590"/>
      <c r="N31" s="590"/>
      <c r="O31" s="590"/>
      <c r="P31" s="590"/>
      <c r="Q31" s="590"/>
      <c r="R31" s="590"/>
      <c r="S31" s="590"/>
      <c r="T31" s="590"/>
      <c r="U31" s="590"/>
      <c r="V31" s="590"/>
      <c r="W31" s="590"/>
      <c r="X31" s="590"/>
      <c r="Y31" s="590"/>
      <c r="Z31" s="590"/>
    </row>
    <row r="32" ht="12.75" customHeight="1">
      <c r="A32" s="590"/>
      <c r="B32" s="590"/>
      <c r="C32" s="590"/>
      <c r="D32" s="590"/>
      <c r="E32" s="590"/>
      <c r="F32" s="590"/>
      <c r="G32" s="590"/>
      <c r="H32" s="590"/>
      <c r="I32" s="590"/>
      <c r="J32" s="590"/>
      <c r="K32" s="590"/>
      <c r="L32" s="590"/>
      <c r="M32" s="590"/>
      <c r="N32" s="590"/>
      <c r="O32" s="590"/>
      <c r="P32" s="590"/>
      <c r="Q32" s="590"/>
      <c r="R32" s="590"/>
      <c r="S32" s="590"/>
      <c r="T32" s="590"/>
      <c r="U32" s="590"/>
      <c r="V32" s="590"/>
      <c r="W32" s="590"/>
      <c r="X32" s="590"/>
      <c r="Y32" s="590"/>
      <c r="Z32" s="590"/>
    </row>
    <row r="33" ht="12.75" customHeight="1">
      <c r="A33" s="590"/>
      <c r="B33" s="590"/>
      <c r="C33" s="590"/>
      <c r="D33" s="590"/>
      <c r="E33" s="590"/>
      <c r="F33" s="590"/>
      <c r="G33" s="590"/>
      <c r="H33" s="590"/>
      <c r="I33" s="590"/>
      <c r="J33" s="590"/>
      <c r="K33" s="590"/>
      <c r="L33" s="590"/>
      <c r="M33" s="590"/>
      <c r="N33" s="590"/>
      <c r="O33" s="590"/>
      <c r="P33" s="590"/>
      <c r="Q33" s="590"/>
      <c r="R33" s="590"/>
      <c r="S33" s="590"/>
      <c r="T33" s="590"/>
      <c r="U33" s="590"/>
      <c r="V33" s="590"/>
      <c r="W33" s="590"/>
      <c r="X33" s="590"/>
      <c r="Y33" s="590"/>
      <c r="Z33" s="590"/>
    </row>
    <row r="34" ht="12.75" customHeight="1">
      <c r="A34" s="590"/>
      <c r="B34" s="590"/>
      <c r="C34" s="590"/>
      <c r="D34" s="590"/>
      <c r="E34" s="590"/>
      <c r="F34" s="590"/>
      <c r="G34" s="590"/>
      <c r="H34" s="590"/>
      <c r="I34" s="590"/>
      <c r="J34" s="590"/>
      <c r="K34" s="590"/>
      <c r="L34" s="590"/>
      <c r="M34" s="590"/>
      <c r="N34" s="590"/>
      <c r="O34" s="590"/>
      <c r="P34" s="590"/>
      <c r="Q34" s="590"/>
      <c r="R34" s="590"/>
      <c r="S34" s="590"/>
      <c r="T34" s="590"/>
      <c r="U34" s="590"/>
      <c r="V34" s="590"/>
      <c r="W34" s="590"/>
      <c r="X34" s="590"/>
      <c r="Y34" s="590"/>
      <c r="Z34" s="590"/>
    </row>
    <row r="35" ht="12.75" customHeight="1">
      <c r="A35" s="590"/>
      <c r="B35" s="590"/>
      <c r="C35" s="590"/>
      <c r="D35" s="590"/>
      <c r="E35" s="590"/>
      <c r="F35" s="590"/>
      <c r="G35" s="590"/>
      <c r="H35" s="590"/>
      <c r="I35" s="590"/>
      <c r="J35" s="590"/>
      <c r="K35" s="590"/>
      <c r="L35" s="590"/>
      <c r="M35" s="590"/>
      <c r="N35" s="590"/>
      <c r="O35" s="590"/>
      <c r="P35" s="590"/>
      <c r="Q35" s="590"/>
      <c r="R35" s="590"/>
      <c r="S35" s="590"/>
      <c r="T35" s="590"/>
      <c r="U35" s="590"/>
      <c r="V35" s="590"/>
      <c r="W35" s="590"/>
      <c r="X35" s="590"/>
      <c r="Y35" s="590"/>
      <c r="Z35" s="590"/>
    </row>
    <row r="36" ht="12.75" customHeight="1">
      <c r="A36" s="590"/>
      <c r="B36" s="590"/>
      <c r="C36" s="590"/>
      <c r="D36" s="590"/>
      <c r="E36" s="590"/>
      <c r="F36" s="590"/>
      <c r="G36" s="590"/>
      <c r="H36" s="590"/>
      <c r="I36" s="590"/>
      <c r="J36" s="590"/>
      <c r="K36" s="590"/>
      <c r="L36" s="590"/>
      <c r="M36" s="590"/>
      <c r="N36" s="590"/>
      <c r="O36" s="590"/>
      <c r="P36" s="590"/>
      <c r="Q36" s="590"/>
      <c r="R36" s="590"/>
      <c r="S36" s="590"/>
      <c r="T36" s="590"/>
      <c r="U36" s="590"/>
      <c r="V36" s="590"/>
      <c r="W36" s="590"/>
      <c r="X36" s="590"/>
      <c r="Y36" s="590"/>
      <c r="Z36" s="590"/>
    </row>
    <row r="37" ht="12.75" customHeight="1">
      <c r="A37" s="590"/>
      <c r="B37" s="590"/>
      <c r="C37" s="590"/>
      <c r="D37" s="590"/>
      <c r="E37" s="590"/>
      <c r="F37" s="590"/>
      <c r="G37" s="590"/>
      <c r="H37" s="590"/>
      <c r="I37" s="590"/>
      <c r="J37" s="590"/>
      <c r="K37" s="590"/>
      <c r="L37" s="590"/>
      <c r="M37" s="590"/>
      <c r="N37" s="590"/>
      <c r="O37" s="590"/>
      <c r="P37" s="590"/>
      <c r="Q37" s="590"/>
      <c r="R37" s="590"/>
      <c r="S37" s="590"/>
      <c r="T37" s="590"/>
      <c r="U37" s="590"/>
      <c r="V37" s="590"/>
      <c r="W37" s="590"/>
      <c r="X37" s="590"/>
      <c r="Y37" s="590"/>
      <c r="Z37" s="590"/>
    </row>
    <row r="38" ht="12.75" customHeight="1">
      <c r="A38" s="590"/>
      <c r="B38" s="590"/>
      <c r="C38" s="590"/>
      <c r="D38" s="590"/>
      <c r="E38" s="590"/>
      <c r="F38" s="590"/>
      <c r="G38" s="590"/>
      <c r="H38" s="590"/>
      <c r="I38" s="590"/>
      <c r="J38" s="590"/>
      <c r="K38" s="590"/>
      <c r="L38" s="590"/>
      <c r="M38" s="590"/>
      <c r="N38" s="590"/>
      <c r="O38" s="590"/>
      <c r="P38" s="590"/>
      <c r="Q38" s="590"/>
      <c r="R38" s="590"/>
      <c r="S38" s="590"/>
      <c r="T38" s="590"/>
      <c r="U38" s="590"/>
      <c r="V38" s="590"/>
      <c r="W38" s="590"/>
      <c r="X38" s="590"/>
      <c r="Y38" s="590"/>
      <c r="Z38" s="590"/>
    </row>
    <row r="39" ht="12.75" customHeight="1">
      <c r="A39" s="590"/>
      <c r="B39" s="590"/>
      <c r="C39" s="590"/>
      <c r="D39" s="590"/>
      <c r="E39" s="590"/>
      <c r="F39" s="590"/>
      <c r="G39" s="590"/>
      <c r="H39" s="590"/>
      <c r="I39" s="590"/>
      <c r="J39" s="590"/>
      <c r="K39" s="590"/>
      <c r="L39" s="590"/>
      <c r="M39" s="590"/>
      <c r="N39" s="590"/>
      <c r="O39" s="590"/>
      <c r="P39" s="590"/>
      <c r="Q39" s="590"/>
      <c r="R39" s="590"/>
      <c r="S39" s="590"/>
      <c r="T39" s="590"/>
      <c r="U39" s="590"/>
      <c r="V39" s="590"/>
      <c r="W39" s="590"/>
      <c r="X39" s="590"/>
      <c r="Y39" s="590"/>
      <c r="Z39" s="590"/>
    </row>
    <row r="40" ht="12.75" customHeight="1">
      <c r="A40" s="590"/>
      <c r="B40" s="590"/>
      <c r="C40" s="590"/>
      <c r="D40" s="590"/>
      <c r="E40" s="590"/>
      <c r="F40" s="590"/>
      <c r="G40" s="590"/>
      <c r="H40" s="590"/>
      <c r="I40" s="590"/>
      <c r="J40" s="590"/>
      <c r="K40" s="590"/>
      <c r="L40" s="590"/>
      <c r="M40" s="590"/>
      <c r="N40" s="590"/>
      <c r="O40" s="590"/>
      <c r="P40" s="590"/>
      <c r="Q40" s="590"/>
      <c r="R40" s="590"/>
      <c r="S40" s="590"/>
      <c r="T40" s="590"/>
      <c r="U40" s="590"/>
      <c r="V40" s="590"/>
      <c r="W40" s="590"/>
      <c r="X40" s="590"/>
      <c r="Y40" s="590"/>
      <c r="Z40" s="590"/>
    </row>
    <row r="41" ht="12.75" customHeight="1">
      <c r="A41" s="590"/>
      <c r="B41" s="590"/>
      <c r="C41" s="590"/>
      <c r="D41" s="590"/>
      <c r="E41" s="590"/>
      <c r="F41" s="590"/>
      <c r="G41" s="590"/>
      <c r="H41" s="590"/>
      <c r="I41" s="590"/>
      <c r="J41" s="590"/>
      <c r="K41" s="590"/>
      <c r="L41" s="590"/>
      <c r="M41" s="590"/>
      <c r="N41" s="590"/>
      <c r="O41" s="590"/>
      <c r="P41" s="590"/>
      <c r="Q41" s="590"/>
      <c r="R41" s="590"/>
      <c r="S41" s="590"/>
      <c r="T41" s="590"/>
      <c r="U41" s="590"/>
      <c r="V41" s="590"/>
      <c r="W41" s="590"/>
      <c r="X41" s="590"/>
      <c r="Y41" s="590"/>
      <c r="Z41" s="590"/>
    </row>
    <row r="42" ht="12.75" customHeight="1">
      <c r="A42" s="590"/>
      <c r="B42" s="590"/>
      <c r="C42" s="590"/>
      <c r="D42" s="590"/>
      <c r="E42" s="590"/>
      <c r="F42" s="590"/>
      <c r="G42" s="590"/>
      <c r="H42" s="590"/>
      <c r="I42" s="590"/>
      <c r="J42" s="590"/>
      <c r="K42" s="590"/>
      <c r="L42" s="590"/>
      <c r="M42" s="590"/>
      <c r="N42" s="590"/>
      <c r="O42" s="590"/>
      <c r="P42" s="590"/>
      <c r="Q42" s="590"/>
      <c r="R42" s="590"/>
      <c r="S42" s="590"/>
      <c r="T42" s="590"/>
      <c r="U42" s="590"/>
      <c r="V42" s="590"/>
      <c r="W42" s="590"/>
      <c r="X42" s="590"/>
      <c r="Y42" s="590"/>
      <c r="Z42" s="590"/>
    </row>
    <row r="43" ht="12.75" customHeight="1">
      <c r="A43" s="590"/>
      <c r="B43" s="590"/>
      <c r="C43" s="590"/>
      <c r="D43" s="590"/>
      <c r="E43" s="590"/>
      <c r="F43" s="590"/>
      <c r="G43" s="590"/>
      <c r="H43" s="590"/>
      <c r="I43" s="590"/>
      <c r="J43" s="590"/>
      <c r="K43" s="590"/>
      <c r="L43" s="590"/>
      <c r="M43" s="590"/>
      <c r="N43" s="590"/>
      <c r="O43" s="590"/>
      <c r="P43" s="590"/>
      <c r="Q43" s="590"/>
      <c r="R43" s="590"/>
      <c r="S43" s="590"/>
      <c r="T43" s="590"/>
      <c r="U43" s="590"/>
      <c r="V43" s="590"/>
      <c r="W43" s="590"/>
      <c r="X43" s="590"/>
      <c r="Y43" s="590"/>
      <c r="Z43" s="590"/>
    </row>
    <row r="44" ht="12.75" customHeight="1">
      <c r="A44" s="590"/>
      <c r="B44" s="590"/>
      <c r="C44" s="590"/>
      <c r="D44" s="590"/>
      <c r="E44" s="590"/>
      <c r="F44" s="590"/>
      <c r="G44" s="590"/>
      <c r="H44" s="590"/>
      <c r="I44" s="590"/>
      <c r="J44" s="590"/>
      <c r="K44" s="590"/>
      <c r="L44" s="590"/>
      <c r="M44" s="590"/>
      <c r="N44" s="590"/>
      <c r="O44" s="590"/>
      <c r="P44" s="590"/>
      <c r="Q44" s="590"/>
      <c r="R44" s="590"/>
      <c r="S44" s="590"/>
      <c r="T44" s="590"/>
      <c r="U44" s="590"/>
      <c r="V44" s="590"/>
      <c r="W44" s="590"/>
      <c r="X44" s="590"/>
      <c r="Y44" s="590"/>
      <c r="Z44" s="590"/>
    </row>
    <row r="45" ht="12.75" customHeight="1">
      <c r="A45" s="590"/>
      <c r="B45" s="590"/>
      <c r="C45" s="590"/>
      <c r="D45" s="590"/>
      <c r="E45" s="590"/>
      <c r="F45" s="590"/>
      <c r="G45" s="590"/>
      <c r="H45" s="590"/>
      <c r="I45" s="590"/>
      <c r="J45" s="590"/>
      <c r="K45" s="590"/>
      <c r="L45" s="590"/>
      <c r="M45" s="590"/>
      <c r="N45" s="590"/>
      <c r="O45" s="590"/>
      <c r="P45" s="590"/>
      <c r="Q45" s="590"/>
      <c r="R45" s="590"/>
      <c r="S45" s="590"/>
      <c r="T45" s="590"/>
      <c r="U45" s="590"/>
      <c r="V45" s="590"/>
      <c r="W45" s="590"/>
      <c r="X45" s="590"/>
      <c r="Y45" s="590"/>
      <c r="Z45" s="590"/>
    </row>
    <row r="46" ht="12.75" customHeight="1">
      <c r="A46" s="590"/>
      <c r="B46" s="590"/>
      <c r="C46" s="590"/>
      <c r="D46" s="590"/>
      <c r="E46" s="590"/>
      <c r="F46" s="590"/>
      <c r="G46" s="590"/>
      <c r="H46" s="590"/>
      <c r="I46" s="590"/>
      <c r="J46" s="590"/>
      <c r="K46" s="590"/>
      <c r="L46" s="590"/>
      <c r="M46" s="590"/>
      <c r="N46" s="590"/>
      <c r="O46" s="590"/>
      <c r="P46" s="590"/>
      <c r="Q46" s="590"/>
      <c r="R46" s="590"/>
      <c r="S46" s="590"/>
      <c r="T46" s="590"/>
      <c r="U46" s="590"/>
      <c r="V46" s="590"/>
      <c r="W46" s="590"/>
      <c r="X46" s="590"/>
      <c r="Y46" s="590"/>
      <c r="Z46" s="590"/>
    </row>
    <row r="47" ht="12.75" customHeight="1">
      <c r="A47" s="590"/>
      <c r="B47" s="590"/>
      <c r="C47" s="590"/>
      <c r="D47" s="590"/>
      <c r="E47" s="590"/>
      <c r="F47" s="590"/>
      <c r="G47" s="590"/>
      <c r="H47" s="590"/>
      <c r="I47" s="590"/>
      <c r="J47" s="590"/>
      <c r="K47" s="590"/>
      <c r="L47" s="590"/>
      <c r="M47" s="590"/>
      <c r="N47" s="590"/>
      <c r="O47" s="590"/>
      <c r="P47" s="590"/>
      <c r="Q47" s="590"/>
      <c r="R47" s="590"/>
      <c r="S47" s="590"/>
      <c r="T47" s="590"/>
      <c r="U47" s="590"/>
      <c r="V47" s="590"/>
      <c r="W47" s="590"/>
      <c r="X47" s="590"/>
      <c r="Y47" s="590"/>
      <c r="Z47" s="590"/>
    </row>
    <row r="48" ht="12.75" customHeight="1">
      <c r="A48" s="590"/>
      <c r="B48" s="590"/>
      <c r="C48" s="590"/>
      <c r="D48" s="590"/>
      <c r="E48" s="590"/>
      <c r="F48" s="590"/>
      <c r="G48" s="590"/>
      <c r="H48" s="590"/>
      <c r="I48" s="590"/>
      <c r="J48" s="590"/>
      <c r="K48" s="590"/>
      <c r="L48" s="590"/>
      <c r="M48" s="590"/>
      <c r="N48" s="590"/>
      <c r="O48" s="590"/>
      <c r="P48" s="590"/>
      <c r="Q48" s="590"/>
      <c r="R48" s="590"/>
      <c r="S48" s="590"/>
      <c r="T48" s="590"/>
      <c r="U48" s="590"/>
      <c r="V48" s="590"/>
      <c r="W48" s="590"/>
      <c r="X48" s="590"/>
      <c r="Y48" s="590"/>
      <c r="Z48" s="590"/>
    </row>
    <row r="49" ht="12.75" customHeight="1">
      <c r="A49" s="590"/>
      <c r="B49" s="590"/>
      <c r="C49" s="590"/>
      <c r="D49" s="590"/>
      <c r="E49" s="590"/>
      <c r="F49" s="590"/>
      <c r="G49" s="590"/>
      <c r="H49" s="590"/>
      <c r="I49" s="590"/>
      <c r="J49" s="590"/>
      <c r="K49" s="590"/>
      <c r="L49" s="590"/>
      <c r="M49" s="590"/>
      <c r="N49" s="590"/>
      <c r="O49" s="590"/>
      <c r="P49" s="590"/>
      <c r="Q49" s="590"/>
      <c r="R49" s="590"/>
      <c r="S49" s="590"/>
      <c r="T49" s="590"/>
      <c r="U49" s="590"/>
      <c r="V49" s="590"/>
      <c r="W49" s="590"/>
      <c r="X49" s="590"/>
      <c r="Y49" s="590"/>
      <c r="Z49" s="590"/>
    </row>
    <row r="50" ht="12.75" customHeight="1">
      <c r="A50" s="590"/>
      <c r="B50" s="590"/>
      <c r="C50" s="590"/>
      <c r="D50" s="590"/>
      <c r="E50" s="590"/>
      <c r="F50" s="590"/>
      <c r="G50" s="590"/>
      <c r="H50" s="590"/>
      <c r="I50" s="590"/>
      <c r="J50" s="590"/>
      <c r="K50" s="590"/>
      <c r="L50" s="590"/>
      <c r="M50" s="590"/>
      <c r="N50" s="590"/>
      <c r="O50" s="590"/>
      <c r="P50" s="590"/>
      <c r="Q50" s="590"/>
      <c r="R50" s="590"/>
      <c r="S50" s="590"/>
      <c r="T50" s="590"/>
      <c r="U50" s="590"/>
      <c r="V50" s="590"/>
      <c r="W50" s="590"/>
      <c r="X50" s="590"/>
      <c r="Y50" s="590"/>
      <c r="Z50" s="590"/>
    </row>
    <row r="51" ht="12.75" customHeight="1">
      <c r="A51" s="590"/>
      <c r="B51" s="590"/>
      <c r="C51" s="590"/>
      <c r="D51" s="590"/>
      <c r="E51" s="590"/>
      <c r="F51" s="590"/>
      <c r="G51" s="590"/>
      <c r="H51" s="590"/>
      <c r="I51" s="590"/>
      <c r="J51" s="590"/>
      <c r="K51" s="590"/>
      <c r="L51" s="590"/>
      <c r="M51" s="590"/>
      <c r="N51" s="590"/>
      <c r="O51" s="590"/>
      <c r="P51" s="590"/>
      <c r="Q51" s="590"/>
      <c r="R51" s="590"/>
      <c r="S51" s="590"/>
      <c r="T51" s="590"/>
      <c r="U51" s="590"/>
      <c r="V51" s="590"/>
      <c r="W51" s="590"/>
      <c r="X51" s="590"/>
      <c r="Y51" s="590"/>
      <c r="Z51" s="590"/>
    </row>
    <row r="52" ht="12.75" customHeight="1">
      <c r="A52" s="590"/>
      <c r="B52" s="590"/>
      <c r="C52" s="590"/>
      <c r="D52" s="590"/>
      <c r="E52" s="590"/>
      <c r="F52" s="590"/>
      <c r="G52" s="590"/>
      <c r="H52" s="590"/>
      <c r="I52" s="590"/>
      <c r="J52" s="590"/>
      <c r="K52" s="590"/>
      <c r="L52" s="590"/>
      <c r="M52" s="590"/>
      <c r="N52" s="590"/>
      <c r="O52" s="590"/>
      <c r="P52" s="590"/>
      <c r="Q52" s="590"/>
      <c r="R52" s="590"/>
      <c r="S52" s="590"/>
      <c r="T52" s="590"/>
      <c r="U52" s="590"/>
      <c r="V52" s="590"/>
      <c r="W52" s="590"/>
      <c r="X52" s="590"/>
      <c r="Y52" s="590"/>
      <c r="Z52" s="590"/>
    </row>
    <row r="53" ht="12.75" customHeight="1">
      <c r="A53" s="590"/>
      <c r="B53" s="590"/>
      <c r="C53" s="590"/>
      <c r="D53" s="590"/>
      <c r="E53" s="590"/>
      <c r="F53" s="590"/>
      <c r="G53" s="590"/>
      <c r="H53" s="590"/>
      <c r="I53" s="590"/>
      <c r="J53" s="590"/>
      <c r="K53" s="590"/>
      <c r="L53" s="590"/>
      <c r="M53" s="590"/>
      <c r="N53" s="590"/>
      <c r="O53" s="590"/>
      <c r="P53" s="590"/>
      <c r="Q53" s="590"/>
      <c r="R53" s="590"/>
      <c r="S53" s="590"/>
      <c r="T53" s="590"/>
      <c r="U53" s="590"/>
      <c r="V53" s="590"/>
      <c r="W53" s="590"/>
      <c r="X53" s="590"/>
      <c r="Y53" s="590"/>
      <c r="Z53" s="590"/>
    </row>
    <row r="54" ht="12.75" customHeight="1">
      <c r="A54" s="590"/>
      <c r="B54" s="590"/>
      <c r="C54" s="590"/>
      <c r="D54" s="590"/>
      <c r="E54" s="590"/>
      <c r="F54" s="590"/>
      <c r="G54" s="590"/>
      <c r="H54" s="590"/>
      <c r="I54" s="590"/>
      <c r="J54" s="590"/>
      <c r="K54" s="590"/>
      <c r="L54" s="590"/>
      <c r="M54" s="590"/>
      <c r="N54" s="590"/>
      <c r="O54" s="590"/>
      <c r="P54" s="590"/>
      <c r="Q54" s="590"/>
      <c r="R54" s="590"/>
      <c r="S54" s="590"/>
      <c r="T54" s="590"/>
      <c r="U54" s="590"/>
      <c r="V54" s="590"/>
      <c r="W54" s="590"/>
      <c r="X54" s="590"/>
      <c r="Y54" s="590"/>
      <c r="Z54" s="590"/>
    </row>
    <row r="55" ht="12.75" customHeight="1">
      <c r="A55" s="590"/>
      <c r="B55" s="590"/>
      <c r="C55" s="590"/>
      <c r="D55" s="590"/>
      <c r="E55" s="590"/>
      <c r="F55" s="590"/>
      <c r="G55" s="590"/>
      <c r="H55" s="590"/>
      <c r="I55" s="590"/>
      <c r="J55" s="590"/>
      <c r="K55" s="590"/>
      <c r="L55" s="590"/>
      <c r="M55" s="590"/>
      <c r="N55" s="590"/>
      <c r="O55" s="590"/>
      <c r="P55" s="590"/>
      <c r="Q55" s="590"/>
      <c r="R55" s="590"/>
      <c r="S55" s="590"/>
      <c r="T55" s="590"/>
      <c r="U55" s="590"/>
      <c r="V55" s="590"/>
      <c r="W55" s="590"/>
      <c r="X55" s="590"/>
      <c r="Y55" s="590"/>
      <c r="Z55" s="590"/>
    </row>
    <row r="56" ht="12.75" customHeight="1">
      <c r="A56" s="590"/>
      <c r="B56" s="590"/>
      <c r="C56" s="590"/>
      <c r="D56" s="590"/>
      <c r="E56" s="590"/>
      <c r="F56" s="590"/>
      <c r="G56" s="590"/>
      <c r="H56" s="590"/>
      <c r="I56" s="590"/>
      <c r="J56" s="590"/>
      <c r="K56" s="590"/>
      <c r="L56" s="590"/>
      <c r="M56" s="590"/>
      <c r="N56" s="590"/>
      <c r="O56" s="590"/>
      <c r="P56" s="590"/>
      <c r="Q56" s="590"/>
      <c r="R56" s="590"/>
      <c r="S56" s="590"/>
      <c r="T56" s="590"/>
      <c r="U56" s="590"/>
      <c r="V56" s="590"/>
      <c r="W56" s="590"/>
      <c r="X56" s="590"/>
      <c r="Y56" s="590"/>
      <c r="Z56" s="590"/>
    </row>
    <row r="57" ht="12.75" customHeight="1">
      <c r="A57" s="590"/>
      <c r="B57" s="590"/>
      <c r="C57" s="590"/>
      <c r="D57" s="590"/>
      <c r="E57" s="590"/>
      <c r="F57" s="590"/>
      <c r="G57" s="590"/>
      <c r="H57" s="590"/>
      <c r="I57" s="590"/>
      <c r="J57" s="590"/>
      <c r="K57" s="590"/>
      <c r="L57" s="590"/>
      <c r="M57" s="590"/>
      <c r="N57" s="590"/>
      <c r="O57" s="590"/>
      <c r="P57" s="590"/>
      <c r="Q57" s="590"/>
      <c r="R57" s="590"/>
      <c r="S57" s="590"/>
      <c r="T57" s="590"/>
      <c r="U57" s="590"/>
      <c r="V57" s="590"/>
      <c r="W57" s="590"/>
      <c r="X57" s="590"/>
      <c r="Y57" s="590"/>
      <c r="Z57" s="590"/>
    </row>
    <row r="58" ht="12.75" customHeight="1">
      <c r="A58" s="590"/>
      <c r="B58" s="590"/>
      <c r="C58" s="590"/>
      <c r="D58" s="590"/>
      <c r="E58" s="590"/>
      <c r="F58" s="590"/>
      <c r="G58" s="590"/>
      <c r="H58" s="590"/>
      <c r="I58" s="590"/>
      <c r="J58" s="590"/>
      <c r="K58" s="590"/>
      <c r="L58" s="590"/>
      <c r="M58" s="590"/>
      <c r="N58" s="590"/>
      <c r="O58" s="590"/>
      <c r="P58" s="590"/>
      <c r="Q58" s="590"/>
      <c r="R58" s="590"/>
      <c r="S58" s="590"/>
      <c r="T58" s="590"/>
      <c r="U58" s="590"/>
      <c r="V58" s="590"/>
      <c r="W58" s="590"/>
      <c r="X58" s="590"/>
      <c r="Y58" s="590"/>
      <c r="Z58" s="590"/>
    </row>
    <row r="59" ht="12.75" customHeight="1">
      <c r="A59" s="590"/>
      <c r="B59" s="590"/>
      <c r="C59" s="590"/>
      <c r="D59" s="590"/>
      <c r="E59" s="590"/>
      <c r="F59" s="590"/>
      <c r="G59" s="590"/>
      <c r="H59" s="590"/>
      <c r="I59" s="590"/>
      <c r="J59" s="590"/>
      <c r="K59" s="590"/>
      <c r="L59" s="590"/>
      <c r="M59" s="590"/>
      <c r="N59" s="590"/>
      <c r="O59" s="590"/>
      <c r="P59" s="590"/>
      <c r="Q59" s="590"/>
      <c r="R59" s="590"/>
      <c r="S59" s="590"/>
      <c r="T59" s="590"/>
      <c r="U59" s="590"/>
      <c r="V59" s="590"/>
      <c r="W59" s="590"/>
      <c r="X59" s="590"/>
      <c r="Y59" s="590"/>
      <c r="Z59" s="590"/>
    </row>
    <row r="60" ht="12.75" customHeight="1">
      <c r="A60" s="590"/>
      <c r="B60" s="590"/>
      <c r="C60" s="590"/>
      <c r="D60" s="590"/>
      <c r="E60" s="590"/>
      <c r="F60" s="590"/>
      <c r="G60" s="590"/>
      <c r="H60" s="590"/>
      <c r="I60" s="590"/>
      <c r="J60" s="590"/>
      <c r="K60" s="590"/>
      <c r="L60" s="590"/>
      <c r="M60" s="590"/>
      <c r="N60" s="590"/>
      <c r="O60" s="590"/>
      <c r="P60" s="590"/>
      <c r="Q60" s="590"/>
      <c r="R60" s="590"/>
      <c r="S60" s="590"/>
      <c r="T60" s="590"/>
      <c r="U60" s="590"/>
      <c r="V60" s="590"/>
      <c r="W60" s="590"/>
      <c r="X60" s="590"/>
      <c r="Y60" s="590"/>
      <c r="Z60" s="590"/>
    </row>
    <row r="61" ht="12.75" customHeight="1">
      <c r="A61" s="590"/>
      <c r="B61" s="590"/>
      <c r="C61" s="590"/>
      <c r="D61" s="590"/>
      <c r="E61" s="590"/>
      <c r="F61" s="590"/>
      <c r="G61" s="590"/>
      <c r="H61" s="590"/>
      <c r="I61" s="590"/>
      <c r="J61" s="590"/>
      <c r="K61" s="590"/>
      <c r="L61" s="590"/>
      <c r="M61" s="590"/>
      <c r="N61" s="590"/>
      <c r="O61" s="590"/>
      <c r="P61" s="590"/>
      <c r="Q61" s="590"/>
      <c r="R61" s="590"/>
      <c r="S61" s="590"/>
      <c r="T61" s="590"/>
      <c r="U61" s="590"/>
      <c r="V61" s="590"/>
      <c r="W61" s="590"/>
      <c r="X61" s="590"/>
      <c r="Y61" s="590"/>
      <c r="Z61" s="590"/>
    </row>
    <row r="62" ht="12.75" customHeight="1">
      <c r="A62" s="590"/>
      <c r="B62" s="590"/>
      <c r="C62" s="590"/>
      <c r="D62" s="590"/>
      <c r="E62" s="590"/>
      <c r="F62" s="590"/>
      <c r="G62" s="590"/>
      <c r="H62" s="590"/>
      <c r="I62" s="590"/>
      <c r="J62" s="590"/>
      <c r="K62" s="590"/>
      <c r="L62" s="590"/>
      <c r="M62" s="590"/>
      <c r="N62" s="590"/>
      <c r="O62" s="590"/>
      <c r="P62" s="590"/>
      <c r="Q62" s="590"/>
      <c r="R62" s="590"/>
      <c r="S62" s="590"/>
      <c r="T62" s="590"/>
      <c r="U62" s="590"/>
      <c r="V62" s="590"/>
      <c r="W62" s="590"/>
      <c r="X62" s="590"/>
      <c r="Y62" s="590"/>
      <c r="Z62" s="590"/>
    </row>
    <row r="63" ht="12.75" customHeight="1">
      <c r="A63" s="590"/>
      <c r="B63" s="590"/>
      <c r="C63" s="590"/>
      <c r="D63" s="590"/>
      <c r="E63" s="590"/>
      <c r="F63" s="590"/>
      <c r="G63" s="590"/>
      <c r="H63" s="590"/>
      <c r="I63" s="590"/>
      <c r="J63" s="590"/>
      <c r="K63" s="590"/>
      <c r="L63" s="590"/>
      <c r="M63" s="590"/>
      <c r="N63" s="590"/>
      <c r="O63" s="590"/>
      <c r="P63" s="590"/>
      <c r="Q63" s="590"/>
      <c r="R63" s="590"/>
      <c r="S63" s="590"/>
      <c r="T63" s="590"/>
      <c r="U63" s="590"/>
      <c r="V63" s="590"/>
      <c r="W63" s="590"/>
      <c r="X63" s="590"/>
      <c r="Y63" s="590"/>
      <c r="Z63" s="590"/>
    </row>
    <row r="64" ht="12.75" customHeight="1">
      <c r="A64" s="590"/>
      <c r="B64" s="590"/>
      <c r="C64" s="590"/>
      <c r="D64" s="590"/>
      <c r="E64" s="590"/>
      <c r="F64" s="590"/>
      <c r="G64" s="590"/>
      <c r="H64" s="590"/>
      <c r="I64" s="590"/>
      <c r="J64" s="590"/>
      <c r="K64" s="590"/>
      <c r="L64" s="590"/>
      <c r="M64" s="590"/>
      <c r="N64" s="590"/>
      <c r="O64" s="590"/>
      <c r="P64" s="590"/>
      <c r="Q64" s="590"/>
      <c r="R64" s="590"/>
      <c r="S64" s="590"/>
      <c r="T64" s="590"/>
      <c r="U64" s="590"/>
      <c r="V64" s="590"/>
      <c r="W64" s="590"/>
      <c r="X64" s="590"/>
      <c r="Y64" s="590"/>
      <c r="Z64" s="590"/>
    </row>
    <row r="65" ht="12.75" customHeight="1">
      <c r="A65" s="590"/>
      <c r="B65" s="590"/>
      <c r="C65" s="590"/>
      <c r="D65" s="590"/>
      <c r="E65" s="590"/>
      <c r="F65" s="590"/>
      <c r="G65" s="590"/>
      <c r="H65" s="590"/>
      <c r="I65" s="590"/>
      <c r="J65" s="590"/>
      <c r="K65" s="590"/>
      <c r="L65" s="590"/>
      <c r="M65" s="590"/>
      <c r="N65" s="590"/>
      <c r="O65" s="590"/>
      <c r="P65" s="590"/>
      <c r="Q65" s="590"/>
      <c r="R65" s="590"/>
      <c r="S65" s="590"/>
      <c r="T65" s="590"/>
      <c r="U65" s="590"/>
      <c r="V65" s="590"/>
      <c r="W65" s="590"/>
      <c r="X65" s="590"/>
      <c r="Y65" s="590"/>
      <c r="Z65" s="590"/>
    </row>
    <row r="66" ht="12.75" customHeight="1">
      <c r="A66" s="590"/>
      <c r="B66" s="590"/>
      <c r="C66" s="590"/>
      <c r="D66" s="590"/>
      <c r="E66" s="590"/>
      <c r="F66" s="590"/>
      <c r="G66" s="590"/>
      <c r="H66" s="590"/>
      <c r="I66" s="590"/>
      <c r="J66" s="590"/>
      <c r="K66" s="590"/>
      <c r="L66" s="590"/>
      <c r="M66" s="590"/>
      <c r="N66" s="590"/>
      <c r="O66" s="590"/>
      <c r="P66" s="590"/>
      <c r="Q66" s="590"/>
      <c r="R66" s="590"/>
      <c r="S66" s="590"/>
      <c r="T66" s="590"/>
      <c r="U66" s="590"/>
      <c r="V66" s="590"/>
      <c r="W66" s="590"/>
      <c r="X66" s="590"/>
      <c r="Y66" s="590"/>
      <c r="Z66" s="590"/>
    </row>
    <row r="67" ht="12.75" customHeight="1">
      <c r="A67" s="590"/>
      <c r="B67" s="590"/>
      <c r="C67" s="590"/>
      <c r="D67" s="590"/>
      <c r="E67" s="590"/>
      <c r="F67" s="590"/>
      <c r="G67" s="590"/>
      <c r="H67" s="590"/>
      <c r="I67" s="590"/>
      <c r="J67" s="590"/>
      <c r="K67" s="590"/>
      <c r="L67" s="590"/>
      <c r="M67" s="590"/>
      <c r="N67" s="590"/>
      <c r="O67" s="590"/>
      <c r="P67" s="590"/>
      <c r="Q67" s="590"/>
      <c r="R67" s="590"/>
      <c r="S67" s="590"/>
      <c r="T67" s="590"/>
      <c r="U67" s="590"/>
      <c r="V67" s="590"/>
      <c r="W67" s="590"/>
      <c r="X67" s="590"/>
      <c r="Y67" s="590"/>
      <c r="Z67" s="590"/>
    </row>
    <row r="68" ht="12.75" customHeight="1">
      <c r="A68" s="590"/>
      <c r="B68" s="590"/>
      <c r="C68" s="590"/>
      <c r="D68" s="590"/>
      <c r="E68" s="590"/>
      <c r="F68" s="590"/>
      <c r="G68" s="590"/>
      <c r="H68" s="590"/>
      <c r="I68" s="590"/>
      <c r="J68" s="590"/>
      <c r="K68" s="590"/>
      <c r="L68" s="590"/>
      <c r="M68" s="590"/>
      <c r="N68" s="590"/>
      <c r="O68" s="590"/>
      <c r="P68" s="590"/>
      <c r="Q68" s="590"/>
      <c r="R68" s="590"/>
      <c r="S68" s="590"/>
      <c r="T68" s="590"/>
      <c r="U68" s="590"/>
      <c r="V68" s="590"/>
      <c r="W68" s="590"/>
      <c r="X68" s="590"/>
      <c r="Y68" s="590"/>
      <c r="Z68" s="590"/>
    </row>
    <row r="69" ht="12.75" customHeight="1">
      <c r="A69" s="590"/>
      <c r="B69" s="590"/>
      <c r="C69" s="590"/>
      <c r="D69" s="590"/>
      <c r="E69" s="590"/>
      <c r="F69" s="590"/>
      <c r="G69" s="590"/>
      <c r="H69" s="590"/>
      <c r="I69" s="590"/>
      <c r="J69" s="590"/>
      <c r="K69" s="590"/>
      <c r="L69" s="590"/>
      <c r="M69" s="590"/>
      <c r="N69" s="590"/>
      <c r="O69" s="590"/>
      <c r="P69" s="590"/>
      <c r="Q69" s="590"/>
      <c r="R69" s="590"/>
      <c r="S69" s="590"/>
      <c r="T69" s="590"/>
      <c r="U69" s="590"/>
      <c r="V69" s="590"/>
      <c r="W69" s="590"/>
      <c r="X69" s="590"/>
      <c r="Y69" s="590"/>
      <c r="Z69" s="590"/>
    </row>
    <row r="70" ht="12.75" customHeight="1">
      <c r="A70" s="590"/>
      <c r="B70" s="590"/>
      <c r="C70" s="590"/>
      <c r="D70" s="590"/>
      <c r="E70" s="590"/>
      <c r="F70" s="590"/>
      <c r="G70" s="590"/>
      <c r="H70" s="590"/>
      <c r="I70" s="590"/>
      <c r="J70" s="590"/>
      <c r="K70" s="590"/>
      <c r="L70" s="590"/>
      <c r="M70" s="590"/>
      <c r="N70" s="590"/>
      <c r="O70" s="590"/>
      <c r="P70" s="590"/>
      <c r="Q70" s="590"/>
      <c r="R70" s="590"/>
      <c r="S70" s="590"/>
      <c r="T70" s="590"/>
      <c r="U70" s="590"/>
      <c r="V70" s="590"/>
      <c r="W70" s="590"/>
      <c r="X70" s="590"/>
      <c r="Y70" s="590"/>
      <c r="Z70" s="590"/>
    </row>
    <row r="71" ht="12.75" customHeight="1">
      <c r="A71" s="590"/>
      <c r="B71" s="590"/>
      <c r="C71" s="590"/>
      <c r="D71" s="590"/>
      <c r="E71" s="590"/>
      <c r="F71" s="590"/>
      <c r="G71" s="590"/>
      <c r="H71" s="590"/>
      <c r="I71" s="590"/>
      <c r="J71" s="590"/>
      <c r="K71" s="590"/>
      <c r="L71" s="590"/>
      <c r="M71" s="590"/>
      <c r="N71" s="590"/>
      <c r="O71" s="590"/>
      <c r="P71" s="590"/>
      <c r="Q71" s="590"/>
      <c r="R71" s="590"/>
      <c r="S71" s="590"/>
      <c r="T71" s="590"/>
      <c r="U71" s="590"/>
      <c r="V71" s="590"/>
      <c r="W71" s="590"/>
      <c r="X71" s="590"/>
      <c r="Y71" s="590"/>
      <c r="Z71" s="590"/>
    </row>
    <row r="72" ht="12.75" customHeight="1">
      <c r="A72" s="590"/>
      <c r="B72" s="590"/>
      <c r="C72" s="590"/>
      <c r="D72" s="590"/>
      <c r="E72" s="590"/>
      <c r="F72" s="590"/>
      <c r="G72" s="590"/>
      <c r="H72" s="590"/>
      <c r="I72" s="590"/>
      <c r="J72" s="590"/>
      <c r="K72" s="590"/>
      <c r="L72" s="590"/>
      <c r="M72" s="590"/>
      <c r="N72" s="590"/>
      <c r="O72" s="590"/>
      <c r="P72" s="590"/>
      <c r="Q72" s="590"/>
      <c r="R72" s="590"/>
      <c r="S72" s="590"/>
      <c r="T72" s="590"/>
      <c r="U72" s="590"/>
      <c r="V72" s="590"/>
      <c r="W72" s="590"/>
      <c r="X72" s="590"/>
      <c r="Y72" s="590"/>
      <c r="Z72" s="590"/>
    </row>
    <row r="73" ht="12.75" customHeight="1">
      <c r="A73" s="590"/>
      <c r="B73" s="590"/>
      <c r="C73" s="590"/>
      <c r="D73" s="590"/>
      <c r="E73" s="590"/>
      <c r="F73" s="590"/>
      <c r="G73" s="590"/>
      <c r="H73" s="590"/>
      <c r="I73" s="590"/>
      <c r="J73" s="590"/>
      <c r="K73" s="590"/>
      <c r="L73" s="590"/>
      <c r="M73" s="590"/>
      <c r="N73" s="590"/>
      <c r="O73" s="590"/>
      <c r="P73" s="590"/>
      <c r="Q73" s="590"/>
      <c r="R73" s="590"/>
      <c r="S73" s="590"/>
      <c r="T73" s="590"/>
      <c r="U73" s="590"/>
      <c r="V73" s="590"/>
      <c r="W73" s="590"/>
      <c r="X73" s="590"/>
      <c r="Y73" s="590"/>
      <c r="Z73" s="590"/>
    </row>
    <row r="74" ht="12.75" customHeight="1">
      <c r="A74" s="590"/>
      <c r="B74" s="590"/>
      <c r="C74" s="590"/>
      <c r="D74" s="590"/>
      <c r="E74" s="590"/>
      <c r="F74" s="590"/>
      <c r="G74" s="590"/>
      <c r="H74" s="590"/>
      <c r="I74" s="590"/>
      <c r="J74" s="590"/>
      <c r="K74" s="590"/>
      <c r="L74" s="590"/>
      <c r="M74" s="590"/>
      <c r="N74" s="590"/>
      <c r="O74" s="590"/>
      <c r="P74" s="590"/>
      <c r="Q74" s="590"/>
      <c r="R74" s="590"/>
      <c r="S74" s="590"/>
      <c r="T74" s="590"/>
      <c r="U74" s="590"/>
      <c r="V74" s="590"/>
      <c r="W74" s="590"/>
      <c r="X74" s="590"/>
      <c r="Y74" s="590"/>
      <c r="Z74" s="590"/>
    </row>
    <row r="75" ht="12.75" customHeight="1">
      <c r="A75" s="590"/>
      <c r="B75" s="590"/>
      <c r="C75" s="590"/>
      <c r="D75" s="590"/>
      <c r="E75" s="590"/>
      <c r="F75" s="590"/>
      <c r="G75" s="590"/>
      <c r="H75" s="590"/>
      <c r="I75" s="590"/>
      <c r="J75" s="590"/>
      <c r="K75" s="590"/>
      <c r="L75" s="590"/>
      <c r="M75" s="590"/>
      <c r="N75" s="590"/>
      <c r="O75" s="590"/>
      <c r="P75" s="590"/>
      <c r="Q75" s="590"/>
      <c r="R75" s="590"/>
      <c r="S75" s="590"/>
      <c r="T75" s="590"/>
      <c r="U75" s="590"/>
      <c r="V75" s="590"/>
      <c r="W75" s="590"/>
      <c r="X75" s="590"/>
      <c r="Y75" s="590"/>
      <c r="Z75" s="590"/>
    </row>
    <row r="76" ht="12.75" customHeight="1">
      <c r="A76" s="590"/>
      <c r="B76" s="590"/>
      <c r="C76" s="590"/>
      <c r="D76" s="590"/>
      <c r="E76" s="590"/>
      <c r="F76" s="590"/>
      <c r="G76" s="590"/>
      <c r="H76" s="590"/>
      <c r="I76" s="590"/>
      <c r="J76" s="590"/>
      <c r="K76" s="590"/>
      <c r="L76" s="590"/>
      <c r="M76" s="590"/>
      <c r="N76" s="590"/>
      <c r="O76" s="590"/>
      <c r="P76" s="590"/>
      <c r="Q76" s="590"/>
      <c r="R76" s="590"/>
      <c r="S76" s="590"/>
      <c r="T76" s="590"/>
      <c r="U76" s="590"/>
      <c r="V76" s="590"/>
      <c r="W76" s="590"/>
      <c r="X76" s="590"/>
      <c r="Y76" s="590"/>
      <c r="Z76" s="590"/>
    </row>
    <row r="77" ht="12.75" customHeight="1">
      <c r="A77" s="590"/>
      <c r="B77" s="590"/>
      <c r="C77" s="590"/>
      <c r="D77" s="590"/>
      <c r="E77" s="590"/>
      <c r="F77" s="590"/>
      <c r="G77" s="590"/>
      <c r="H77" s="590"/>
      <c r="I77" s="590"/>
      <c r="J77" s="590"/>
      <c r="K77" s="590"/>
      <c r="L77" s="590"/>
      <c r="M77" s="590"/>
      <c r="N77" s="590"/>
      <c r="O77" s="590"/>
      <c r="P77" s="590"/>
      <c r="Q77" s="590"/>
      <c r="R77" s="590"/>
      <c r="S77" s="590"/>
      <c r="T77" s="590"/>
      <c r="U77" s="590"/>
      <c r="V77" s="590"/>
      <c r="W77" s="590"/>
      <c r="X77" s="590"/>
      <c r="Y77" s="590"/>
      <c r="Z77" s="590"/>
    </row>
    <row r="78" ht="12.75" customHeight="1">
      <c r="A78" s="590"/>
      <c r="B78" s="590"/>
      <c r="C78" s="590"/>
      <c r="D78" s="590"/>
      <c r="E78" s="590"/>
      <c r="F78" s="590"/>
      <c r="G78" s="590"/>
      <c r="H78" s="590"/>
      <c r="I78" s="590"/>
      <c r="J78" s="590"/>
      <c r="K78" s="590"/>
      <c r="L78" s="590"/>
      <c r="M78" s="590"/>
      <c r="N78" s="590"/>
      <c r="O78" s="590"/>
      <c r="P78" s="590"/>
      <c r="Q78" s="590"/>
      <c r="R78" s="590"/>
      <c r="S78" s="590"/>
      <c r="T78" s="590"/>
      <c r="U78" s="590"/>
      <c r="V78" s="590"/>
      <c r="W78" s="590"/>
      <c r="X78" s="590"/>
      <c r="Y78" s="590"/>
      <c r="Z78" s="590"/>
    </row>
    <row r="79" ht="12.75" customHeight="1">
      <c r="A79" s="590"/>
      <c r="B79" s="590"/>
      <c r="C79" s="590"/>
      <c r="D79" s="590"/>
      <c r="E79" s="590"/>
      <c r="F79" s="590"/>
      <c r="G79" s="590"/>
      <c r="H79" s="590"/>
      <c r="I79" s="590"/>
      <c r="J79" s="590"/>
      <c r="K79" s="590"/>
      <c r="L79" s="590"/>
      <c r="M79" s="590"/>
      <c r="N79" s="590"/>
      <c r="O79" s="590"/>
      <c r="P79" s="590"/>
      <c r="Q79" s="590"/>
      <c r="R79" s="590"/>
      <c r="S79" s="590"/>
      <c r="T79" s="590"/>
      <c r="U79" s="590"/>
      <c r="V79" s="590"/>
      <c r="W79" s="590"/>
      <c r="X79" s="590"/>
      <c r="Y79" s="590"/>
      <c r="Z79" s="590"/>
    </row>
    <row r="80" ht="12.75" customHeight="1">
      <c r="A80" s="590"/>
      <c r="B80" s="590"/>
      <c r="C80" s="590"/>
      <c r="D80" s="590"/>
      <c r="E80" s="590"/>
      <c r="F80" s="590"/>
      <c r="G80" s="590"/>
      <c r="H80" s="590"/>
      <c r="I80" s="590"/>
      <c r="J80" s="590"/>
      <c r="K80" s="590"/>
      <c r="L80" s="590"/>
      <c r="M80" s="590"/>
      <c r="N80" s="590"/>
      <c r="O80" s="590"/>
      <c r="P80" s="590"/>
      <c r="Q80" s="590"/>
      <c r="R80" s="590"/>
      <c r="S80" s="590"/>
      <c r="T80" s="590"/>
      <c r="U80" s="590"/>
      <c r="V80" s="590"/>
      <c r="W80" s="590"/>
      <c r="X80" s="590"/>
      <c r="Y80" s="590"/>
      <c r="Z80" s="590"/>
    </row>
    <row r="81" ht="12.75" customHeight="1">
      <c r="A81" s="590"/>
      <c r="B81" s="590"/>
      <c r="C81" s="590"/>
      <c r="D81" s="590"/>
      <c r="E81" s="590"/>
      <c r="F81" s="590"/>
      <c r="G81" s="590"/>
      <c r="H81" s="590"/>
      <c r="I81" s="590"/>
      <c r="J81" s="590"/>
      <c r="K81" s="590"/>
      <c r="L81" s="590"/>
      <c r="M81" s="590"/>
      <c r="N81" s="590"/>
      <c r="O81" s="590"/>
      <c r="P81" s="590"/>
      <c r="Q81" s="590"/>
      <c r="R81" s="590"/>
      <c r="S81" s="590"/>
      <c r="T81" s="590"/>
      <c r="U81" s="590"/>
      <c r="V81" s="590"/>
      <c r="W81" s="590"/>
      <c r="X81" s="590"/>
      <c r="Y81" s="590"/>
      <c r="Z81" s="590"/>
    </row>
    <row r="82" ht="12.75" customHeight="1">
      <c r="A82" s="590"/>
      <c r="B82" s="590"/>
      <c r="C82" s="590"/>
      <c r="D82" s="590"/>
      <c r="E82" s="590"/>
      <c r="F82" s="590"/>
      <c r="G82" s="590"/>
      <c r="H82" s="590"/>
      <c r="I82" s="590"/>
      <c r="J82" s="590"/>
      <c r="K82" s="590"/>
      <c r="L82" s="590"/>
      <c r="M82" s="590"/>
      <c r="N82" s="590"/>
      <c r="O82" s="590"/>
      <c r="P82" s="590"/>
      <c r="Q82" s="590"/>
      <c r="R82" s="590"/>
      <c r="S82" s="590"/>
      <c r="T82" s="590"/>
      <c r="U82" s="590"/>
      <c r="V82" s="590"/>
      <c r="W82" s="590"/>
      <c r="X82" s="590"/>
      <c r="Y82" s="590"/>
      <c r="Z82" s="590"/>
    </row>
    <row r="83" ht="12.75" customHeight="1">
      <c r="A83" s="590"/>
      <c r="B83" s="590"/>
      <c r="C83" s="590"/>
      <c r="D83" s="590"/>
      <c r="E83" s="590"/>
      <c r="F83" s="590"/>
      <c r="G83" s="590"/>
      <c r="H83" s="590"/>
      <c r="I83" s="590"/>
      <c r="J83" s="590"/>
      <c r="K83" s="590"/>
      <c r="L83" s="590"/>
      <c r="M83" s="590"/>
      <c r="N83" s="590"/>
      <c r="O83" s="590"/>
      <c r="P83" s="590"/>
      <c r="Q83" s="590"/>
      <c r="R83" s="590"/>
      <c r="S83" s="590"/>
      <c r="T83" s="590"/>
      <c r="U83" s="590"/>
      <c r="V83" s="590"/>
      <c r="W83" s="590"/>
      <c r="X83" s="590"/>
      <c r="Y83" s="590"/>
      <c r="Z83" s="590"/>
    </row>
    <row r="84" ht="12.75" customHeight="1">
      <c r="A84" s="590"/>
      <c r="B84" s="590"/>
      <c r="C84" s="590"/>
      <c r="D84" s="590"/>
      <c r="E84" s="590"/>
      <c r="F84" s="590"/>
      <c r="G84" s="590"/>
      <c r="H84" s="590"/>
      <c r="I84" s="590"/>
      <c r="J84" s="590"/>
      <c r="K84" s="590"/>
      <c r="L84" s="590"/>
      <c r="M84" s="590"/>
      <c r="N84" s="590"/>
      <c r="O84" s="590"/>
      <c r="P84" s="590"/>
      <c r="Q84" s="590"/>
      <c r="R84" s="590"/>
      <c r="S84" s="590"/>
      <c r="T84" s="590"/>
      <c r="U84" s="590"/>
      <c r="V84" s="590"/>
      <c r="W84" s="590"/>
      <c r="X84" s="590"/>
      <c r="Y84" s="590"/>
      <c r="Z84" s="590"/>
    </row>
    <row r="85" ht="12.75" customHeight="1">
      <c r="A85" s="590"/>
      <c r="B85" s="590"/>
      <c r="C85" s="590"/>
      <c r="D85" s="590"/>
      <c r="E85" s="590"/>
      <c r="F85" s="590"/>
      <c r="G85" s="590"/>
      <c r="H85" s="590"/>
      <c r="I85" s="590"/>
      <c r="J85" s="590"/>
      <c r="K85" s="590"/>
      <c r="L85" s="590"/>
      <c r="M85" s="590"/>
      <c r="N85" s="590"/>
      <c r="O85" s="590"/>
      <c r="P85" s="590"/>
      <c r="Q85" s="590"/>
      <c r="R85" s="590"/>
      <c r="S85" s="590"/>
      <c r="T85" s="590"/>
      <c r="U85" s="590"/>
      <c r="V85" s="590"/>
      <c r="W85" s="590"/>
      <c r="X85" s="590"/>
      <c r="Y85" s="590"/>
      <c r="Z85" s="590"/>
    </row>
    <row r="86" ht="12.75" customHeight="1">
      <c r="A86" s="590"/>
      <c r="B86" s="590"/>
      <c r="C86" s="590"/>
      <c r="D86" s="590"/>
      <c r="E86" s="590"/>
      <c r="F86" s="590"/>
      <c r="G86" s="590"/>
      <c r="H86" s="590"/>
      <c r="I86" s="590"/>
      <c r="J86" s="590"/>
      <c r="K86" s="590"/>
      <c r="L86" s="590"/>
      <c r="M86" s="590"/>
      <c r="N86" s="590"/>
      <c r="O86" s="590"/>
      <c r="P86" s="590"/>
      <c r="Q86" s="590"/>
      <c r="R86" s="590"/>
      <c r="S86" s="590"/>
      <c r="T86" s="590"/>
      <c r="U86" s="590"/>
      <c r="V86" s="590"/>
      <c r="W86" s="590"/>
      <c r="X86" s="590"/>
      <c r="Y86" s="590"/>
      <c r="Z86" s="590"/>
    </row>
    <row r="87" ht="12.75" customHeight="1">
      <c r="A87" s="590"/>
      <c r="B87" s="590"/>
      <c r="C87" s="590"/>
      <c r="D87" s="590"/>
      <c r="E87" s="590"/>
      <c r="F87" s="590"/>
      <c r="G87" s="590"/>
      <c r="H87" s="590"/>
      <c r="I87" s="590"/>
      <c r="J87" s="590"/>
      <c r="K87" s="590"/>
      <c r="L87" s="590"/>
      <c r="M87" s="590"/>
      <c r="N87" s="590"/>
      <c r="O87" s="590"/>
      <c r="P87" s="590"/>
      <c r="Q87" s="590"/>
      <c r="R87" s="590"/>
      <c r="S87" s="590"/>
      <c r="T87" s="590"/>
      <c r="U87" s="590"/>
      <c r="V87" s="590"/>
      <c r="W87" s="590"/>
      <c r="X87" s="590"/>
      <c r="Y87" s="590"/>
      <c r="Z87" s="590"/>
    </row>
    <row r="88" ht="12.75" customHeight="1">
      <c r="A88" s="590"/>
      <c r="B88" s="590"/>
      <c r="C88" s="590"/>
      <c r="D88" s="590"/>
      <c r="E88" s="590"/>
      <c r="F88" s="590"/>
      <c r="G88" s="590"/>
      <c r="H88" s="590"/>
      <c r="I88" s="590"/>
      <c r="J88" s="590"/>
      <c r="K88" s="590"/>
      <c r="L88" s="590"/>
      <c r="M88" s="590"/>
      <c r="N88" s="590"/>
      <c r="O88" s="590"/>
      <c r="P88" s="590"/>
      <c r="Q88" s="590"/>
      <c r="R88" s="590"/>
      <c r="S88" s="590"/>
      <c r="T88" s="590"/>
      <c r="U88" s="590"/>
      <c r="V88" s="590"/>
      <c r="W88" s="590"/>
      <c r="X88" s="590"/>
      <c r="Y88" s="590"/>
      <c r="Z88" s="590"/>
    </row>
    <row r="89" ht="12.75" customHeight="1">
      <c r="A89" s="590"/>
      <c r="B89" s="590"/>
      <c r="C89" s="590"/>
      <c r="D89" s="590"/>
      <c r="E89" s="590"/>
      <c r="F89" s="590"/>
      <c r="G89" s="590"/>
      <c r="H89" s="590"/>
      <c r="I89" s="590"/>
      <c r="J89" s="590"/>
      <c r="K89" s="590"/>
      <c r="L89" s="590"/>
      <c r="M89" s="590"/>
      <c r="N89" s="590"/>
      <c r="O89" s="590"/>
      <c r="P89" s="590"/>
      <c r="Q89" s="590"/>
      <c r="R89" s="590"/>
      <c r="S89" s="590"/>
      <c r="T89" s="590"/>
      <c r="U89" s="590"/>
      <c r="V89" s="590"/>
      <c r="W89" s="590"/>
      <c r="X89" s="590"/>
      <c r="Y89" s="590"/>
      <c r="Z89" s="590"/>
    </row>
    <row r="90" ht="12.75" customHeight="1">
      <c r="A90" s="590"/>
      <c r="B90" s="590"/>
      <c r="C90" s="590"/>
      <c r="D90" s="590"/>
      <c r="E90" s="590"/>
      <c r="F90" s="590"/>
      <c r="G90" s="590"/>
      <c r="H90" s="590"/>
      <c r="I90" s="590"/>
      <c r="J90" s="590"/>
      <c r="K90" s="590"/>
      <c r="L90" s="590"/>
      <c r="M90" s="590"/>
      <c r="N90" s="590"/>
      <c r="O90" s="590"/>
      <c r="P90" s="590"/>
      <c r="Q90" s="590"/>
      <c r="R90" s="590"/>
      <c r="S90" s="590"/>
      <c r="T90" s="590"/>
      <c r="U90" s="590"/>
      <c r="V90" s="590"/>
      <c r="W90" s="590"/>
      <c r="X90" s="590"/>
      <c r="Y90" s="590"/>
      <c r="Z90" s="590"/>
    </row>
    <row r="91" ht="12.75" customHeight="1">
      <c r="A91" s="590"/>
      <c r="B91" s="590"/>
      <c r="C91" s="590"/>
      <c r="D91" s="590"/>
      <c r="E91" s="590"/>
      <c r="F91" s="590"/>
      <c r="G91" s="590"/>
      <c r="H91" s="590"/>
      <c r="I91" s="590"/>
      <c r="J91" s="590"/>
      <c r="K91" s="590"/>
      <c r="L91" s="590"/>
      <c r="M91" s="590"/>
      <c r="N91" s="590"/>
      <c r="O91" s="590"/>
      <c r="P91" s="590"/>
      <c r="Q91" s="590"/>
      <c r="R91" s="590"/>
      <c r="S91" s="590"/>
      <c r="T91" s="590"/>
      <c r="U91" s="590"/>
      <c r="V91" s="590"/>
      <c r="W91" s="590"/>
      <c r="X91" s="590"/>
      <c r="Y91" s="590"/>
      <c r="Z91" s="590"/>
    </row>
    <row r="92" ht="12.75" customHeight="1">
      <c r="A92" s="590"/>
      <c r="B92" s="590"/>
      <c r="C92" s="590"/>
      <c r="D92" s="590"/>
      <c r="E92" s="590"/>
      <c r="F92" s="590"/>
      <c r="G92" s="590"/>
      <c r="H92" s="590"/>
      <c r="I92" s="590"/>
      <c r="J92" s="590"/>
      <c r="K92" s="590"/>
      <c r="L92" s="590"/>
      <c r="M92" s="590"/>
      <c r="N92" s="590"/>
      <c r="O92" s="590"/>
      <c r="P92" s="590"/>
      <c r="Q92" s="590"/>
      <c r="R92" s="590"/>
      <c r="S92" s="590"/>
      <c r="T92" s="590"/>
      <c r="U92" s="590"/>
      <c r="V92" s="590"/>
      <c r="W92" s="590"/>
      <c r="X92" s="590"/>
      <c r="Y92" s="590"/>
      <c r="Z92" s="590"/>
    </row>
    <row r="93" ht="12.75" customHeight="1">
      <c r="A93" s="590"/>
      <c r="B93" s="590"/>
      <c r="C93" s="590"/>
      <c r="D93" s="590"/>
      <c r="E93" s="590"/>
      <c r="F93" s="590"/>
      <c r="G93" s="590"/>
      <c r="H93" s="590"/>
      <c r="I93" s="590"/>
      <c r="J93" s="590"/>
      <c r="K93" s="590"/>
      <c r="L93" s="590"/>
      <c r="M93" s="590"/>
      <c r="N93" s="590"/>
      <c r="O93" s="590"/>
      <c r="P93" s="590"/>
      <c r="Q93" s="590"/>
      <c r="R93" s="590"/>
      <c r="S93" s="590"/>
      <c r="T93" s="590"/>
      <c r="U93" s="590"/>
      <c r="V93" s="590"/>
      <c r="W93" s="590"/>
      <c r="X93" s="590"/>
      <c r="Y93" s="590"/>
      <c r="Z93" s="590"/>
    </row>
    <row r="94" ht="12.75" customHeight="1">
      <c r="A94" s="590"/>
      <c r="B94" s="590"/>
      <c r="C94" s="590"/>
      <c r="D94" s="590"/>
      <c r="E94" s="590"/>
      <c r="F94" s="590"/>
      <c r="G94" s="590"/>
      <c r="H94" s="590"/>
      <c r="I94" s="590"/>
      <c r="J94" s="590"/>
      <c r="K94" s="590"/>
      <c r="L94" s="590"/>
      <c r="M94" s="590"/>
      <c r="N94" s="590"/>
      <c r="O94" s="590"/>
      <c r="P94" s="590"/>
      <c r="Q94" s="590"/>
      <c r="R94" s="590"/>
      <c r="S94" s="590"/>
      <c r="T94" s="590"/>
      <c r="U94" s="590"/>
      <c r="V94" s="590"/>
      <c r="W94" s="590"/>
      <c r="X94" s="590"/>
      <c r="Y94" s="590"/>
      <c r="Z94" s="590"/>
    </row>
    <row r="95" ht="12.75" customHeight="1">
      <c r="A95" s="590"/>
      <c r="B95" s="590"/>
      <c r="C95" s="590"/>
      <c r="D95" s="590"/>
      <c r="E95" s="590"/>
      <c r="F95" s="590"/>
      <c r="G95" s="590"/>
      <c r="H95" s="590"/>
      <c r="I95" s="590"/>
      <c r="J95" s="590"/>
      <c r="K95" s="590"/>
      <c r="L95" s="590"/>
      <c r="M95" s="590"/>
      <c r="N95" s="590"/>
      <c r="O95" s="590"/>
      <c r="P95" s="590"/>
      <c r="Q95" s="590"/>
      <c r="R95" s="590"/>
      <c r="S95" s="590"/>
      <c r="T95" s="590"/>
      <c r="U95" s="590"/>
      <c r="V95" s="590"/>
      <c r="W95" s="590"/>
      <c r="X95" s="590"/>
      <c r="Y95" s="590"/>
      <c r="Z95" s="590"/>
    </row>
    <row r="96" ht="12.75" customHeight="1">
      <c r="A96" s="590"/>
      <c r="B96" s="590"/>
      <c r="C96" s="590"/>
      <c r="D96" s="590"/>
      <c r="E96" s="590"/>
      <c r="F96" s="590"/>
      <c r="G96" s="590"/>
      <c r="H96" s="590"/>
      <c r="I96" s="590"/>
      <c r="J96" s="590"/>
      <c r="K96" s="590"/>
      <c r="L96" s="590"/>
      <c r="M96" s="590"/>
      <c r="N96" s="590"/>
      <c r="O96" s="590"/>
      <c r="P96" s="590"/>
      <c r="Q96" s="590"/>
      <c r="R96" s="590"/>
      <c r="S96" s="590"/>
      <c r="T96" s="590"/>
      <c r="U96" s="590"/>
      <c r="V96" s="590"/>
      <c r="W96" s="590"/>
      <c r="X96" s="590"/>
      <c r="Y96" s="590"/>
      <c r="Z96" s="590"/>
    </row>
    <row r="97" ht="12.75" customHeight="1">
      <c r="A97" s="590"/>
      <c r="B97" s="590"/>
      <c r="C97" s="590"/>
      <c r="D97" s="590"/>
      <c r="E97" s="590"/>
      <c r="F97" s="590"/>
      <c r="G97" s="590"/>
      <c r="H97" s="590"/>
      <c r="I97" s="590"/>
      <c r="J97" s="590"/>
      <c r="K97" s="590"/>
      <c r="L97" s="590"/>
      <c r="M97" s="590"/>
      <c r="N97" s="590"/>
      <c r="O97" s="590"/>
      <c r="P97" s="590"/>
      <c r="Q97" s="590"/>
      <c r="R97" s="590"/>
      <c r="S97" s="590"/>
      <c r="T97" s="590"/>
      <c r="U97" s="590"/>
      <c r="V97" s="590"/>
      <c r="W97" s="590"/>
      <c r="X97" s="590"/>
      <c r="Y97" s="590"/>
      <c r="Z97" s="590"/>
    </row>
    <row r="98" ht="12.75" customHeight="1">
      <c r="A98" s="590"/>
      <c r="B98" s="590"/>
      <c r="C98" s="590"/>
      <c r="D98" s="590"/>
      <c r="E98" s="590"/>
      <c r="F98" s="590"/>
      <c r="G98" s="590"/>
      <c r="H98" s="590"/>
      <c r="I98" s="590"/>
      <c r="J98" s="590"/>
      <c r="K98" s="590"/>
      <c r="L98" s="590"/>
      <c r="M98" s="590"/>
      <c r="N98" s="590"/>
      <c r="O98" s="590"/>
      <c r="P98" s="590"/>
      <c r="Q98" s="590"/>
      <c r="R98" s="590"/>
      <c r="S98" s="590"/>
      <c r="T98" s="590"/>
      <c r="U98" s="590"/>
      <c r="V98" s="590"/>
      <c r="W98" s="590"/>
      <c r="X98" s="590"/>
      <c r="Y98" s="590"/>
      <c r="Z98" s="590"/>
    </row>
    <row r="99" ht="12.75" customHeight="1">
      <c r="A99" s="590"/>
      <c r="B99" s="590"/>
      <c r="C99" s="590"/>
      <c r="D99" s="590"/>
      <c r="E99" s="590"/>
      <c r="F99" s="590"/>
      <c r="G99" s="590"/>
      <c r="H99" s="590"/>
      <c r="I99" s="590"/>
      <c r="J99" s="590"/>
      <c r="K99" s="590"/>
      <c r="L99" s="590"/>
      <c r="M99" s="590"/>
      <c r="N99" s="590"/>
      <c r="O99" s="590"/>
      <c r="P99" s="590"/>
      <c r="Q99" s="590"/>
      <c r="R99" s="590"/>
      <c r="S99" s="590"/>
      <c r="T99" s="590"/>
      <c r="U99" s="590"/>
      <c r="V99" s="590"/>
      <c r="W99" s="590"/>
      <c r="X99" s="590"/>
      <c r="Y99" s="590"/>
      <c r="Z99" s="590"/>
    </row>
    <row r="100" ht="12.75" customHeight="1">
      <c r="A100" s="590"/>
      <c r="B100" s="590"/>
      <c r="C100" s="590"/>
      <c r="D100" s="590"/>
      <c r="E100" s="590"/>
      <c r="F100" s="590"/>
      <c r="G100" s="590"/>
      <c r="H100" s="590"/>
      <c r="I100" s="590"/>
      <c r="J100" s="590"/>
      <c r="K100" s="590"/>
      <c r="L100" s="590"/>
      <c r="M100" s="590"/>
      <c r="N100" s="590"/>
      <c r="O100" s="590"/>
      <c r="P100" s="590"/>
      <c r="Q100" s="590"/>
      <c r="R100" s="590"/>
      <c r="S100" s="590"/>
      <c r="T100" s="590"/>
      <c r="U100" s="590"/>
      <c r="V100" s="590"/>
      <c r="W100" s="590"/>
      <c r="X100" s="590"/>
      <c r="Y100" s="590"/>
      <c r="Z100" s="590"/>
    </row>
    <row r="101" ht="12.75" customHeight="1">
      <c r="A101" s="590"/>
      <c r="B101" s="590"/>
      <c r="C101" s="590"/>
      <c r="D101" s="590"/>
      <c r="E101" s="590"/>
      <c r="F101" s="590"/>
      <c r="G101" s="590"/>
      <c r="H101" s="590"/>
      <c r="I101" s="590"/>
      <c r="J101" s="590"/>
      <c r="K101" s="590"/>
      <c r="L101" s="590"/>
      <c r="M101" s="590"/>
      <c r="N101" s="590"/>
      <c r="O101" s="590"/>
      <c r="P101" s="590"/>
      <c r="Q101" s="590"/>
      <c r="R101" s="590"/>
      <c r="S101" s="590"/>
      <c r="T101" s="590"/>
      <c r="U101" s="590"/>
      <c r="V101" s="590"/>
      <c r="W101" s="590"/>
      <c r="X101" s="590"/>
      <c r="Y101" s="590"/>
      <c r="Z101" s="590"/>
    </row>
    <row r="102" ht="12.75" customHeight="1">
      <c r="A102" s="590"/>
      <c r="B102" s="590"/>
      <c r="C102" s="590"/>
      <c r="D102" s="590"/>
      <c r="E102" s="590"/>
      <c r="F102" s="590"/>
      <c r="G102" s="590"/>
      <c r="H102" s="590"/>
      <c r="I102" s="590"/>
      <c r="J102" s="590"/>
      <c r="K102" s="590"/>
      <c r="L102" s="590"/>
      <c r="M102" s="590"/>
      <c r="N102" s="590"/>
      <c r="O102" s="590"/>
      <c r="P102" s="590"/>
      <c r="Q102" s="590"/>
      <c r="R102" s="590"/>
      <c r="S102" s="590"/>
      <c r="T102" s="590"/>
      <c r="U102" s="590"/>
      <c r="V102" s="590"/>
      <c r="W102" s="590"/>
      <c r="X102" s="590"/>
      <c r="Y102" s="590"/>
      <c r="Z102" s="590"/>
    </row>
    <row r="103" ht="12.75" customHeight="1">
      <c r="A103" s="590"/>
      <c r="B103" s="590"/>
      <c r="C103" s="590"/>
      <c r="D103" s="590"/>
      <c r="E103" s="590"/>
      <c r="F103" s="590"/>
      <c r="G103" s="590"/>
      <c r="H103" s="590"/>
      <c r="I103" s="590"/>
      <c r="J103" s="590"/>
      <c r="K103" s="590"/>
      <c r="L103" s="590"/>
      <c r="M103" s="590"/>
      <c r="N103" s="590"/>
      <c r="O103" s="590"/>
      <c r="P103" s="590"/>
      <c r="Q103" s="590"/>
      <c r="R103" s="590"/>
      <c r="S103" s="590"/>
      <c r="T103" s="590"/>
      <c r="U103" s="590"/>
      <c r="V103" s="590"/>
      <c r="W103" s="590"/>
      <c r="X103" s="590"/>
      <c r="Y103" s="590"/>
      <c r="Z103" s="590"/>
    </row>
    <row r="104" ht="12.75" customHeight="1">
      <c r="A104" s="590"/>
      <c r="B104" s="590"/>
      <c r="C104" s="590"/>
      <c r="D104" s="590"/>
      <c r="E104" s="590"/>
      <c r="F104" s="590"/>
      <c r="G104" s="590"/>
      <c r="H104" s="590"/>
      <c r="I104" s="590"/>
      <c r="J104" s="590"/>
      <c r="K104" s="590"/>
      <c r="L104" s="590"/>
      <c r="M104" s="590"/>
      <c r="N104" s="590"/>
      <c r="O104" s="590"/>
      <c r="P104" s="590"/>
      <c r="Q104" s="590"/>
      <c r="R104" s="590"/>
      <c r="S104" s="590"/>
      <c r="T104" s="590"/>
      <c r="U104" s="590"/>
      <c r="V104" s="590"/>
      <c r="W104" s="590"/>
      <c r="X104" s="590"/>
      <c r="Y104" s="590"/>
      <c r="Z104" s="590"/>
    </row>
    <row r="105" ht="12.75" customHeight="1">
      <c r="A105" s="590"/>
      <c r="B105" s="590"/>
      <c r="C105" s="590"/>
      <c r="D105" s="590"/>
      <c r="E105" s="590"/>
      <c r="F105" s="590"/>
      <c r="G105" s="590"/>
      <c r="H105" s="590"/>
      <c r="I105" s="590"/>
      <c r="J105" s="590"/>
      <c r="K105" s="590"/>
      <c r="L105" s="590"/>
      <c r="M105" s="590"/>
      <c r="N105" s="590"/>
      <c r="O105" s="590"/>
      <c r="P105" s="590"/>
      <c r="Q105" s="590"/>
      <c r="R105" s="590"/>
      <c r="S105" s="590"/>
      <c r="T105" s="590"/>
      <c r="U105" s="590"/>
      <c r="V105" s="590"/>
      <c r="W105" s="590"/>
      <c r="X105" s="590"/>
      <c r="Y105" s="590"/>
      <c r="Z105" s="590"/>
    </row>
    <row r="106" ht="12.75" customHeight="1">
      <c r="A106" s="590"/>
      <c r="B106" s="590"/>
      <c r="C106" s="590"/>
      <c r="D106" s="590"/>
      <c r="E106" s="590"/>
      <c r="F106" s="590"/>
      <c r="G106" s="590"/>
      <c r="H106" s="590"/>
      <c r="I106" s="590"/>
      <c r="J106" s="590"/>
      <c r="K106" s="590"/>
      <c r="L106" s="590"/>
      <c r="M106" s="590"/>
      <c r="N106" s="590"/>
      <c r="O106" s="590"/>
      <c r="P106" s="590"/>
      <c r="Q106" s="590"/>
      <c r="R106" s="590"/>
      <c r="S106" s="590"/>
      <c r="T106" s="590"/>
      <c r="U106" s="590"/>
      <c r="V106" s="590"/>
      <c r="W106" s="590"/>
      <c r="X106" s="590"/>
      <c r="Y106" s="590"/>
      <c r="Z106" s="590"/>
    </row>
    <row r="107" ht="12.75" customHeight="1">
      <c r="A107" s="590"/>
      <c r="B107" s="590"/>
      <c r="C107" s="590"/>
      <c r="D107" s="590"/>
      <c r="E107" s="590"/>
      <c r="F107" s="590"/>
      <c r="G107" s="590"/>
      <c r="H107" s="590"/>
      <c r="I107" s="590"/>
      <c r="J107" s="590"/>
      <c r="K107" s="590"/>
      <c r="L107" s="590"/>
      <c r="M107" s="590"/>
      <c r="N107" s="590"/>
      <c r="O107" s="590"/>
      <c r="P107" s="590"/>
      <c r="Q107" s="590"/>
      <c r="R107" s="590"/>
      <c r="S107" s="590"/>
      <c r="T107" s="590"/>
      <c r="U107" s="590"/>
      <c r="V107" s="590"/>
      <c r="W107" s="590"/>
      <c r="X107" s="590"/>
      <c r="Y107" s="590"/>
      <c r="Z107" s="590"/>
    </row>
    <row r="108" ht="12.75" customHeight="1">
      <c r="A108" s="590"/>
      <c r="B108" s="590"/>
      <c r="C108" s="590"/>
      <c r="D108" s="590"/>
      <c r="E108" s="590"/>
      <c r="F108" s="590"/>
      <c r="G108" s="590"/>
      <c r="H108" s="590"/>
      <c r="I108" s="590"/>
      <c r="J108" s="590"/>
      <c r="K108" s="590"/>
      <c r="L108" s="590"/>
      <c r="M108" s="590"/>
      <c r="N108" s="590"/>
      <c r="O108" s="590"/>
      <c r="P108" s="590"/>
      <c r="Q108" s="590"/>
      <c r="R108" s="590"/>
      <c r="S108" s="590"/>
      <c r="T108" s="590"/>
      <c r="U108" s="590"/>
      <c r="V108" s="590"/>
      <c r="W108" s="590"/>
      <c r="X108" s="590"/>
      <c r="Y108" s="590"/>
      <c r="Z108" s="590"/>
    </row>
    <row r="109" ht="12.75" customHeight="1">
      <c r="A109" s="590"/>
      <c r="B109" s="590"/>
      <c r="C109" s="590"/>
      <c r="D109" s="590"/>
      <c r="E109" s="590"/>
      <c r="F109" s="590"/>
      <c r="G109" s="590"/>
      <c r="H109" s="590"/>
      <c r="I109" s="590"/>
      <c r="J109" s="590"/>
      <c r="K109" s="590"/>
      <c r="L109" s="590"/>
      <c r="M109" s="590"/>
      <c r="N109" s="590"/>
      <c r="O109" s="590"/>
      <c r="P109" s="590"/>
      <c r="Q109" s="590"/>
      <c r="R109" s="590"/>
      <c r="S109" s="590"/>
      <c r="T109" s="590"/>
      <c r="U109" s="590"/>
      <c r="V109" s="590"/>
      <c r="W109" s="590"/>
      <c r="X109" s="590"/>
      <c r="Y109" s="590"/>
      <c r="Z109" s="590"/>
    </row>
    <row r="110" ht="12.75" customHeight="1">
      <c r="A110" s="590"/>
      <c r="B110" s="590"/>
      <c r="C110" s="590"/>
      <c r="D110" s="590"/>
      <c r="E110" s="590"/>
      <c r="F110" s="590"/>
      <c r="G110" s="590"/>
      <c r="H110" s="590"/>
      <c r="I110" s="590"/>
      <c r="J110" s="590"/>
      <c r="K110" s="590"/>
      <c r="L110" s="590"/>
      <c r="M110" s="590"/>
      <c r="N110" s="590"/>
      <c r="O110" s="590"/>
      <c r="P110" s="590"/>
      <c r="Q110" s="590"/>
      <c r="R110" s="590"/>
      <c r="S110" s="590"/>
      <c r="T110" s="590"/>
      <c r="U110" s="590"/>
      <c r="V110" s="590"/>
      <c r="W110" s="590"/>
      <c r="X110" s="590"/>
      <c r="Y110" s="590"/>
      <c r="Z110" s="590"/>
    </row>
    <row r="111" ht="12.75" customHeight="1">
      <c r="A111" s="590"/>
      <c r="B111" s="590"/>
      <c r="C111" s="590"/>
      <c r="D111" s="590"/>
      <c r="E111" s="590"/>
      <c r="F111" s="590"/>
      <c r="G111" s="590"/>
      <c r="H111" s="590"/>
      <c r="I111" s="590"/>
      <c r="J111" s="590"/>
      <c r="K111" s="590"/>
      <c r="L111" s="590"/>
      <c r="M111" s="590"/>
      <c r="N111" s="590"/>
      <c r="O111" s="590"/>
      <c r="P111" s="590"/>
      <c r="Q111" s="590"/>
      <c r="R111" s="590"/>
      <c r="S111" s="590"/>
      <c r="T111" s="590"/>
      <c r="U111" s="590"/>
      <c r="V111" s="590"/>
      <c r="W111" s="590"/>
      <c r="X111" s="590"/>
      <c r="Y111" s="590"/>
      <c r="Z111" s="590"/>
    </row>
    <row r="112" ht="12.75" customHeight="1">
      <c r="A112" s="590"/>
      <c r="B112" s="590"/>
      <c r="C112" s="590"/>
      <c r="D112" s="590"/>
      <c r="E112" s="590"/>
      <c r="F112" s="590"/>
      <c r="G112" s="590"/>
      <c r="H112" s="590"/>
      <c r="I112" s="590"/>
      <c r="J112" s="590"/>
      <c r="K112" s="590"/>
      <c r="L112" s="590"/>
      <c r="M112" s="590"/>
      <c r="N112" s="590"/>
      <c r="O112" s="590"/>
      <c r="P112" s="590"/>
      <c r="Q112" s="590"/>
      <c r="R112" s="590"/>
      <c r="S112" s="590"/>
      <c r="T112" s="590"/>
      <c r="U112" s="590"/>
      <c r="V112" s="590"/>
      <c r="W112" s="590"/>
      <c r="X112" s="590"/>
      <c r="Y112" s="590"/>
      <c r="Z112" s="590"/>
    </row>
    <row r="113" ht="12.75" customHeight="1">
      <c r="A113" s="590"/>
      <c r="B113" s="590"/>
      <c r="C113" s="590"/>
      <c r="D113" s="590"/>
      <c r="E113" s="590"/>
      <c r="F113" s="590"/>
      <c r="G113" s="590"/>
      <c r="H113" s="590"/>
      <c r="I113" s="590"/>
      <c r="J113" s="590"/>
      <c r="K113" s="590"/>
      <c r="L113" s="590"/>
      <c r="M113" s="590"/>
      <c r="N113" s="590"/>
      <c r="O113" s="590"/>
      <c r="P113" s="590"/>
      <c r="Q113" s="590"/>
      <c r="R113" s="590"/>
      <c r="S113" s="590"/>
      <c r="T113" s="590"/>
      <c r="U113" s="590"/>
      <c r="V113" s="590"/>
      <c r="W113" s="590"/>
      <c r="X113" s="590"/>
      <c r="Y113" s="590"/>
      <c r="Z113" s="590"/>
    </row>
    <row r="114" ht="12.75" customHeight="1">
      <c r="A114" s="590"/>
      <c r="B114" s="590"/>
      <c r="C114" s="590"/>
      <c r="D114" s="590"/>
      <c r="E114" s="590"/>
      <c r="F114" s="590"/>
      <c r="G114" s="590"/>
      <c r="H114" s="590"/>
      <c r="I114" s="590"/>
      <c r="J114" s="590"/>
      <c r="K114" s="590"/>
      <c r="L114" s="590"/>
      <c r="M114" s="590"/>
      <c r="N114" s="590"/>
      <c r="O114" s="590"/>
      <c r="P114" s="590"/>
      <c r="Q114" s="590"/>
      <c r="R114" s="590"/>
      <c r="S114" s="590"/>
      <c r="T114" s="590"/>
      <c r="U114" s="590"/>
      <c r="V114" s="590"/>
      <c r="W114" s="590"/>
      <c r="X114" s="590"/>
      <c r="Y114" s="590"/>
      <c r="Z114" s="590"/>
    </row>
    <row r="115" ht="12.75" customHeight="1">
      <c r="A115" s="590"/>
      <c r="B115" s="590"/>
      <c r="C115" s="590"/>
      <c r="D115" s="590"/>
      <c r="E115" s="590"/>
      <c r="F115" s="590"/>
      <c r="G115" s="590"/>
      <c r="H115" s="590"/>
      <c r="I115" s="590"/>
      <c r="J115" s="590"/>
      <c r="K115" s="590"/>
      <c r="L115" s="590"/>
      <c r="M115" s="590"/>
      <c r="N115" s="590"/>
      <c r="O115" s="590"/>
      <c r="P115" s="590"/>
      <c r="Q115" s="590"/>
      <c r="R115" s="590"/>
      <c r="S115" s="590"/>
      <c r="T115" s="590"/>
      <c r="U115" s="590"/>
      <c r="V115" s="590"/>
      <c r="W115" s="590"/>
      <c r="X115" s="590"/>
      <c r="Y115" s="590"/>
      <c r="Z115" s="590"/>
    </row>
    <row r="116" ht="12.75" customHeight="1">
      <c r="A116" s="590"/>
      <c r="B116" s="590"/>
      <c r="C116" s="590"/>
      <c r="D116" s="590"/>
      <c r="E116" s="590"/>
      <c r="F116" s="590"/>
      <c r="G116" s="590"/>
      <c r="H116" s="590"/>
      <c r="I116" s="590"/>
      <c r="J116" s="590"/>
      <c r="K116" s="590"/>
      <c r="L116" s="590"/>
      <c r="M116" s="590"/>
      <c r="N116" s="590"/>
      <c r="O116" s="590"/>
      <c r="P116" s="590"/>
      <c r="Q116" s="590"/>
      <c r="R116" s="590"/>
      <c r="S116" s="590"/>
      <c r="T116" s="590"/>
      <c r="U116" s="590"/>
      <c r="V116" s="590"/>
      <c r="W116" s="590"/>
      <c r="X116" s="590"/>
      <c r="Y116" s="590"/>
      <c r="Z116" s="590"/>
    </row>
    <row r="117" ht="12.75" customHeight="1">
      <c r="A117" s="590"/>
      <c r="B117" s="590"/>
      <c r="C117" s="590"/>
      <c r="D117" s="590"/>
      <c r="E117" s="590"/>
      <c r="F117" s="590"/>
      <c r="G117" s="590"/>
      <c r="H117" s="590"/>
      <c r="I117" s="590"/>
      <c r="J117" s="590"/>
      <c r="K117" s="590"/>
      <c r="L117" s="590"/>
      <c r="M117" s="590"/>
      <c r="N117" s="590"/>
      <c r="O117" s="590"/>
      <c r="P117" s="590"/>
      <c r="Q117" s="590"/>
      <c r="R117" s="590"/>
      <c r="S117" s="590"/>
      <c r="T117" s="590"/>
      <c r="U117" s="590"/>
      <c r="V117" s="590"/>
      <c r="W117" s="590"/>
      <c r="X117" s="590"/>
      <c r="Y117" s="590"/>
      <c r="Z117" s="590"/>
    </row>
    <row r="118" ht="12.75" customHeight="1">
      <c r="A118" s="590"/>
      <c r="B118" s="590"/>
      <c r="C118" s="590"/>
      <c r="D118" s="590"/>
      <c r="E118" s="590"/>
      <c r="F118" s="590"/>
      <c r="G118" s="590"/>
      <c r="H118" s="590"/>
      <c r="I118" s="590"/>
      <c r="J118" s="590"/>
      <c r="K118" s="590"/>
      <c r="L118" s="590"/>
      <c r="M118" s="590"/>
      <c r="N118" s="590"/>
      <c r="O118" s="590"/>
      <c r="P118" s="590"/>
      <c r="Q118" s="590"/>
      <c r="R118" s="590"/>
      <c r="S118" s="590"/>
      <c r="T118" s="590"/>
      <c r="U118" s="590"/>
      <c r="V118" s="590"/>
      <c r="W118" s="590"/>
      <c r="X118" s="590"/>
      <c r="Y118" s="590"/>
      <c r="Z118" s="590"/>
    </row>
    <row r="119" ht="12.75" customHeight="1">
      <c r="A119" s="590"/>
      <c r="B119" s="590"/>
      <c r="C119" s="590"/>
      <c r="D119" s="590"/>
      <c r="E119" s="590"/>
      <c r="F119" s="590"/>
      <c r="G119" s="590"/>
      <c r="H119" s="590"/>
      <c r="I119" s="590"/>
      <c r="J119" s="590"/>
      <c r="K119" s="590"/>
      <c r="L119" s="590"/>
      <c r="M119" s="590"/>
      <c r="N119" s="590"/>
      <c r="O119" s="590"/>
      <c r="P119" s="590"/>
      <c r="Q119" s="590"/>
      <c r="R119" s="590"/>
      <c r="S119" s="590"/>
      <c r="T119" s="590"/>
      <c r="U119" s="590"/>
      <c r="V119" s="590"/>
      <c r="W119" s="590"/>
      <c r="X119" s="590"/>
      <c r="Y119" s="590"/>
      <c r="Z119" s="590"/>
    </row>
    <row r="120" ht="12.75" customHeight="1">
      <c r="A120" s="590"/>
      <c r="B120" s="590"/>
      <c r="C120" s="590"/>
      <c r="D120" s="590"/>
      <c r="E120" s="590"/>
      <c r="F120" s="590"/>
      <c r="G120" s="590"/>
      <c r="H120" s="590"/>
      <c r="I120" s="590"/>
      <c r="J120" s="590"/>
      <c r="K120" s="590"/>
      <c r="L120" s="590"/>
      <c r="M120" s="590"/>
      <c r="N120" s="590"/>
      <c r="O120" s="590"/>
      <c r="P120" s="590"/>
      <c r="Q120" s="590"/>
      <c r="R120" s="590"/>
      <c r="S120" s="590"/>
      <c r="T120" s="590"/>
      <c r="U120" s="590"/>
      <c r="V120" s="590"/>
      <c r="W120" s="590"/>
      <c r="X120" s="590"/>
      <c r="Y120" s="590"/>
      <c r="Z120" s="590"/>
    </row>
    <row r="121" ht="12.75" customHeight="1">
      <c r="A121" s="590"/>
      <c r="B121" s="590"/>
      <c r="C121" s="590"/>
      <c r="D121" s="590"/>
      <c r="E121" s="590"/>
      <c r="F121" s="590"/>
      <c r="G121" s="590"/>
      <c r="H121" s="590"/>
      <c r="I121" s="590"/>
      <c r="J121" s="590"/>
      <c r="K121" s="590"/>
      <c r="L121" s="590"/>
      <c r="M121" s="590"/>
      <c r="N121" s="590"/>
      <c r="O121" s="590"/>
      <c r="P121" s="590"/>
      <c r="Q121" s="590"/>
      <c r="R121" s="590"/>
      <c r="S121" s="590"/>
      <c r="T121" s="590"/>
      <c r="U121" s="590"/>
      <c r="V121" s="590"/>
      <c r="W121" s="590"/>
      <c r="X121" s="590"/>
      <c r="Y121" s="590"/>
      <c r="Z121" s="590"/>
    </row>
    <row r="122" ht="12.75" customHeight="1">
      <c r="A122" s="590"/>
      <c r="B122" s="590"/>
      <c r="C122" s="590"/>
      <c r="D122" s="590"/>
      <c r="E122" s="590"/>
      <c r="F122" s="590"/>
      <c r="G122" s="590"/>
      <c r="H122" s="590"/>
      <c r="I122" s="590"/>
      <c r="J122" s="590"/>
      <c r="K122" s="590"/>
      <c r="L122" s="590"/>
      <c r="M122" s="590"/>
      <c r="N122" s="590"/>
      <c r="O122" s="590"/>
      <c r="P122" s="590"/>
      <c r="Q122" s="590"/>
      <c r="R122" s="590"/>
      <c r="S122" s="590"/>
      <c r="T122" s="590"/>
      <c r="U122" s="590"/>
      <c r="V122" s="590"/>
      <c r="W122" s="590"/>
      <c r="X122" s="590"/>
      <c r="Y122" s="590"/>
      <c r="Z122" s="590"/>
    </row>
    <row r="123" ht="12.75" customHeight="1">
      <c r="A123" s="590"/>
      <c r="B123" s="590"/>
      <c r="C123" s="590"/>
      <c r="D123" s="590"/>
      <c r="E123" s="590"/>
      <c r="F123" s="590"/>
      <c r="G123" s="590"/>
      <c r="H123" s="590"/>
      <c r="I123" s="590"/>
      <c r="J123" s="590"/>
      <c r="K123" s="590"/>
      <c r="L123" s="590"/>
      <c r="M123" s="590"/>
      <c r="N123" s="590"/>
      <c r="O123" s="590"/>
      <c r="P123" s="590"/>
      <c r="Q123" s="590"/>
      <c r="R123" s="590"/>
      <c r="S123" s="590"/>
      <c r="T123" s="590"/>
      <c r="U123" s="590"/>
      <c r="V123" s="590"/>
      <c r="W123" s="590"/>
      <c r="X123" s="590"/>
      <c r="Y123" s="590"/>
      <c r="Z123" s="590"/>
    </row>
    <row r="124" ht="12.75" customHeight="1">
      <c r="A124" s="590"/>
      <c r="B124" s="590"/>
      <c r="C124" s="590"/>
      <c r="D124" s="590"/>
      <c r="E124" s="590"/>
      <c r="F124" s="590"/>
      <c r="G124" s="590"/>
      <c r="H124" s="590"/>
      <c r="I124" s="590"/>
      <c r="J124" s="590"/>
      <c r="K124" s="590"/>
      <c r="L124" s="590"/>
      <c r="M124" s="590"/>
      <c r="N124" s="590"/>
      <c r="O124" s="590"/>
      <c r="P124" s="590"/>
      <c r="Q124" s="590"/>
      <c r="R124" s="590"/>
      <c r="S124" s="590"/>
      <c r="T124" s="590"/>
      <c r="U124" s="590"/>
      <c r="V124" s="590"/>
      <c r="W124" s="590"/>
      <c r="X124" s="590"/>
      <c r="Y124" s="590"/>
      <c r="Z124" s="590"/>
    </row>
    <row r="125" ht="12.75" customHeight="1">
      <c r="A125" s="590"/>
      <c r="B125" s="590"/>
      <c r="C125" s="590"/>
      <c r="D125" s="590"/>
      <c r="E125" s="590"/>
      <c r="F125" s="590"/>
      <c r="G125" s="590"/>
      <c r="H125" s="590"/>
      <c r="I125" s="590"/>
      <c r="J125" s="590"/>
      <c r="K125" s="590"/>
      <c r="L125" s="590"/>
      <c r="M125" s="590"/>
      <c r="N125" s="590"/>
      <c r="O125" s="590"/>
      <c r="P125" s="590"/>
      <c r="Q125" s="590"/>
      <c r="R125" s="590"/>
      <c r="S125" s="590"/>
      <c r="T125" s="590"/>
      <c r="U125" s="590"/>
      <c r="V125" s="590"/>
      <c r="W125" s="590"/>
      <c r="X125" s="590"/>
      <c r="Y125" s="590"/>
      <c r="Z125" s="590"/>
    </row>
    <row r="126" ht="12.75" customHeight="1">
      <c r="A126" s="590"/>
      <c r="B126" s="590"/>
      <c r="C126" s="590"/>
      <c r="D126" s="590"/>
      <c r="E126" s="590"/>
      <c r="F126" s="590"/>
      <c r="G126" s="590"/>
      <c r="H126" s="590"/>
      <c r="I126" s="590"/>
      <c r="J126" s="590"/>
      <c r="K126" s="590"/>
      <c r="L126" s="590"/>
      <c r="M126" s="590"/>
      <c r="N126" s="590"/>
      <c r="O126" s="590"/>
      <c r="P126" s="590"/>
      <c r="Q126" s="590"/>
      <c r="R126" s="590"/>
      <c r="S126" s="590"/>
      <c r="T126" s="590"/>
      <c r="U126" s="590"/>
      <c r="V126" s="590"/>
      <c r="W126" s="590"/>
      <c r="X126" s="590"/>
      <c r="Y126" s="590"/>
      <c r="Z126" s="590"/>
    </row>
    <row r="127" ht="12.75" customHeight="1">
      <c r="A127" s="590"/>
      <c r="B127" s="590"/>
      <c r="C127" s="590"/>
      <c r="D127" s="590"/>
      <c r="E127" s="590"/>
      <c r="F127" s="590"/>
      <c r="G127" s="590"/>
      <c r="H127" s="590"/>
      <c r="I127" s="590"/>
      <c r="J127" s="590"/>
      <c r="K127" s="590"/>
      <c r="L127" s="590"/>
      <c r="M127" s="590"/>
      <c r="N127" s="590"/>
      <c r="O127" s="590"/>
      <c r="P127" s="590"/>
      <c r="Q127" s="590"/>
      <c r="R127" s="590"/>
      <c r="S127" s="590"/>
      <c r="T127" s="590"/>
      <c r="U127" s="590"/>
      <c r="V127" s="590"/>
      <c r="W127" s="590"/>
      <c r="X127" s="590"/>
      <c r="Y127" s="590"/>
      <c r="Z127" s="590"/>
    </row>
    <row r="128" ht="12.75" customHeight="1">
      <c r="A128" s="590"/>
      <c r="B128" s="590"/>
      <c r="C128" s="590"/>
      <c r="D128" s="590"/>
      <c r="E128" s="590"/>
      <c r="F128" s="590"/>
      <c r="G128" s="590"/>
      <c r="H128" s="590"/>
      <c r="I128" s="590"/>
      <c r="J128" s="590"/>
      <c r="K128" s="590"/>
      <c r="L128" s="590"/>
      <c r="M128" s="590"/>
      <c r="N128" s="590"/>
      <c r="O128" s="590"/>
      <c r="P128" s="590"/>
      <c r="Q128" s="590"/>
      <c r="R128" s="590"/>
      <c r="S128" s="590"/>
      <c r="T128" s="590"/>
      <c r="U128" s="590"/>
      <c r="V128" s="590"/>
      <c r="W128" s="590"/>
      <c r="X128" s="590"/>
      <c r="Y128" s="590"/>
      <c r="Z128" s="590"/>
    </row>
    <row r="129" ht="12.75" customHeight="1">
      <c r="A129" s="590"/>
      <c r="B129" s="590"/>
      <c r="C129" s="590"/>
      <c r="D129" s="590"/>
      <c r="E129" s="590"/>
      <c r="F129" s="590"/>
      <c r="G129" s="590"/>
      <c r="H129" s="590"/>
      <c r="I129" s="590"/>
      <c r="J129" s="590"/>
      <c r="K129" s="590"/>
      <c r="L129" s="590"/>
      <c r="M129" s="590"/>
      <c r="N129" s="590"/>
      <c r="O129" s="590"/>
      <c r="P129" s="590"/>
      <c r="Q129" s="590"/>
      <c r="R129" s="590"/>
      <c r="S129" s="590"/>
      <c r="T129" s="590"/>
      <c r="U129" s="590"/>
      <c r="V129" s="590"/>
      <c r="W129" s="590"/>
      <c r="X129" s="590"/>
      <c r="Y129" s="590"/>
      <c r="Z129" s="590"/>
    </row>
    <row r="130" ht="12.75" customHeight="1">
      <c r="A130" s="590"/>
      <c r="B130" s="590"/>
      <c r="C130" s="590"/>
      <c r="D130" s="590"/>
      <c r="E130" s="590"/>
      <c r="F130" s="590"/>
      <c r="G130" s="590"/>
      <c r="H130" s="590"/>
      <c r="I130" s="590"/>
      <c r="J130" s="590"/>
      <c r="K130" s="590"/>
      <c r="L130" s="590"/>
      <c r="M130" s="590"/>
      <c r="N130" s="590"/>
      <c r="O130" s="590"/>
      <c r="P130" s="590"/>
      <c r="Q130" s="590"/>
      <c r="R130" s="590"/>
      <c r="S130" s="590"/>
      <c r="T130" s="590"/>
      <c r="U130" s="590"/>
      <c r="V130" s="590"/>
      <c r="W130" s="590"/>
      <c r="X130" s="590"/>
      <c r="Y130" s="590"/>
      <c r="Z130" s="590"/>
    </row>
    <row r="131" ht="12.75" customHeight="1">
      <c r="A131" s="590"/>
      <c r="B131" s="590"/>
      <c r="C131" s="590"/>
      <c r="D131" s="590"/>
      <c r="E131" s="590"/>
      <c r="F131" s="590"/>
      <c r="G131" s="590"/>
      <c r="H131" s="590"/>
      <c r="I131" s="590"/>
      <c r="J131" s="590"/>
      <c r="K131" s="590"/>
      <c r="L131" s="590"/>
      <c r="M131" s="590"/>
      <c r="N131" s="590"/>
      <c r="O131" s="590"/>
      <c r="P131" s="590"/>
      <c r="Q131" s="590"/>
      <c r="R131" s="590"/>
      <c r="S131" s="590"/>
      <c r="T131" s="590"/>
      <c r="U131" s="590"/>
      <c r="V131" s="590"/>
      <c r="W131" s="590"/>
      <c r="X131" s="590"/>
      <c r="Y131" s="590"/>
      <c r="Z131" s="590"/>
    </row>
    <row r="132" ht="12.75" customHeight="1">
      <c r="A132" s="590"/>
      <c r="B132" s="590"/>
      <c r="C132" s="590"/>
      <c r="D132" s="590"/>
      <c r="E132" s="590"/>
      <c r="F132" s="590"/>
      <c r="G132" s="590"/>
      <c r="H132" s="590"/>
      <c r="I132" s="590"/>
      <c r="J132" s="590"/>
      <c r="K132" s="590"/>
      <c r="L132" s="590"/>
      <c r="M132" s="590"/>
      <c r="N132" s="590"/>
      <c r="O132" s="590"/>
      <c r="P132" s="590"/>
      <c r="Q132" s="590"/>
      <c r="R132" s="590"/>
      <c r="S132" s="590"/>
      <c r="T132" s="590"/>
      <c r="U132" s="590"/>
      <c r="V132" s="590"/>
      <c r="W132" s="590"/>
      <c r="X132" s="590"/>
      <c r="Y132" s="590"/>
      <c r="Z132" s="590"/>
    </row>
    <row r="133" ht="12.75" customHeight="1">
      <c r="A133" s="590"/>
      <c r="B133" s="590"/>
      <c r="C133" s="590"/>
      <c r="D133" s="590"/>
      <c r="E133" s="590"/>
      <c r="F133" s="590"/>
      <c r="G133" s="590"/>
      <c r="H133" s="590"/>
      <c r="I133" s="590"/>
      <c r="J133" s="590"/>
      <c r="K133" s="590"/>
      <c r="L133" s="590"/>
      <c r="M133" s="590"/>
      <c r="N133" s="590"/>
      <c r="O133" s="590"/>
      <c r="P133" s="590"/>
      <c r="Q133" s="590"/>
      <c r="R133" s="590"/>
      <c r="S133" s="590"/>
      <c r="T133" s="590"/>
      <c r="U133" s="590"/>
      <c r="V133" s="590"/>
      <c r="W133" s="590"/>
      <c r="X133" s="590"/>
      <c r="Y133" s="590"/>
      <c r="Z133" s="590"/>
    </row>
    <row r="134" ht="12.75" customHeight="1">
      <c r="A134" s="590"/>
      <c r="B134" s="590"/>
      <c r="C134" s="590"/>
      <c r="D134" s="590"/>
      <c r="E134" s="590"/>
      <c r="F134" s="590"/>
      <c r="G134" s="590"/>
      <c r="H134" s="590"/>
      <c r="I134" s="590"/>
      <c r="J134" s="590"/>
      <c r="K134" s="590"/>
      <c r="L134" s="590"/>
      <c r="M134" s="590"/>
      <c r="N134" s="590"/>
      <c r="O134" s="590"/>
      <c r="P134" s="590"/>
      <c r="Q134" s="590"/>
      <c r="R134" s="590"/>
      <c r="S134" s="590"/>
      <c r="T134" s="590"/>
      <c r="U134" s="590"/>
      <c r="V134" s="590"/>
      <c r="W134" s="590"/>
      <c r="X134" s="590"/>
      <c r="Y134" s="590"/>
      <c r="Z134" s="590"/>
    </row>
    <row r="135" ht="12.75" customHeight="1">
      <c r="A135" s="590"/>
      <c r="B135" s="590"/>
      <c r="C135" s="590"/>
      <c r="D135" s="590"/>
      <c r="E135" s="590"/>
      <c r="F135" s="590"/>
      <c r="G135" s="590"/>
      <c r="H135" s="590"/>
      <c r="I135" s="590"/>
      <c r="J135" s="590"/>
      <c r="K135" s="590"/>
      <c r="L135" s="590"/>
      <c r="M135" s="590"/>
      <c r="N135" s="590"/>
      <c r="O135" s="590"/>
      <c r="P135" s="590"/>
      <c r="Q135" s="590"/>
      <c r="R135" s="590"/>
      <c r="S135" s="590"/>
      <c r="T135" s="590"/>
      <c r="U135" s="590"/>
      <c r="V135" s="590"/>
      <c r="W135" s="590"/>
      <c r="X135" s="590"/>
      <c r="Y135" s="590"/>
      <c r="Z135" s="590"/>
    </row>
    <row r="136" ht="12.75" customHeight="1">
      <c r="A136" s="590"/>
      <c r="B136" s="590"/>
      <c r="C136" s="590"/>
      <c r="D136" s="590"/>
      <c r="E136" s="590"/>
      <c r="F136" s="590"/>
      <c r="G136" s="590"/>
      <c r="H136" s="590"/>
      <c r="I136" s="590"/>
      <c r="J136" s="590"/>
      <c r="K136" s="590"/>
      <c r="L136" s="590"/>
      <c r="M136" s="590"/>
      <c r="N136" s="590"/>
      <c r="O136" s="590"/>
      <c r="P136" s="590"/>
      <c r="Q136" s="590"/>
      <c r="R136" s="590"/>
      <c r="S136" s="590"/>
      <c r="T136" s="590"/>
      <c r="U136" s="590"/>
      <c r="V136" s="590"/>
      <c r="W136" s="590"/>
      <c r="X136" s="590"/>
      <c r="Y136" s="590"/>
      <c r="Z136" s="590"/>
    </row>
    <row r="137" ht="12.75" customHeight="1">
      <c r="A137" s="590"/>
      <c r="B137" s="590"/>
      <c r="C137" s="590"/>
      <c r="D137" s="590"/>
      <c r="E137" s="590"/>
      <c r="F137" s="590"/>
      <c r="G137" s="590"/>
      <c r="H137" s="590"/>
      <c r="I137" s="590"/>
      <c r="J137" s="590"/>
      <c r="K137" s="590"/>
      <c r="L137" s="590"/>
      <c r="M137" s="590"/>
      <c r="N137" s="590"/>
      <c r="O137" s="590"/>
      <c r="P137" s="590"/>
      <c r="Q137" s="590"/>
      <c r="R137" s="590"/>
      <c r="S137" s="590"/>
      <c r="T137" s="590"/>
      <c r="U137" s="590"/>
      <c r="V137" s="590"/>
      <c r="W137" s="590"/>
      <c r="X137" s="590"/>
      <c r="Y137" s="590"/>
      <c r="Z137" s="590"/>
    </row>
    <row r="138" ht="12.75" customHeight="1">
      <c r="A138" s="590"/>
      <c r="B138" s="590"/>
      <c r="C138" s="590"/>
      <c r="D138" s="590"/>
      <c r="E138" s="590"/>
      <c r="F138" s="590"/>
      <c r="G138" s="590"/>
      <c r="H138" s="590"/>
      <c r="I138" s="590"/>
      <c r="J138" s="590"/>
      <c r="K138" s="590"/>
      <c r="L138" s="590"/>
      <c r="M138" s="590"/>
      <c r="N138" s="590"/>
      <c r="O138" s="590"/>
      <c r="P138" s="590"/>
      <c r="Q138" s="590"/>
      <c r="R138" s="590"/>
      <c r="S138" s="590"/>
      <c r="T138" s="590"/>
      <c r="U138" s="590"/>
      <c r="V138" s="590"/>
      <c r="W138" s="590"/>
      <c r="X138" s="590"/>
      <c r="Y138" s="590"/>
      <c r="Z138" s="590"/>
    </row>
    <row r="139" ht="12.75" customHeight="1">
      <c r="A139" s="590"/>
      <c r="B139" s="590"/>
      <c r="C139" s="590"/>
      <c r="D139" s="590"/>
      <c r="E139" s="590"/>
      <c r="F139" s="590"/>
      <c r="G139" s="590"/>
      <c r="H139" s="590"/>
      <c r="I139" s="590"/>
      <c r="J139" s="590"/>
      <c r="K139" s="590"/>
      <c r="L139" s="590"/>
      <c r="M139" s="590"/>
      <c r="N139" s="590"/>
      <c r="O139" s="590"/>
      <c r="P139" s="590"/>
      <c r="Q139" s="590"/>
      <c r="R139" s="590"/>
      <c r="S139" s="590"/>
      <c r="T139" s="590"/>
      <c r="U139" s="590"/>
      <c r="V139" s="590"/>
      <c r="W139" s="590"/>
      <c r="X139" s="590"/>
      <c r="Y139" s="590"/>
      <c r="Z139" s="590"/>
    </row>
    <row r="140" ht="12.75" customHeight="1">
      <c r="A140" s="590"/>
      <c r="B140" s="590"/>
      <c r="C140" s="590"/>
      <c r="D140" s="590"/>
      <c r="E140" s="590"/>
      <c r="F140" s="590"/>
      <c r="G140" s="590"/>
      <c r="H140" s="590"/>
      <c r="I140" s="590"/>
      <c r="J140" s="590"/>
      <c r="K140" s="590"/>
      <c r="L140" s="590"/>
      <c r="M140" s="590"/>
      <c r="N140" s="590"/>
      <c r="O140" s="590"/>
      <c r="P140" s="590"/>
      <c r="Q140" s="590"/>
      <c r="R140" s="590"/>
      <c r="S140" s="590"/>
      <c r="T140" s="590"/>
      <c r="U140" s="590"/>
      <c r="V140" s="590"/>
      <c r="W140" s="590"/>
      <c r="X140" s="590"/>
      <c r="Y140" s="590"/>
      <c r="Z140" s="590"/>
    </row>
    <row r="141" ht="12.75" customHeight="1">
      <c r="A141" s="590"/>
      <c r="B141" s="590"/>
      <c r="C141" s="590"/>
      <c r="D141" s="590"/>
      <c r="E141" s="590"/>
      <c r="F141" s="590"/>
      <c r="G141" s="590"/>
      <c r="H141" s="590"/>
      <c r="I141" s="590"/>
      <c r="J141" s="590"/>
      <c r="K141" s="590"/>
      <c r="L141" s="590"/>
      <c r="M141" s="590"/>
      <c r="N141" s="590"/>
      <c r="O141" s="590"/>
      <c r="P141" s="590"/>
      <c r="Q141" s="590"/>
      <c r="R141" s="590"/>
      <c r="S141" s="590"/>
      <c r="T141" s="590"/>
      <c r="U141" s="590"/>
      <c r="V141" s="590"/>
      <c r="W141" s="590"/>
      <c r="X141" s="590"/>
      <c r="Y141" s="590"/>
      <c r="Z141" s="590"/>
    </row>
    <row r="142" ht="12.75" customHeight="1">
      <c r="A142" s="590"/>
      <c r="B142" s="590"/>
      <c r="C142" s="590"/>
      <c r="D142" s="590"/>
      <c r="E142" s="590"/>
      <c r="F142" s="590"/>
      <c r="G142" s="590"/>
      <c r="H142" s="590"/>
      <c r="I142" s="590"/>
      <c r="J142" s="590"/>
      <c r="K142" s="590"/>
      <c r="L142" s="590"/>
      <c r="M142" s="590"/>
      <c r="N142" s="590"/>
      <c r="O142" s="590"/>
      <c r="P142" s="590"/>
      <c r="Q142" s="590"/>
      <c r="R142" s="590"/>
      <c r="S142" s="590"/>
      <c r="T142" s="590"/>
      <c r="U142" s="590"/>
      <c r="V142" s="590"/>
      <c r="W142" s="590"/>
      <c r="X142" s="590"/>
      <c r="Y142" s="590"/>
      <c r="Z142" s="590"/>
    </row>
    <row r="143" ht="12.75" customHeight="1">
      <c r="A143" s="590"/>
      <c r="B143" s="590"/>
      <c r="C143" s="590"/>
      <c r="D143" s="590"/>
      <c r="E143" s="590"/>
      <c r="F143" s="590"/>
      <c r="G143" s="590"/>
      <c r="H143" s="590"/>
      <c r="I143" s="590"/>
      <c r="J143" s="590"/>
      <c r="K143" s="590"/>
      <c r="L143" s="590"/>
      <c r="M143" s="590"/>
      <c r="N143" s="590"/>
      <c r="O143" s="590"/>
      <c r="P143" s="590"/>
      <c r="Q143" s="590"/>
      <c r="R143" s="590"/>
      <c r="S143" s="590"/>
      <c r="T143" s="590"/>
      <c r="U143" s="590"/>
      <c r="V143" s="590"/>
      <c r="W143" s="590"/>
      <c r="X143" s="590"/>
      <c r="Y143" s="590"/>
      <c r="Z143" s="590"/>
    </row>
    <row r="144" ht="12.75" customHeight="1">
      <c r="A144" s="590"/>
      <c r="B144" s="590"/>
      <c r="C144" s="590"/>
      <c r="D144" s="590"/>
      <c r="E144" s="590"/>
      <c r="F144" s="590"/>
      <c r="G144" s="590"/>
      <c r="H144" s="590"/>
      <c r="I144" s="590"/>
      <c r="J144" s="590"/>
      <c r="K144" s="590"/>
      <c r="L144" s="590"/>
      <c r="M144" s="590"/>
      <c r="N144" s="590"/>
      <c r="O144" s="590"/>
      <c r="P144" s="590"/>
      <c r="Q144" s="590"/>
      <c r="R144" s="590"/>
      <c r="S144" s="590"/>
      <c r="T144" s="590"/>
      <c r="U144" s="590"/>
      <c r="V144" s="590"/>
      <c r="W144" s="590"/>
      <c r="X144" s="590"/>
      <c r="Y144" s="590"/>
      <c r="Z144" s="590"/>
    </row>
    <row r="145" ht="12.75" customHeight="1">
      <c r="A145" s="590"/>
      <c r="B145" s="590"/>
      <c r="C145" s="590"/>
      <c r="D145" s="590"/>
      <c r="E145" s="590"/>
      <c r="F145" s="590"/>
      <c r="G145" s="590"/>
      <c r="H145" s="590"/>
      <c r="I145" s="590"/>
      <c r="J145" s="590"/>
      <c r="K145" s="590"/>
      <c r="L145" s="590"/>
      <c r="M145" s="590"/>
      <c r="N145" s="590"/>
      <c r="O145" s="590"/>
      <c r="P145" s="590"/>
      <c r="Q145" s="590"/>
      <c r="R145" s="590"/>
      <c r="S145" s="590"/>
      <c r="T145" s="590"/>
      <c r="U145" s="590"/>
      <c r="V145" s="590"/>
      <c r="W145" s="590"/>
      <c r="X145" s="590"/>
      <c r="Y145" s="590"/>
      <c r="Z145" s="590"/>
    </row>
    <row r="146" ht="12.75" customHeight="1">
      <c r="A146" s="590"/>
      <c r="B146" s="590"/>
      <c r="C146" s="590"/>
      <c r="D146" s="590"/>
      <c r="E146" s="590"/>
      <c r="F146" s="590"/>
      <c r="G146" s="590"/>
      <c r="H146" s="590"/>
      <c r="I146" s="590"/>
      <c r="J146" s="590"/>
      <c r="K146" s="590"/>
      <c r="L146" s="590"/>
      <c r="M146" s="590"/>
      <c r="N146" s="590"/>
      <c r="O146" s="590"/>
      <c r="P146" s="590"/>
      <c r="Q146" s="590"/>
      <c r="R146" s="590"/>
      <c r="S146" s="590"/>
      <c r="T146" s="590"/>
      <c r="U146" s="590"/>
      <c r="V146" s="590"/>
      <c r="W146" s="590"/>
      <c r="X146" s="590"/>
      <c r="Y146" s="590"/>
      <c r="Z146" s="590"/>
    </row>
    <row r="147" ht="12.75" customHeight="1">
      <c r="A147" s="590"/>
      <c r="B147" s="590"/>
      <c r="C147" s="590"/>
      <c r="D147" s="590"/>
      <c r="E147" s="590"/>
      <c r="F147" s="590"/>
      <c r="G147" s="590"/>
      <c r="H147" s="590"/>
      <c r="I147" s="590"/>
      <c r="J147" s="590"/>
      <c r="K147" s="590"/>
      <c r="L147" s="590"/>
      <c r="M147" s="590"/>
      <c r="N147" s="590"/>
      <c r="O147" s="590"/>
      <c r="P147" s="590"/>
      <c r="Q147" s="590"/>
      <c r="R147" s="590"/>
      <c r="S147" s="590"/>
      <c r="T147" s="590"/>
      <c r="U147" s="590"/>
      <c r="V147" s="590"/>
      <c r="W147" s="590"/>
      <c r="X147" s="590"/>
      <c r="Y147" s="590"/>
      <c r="Z147" s="590"/>
    </row>
    <row r="148" ht="12.75" customHeight="1">
      <c r="A148" s="590"/>
      <c r="B148" s="590"/>
      <c r="C148" s="590"/>
      <c r="D148" s="590"/>
      <c r="E148" s="590"/>
      <c r="F148" s="590"/>
      <c r="G148" s="590"/>
      <c r="H148" s="590"/>
      <c r="I148" s="590"/>
      <c r="J148" s="590"/>
      <c r="K148" s="590"/>
      <c r="L148" s="590"/>
      <c r="M148" s="590"/>
      <c r="N148" s="590"/>
      <c r="O148" s="590"/>
      <c r="P148" s="590"/>
      <c r="Q148" s="590"/>
      <c r="R148" s="590"/>
      <c r="S148" s="590"/>
      <c r="T148" s="590"/>
      <c r="U148" s="590"/>
      <c r="V148" s="590"/>
      <c r="W148" s="590"/>
      <c r="X148" s="590"/>
      <c r="Y148" s="590"/>
      <c r="Z148" s="590"/>
    </row>
    <row r="149" ht="12.75" customHeight="1">
      <c r="A149" s="590"/>
      <c r="B149" s="590"/>
      <c r="C149" s="590"/>
      <c r="D149" s="590"/>
      <c r="E149" s="590"/>
      <c r="F149" s="590"/>
      <c r="G149" s="590"/>
      <c r="H149" s="590"/>
      <c r="I149" s="590"/>
      <c r="J149" s="590"/>
      <c r="K149" s="590"/>
      <c r="L149" s="590"/>
      <c r="M149" s="590"/>
      <c r="N149" s="590"/>
      <c r="O149" s="590"/>
      <c r="P149" s="590"/>
      <c r="Q149" s="590"/>
      <c r="R149" s="590"/>
      <c r="S149" s="590"/>
      <c r="T149" s="590"/>
      <c r="U149" s="590"/>
      <c r="V149" s="590"/>
      <c r="W149" s="590"/>
      <c r="X149" s="590"/>
      <c r="Y149" s="590"/>
      <c r="Z149" s="590"/>
    </row>
    <row r="150" ht="12.75" customHeight="1">
      <c r="A150" s="590"/>
      <c r="B150" s="590"/>
      <c r="C150" s="590"/>
      <c r="D150" s="590"/>
      <c r="E150" s="590"/>
      <c r="F150" s="590"/>
      <c r="G150" s="590"/>
      <c r="H150" s="590"/>
      <c r="I150" s="590"/>
      <c r="J150" s="590"/>
      <c r="K150" s="590"/>
      <c r="L150" s="590"/>
      <c r="M150" s="590"/>
      <c r="N150" s="590"/>
      <c r="O150" s="590"/>
      <c r="P150" s="590"/>
      <c r="Q150" s="590"/>
      <c r="R150" s="590"/>
      <c r="S150" s="590"/>
      <c r="T150" s="590"/>
      <c r="U150" s="590"/>
      <c r="V150" s="590"/>
      <c r="W150" s="590"/>
      <c r="X150" s="590"/>
      <c r="Y150" s="590"/>
      <c r="Z150" s="590"/>
    </row>
    <row r="151" ht="12.75" customHeight="1">
      <c r="A151" s="590"/>
      <c r="B151" s="590"/>
      <c r="C151" s="590"/>
      <c r="D151" s="590"/>
      <c r="E151" s="590"/>
      <c r="F151" s="590"/>
      <c r="G151" s="590"/>
      <c r="H151" s="590"/>
      <c r="I151" s="590"/>
      <c r="J151" s="590"/>
      <c r="K151" s="590"/>
      <c r="L151" s="590"/>
      <c r="M151" s="590"/>
      <c r="N151" s="590"/>
      <c r="O151" s="590"/>
      <c r="P151" s="590"/>
      <c r="Q151" s="590"/>
      <c r="R151" s="590"/>
      <c r="S151" s="590"/>
      <c r="T151" s="590"/>
      <c r="U151" s="590"/>
      <c r="V151" s="590"/>
      <c r="W151" s="590"/>
      <c r="X151" s="590"/>
      <c r="Y151" s="590"/>
      <c r="Z151" s="590"/>
    </row>
    <row r="152" ht="12.75" customHeight="1">
      <c r="A152" s="590"/>
      <c r="B152" s="590"/>
      <c r="C152" s="590"/>
      <c r="D152" s="590"/>
      <c r="E152" s="590"/>
      <c r="F152" s="590"/>
      <c r="G152" s="590"/>
      <c r="H152" s="590"/>
      <c r="I152" s="590"/>
      <c r="J152" s="590"/>
      <c r="K152" s="590"/>
      <c r="L152" s="590"/>
      <c r="M152" s="590"/>
      <c r="N152" s="590"/>
      <c r="O152" s="590"/>
      <c r="P152" s="590"/>
      <c r="Q152" s="590"/>
      <c r="R152" s="590"/>
      <c r="S152" s="590"/>
      <c r="T152" s="590"/>
      <c r="U152" s="590"/>
      <c r="V152" s="590"/>
      <c r="W152" s="590"/>
      <c r="X152" s="590"/>
      <c r="Y152" s="590"/>
      <c r="Z152" s="590"/>
    </row>
    <row r="153" ht="12.75" customHeight="1">
      <c r="A153" s="590"/>
      <c r="B153" s="590"/>
      <c r="C153" s="590"/>
      <c r="D153" s="590"/>
      <c r="E153" s="590"/>
      <c r="F153" s="590"/>
      <c r="G153" s="590"/>
      <c r="H153" s="590"/>
      <c r="I153" s="590"/>
      <c r="J153" s="590"/>
      <c r="K153" s="590"/>
      <c r="L153" s="590"/>
      <c r="M153" s="590"/>
      <c r="N153" s="590"/>
      <c r="O153" s="590"/>
      <c r="P153" s="590"/>
      <c r="Q153" s="590"/>
      <c r="R153" s="590"/>
      <c r="S153" s="590"/>
      <c r="T153" s="590"/>
      <c r="U153" s="590"/>
      <c r="V153" s="590"/>
      <c r="W153" s="590"/>
      <c r="X153" s="590"/>
      <c r="Y153" s="590"/>
      <c r="Z153" s="590"/>
    </row>
    <row r="154" ht="12.75" customHeight="1">
      <c r="A154" s="590"/>
      <c r="B154" s="590"/>
      <c r="C154" s="590"/>
      <c r="D154" s="590"/>
      <c r="E154" s="590"/>
      <c r="F154" s="590"/>
      <c r="G154" s="590"/>
      <c r="H154" s="590"/>
      <c r="I154" s="590"/>
      <c r="J154" s="590"/>
      <c r="K154" s="590"/>
      <c r="L154" s="590"/>
      <c r="M154" s="590"/>
      <c r="N154" s="590"/>
      <c r="O154" s="590"/>
      <c r="P154" s="590"/>
      <c r="Q154" s="590"/>
      <c r="R154" s="590"/>
      <c r="S154" s="590"/>
      <c r="T154" s="590"/>
      <c r="U154" s="590"/>
      <c r="V154" s="590"/>
      <c r="W154" s="590"/>
      <c r="X154" s="590"/>
      <c r="Y154" s="590"/>
      <c r="Z154" s="590"/>
    </row>
    <row r="155" ht="12.75" customHeight="1">
      <c r="A155" s="590"/>
      <c r="B155" s="590"/>
      <c r="C155" s="590"/>
      <c r="D155" s="590"/>
      <c r="E155" s="590"/>
      <c r="F155" s="590"/>
      <c r="G155" s="590"/>
      <c r="H155" s="590"/>
      <c r="I155" s="590"/>
      <c r="J155" s="590"/>
      <c r="K155" s="590"/>
      <c r="L155" s="590"/>
      <c r="M155" s="590"/>
      <c r="N155" s="590"/>
      <c r="O155" s="590"/>
      <c r="P155" s="590"/>
      <c r="Q155" s="590"/>
      <c r="R155" s="590"/>
      <c r="S155" s="590"/>
      <c r="T155" s="590"/>
      <c r="U155" s="590"/>
      <c r="V155" s="590"/>
      <c r="W155" s="590"/>
      <c r="X155" s="590"/>
      <c r="Y155" s="590"/>
      <c r="Z155" s="590"/>
    </row>
    <row r="156" ht="12.75" customHeight="1">
      <c r="A156" s="590"/>
      <c r="B156" s="590"/>
      <c r="C156" s="590"/>
      <c r="D156" s="590"/>
      <c r="E156" s="590"/>
      <c r="F156" s="590"/>
      <c r="G156" s="590"/>
      <c r="H156" s="590"/>
      <c r="I156" s="590"/>
      <c r="J156" s="590"/>
      <c r="K156" s="590"/>
      <c r="L156" s="590"/>
      <c r="M156" s="590"/>
      <c r="N156" s="590"/>
      <c r="O156" s="590"/>
      <c r="P156" s="590"/>
      <c r="Q156" s="590"/>
      <c r="R156" s="590"/>
      <c r="S156" s="590"/>
      <c r="T156" s="590"/>
      <c r="U156" s="590"/>
      <c r="V156" s="590"/>
      <c r="W156" s="590"/>
      <c r="X156" s="590"/>
      <c r="Y156" s="590"/>
      <c r="Z156" s="590"/>
    </row>
    <row r="157" ht="12.75" customHeight="1">
      <c r="A157" s="590"/>
      <c r="B157" s="590"/>
      <c r="C157" s="590"/>
      <c r="D157" s="590"/>
      <c r="E157" s="590"/>
      <c r="F157" s="590"/>
      <c r="G157" s="590"/>
      <c r="H157" s="590"/>
      <c r="I157" s="590"/>
      <c r="J157" s="590"/>
      <c r="K157" s="590"/>
      <c r="L157" s="590"/>
      <c r="M157" s="590"/>
      <c r="N157" s="590"/>
      <c r="O157" s="590"/>
      <c r="P157" s="590"/>
      <c r="Q157" s="590"/>
      <c r="R157" s="590"/>
      <c r="S157" s="590"/>
      <c r="T157" s="590"/>
      <c r="U157" s="590"/>
      <c r="V157" s="590"/>
      <c r="W157" s="590"/>
      <c r="X157" s="590"/>
      <c r="Y157" s="590"/>
      <c r="Z157" s="590"/>
    </row>
    <row r="158" ht="12.75" customHeight="1">
      <c r="A158" s="590"/>
      <c r="B158" s="590"/>
      <c r="C158" s="590"/>
      <c r="D158" s="590"/>
      <c r="E158" s="590"/>
      <c r="F158" s="590"/>
      <c r="G158" s="590"/>
      <c r="H158" s="590"/>
      <c r="I158" s="590"/>
      <c r="J158" s="590"/>
      <c r="K158" s="590"/>
      <c r="L158" s="590"/>
      <c r="M158" s="590"/>
      <c r="N158" s="590"/>
      <c r="O158" s="590"/>
      <c r="P158" s="590"/>
      <c r="Q158" s="590"/>
      <c r="R158" s="590"/>
      <c r="S158" s="590"/>
      <c r="T158" s="590"/>
      <c r="U158" s="590"/>
      <c r="V158" s="590"/>
      <c r="W158" s="590"/>
      <c r="X158" s="590"/>
      <c r="Y158" s="590"/>
      <c r="Z158" s="590"/>
    </row>
    <row r="159" ht="12.75" customHeight="1">
      <c r="A159" s="590"/>
      <c r="B159" s="590"/>
      <c r="C159" s="590"/>
      <c r="D159" s="590"/>
      <c r="E159" s="590"/>
      <c r="F159" s="590"/>
      <c r="G159" s="590"/>
      <c r="H159" s="590"/>
      <c r="I159" s="590"/>
      <c r="J159" s="590"/>
      <c r="K159" s="590"/>
      <c r="L159" s="590"/>
      <c r="M159" s="590"/>
      <c r="N159" s="590"/>
      <c r="O159" s="590"/>
      <c r="P159" s="590"/>
      <c r="Q159" s="590"/>
      <c r="R159" s="590"/>
      <c r="S159" s="590"/>
      <c r="T159" s="590"/>
      <c r="U159" s="590"/>
      <c r="V159" s="590"/>
      <c r="W159" s="590"/>
      <c r="X159" s="590"/>
      <c r="Y159" s="590"/>
      <c r="Z159" s="590"/>
    </row>
    <row r="160" ht="12.75" customHeight="1">
      <c r="A160" s="590"/>
      <c r="B160" s="590"/>
      <c r="C160" s="590"/>
      <c r="D160" s="590"/>
      <c r="E160" s="590"/>
      <c r="F160" s="590"/>
      <c r="G160" s="590"/>
      <c r="H160" s="590"/>
      <c r="I160" s="590"/>
      <c r="J160" s="590"/>
      <c r="K160" s="590"/>
      <c r="L160" s="590"/>
      <c r="M160" s="590"/>
      <c r="N160" s="590"/>
      <c r="O160" s="590"/>
      <c r="P160" s="590"/>
      <c r="Q160" s="590"/>
      <c r="R160" s="590"/>
      <c r="S160" s="590"/>
      <c r="T160" s="590"/>
      <c r="U160" s="590"/>
      <c r="V160" s="590"/>
      <c r="W160" s="590"/>
      <c r="X160" s="590"/>
      <c r="Y160" s="590"/>
      <c r="Z160" s="590"/>
    </row>
    <row r="161" ht="12.75" customHeight="1">
      <c r="A161" s="590"/>
      <c r="B161" s="590"/>
      <c r="C161" s="590"/>
      <c r="D161" s="590"/>
      <c r="E161" s="590"/>
      <c r="F161" s="590"/>
      <c r="G161" s="590"/>
      <c r="H161" s="590"/>
      <c r="I161" s="590"/>
      <c r="J161" s="590"/>
      <c r="K161" s="590"/>
      <c r="L161" s="590"/>
      <c r="M161" s="590"/>
      <c r="N161" s="590"/>
      <c r="O161" s="590"/>
      <c r="P161" s="590"/>
      <c r="Q161" s="590"/>
      <c r="R161" s="590"/>
      <c r="S161" s="590"/>
      <c r="T161" s="590"/>
      <c r="U161" s="590"/>
      <c r="V161" s="590"/>
      <c r="W161" s="590"/>
      <c r="X161" s="590"/>
      <c r="Y161" s="590"/>
      <c r="Z161" s="590"/>
    </row>
    <row r="162" ht="12.75" customHeight="1">
      <c r="A162" s="590"/>
      <c r="B162" s="590"/>
      <c r="C162" s="590"/>
      <c r="D162" s="590"/>
      <c r="E162" s="590"/>
      <c r="F162" s="590"/>
      <c r="G162" s="590"/>
      <c r="H162" s="590"/>
      <c r="I162" s="590"/>
      <c r="J162" s="590"/>
      <c r="K162" s="590"/>
      <c r="L162" s="590"/>
      <c r="M162" s="590"/>
      <c r="N162" s="590"/>
      <c r="O162" s="590"/>
      <c r="P162" s="590"/>
      <c r="Q162" s="590"/>
      <c r="R162" s="590"/>
      <c r="S162" s="590"/>
      <c r="T162" s="590"/>
      <c r="U162" s="590"/>
      <c r="V162" s="590"/>
      <c r="W162" s="590"/>
      <c r="X162" s="590"/>
      <c r="Y162" s="590"/>
      <c r="Z162" s="590"/>
    </row>
    <row r="163" ht="12.75" customHeight="1">
      <c r="A163" s="590"/>
      <c r="B163" s="590"/>
      <c r="C163" s="590"/>
      <c r="D163" s="590"/>
      <c r="E163" s="590"/>
      <c r="F163" s="590"/>
      <c r="G163" s="590"/>
      <c r="H163" s="590"/>
      <c r="I163" s="590"/>
      <c r="J163" s="590"/>
      <c r="K163" s="590"/>
      <c r="L163" s="590"/>
      <c r="M163" s="590"/>
      <c r="N163" s="590"/>
      <c r="O163" s="590"/>
      <c r="P163" s="590"/>
      <c r="Q163" s="590"/>
      <c r="R163" s="590"/>
      <c r="S163" s="590"/>
      <c r="T163" s="590"/>
      <c r="U163" s="590"/>
      <c r="V163" s="590"/>
      <c r="W163" s="590"/>
      <c r="X163" s="590"/>
      <c r="Y163" s="590"/>
      <c r="Z163" s="590"/>
    </row>
    <row r="164" ht="12.75" customHeight="1">
      <c r="A164" s="590"/>
      <c r="B164" s="590"/>
      <c r="C164" s="590"/>
      <c r="D164" s="590"/>
      <c r="E164" s="590"/>
      <c r="F164" s="590"/>
      <c r="G164" s="590"/>
      <c r="H164" s="590"/>
      <c r="I164" s="590"/>
      <c r="J164" s="590"/>
      <c r="K164" s="590"/>
      <c r="L164" s="590"/>
      <c r="M164" s="590"/>
      <c r="N164" s="590"/>
      <c r="O164" s="590"/>
      <c r="P164" s="590"/>
      <c r="Q164" s="590"/>
      <c r="R164" s="590"/>
      <c r="S164" s="590"/>
      <c r="T164" s="590"/>
      <c r="U164" s="590"/>
      <c r="V164" s="590"/>
      <c r="W164" s="590"/>
      <c r="X164" s="590"/>
      <c r="Y164" s="590"/>
      <c r="Z164" s="590"/>
    </row>
    <row r="165" ht="12.75" customHeight="1">
      <c r="A165" s="590"/>
      <c r="B165" s="590"/>
      <c r="C165" s="590"/>
      <c r="D165" s="590"/>
      <c r="E165" s="590"/>
      <c r="F165" s="590"/>
      <c r="G165" s="590"/>
      <c r="H165" s="590"/>
      <c r="I165" s="590"/>
      <c r="J165" s="590"/>
      <c r="K165" s="590"/>
      <c r="L165" s="590"/>
      <c r="M165" s="590"/>
      <c r="N165" s="590"/>
      <c r="O165" s="590"/>
      <c r="P165" s="590"/>
      <c r="Q165" s="590"/>
      <c r="R165" s="590"/>
      <c r="S165" s="590"/>
      <c r="T165" s="590"/>
      <c r="U165" s="590"/>
      <c r="V165" s="590"/>
      <c r="W165" s="590"/>
      <c r="X165" s="590"/>
      <c r="Y165" s="590"/>
      <c r="Z165" s="590"/>
    </row>
    <row r="166" ht="12.75" customHeight="1">
      <c r="A166" s="590"/>
      <c r="B166" s="590"/>
      <c r="C166" s="590"/>
      <c r="D166" s="590"/>
      <c r="E166" s="590"/>
      <c r="F166" s="590"/>
      <c r="G166" s="590"/>
      <c r="H166" s="590"/>
      <c r="I166" s="590"/>
      <c r="J166" s="590"/>
      <c r="K166" s="590"/>
      <c r="L166" s="590"/>
      <c r="M166" s="590"/>
      <c r="N166" s="590"/>
      <c r="O166" s="590"/>
      <c r="P166" s="590"/>
      <c r="Q166" s="590"/>
      <c r="R166" s="590"/>
      <c r="S166" s="590"/>
      <c r="T166" s="590"/>
      <c r="U166" s="590"/>
      <c r="V166" s="590"/>
      <c r="W166" s="590"/>
      <c r="X166" s="590"/>
      <c r="Y166" s="590"/>
      <c r="Z166" s="590"/>
    </row>
    <row r="167" ht="12.75" customHeight="1">
      <c r="A167" s="590"/>
      <c r="B167" s="590"/>
      <c r="C167" s="590"/>
      <c r="D167" s="590"/>
      <c r="E167" s="590"/>
      <c r="F167" s="590"/>
      <c r="G167" s="590"/>
      <c r="H167" s="590"/>
      <c r="I167" s="590"/>
      <c r="J167" s="590"/>
      <c r="K167" s="590"/>
      <c r="L167" s="590"/>
      <c r="M167" s="590"/>
      <c r="N167" s="590"/>
      <c r="O167" s="590"/>
      <c r="P167" s="590"/>
      <c r="Q167" s="590"/>
      <c r="R167" s="590"/>
      <c r="S167" s="590"/>
      <c r="T167" s="590"/>
      <c r="U167" s="590"/>
      <c r="V167" s="590"/>
      <c r="W167" s="590"/>
      <c r="X167" s="590"/>
      <c r="Y167" s="590"/>
      <c r="Z167" s="590"/>
    </row>
    <row r="168" ht="12.75" customHeight="1">
      <c r="A168" s="590"/>
      <c r="B168" s="590"/>
      <c r="C168" s="590"/>
      <c r="D168" s="590"/>
      <c r="E168" s="590"/>
      <c r="F168" s="590"/>
      <c r="G168" s="590"/>
      <c r="H168" s="590"/>
      <c r="I168" s="590"/>
      <c r="J168" s="590"/>
      <c r="K168" s="590"/>
      <c r="L168" s="590"/>
      <c r="M168" s="590"/>
      <c r="N168" s="590"/>
      <c r="O168" s="590"/>
      <c r="P168" s="590"/>
      <c r="Q168" s="590"/>
      <c r="R168" s="590"/>
      <c r="S168" s="590"/>
      <c r="T168" s="590"/>
      <c r="U168" s="590"/>
      <c r="V168" s="590"/>
      <c r="W168" s="590"/>
      <c r="X168" s="590"/>
      <c r="Y168" s="590"/>
      <c r="Z168" s="590"/>
    </row>
    <row r="169" ht="12.75" customHeight="1">
      <c r="A169" s="590"/>
      <c r="B169" s="590"/>
      <c r="C169" s="590"/>
      <c r="D169" s="590"/>
      <c r="E169" s="590"/>
      <c r="F169" s="590"/>
      <c r="G169" s="590"/>
      <c r="H169" s="590"/>
      <c r="I169" s="590"/>
      <c r="J169" s="590"/>
      <c r="K169" s="590"/>
      <c r="L169" s="590"/>
      <c r="M169" s="590"/>
      <c r="N169" s="590"/>
      <c r="O169" s="590"/>
      <c r="P169" s="590"/>
      <c r="Q169" s="590"/>
      <c r="R169" s="590"/>
      <c r="S169" s="590"/>
      <c r="T169" s="590"/>
      <c r="U169" s="590"/>
      <c r="V169" s="590"/>
      <c r="W169" s="590"/>
      <c r="X169" s="590"/>
      <c r="Y169" s="590"/>
      <c r="Z169" s="590"/>
    </row>
    <row r="170" ht="12.75" customHeight="1">
      <c r="A170" s="590"/>
      <c r="B170" s="590"/>
      <c r="C170" s="590"/>
      <c r="D170" s="590"/>
      <c r="E170" s="590"/>
      <c r="F170" s="590"/>
      <c r="G170" s="590"/>
      <c r="H170" s="590"/>
      <c r="I170" s="590"/>
      <c r="J170" s="590"/>
      <c r="K170" s="590"/>
      <c r="L170" s="590"/>
      <c r="M170" s="590"/>
      <c r="N170" s="590"/>
      <c r="O170" s="590"/>
      <c r="P170" s="590"/>
      <c r="Q170" s="590"/>
      <c r="R170" s="590"/>
      <c r="S170" s="590"/>
      <c r="T170" s="590"/>
      <c r="U170" s="590"/>
      <c r="V170" s="590"/>
      <c r="W170" s="590"/>
      <c r="X170" s="590"/>
      <c r="Y170" s="590"/>
      <c r="Z170" s="590"/>
    </row>
    <row r="171" ht="12.75" customHeight="1">
      <c r="A171" s="590"/>
      <c r="B171" s="590"/>
      <c r="C171" s="590"/>
      <c r="D171" s="590"/>
      <c r="E171" s="590"/>
      <c r="F171" s="590"/>
      <c r="G171" s="590"/>
      <c r="H171" s="590"/>
      <c r="I171" s="590"/>
      <c r="J171" s="590"/>
      <c r="K171" s="590"/>
      <c r="L171" s="590"/>
      <c r="M171" s="590"/>
      <c r="N171" s="590"/>
      <c r="O171" s="590"/>
      <c r="P171" s="590"/>
      <c r="Q171" s="590"/>
      <c r="R171" s="590"/>
      <c r="S171" s="590"/>
      <c r="T171" s="590"/>
      <c r="U171" s="590"/>
      <c r="V171" s="590"/>
      <c r="W171" s="590"/>
      <c r="X171" s="590"/>
      <c r="Y171" s="590"/>
      <c r="Z171" s="590"/>
    </row>
    <row r="172" ht="12.75" customHeight="1">
      <c r="A172" s="590"/>
      <c r="B172" s="590"/>
      <c r="C172" s="590"/>
      <c r="D172" s="590"/>
      <c r="E172" s="590"/>
      <c r="F172" s="590"/>
      <c r="G172" s="590"/>
      <c r="H172" s="590"/>
      <c r="I172" s="590"/>
      <c r="J172" s="590"/>
      <c r="K172" s="590"/>
      <c r="L172" s="590"/>
      <c r="M172" s="590"/>
      <c r="N172" s="590"/>
      <c r="O172" s="590"/>
      <c r="P172" s="590"/>
      <c r="Q172" s="590"/>
      <c r="R172" s="590"/>
      <c r="S172" s="590"/>
      <c r="T172" s="590"/>
      <c r="U172" s="590"/>
      <c r="V172" s="590"/>
      <c r="W172" s="590"/>
      <c r="X172" s="590"/>
      <c r="Y172" s="590"/>
      <c r="Z172" s="590"/>
    </row>
    <row r="173" ht="12.75" customHeight="1">
      <c r="A173" s="590"/>
      <c r="B173" s="590"/>
      <c r="C173" s="590"/>
      <c r="D173" s="590"/>
      <c r="E173" s="590"/>
      <c r="F173" s="590"/>
      <c r="G173" s="590"/>
      <c r="H173" s="590"/>
      <c r="I173" s="590"/>
      <c r="J173" s="590"/>
      <c r="K173" s="590"/>
      <c r="L173" s="590"/>
      <c r="M173" s="590"/>
      <c r="N173" s="590"/>
      <c r="O173" s="590"/>
      <c r="P173" s="590"/>
      <c r="Q173" s="590"/>
      <c r="R173" s="590"/>
      <c r="S173" s="590"/>
      <c r="T173" s="590"/>
      <c r="U173" s="590"/>
      <c r="V173" s="590"/>
      <c r="W173" s="590"/>
      <c r="X173" s="590"/>
      <c r="Y173" s="590"/>
      <c r="Z173" s="590"/>
    </row>
    <row r="174" ht="12.75" customHeight="1">
      <c r="A174" s="590"/>
      <c r="B174" s="590"/>
      <c r="C174" s="590"/>
      <c r="D174" s="590"/>
      <c r="E174" s="590"/>
      <c r="F174" s="590"/>
      <c r="G174" s="590"/>
      <c r="H174" s="590"/>
      <c r="I174" s="590"/>
      <c r="J174" s="590"/>
      <c r="K174" s="590"/>
      <c r="L174" s="590"/>
      <c r="M174" s="590"/>
      <c r="N174" s="590"/>
      <c r="O174" s="590"/>
      <c r="P174" s="590"/>
      <c r="Q174" s="590"/>
      <c r="R174" s="590"/>
      <c r="S174" s="590"/>
      <c r="T174" s="590"/>
      <c r="U174" s="590"/>
      <c r="V174" s="590"/>
      <c r="W174" s="590"/>
      <c r="X174" s="590"/>
      <c r="Y174" s="590"/>
      <c r="Z174" s="590"/>
    </row>
    <row r="175" ht="12.75" customHeight="1">
      <c r="A175" s="590"/>
      <c r="B175" s="590"/>
      <c r="C175" s="590"/>
      <c r="D175" s="590"/>
      <c r="E175" s="590"/>
      <c r="F175" s="590"/>
      <c r="G175" s="590"/>
      <c r="H175" s="590"/>
      <c r="I175" s="590"/>
      <c r="J175" s="590"/>
      <c r="K175" s="590"/>
      <c r="L175" s="590"/>
      <c r="M175" s="590"/>
      <c r="N175" s="590"/>
      <c r="O175" s="590"/>
      <c r="P175" s="590"/>
      <c r="Q175" s="590"/>
      <c r="R175" s="590"/>
      <c r="S175" s="590"/>
      <c r="T175" s="590"/>
      <c r="U175" s="590"/>
      <c r="V175" s="590"/>
      <c r="W175" s="590"/>
      <c r="X175" s="590"/>
      <c r="Y175" s="590"/>
      <c r="Z175" s="590"/>
    </row>
    <row r="176" ht="12.75" customHeight="1">
      <c r="A176" s="590"/>
      <c r="B176" s="590"/>
      <c r="C176" s="590"/>
      <c r="D176" s="590"/>
      <c r="E176" s="590"/>
      <c r="F176" s="590"/>
      <c r="G176" s="590"/>
      <c r="H176" s="590"/>
      <c r="I176" s="590"/>
      <c r="J176" s="590"/>
      <c r="K176" s="590"/>
      <c r="L176" s="590"/>
      <c r="M176" s="590"/>
      <c r="N176" s="590"/>
      <c r="O176" s="590"/>
      <c r="P176" s="590"/>
      <c r="Q176" s="590"/>
      <c r="R176" s="590"/>
      <c r="S176" s="590"/>
      <c r="T176" s="590"/>
      <c r="U176" s="590"/>
      <c r="V176" s="590"/>
      <c r="W176" s="590"/>
      <c r="X176" s="590"/>
      <c r="Y176" s="590"/>
      <c r="Z176" s="590"/>
    </row>
    <row r="177" ht="12.75" customHeight="1">
      <c r="A177" s="590"/>
      <c r="B177" s="590"/>
      <c r="C177" s="590"/>
      <c r="D177" s="590"/>
      <c r="E177" s="590"/>
      <c r="F177" s="590"/>
      <c r="G177" s="590"/>
      <c r="H177" s="590"/>
      <c r="I177" s="590"/>
      <c r="J177" s="590"/>
      <c r="K177" s="590"/>
      <c r="L177" s="590"/>
      <c r="M177" s="590"/>
      <c r="N177" s="590"/>
      <c r="O177" s="590"/>
      <c r="P177" s="590"/>
      <c r="Q177" s="590"/>
      <c r="R177" s="590"/>
      <c r="S177" s="590"/>
      <c r="T177" s="590"/>
      <c r="U177" s="590"/>
      <c r="V177" s="590"/>
      <c r="W177" s="590"/>
      <c r="X177" s="590"/>
      <c r="Y177" s="590"/>
      <c r="Z177" s="590"/>
    </row>
    <row r="178" ht="12.75" customHeight="1">
      <c r="A178" s="590"/>
      <c r="B178" s="590"/>
      <c r="C178" s="590"/>
      <c r="D178" s="590"/>
      <c r="E178" s="590"/>
      <c r="F178" s="590"/>
      <c r="G178" s="590"/>
      <c r="H178" s="590"/>
      <c r="I178" s="590"/>
      <c r="J178" s="590"/>
      <c r="K178" s="590"/>
      <c r="L178" s="590"/>
      <c r="M178" s="590"/>
      <c r="N178" s="590"/>
      <c r="O178" s="590"/>
      <c r="P178" s="590"/>
      <c r="Q178" s="590"/>
      <c r="R178" s="590"/>
      <c r="S178" s="590"/>
      <c r="T178" s="590"/>
      <c r="U178" s="590"/>
      <c r="V178" s="590"/>
      <c r="W178" s="590"/>
      <c r="X178" s="590"/>
      <c r="Y178" s="590"/>
      <c r="Z178" s="590"/>
    </row>
    <row r="179" ht="12.75" customHeight="1">
      <c r="A179" s="590"/>
      <c r="B179" s="590"/>
      <c r="C179" s="590"/>
      <c r="D179" s="590"/>
      <c r="E179" s="590"/>
      <c r="F179" s="590"/>
      <c r="G179" s="590"/>
      <c r="H179" s="590"/>
      <c r="I179" s="590"/>
      <c r="J179" s="590"/>
      <c r="K179" s="590"/>
      <c r="L179" s="590"/>
      <c r="M179" s="590"/>
      <c r="N179" s="590"/>
      <c r="O179" s="590"/>
      <c r="P179" s="590"/>
      <c r="Q179" s="590"/>
      <c r="R179" s="590"/>
      <c r="S179" s="590"/>
      <c r="T179" s="590"/>
      <c r="U179" s="590"/>
      <c r="V179" s="590"/>
      <c r="W179" s="590"/>
      <c r="X179" s="590"/>
      <c r="Y179" s="590"/>
      <c r="Z179" s="590"/>
    </row>
    <row r="180" ht="12.75" customHeight="1">
      <c r="A180" s="590"/>
      <c r="B180" s="590"/>
      <c r="C180" s="590"/>
      <c r="D180" s="590"/>
      <c r="E180" s="590"/>
      <c r="F180" s="590"/>
      <c r="G180" s="590"/>
      <c r="H180" s="590"/>
      <c r="I180" s="590"/>
      <c r="J180" s="590"/>
      <c r="K180" s="590"/>
      <c r="L180" s="590"/>
      <c r="M180" s="590"/>
      <c r="N180" s="590"/>
      <c r="O180" s="590"/>
      <c r="P180" s="590"/>
      <c r="Q180" s="590"/>
      <c r="R180" s="590"/>
      <c r="S180" s="590"/>
      <c r="T180" s="590"/>
      <c r="U180" s="590"/>
      <c r="V180" s="590"/>
      <c r="W180" s="590"/>
      <c r="X180" s="590"/>
      <c r="Y180" s="590"/>
      <c r="Z180" s="590"/>
    </row>
    <row r="181" ht="12.75" customHeight="1">
      <c r="A181" s="590"/>
      <c r="B181" s="590"/>
      <c r="C181" s="590"/>
      <c r="D181" s="590"/>
      <c r="E181" s="590"/>
      <c r="F181" s="590"/>
      <c r="G181" s="590"/>
      <c r="H181" s="590"/>
      <c r="I181" s="590"/>
      <c r="J181" s="590"/>
      <c r="K181" s="590"/>
      <c r="L181" s="590"/>
      <c r="M181" s="590"/>
      <c r="N181" s="590"/>
      <c r="O181" s="590"/>
      <c r="P181" s="590"/>
      <c r="Q181" s="590"/>
      <c r="R181" s="590"/>
      <c r="S181" s="590"/>
      <c r="T181" s="590"/>
      <c r="U181" s="590"/>
      <c r="V181" s="590"/>
      <c r="W181" s="590"/>
      <c r="X181" s="590"/>
      <c r="Y181" s="590"/>
      <c r="Z181" s="590"/>
    </row>
    <row r="182" ht="12.75" customHeight="1">
      <c r="A182" s="590"/>
      <c r="B182" s="590"/>
      <c r="C182" s="590"/>
      <c r="D182" s="590"/>
      <c r="E182" s="590"/>
      <c r="F182" s="590"/>
      <c r="G182" s="590"/>
      <c r="H182" s="590"/>
      <c r="I182" s="590"/>
      <c r="J182" s="590"/>
      <c r="K182" s="590"/>
      <c r="L182" s="590"/>
      <c r="M182" s="590"/>
      <c r="N182" s="590"/>
      <c r="O182" s="590"/>
      <c r="P182" s="590"/>
      <c r="Q182" s="590"/>
      <c r="R182" s="590"/>
      <c r="S182" s="590"/>
      <c r="T182" s="590"/>
      <c r="U182" s="590"/>
      <c r="V182" s="590"/>
      <c r="W182" s="590"/>
      <c r="X182" s="590"/>
      <c r="Y182" s="590"/>
      <c r="Z182" s="590"/>
    </row>
    <row r="183" ht="12.75" customHeight="1">
      <c r="A183" s="590"/>
      <c r="B183" s="590"/>
      <c r="C183" s="590"/>
      <c r="D183" s="590"/>
      <c r="E183" s="590"/>
      <c r="F183" s="590"/>
      <c r="G183" s="590"/>
      <c r="H183" s="590"/>
      <c r="I183" s="590"/>
      <c r="J183" s="590"/>
      <c r="K183" s="590"/>
      <c r="L183" s="590"/>
      <c r="M183" s="590"/>
      <c r="N183" s="590"/>
      <c r="O183" s="590"/>
      <c r="P183" s="590"/>
      <c r="Q183" s="590"/>
      <c r="R183" s="590"/>
      <c r="S183" s="590"/>
      <c r="T183" s="590"/>
      <c r="U183" s="590"/>
      <c r="V183" s="590"/>
      <c r="W183" s="590"/>
      <c r="X183" s="590"/>
      <c r="Y183" s="590"/>
      <c r="Z183" s="590"/>
    </row>
    <row r="184" ht="12.75" customHeight="1">
      <c r="A184" s="590"/>
      <c r="B184" s="590"/>
      <c r="C184" s="590"/>
      <c r="D184" s="590"/>
      <c r="E184" s="590"/>
      <c r="F184" s="590"/>
      <c r="G184" s="590"/>
      <c r="H184" s="590"/>
      <c r="I184" s="590"/>
      <c r="J184" s="590"/>
      <c r="K184" s="590"/>
      <c r="L184" s="590"/>
      <c r="M184" s="590"/>
      <c r="N184" s="590"/>
      <c r="O184" s="590"/>
      <c r="P184" s="590"/>
      <c r="Q184" s="590"/>
      <c r="R184" s="590"/>
      <c r="S184" s="590"/>
      <c r="T184" s="590"/>
      <c r="U184" s="590"/>
      <c r="V184" s="590"/>
      <c r="W184" s="590"/>
      <c r="X184" s="590"/>
      <c r="Y184" s="590"/>
      <c r="Z184" s="590"/>
    </row>
    <row r="185" ht="12.75" customHeight="1">
      <c r="A185" s="590"/>
      <c r="B185" s="590"/>
      <c r="C185" s="590"/>
      <c r="D185" s="590"/>
      <c r="E185" s="590"/>
      <c r="F185" s="590"/>
      <c r="G185" s="590"/>
      <c r="H185" s="590"/>
      <c r="I185" s="590"/>
      <c r="J185" s="590"/>
      <c r="K185" s="590"/>
      <c r="L185" s="590"/>
      <c r="M185" s="590"/>
      <c r="N185" s="590"/>
      <c r="O185" s="590"/>
      <c r="P185" s="590"/>
      <c r="Q185" s="590"/>
      <c r="R185" s="590"/>
      <c r="S185" s="590"/>
      <c r="T185" s="590"/>
      <c r="U185" s="590"/>
      <c r="V185" s="590"/>
      <c r="W185" s="590"/>
      <c r="X185" s="590"/>
      <c r="Y185" s="590"/>
      <c r="Z185" s="590"/>
    </row>
    <row r="186" ht="12.75" customHeight="1">
      <c r="A186" s="590"/>
      <c r="B186" s="590"/>
      <c r="C186" s="590"/>
      <c r="D186" s="590"/>
      <c r="E186" s="590"/>
      <c r="F186" s="590"/>
      <c r="G186" s="590"/>
      <c r="H186" s="590"/>
      <c r="I186" s="590"/>
      <c r="J186" s="590"/>
      <c r="K186" s="590"/>
      <c r="L186" s="590"/>
      <c r="M186" s="590"/>
      <c r="N186" s="590"/>
      <c r="O186" s="590"/>
      <c r="P186" s="590"/>
      <c r="Q186" s="590"/>
      <c r="R186" s="590"/>
      <c r="S186" s="590"/>
      <c r="T186" s="590"/>
      <c r="U186" s="590"/>
      <c r="V186" s="590"/>
      <c r="W186" s="590"/>
      <c r="X186" s="590"/>
      <c r="Y186" s="590"/>
      <c r="Z186" s="590"/>
    </row>
    <row r="187" ht="12.75" customHeight="1">
      <c r="A187" s="590"/>
      <c r="B187" s="590"/>
      <c r="C187" s="590"/>
      <c r="D187" s="590"/>
      <c r="E187" s="590"/>
      <c r="F187" s="590"/>
      <c r="G187" s="590"/>
      <c r="H187" s="590"/>
      <c r="I187" s="590"/>
      <c r="J187" s="590"/>
      <c r="K187" s="590"/>
      <c r="L187" s="590"/>
      <c r="M187" s="590"/>
      <c r="N187" s="590"/>
      <c r="O187" s="590"/>
      <c r="P187" s="590"/>
      <c r="Q187" s="590"/>
      <c r="R187" s="590"/>
      <c r="S187" s="590"/>
      <c r="T187" s="590"/>
      <c r="U187" s="590"/>
      <c r="V187" s="590"/>
      <c r="W187" s="590"/>
      <c r="X187" s="590"/>
      <c r="Y187" s="590"/>
      <c r="Z187" s="590"/>
    </row>
    <row r="188" ht="12.75" customHeight="1">
      <c r="A188" s="590"/>
      <c r="B188" s="590"/>
      <c r="C188" s="590"/>
      <c r="D188" s="590"/>
      <c r="E188" s="590"/>
      <c r="F188" s="590"/>
      <c r="G188" s="590"/>
      <c r="H188" s="590"/>
      <c r="I188" s="590"/>
      <c r="J188" s="590"/>
      <c r="K188" s="590"/>
      <c r="L188" s="590"/>
      <c r="M188" s="590"/>
      <c r="N188" s="590"/>
      <c r="O188" s="590"/>
      <c r="P188" s="590"/>
      <c r="Q188" s="590"/>
      <c r="R188" s="590"/>
      <c r="S188" s="590"/>
      <c r="T188" s="590"/>
      <c r="U188" s="590"/>
      <c r="V188" s="590"/>
      <c r="W188" s="590"/>
      <c r="X188" s="590"/>
      <c r="Y188" s="590"/>
      <c r="Z188" s="590"/>
    </row>
    <row r="189" ht="12.75" customHeight="1">
      <c r="A189" s="590"/>
      <c r="B189" s="590"/>
      <c r="C189" s="590"/>
      <c r="D189" s="590"/>
      <c r="E189" s="590"/>
      <c r="F189" s="590"/>
      <c r="G189" s="590"/>
      <c r="H189" s="590"/>
      <c r="I189" s="590"/>
      <c r="J189" s="590"/>
      <c r="K189" s="590"/>
      <c r="L189" s="590"/>
      <c r="M189" s="590"/>
      <c r="N189" s="590"/>
      <c r="O189" s="590"/>
      <c r="P189" s="590"/>
      <c r="Q189" s="590"/>
      <c r="R189" s="590"/>
      <c r="S189" s="590"/>
      <c r="T189" s="590"/>
      <c r="U189" s="590"/>
      <c r="V189" s="590"/>
      <c r="W189" s="590"/>
      <c r="X189" s="590"/>
      <c r="Y189" s="590"/>
      <c r="Z189" s="590"/>
    </row>
    <row r="190" ht="12.75" customHeight="1">
      <c r="A190" s="590"/>
      <c r="B190" s="590"/>
      <c r="C190" s="590"/>
      <c r="D190" s="590"/>
      <c r="E190" s="590"/>
      <c r="F190" s="590"/>
      <c r="G190" s="590"/>
      <c r="H190" s="590"/>
      <c r="I190" s="590"/>
      <c r="J190" s="590"/>
      <c r="K190" s="590"/>
      <c r="L190" s="590"/>
      <c r="M190" s="590"/>
      <c r="N190" s="590"/>
      <c r="O190" s="590"/>
      <c r="P190" s="590"/>
      <c r="Q190" s="590"/>
      <c r="R190" s="590"/>
      <c r="S190" s="590"/>
      <c r="T190" s="590"/>
      <c r="U190" s="590"/>
      <c r="V190" s="590"/>
      <c r="W190" s="590"/>
      <c r="X190" s="590"/>
      <c r="Y190" s="590"/>
      <c r="Z190" s="590"/>
    </row>
    <row r="191" ht="12.75" customHeight="1">
      <c r="A191" s="590"/>
      <c r="B191" s="590"/>
      <c r="C191" s="590"/>
      <c r="D191" s="590"/>
      <c r="E191" s="590"/>
      <c r="F191" s="590"/>
      <c r="G191" s="590"/>
      <c r="H191" s="590"/>
      <c r="I191" s="590"/>
      <c r="J191" s="590"/>
      <c r="K191" s="590"/>
      <c r="L191" s="590"/>
      <c r="M191" s="590"/>
      <c r="N191" s="590"/>
      <c r="O191" s="590"/>
      <c r="P191" s="590"/>
      <c r="Q191" s="590"/>
      <c r="R191" s="590"/>
      <c r="S191" s="590"/>
      <c r="T191" s="590"/>
      <c r="U191" s="590"/>
      <c r="V191" s="590"/>
      <c r="W191" s="590"/>
      <c r="X191" s="590"/>
      <c r="Y191" s="590"/>
      <c r="Z191" s="590"/>
    </row>
    <row r="192" ht="12.75" customHeight="1">
      <c r="A192" s="590"/>
      <c r="B192" s="590"/>
      <c r="C192" s="590"/>
      <c r="D192" s="590"/>
      <c r="E192" s="590"/>
      <c r="F192" s="590"/>
      <c r="G192" s="590"/>
      <c r="H192" s="590"/>
      <c r="I192" s="590"/>
      <c r="J192" s="590"/>
      <c r="K192" s="590"/>
      <c r="L192" s="590"/>
      <c r="M192" s="590"/>
      <c r="N192" s="590"/>
      <c r="O192" s="590"/>
      <c r="P192" s="590"/>
      <c r="Q192" s="590"/>
      <c r="R192" s="590"/>
      <c r="S192" s="590"/>
      <c r="T192" s="590"/>
      <c r="U192" s="590"/>
      <c r="V192" s="590"/>
      <c r="W192" s="590"/>
      <c r="X192" s="590"/>
      <c r="Y192" s="590"/>
      <c r="Z192" s="590"/>
    </row>
    <row r="193" ht="12.75" customHeight="1">
      <c r="A193" s="590"/>
      <c r="B193" s="590"/>
      <c r="C193" s="590"/>
      <c r="D193" s="590"/>
      <c r="E193" s="590"/>
      <c r="F193" s="590"/>
      <c r="G193" s="590"/>
      <c r="H193" s="590"/>
      <c r="I193" s="590"/>
      <c r="J193" s="590"/>
      <c r="K193" s="590"/>
      <c r="L193" s="590"/>
      <c r="M193" s="590"/>
      <c r="N193" s="590"/>
      <c r="O193" s="590"/>
      <c r="P193" s="590"/>
      <c r="Q193" s="590"/>
      <c r="R193" s="590"/>
      <c r="S193" s="590"/>
      <c r="T193" s="590"/>
      <c r="U193" s="590"/>
      <c r="V193" s="590"/>
      <c r="W193" s="590"/>
      <c r="X193" s="590"/>
      <c r="Y193" s="590"/>
      <c r="Z193" s="590"/>
    </row>
    <row r="194" ht="12.75" customHeight="1">
      <c r="A194" s="590"/>
      <c r="B194" s="590"/>
      <c r="C194" s="590"/>
      <c r="D194" s="590"/>
      <c r="E194" s="590"/>
      <c r="F194" s="590"/>
      <c r="G194" s="590"/>
      <c r="H194" s="590"/>
      <c r="I194" s="590"/>
      <c r="J194" s="590"/>
      <c r="K194" s="590"/>
      <c r="L194" s="590"/>
      <c r="M194" s="590"/>
      <c r="N194" s="590"/>
      <c r="O194" s="590"/>
      <c r="P194" s="590"/>
      <c r="Q194" s="590"/>
      <c r="R194" s="590"/>
      <c r="S194" s="590"/>
      <c r="T194" s="590"/>
      <c r="U194" s="590"/>
      <c r="V194" s="590"/>
      <c r="W194" s="590"/>
      <c r="X194" s="590"/>
      <c r="Y194" s="590"/>
      <c r="Z194" s="590"/>
    </row>
    <row r="195" ht="12.75" customHeight="1">
      <c r="A195" s="590"/>
      <c r="B195" s="590"/>
      <c r="C195" s="590"/>
      <c r="D195" s="590"/>
      <c r="E195" s="590"/>
      <c r="F195" s="590"/>
      <c r="G195" s="590"/>
      <c r="H195" s="590"/>
      <c r="I195" s="590"/>
      <c r="J195" s="590"/>
      <c r="K195" s="590"/>
      <c r="L195" s="590"/>
      <c r="M195" s="590"/>
      <c r="N195" s="590"/>
      <c r="O195" s="590"/>
      <c r="P195" s="590"/>
      <c r="Q195" s="590"/>
      <c r="R195" s="590"/>
      <c r="S195" s="590"/>
      <c r="T195" s="590"/>
      <c r="U195" s="590"/>
      <c r="V195" s="590"/>
      <c r="W195" s="590"/>
      <c r="X195" s="590"/>
      <c r="Y195" s="590"/>
      <c r="Z195" s="590"/>
    </row>
    <row r="196" ht="12.75" customHeight="1">
      <c r="A196" s="590"/>
      <c r="B196" s="590"/>
      <c r="C196" s="590"/>
      <c r="D196" s="590"/>
      <c r="E196" s="590"/>
      <c r="F196" s="590"/>
      <c r="G196" s="590"/>
      <c r="H196" s="590"/>
      <c r="I196" s="590"/>
      <c r="J196" s="590"/>
      <c r="K196" s="590"/>
      <c r="L196" s="590"/>
      <c r="M196" s="590"/>
      <c r="N196" s="590"/>
      <c r="O196" s="590"/>
      <c r="P196" s="590"/>
      <c r="Q196" s="590"/>
      <c r="R196" s="590"/>
      <c r="S196" s="590"/>
      <c r="T196" s="590"/>
      <c r="U196" s="590"/>
      <c r="V196" s="590"/>
      <c r="W196" s="590"/>
      <c r="X196" s="590"/>
      <c r="Y196" s="590"/>
      <c r="Z196" s="590"/>
    </row>
    <row r="197" ht="12.75" customHeight="1">
      <c r="A197" s="590"/>
      <c r="B197" s="590"/>
      <c r="C197" s="590"/>
      <c r="D197" s="590"/>
      <c r="E197" s="590"/>
      <c r="F197" s="590"/>
      <c r="G197" s="590"/>
      <c r="H197" s="590"/>
      <c r="I197" s="590"/>
      <c r="J197" s="590"/>
      <c r="K197" s="590"/>
      <c r="L197" s="590"/>
      <c r="M197" s="590"/>
      <c r="N197" s="590"/>
      <c r="O197" s="590"/>
      <c r="P197" s="590"/>
      <c r="Q197" s="590"/>
      <c r="R197" s="590"/>
      <c r="S197" s="590"/>
      <c r="T197" s="590"/>
      <c r="U197" s="590"/>
      <c r="V197" s="590"/>
      <c r="W197" s="590"/>
      <c r="X197" s="590"/>
      <c r="Y197" s="590"/>
      <c r="Z197" s="590"/>
    </row>
    <row r="198" ht="12.75" customHeight="1">
      <c r="A198" s="590"/>
      <c r="B198" s="590"/>
      <c r="C198" s="590"/>
      <c r="D198" s="590"/>
      <c r="E198" s="590"/>
      <c r="F198" s="590"/>
      <c r="G198" s="590"/>
      <c r="H198" s="590"/>
      <c r="I198" s="590"/>
      <c r="J198" s="590"/>
      <c r="K198" s="590"/>
      <c r="L198" s="590"/>
      <c r="M198" s="590"/>
      <c r="N198" s="590"/>
      <c r="O198" s="590"/>
      <c r="P198" s="590"/>
      <c r="Q198" s="590"/>
      <c r="R198" s="590"/>
      <c r="S198" s="590"/>
      <c r="T198" s="590"/>
      <c r="U198" s="590"/>
      <c r="V198" s="590"/>
      <c r="W198" s="590"/>
      <c r="X198" s="590"/>
      <c r="Y198" s="590"/>
      <c r="Z198" s="590"/>
    </row>
    <row r="199" ht="12.75" customHeight="1">
      <c r="A199" s="590"/>
      <c r="B199" s="590"/>
      <c r="C199" s="590"/>
      <c r="D199" s="590"/>
      <c r="E199" s="590"/>
      <c r="F199" s="590"/>
      <c r="G199" s="590"/>
      <c r="H199" s="590"/>
      <c r="I199" s="590"/>
      <c r="J199" s="590"/>
      <c r="K199" s="590"/>
      <c r="L199" s="590"/>
      <c r="M199" s="590"/>
      <c r="N199" s="590"/>
      <c r="O199" s="590"/>
      <c r="P199" s="590"/>
      <c r="Q199" s="590"/>
      <c r="R199" s="590"/>
      <c r="S199" s="590"/>
      <c r="T199" s="590"/>
      <c r="U199" s="590"/>
      <c r="V199" s="590"/>
      <c r="W199" s="590"/>
      <c r="X199" s="590"/>
      <c r="Y199" s="590"/>
      <c r="Z199" s="590"/>
    </row>
    <row r="200" ht="12.75" customHeight="1">
      <c r="A200" s="590"/>
      <c r="B200" s="590"/>
      <c r="C200" s="590"/>
      <c r="D200" s="590"/>
      <c r="E200" s="590"/>
      <c r="F200" s="590"/>
      <c r="G200" s="590"/>
      <c r="H200" s="590"/>
      <c r="I200" s="590"/>
      <c r="J200" s="590"/>
      <c r="K200" s="590"/>
      <c r="L200" s="590"/>
      <c r="M200" s="590"/>
      <c r="N200" s="590"/>
      <c r="O200" s="590"/>
      <c r="P200" s="590"/>
      <c r="Q200" s="590"/>
      <c r="R200" s="590"/>
      <c r="S200" s="590"/>
      <c r="T200" s="590"/>
      <c r="U200" s="590"/>
      <c r="V200" s="590"/>
      <c r="W200" s="590"/>
      <c r="X200" s="590"/>
      <c r="Y200" s="590"/>
      <c r="Z200" s="590"/>
    </row>
    <row r="201" ht="12.75" customHeight="1">
      <c r="A201" s="590"/>
      <c r="B201" s="590"/>
      <c r="C201" s="590"/>
      <c r="D201" s="590"/>
      <c r="E201" s="590"/>
      <c r="F201" s="590"/>
      <c r="G201" s="590"/>
      <c r="H201" s="590"/>
      <c r="I201" s="590"/>
      <c r="J201" s="590"/>
      <c r="K201" s="590"/>
      <c r="L201" s="590"/>
      <c r="M201" s="590"/>
      <c r="N201" s="590"/>
      <c r="O201" s="590"/>
      <c r="P201" s="590"/>
      <c r="Q201" s="590"/>
      <c r="R201" s="590"/>
      <c r="S201" s="590"/>
      <c r="T201" s="590"/>
      <c r="U201" s="590"/>
      <c r="V201" s="590"/>
      <c r="W201" s="590"/>
      <c r="X201" s="590"/>
      <c r="Y201" s="590"/>
      <c r="Z201" s="590"/>
    </row>
    <row r="202" ht="12.75" customHeight="1">
      <c r="A202" s="590"/>
      <c r="B202" s="590"/>
      <c r="C202" s="590"/>
      <c r="D202" s="590"/>
      <c r="E202" s="590"/>
      <c r="F202" s="590"/>
      <c r="G202" s="590"/>
      <c r="H202" s="590"/>
      <c r="I202" s="590"/>
      <c r="J202" s="590"/>
      <c r="K202" s="590"/>
      <c r="L202" s="590"/>
      <c r="M202" s="590"/>
      <c r="N202" s="590"/>
      <c r="O202" s="590"/>
      <c r="P202" s="590"/>
      <c r="Q202" s="590"/>
      <c r="R202" s="590"/>
      <c r="S202" s="590"/>
      <c r="T202" s="590"/>
      <c r="U202" s="590"/>
      <c r="V202" s="590"/>
      <c r="W202" s="590"/>
      <c r="X202" s="590"/>
      <c r="Y202" s="590"/>
      <c r="Z202" s="590"/>
    </row>
    <row r="203" ht="12.75" customHeight="1">
      <c r="A203" s="590"/>
      <c r="B203" s="590"/>
      <c r="C203" s="590"/>
      <c r="D203" s="590"/>
      <c r="E203" s="590"/>
      <c r="F203" s="590"/>
      <c r="G203" s="590"/>
      <c r="H203" s="590"/>
      <c r="I203" s="590"/>
      <c r="J203" s="590"/>
      <c r="K203" s="590"/>
      <c r="L203" s="590"/>
      <c r="M203" s="590"/>
      <c r="N203" s="590"/>
      <c r="O203" s="590"/>
      <c r="P203" s="590"/>
      <c r="Q203" s="590"/>
      <c r="R203" s="590"/>
      <c r="S203" s="590"/>
      <c r="T203" s="590"/>
      <c r="U203" s="590"/>
      <c r="V203" s="590"/>
      <c r="W203" s="590"/>
      <c r="X203" s="590"/>
      <c r="Y203" s="590"/>
      <c r="Z203" s="590"/>
    </row>
    <row r="204" ht="12.75" customHeight="1">
      <c r="A204" s="590"/>
      <c r="B204" s="590"/>
      <c r="C204" s="590"/>
      <c r="D204" s="590"/>
      <c r="E204" s="590"/>
      <c r="F204" s="590"/>
      <c r="G204" s="590"/>
      <c r="H204" s="590"/>
      <c r="I204" s="590"/>
      <c r="J204" s="590"/>
      <c r="K204" s="590"/>
      <c r="L204" s="590"/>
      <c r="M204" s="590"/>
      <c r="N204" s="590"/>
      <c r="O204" s="590"/>
      <c r="P204" s="590"/>
      <c r="Q204" s="590"/>
      <c r="R204" s="590"/>
      <c r="S204" s="590"/>
      <c r="T204" s="590"/>
      <c r="U204" s="590"/>
      <c r="V204" s="590"/>
      <c r="W204" s="590"/>
      <c r="X204" s="590"/>
      <c r="Y204" s="590"/>
      <c r="Z204" s="590"/>
    </row>
    <row r="205" ht="12.75" customHeight="1">
      <c r="A205" s="590"/>
      <c r="B205" s="590"/>
      <c r="C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ht="12.75" customHeight="1">
      <c r="A206" s="590"/>
      <c r="B206" s="590"/>
      <c r="C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ht="12.75" customHeight="1">
      <c r="A207" s="590"/>
      <c r="B207" s="590"/>
      <c r="C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ht="12.75" customHeight="1">
      <c r="A208" s="590"/>
      <c r="B208" s="590"/>
      <c r="C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ht="12.75" customHeight="1">
      <c r="A209" s="590"/>
      <c r="B209" s="590"/>
      <c r="C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ht="12.75" customHeight="1">
      <c r="A210" s="590"/>
      <c r="B210" s="590"/>
      <c r="C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ht="12.75" customHeight="1">
      <c r="A211" s="590"/>
      <c r="B211" s="590"/>
      <c r="C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ht="12.75" customHeight="1">
      <c r="A212" s="590"/>
      <c r="B212" s="590"/>
      <c r="C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ht="12.75" customHeight="1">
      <c r="A213" s="590"/>
      <c r="B213" s="590"/>
      <c r="C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ht="12.75" customHeight="1">
      <c r="A214" s="590"/>
      <c r="B214" s="590"/>
      <c r="C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ht="12.75" customHeight="1">
      <c r="A215" s="590"/>
      <c r="B215" s="590"/>
      <c r="C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ht="12.75" customHeight="1">
      <c r="A216" s="590"/>
      <c r="B216" s="590"/>
      <c r="C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ht="12.75" customHeight="1">
      <c r="A217" s="590"/>
      <c r="B217" s="590"/>
      <c r="C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ht="12.75" customHeight="1">
      <c r="A218" s="590"/>
      <c r="B218" s="590"/>
      <c r="C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ht="12.75" customHeight="1">
      <c r="A219" s="590"/>
      <c r="B219" s="590"/>
      <c r="C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ht="12.75" customHeight="1">
      <c r="A220" s="590"/>
      <c r="B220" s="590"/>
      <c r="C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E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5"/>
    <col customWidth="1" min="2" max="2" width="11.5"/>
    <col customWidth="1" min="3" max="3" width="13.88"/>
    <col customWidth="1" min="4" max="4" width="8.5"/>
    <col customWidth="1" min="5" max="5" width="13.63"/>
    <col customWidth="1" min="6" max="20" width="10.5"/>
    <col customWidth="1" min="21" max="21" width="11.5"/>
    <col customWidth="1" min="22" max="26" width="10.63"/>
  </cols>
  <sheetData>
    <row r="1" ht="12.75" customHeight="1">
      <c r="A1" s="590"/>
      <c r="B1" s="590"/>
      <c r="C1" s="590"/>
      <c r="D1" s="590"/>
      <c r="E1" s="590"/>
      <c r="F1" s="590"/>
      <c r="G1" s="590"/>
      <c r="H1" s="590"/>
      <c r="I1" s="590"/>
      <c r="J1" s="590"/>
      <c r="K1" s="590"/>
      <c r="L1" s="590"/>
      <c r="M1" s="590"/>
      <c r="N1" s="590"/>
      <c r="O1" s="590"/>
      <c r="P1" s="590"/>
      <c r="Q1" s="590"/>
      <c r="R1" s="590"/>
      <c r="S1" s="590"/>
      <c r="T1" s="590"/>
      <c r="U1" s="590"/>
      <c r="V1" s="590"/>
      <c r="W1" s="590"/>
      <c r="X1" s="590"/>
      <c r="Y1" s="590"/>
      <c r="Z1" s="590"/>
    </row>
    <row r="2" ht="12.75" customHeight="1">
      <c r="A2" s="590"/>
      <c r="B2" s="601" t="s">
        <v>1644</v>
      </c>
      <c r="C2" s="602"/>
      <c r="D2" s="602"/>
      <c r="E2" s="603"/>
      <c r="F2" s="402">
        <v>45957.0</v>
      </c>
      <c r="G2" s="402">
        <f t="shared" ref="G2:H2" si="1">+F2+30</f>
        <v>45987</v>
      </c>
      <c r="H2" s="402">
        <f t="shared" si="1"/>
        <v>46017</v>
      </c>
      <c r="I2" s="402">
        <v>46023.0</v>
      </c>
      <c r="J2" s="402">
        <v>46054.0</v>
      </c>
      <c r="K2" s="402">
        <v>46112.0</v>
      </c>
      <c r="L2" s="402">
        <v>46142.0</v>
      </c>
      <c r="M2" s="402">
        <v>46172.0</v>
      </c>
      <c r="N2" s="402">
        <v>46202.0</v>
      </c>
      <c r="O2" s="402">
        <v>46232.0</v>
      </c>
      <c r="P2" s="402">
        <v>46262.0</v>
      </c>
      <c r="Q2" s="402">
        <v>46292.0</v>
      </c>
      <c r="R2" s="402">
        <v>46322.0</v>
      </c>
      <c r="S2" s="435">
        <v>46352.0</v>
      </c>
      <c r="T2" s="402">
        <v>46382.0</v>
      </c>
      <c r="U2" s="590"/>
      <c r="V2" s="590"/>
      <c r="W2" s="590"/>
      <c r="X2" s="590"/>
      <c r="Y2" s="590"/>
      <c r="Z2" s="590"/>
    </row>
    <row r="3" ht="12.75" customHeight="1">
      <c r="A3" s="590"/>
      <c r="B3" s="590"/>
      <c r="C3" s="590"/>
      <c r="D3" s="590"/>
      <c r="E3" s="590"/>
      <c r="F3" s="590"/>
      <c r="G3" s="590"/>
      <c r="H3" s="590"/>
      <c r="I3" s="590"/>
      <c r="J3" s="590"/>
      <c r="K3" s="590"/>
      <c r="L3" s="590"/>
      <c r="M3" s="590"/>
      <c r="N3" s="590"/>
      <c r="O3" s="590"/>
      <c r="P3" s="590"/>
      <c r="Q3" s="590"/>
      <c r="R3" s="590"/>
      <c r="S3" s="590"/>
      <c r="T3" s="590"/>
      <c r="U3" s="590"/>
      <c r="V3" s="590"/>
      <c r="W3" s="590"/>
      <c r="X3" s="590"/>
      <c r="Y3" s="590"/>
      <c r="Z3" s="590"/>
    </row>
    <row r="4" ht="12.75" customHeight="1">
      <c r="A4" s="590"/>
      <c r="B4" s="590"/>
      <c r="C4" s="590" t="s">
        <v>1645</v>
      </c>
      <c r="D4" s="590"/>
      <c r="E4" s="590"/>
      <c r="F4" s="598">
        <f t="shared" ref="F4:G4" si="2">+E4*(1+F6)</f>
        <v>0</v>
      </c>
      <c r="G4" s="598">
        <f t="shared" si="2"/>
        <v>0</v>
      </c>
      <c r="H4" s="604">
        <v>1300000.0</v>
      </c>
      <c r="I4" s="598">
        <f t="shared" ref="I4:T4" si="3">+H4*(1+I6)</f>
        <v>1337700</v>
      </c>
      <c r="J4" s="598">
        <f t="shared" si="3"/>
        <v>1376493.3</v>
      </c>
      <c r="K4" s="598">
        <f t="shared" si="3"/>
        <v>1423294.072</v>
      </c>
      <c r="L4" s="598">
        <f t="shared" si="3"/>
        <v>1460299.718</v>
      </c>
      <c r="M4" s="598">
        <f t="shared" si="3"/>
        <v>1502648.41</v>
      </c>
      <c r="N4" s="598">
        <f t="shared" si="3"/>
        <v>1546225.214</v>
      </c>
      <c r="O4" s="598">
        <f t="shared" si="3"/>
        <v>1591065.745</v>
      </c>
      <c r="P4" s="598">
        <f t="shared" si="3"/>
        <v>1637206.652</v>
      </c>
      <c r="Q4" s="598">
        <f t="shared" si="3"/>
        <v>1684685.644</v>
      </c>
      <c r="R4" s="598">
        <f t="shared" si="3"/>
        <v>1733541.528</v>
      </c>
      <c r="S4" s="598">
        <f t="shared" si="3"/>
        <v>1783814.232</v>
      </c>
      <c r="T4" s="598">
        <f t="shared" si="3"/>
        <v>1835544.845</v>
      </c>
      <c r="U4" s="599">
        <f>SUM(I4:T4)</f>
        <v>18912519.36</v>
      </c>
      <c r="V4" s="590"/>
      <c r="W4" s="590"/>
      <c r="X4" s="590"/>
      <c r="Y4" s="590"/>
      <c r="Z4" s="590"/>
    </row>
    <row r="5" ht="12.75" customHeight="1">
      <c r="A5" s="590"/>
      <c r="B5" s="590"/>
      <c r="C5" s="332" t="s">
        <v>1646</v>
      </c>
      <c r="D5" s="590"/>
      <c r="E5" s="590"/>
      <c r="F5" s="590"/>
      <c r="G5" s="590"/>
      <c r="H5" s="590"/>
      <c r="I5" s="590"/>
      <c r="J5" s="590"/>
      <c r="K5" s="590"/>
      <c r="L5" s="590"/>
      <c r="M5" s="590"/>
      <c r="N5" s="590"/>
      <c r="O5" s="590"/>
      <c r="P5" s="590"/>
      <c r="Q5" s="590"/>
      <c r="R5" s="590"/>
      <c r="S5" s="590"/>
      <c r="T5" s="590"/>
      <c r="U5" s="590"/>
      <c r="V5" s="590"/>
      <c r="W5" s="590"/>
      <c r="X5" s="590"/>
      <c r="Y5" s="590"/>
      <c r="Z5" s="590"/>
    </row>
    <row r="6" ht="12.75" customHeight="1">
      <c r="A6" s="590"/>
      <c r="B6" s="590"/>
      <c r="C6" s="422"/>
      <c r="D6" s="422"/>
      <c r="E6" s="422" t="s">
        <v>1641</v>
      </c>
      <c r="F6" s="424">
        <f>+Flk!K34</f>
        <v>0.023</v>
      </c>
      <c r="G6" s="424">
        <f>+Flk!L34</f>
        <v>0.02</v>
      </c>
      <c r="H6" s="424">
        <f>+Flk!M34</f>
        <v>0.02</v>
      </c>
      <c r="I6" s="424">
        <f>+Flk!B71</f>
        <v>0.029</v>
      </c>
      <c r="J6" s="424">
        <f>+Flk!C71</f>
        <v>0.029</v>
      </c>
      <c r="K6" s="424">
        <f>+Flk!D71</f>
        <v>0.034</v>
      </c>
      <c r="L6" s="424">
        <f>+Flk!E71</f>
        <v>0.026</v>
      </c>
      <c r="M6" s="424">
        <f>+Flk!F71</f>
        <v>0.029</v>
      </c>
      <c r="N6" s="424">
        <f>+Flk!G71</f>
        <v>0.029</v>
      </c>
      <c r="O6" s="424">
        <f>+Flk!H71</f>
        <v>0.029</v>
      </c>
      <c r="P6" s="424">
        <f>+Flk!I71</f>
        <v>0.029</v>
      </c>
      <c r="Q6" s="424">
        <f>+Flk!J71</f>
        <v>0.029</v>
      </c>
      <c r="R6" s="424">
        <f>+Flk!K71</f>
        <v>0.029</v>
      </c>
      <c r="S6" s="424">
        <f>+Flk!L71</f>
        <v>0.029</v>
      </c>
      <c r="T6" s="424">
        <f>+Flk!M71</f>
        <v>0.029</v>
      </c>
      <c r="U6" s="590"/>
      <c r="V6" s="590"/>
      <c r="W6" s="590"/>
      <c r="X6" s="590"/>
      <c r="Y6" s="590"/>
      <c r="Z6" s="590"/>
    </row>
    <row r="7" ht="12.75" customHeight="1">
      <c r="A7" s="590"/>
      <c r="B7" s="590"/>
      <c r="C7" s="590"/>
      <c r="D7" s="590"/>
      <c r="E7" s="590"/>
      <c r="F7" s="590"/>
      <c r="G7" s="590"/>
      <c r="H7" s="590"/>
      <c r="I7" s="590"/>
      <c r="J7" s="590"/>
      <c r="K7" s="590"/>
      <c r="L7" s="590"/>
      <c r="M7" s="590"/>
      <c r="N7" s="590"/>
      <c r="O7" s="590"/>
      <c r="P7" s="590"/>
      <c r="Q7" s="590"/>
      <c r="R7" s="590"/>
      <c r="S7" s="590"/>
      <c r="T7" s="590"/>
      <c r="U7" s="590"/>
      <c r="V7" s="590"/>
      <c r="W7" s="590"/>
      <c r="X7" s="590"/>
      <c r="Y7" s="590"/>
      <c r="Z7" s="590"/>
    </row>
    <row r="8" ht="12.75" customHeight="1">
      <c r="A8" s="590"/>
      <c r="B8" s="590"/>
      <c r="C8" s="590"/>
      <c r="D8" s="590"/>
      <c r="E8" s="590"/>
      <c r="F8" s="590"/>
      <c r="G8" s="590"/>
      <c r="H8" s="590"/>
      <c r="I8" s="590"/>
      <c r="J8" s="590"/>
      <c r="K8" s="590"/>
      <c r="L8" s="590"/>
      <c r="M8" s="590"/>
      <c r="N8" s="590"/>
      <c r="O8" s="590"/>
      <c r="P8" s="590"/>
      <c r="Q8" s="590"/>
      <c r="R8" s="590"/>
      <c r="S8" s="590"/>
      <c r="T8" s="590"/>
      <c r="U8" s="590"/>
      <c r="V8" s="590"/>
      <c r="W8" s="590"/>
      <c r="X8" s="590"/>
      <c r="Y8" s="590"/>
      <c r="Z8" s="590"/>
    </row>
    <row r="9" ht="12.75" customHeight="1">
      <c r="A9" s="590"/>
      <c r="B9" s="590"/>
      <c r="C9" s="590"/>
      <c r="D9" s="590"/>
      <c r="E9" s="590"/>
      <c r="F9" s="590"/>
      <c r="G9" s="590"/>
      <c r="H9" s="590"/>
      <c r="I9" s="590"/>
      <c r="J9" s="590"/>
      <c r="K9" s="590"/>
      <c r="L9" s="590"/>
      <c r="M9" s="590"/>
      <c r="N9" s="590"/>
      <c r="O9" s="590"/>
      <c r="P9" s="590"/>
      <c r="Q9" s="590"/>
      <c r="R9" s="590"/>
      <c r="S9" s="590"/>
      <c r="T9" s="590"/>
      <c r="U9" s="590"/>
      <c r="V9" s="590"/>
      <c r="W9" s="590"/>
      <c r="X9" s="590"/>
      <c r="Y9" s="590"/>
      <c r="Z9" s="590"/>
    </row>
    <row r="10" ht="12.75" customHeight="1">
      <c r="A10" s="600"/>
      <c r="B10" s="590"/>
      <c r="C10" s="590"/>
      <c r="D10" s="590"/>
      <c r="E10" s="590"/>
      <c r="F10" s="590"/>
      <c r="G10" s="590"/>
      <c r="H10" s="590"/>
      <c r="I10" s="590"/>
      <c r="J10" s="590"/>
      <c r="K10" s="590"/>
      <c r="L10" s="590"/>
      <c r="M10" s="590"/>
      <c r="N10" s="590"/>
      <c r="O10" s="590"/>
      <c r="P10" s="590"/>
      <c r="Q10" s="590"/>
      <c r="R10" s="590"/>
      <c r="S10" s="590"/>
      <c r="T10" s="590"/>
      <c r="U10" s="590"/>
      <c r="V10" s="590"/>
      <c r="W10" s="590"/>
      <c r="X10" s="590"/>
      <c r="Y10" s="590"/>
      <c r="Z10" s="590"/>
    </row>
    <row r="11" ht="12.75" customHeight="1">
      <c r="A11" s="590"/>
      <c r="B11" s="590"/>
      <c r="C11" s="590"/>
      <c r="D11" s="590"/>
      <c r="E11" s="590"/>
      <c r="F11" s="590"/>
      <c r="G11" s="590"/>
      <c r="H11" s="590"/>
      <c r="I11" s="590"/>
      <c r="J11" s="590"/>
      <c r="K11" s="590"/>
      <c r="L11" s="590"/>
      <c r="M11" s="590"/>
      <c r="N11" s="590"/>
      <c r="O11" s="590"/>
      <c r="P11" s="590"/>
      <c r="Q11" s="590"/>
      <c r="R11" s="590"/>
      <c r="S11" s="590"/>
      <c r="T11" s="590"/>
      <c r="U11" s="590"/>
      <c r="V11" s="590"/>
      <c r="W11" s="590"/>
      <c r="X11" s="590"/>
      <c r="Y11" s="590"/>
      <c r="Z11" s="590"/>
    </row>
    <row r="12" ht="12.75" customHeight="1">
      <c r="A12" s="590"/>
      <c r="B12" s="590"/>
      <c r="C12" s="590"/>
      <c r="D12" s="590"/>
      <c r="E12" s="590"/>
      <c r="F12" s="590"/>
      <c r="G12" s="590"/>
      <c r="H12" s="590"/>
      <c r="I12" s="590"/>
      <c r="J12" s="590"/>
      <c r="K12" s="590"/>
      <c r="L12" s="590"/>
      <c r="M12" s="590"/>
      <c r="N12" s="590"/>
      <c r="O12" s="590"/>
      <c r="P12" s="590"/>
      <c r="Q12" s="590"/>
      <c r="R12" s="590"/>
      <c r="S12" s="590"/>
      <c r="T12" s="590"/>
      <c r="U12" s="590"/>
      <c r="V12" s="590"/>
      <c r="W12" s="590"/>
      <c r="X12" s="590"/>
      <c r="Y12" s="590"/>
      <c r="Z12" s="590"/>
    </row>
    <row r="13" ht="12.75" customHeight="1">
      <c r="A13" s="590"/>
      <c r="B13" s="590"/>
      <c r="C13" s="590"/>
      <c r="D13" s="590"/>
      <c r="E13" s="590"/>
      <c r="F13" s="590"/>
      <c r="G13" s="590"/>
      <c r="H13" s="590"/>
      <c r="I13" s="590"/>
      <c r="J13" s="590"/>
      <c r="K13" s="590"/>
      <c r="L13" s="590"/>
      <c r="M13" s="590"/>
      <c r="N13" s="590"/>
      <c r="O13" s="590"/>
      <c r="P13" s="590"/>
      <c r="Q13" s="590"/>
      <c r="R13" s="590"/>
      <c r="S13" s="590"/>
      <c r="T13" s="590"/>
      <c r="U13" s="590"/>
      <c r="V13" s="590"/>
      <c r="W13" s="590"/>
      <c r="X13" s="590"/>
      <c r="Y13" s="590"/>
      <c r="Z13" s="590"/>
    </row>
    <row r="14" ht="12.75" customHeight="1">
      <c r="A14" s="590"/>
      <c r="B14" s="590"/>
      <c r="C14" s="590"/>
      <c r="D14" s="590"/>
      <c r="E14" s="590"/>
      <c r="F14" s="590"/>
      <c r="G14" s="590"/>
      <c r="H14" s="590"/>
      <c r="I14" s="590"/>
      <c r="J14" s="590"/>
      <c r="K14" s="590"/>
      <c r="L14" s="590"/>
      <c r="M14" s="590"/>
      <c r="N14" s="590"/>
      <c r="O14" s="590"/>
      <c r="P14" s="590"/>
      <c r="Q14" s="590"/>
      <c r="R14" s="590"/>
      <c r="S14" s="590"/>
      <c r="T14" s="590"/>
      <c r="U14" s="590"/>
      <c r="V14" s="590"/>
      <c r="W14" s="590"/>
      <c r="X14" s="590"/>
      <c r="Y14" s="590"/>
      <c r="Z14" s="590"/>
    </row>
    <row r="15" ht="12.75" customHeight="1">
      <c r="A15" s="590"/>
      <c r="B15" s="590"/>
      <c r="C15" s="590"/>
      <c r="D15" s="590"/>
      <c r="E15" s="590"/>
      <c r="F15" s="590"/>
      <c r="G15" s="590"/>
      <c r="H15" s="590"/>
      <c r="I15" s="590"/>
      <c r="J15" s="590"/>
      <c r="K15" s="590"/>
      <c r="L15" s="590"/>
      <c r="M15" s="590"/>
      <c r="N15" s="590"/>
      <c r="O15" s="590"/>
      <c r="P15" s="590"/>
      <c r="Q15" s="590"/>
      <c r="R15" s="590"/>
      <c r="S15" s="590"/>
      <c r="T15" s="590"/>
      <c r="U15" s="590"/>
      <c r="V15" s="590"/>
      <c r="W15" s="590"/>
      <c r="X15" s="590"/>
      <c r="Y15" s="590"/>
      <c r="Z15" s="590"/>
    </row>
    <row r="16" ht="12.75" customHeight="1">
      <c r="A16" s="590"/>
      <c r="B16" s="590"/>
      <c r="C16" s="590"/>
      <c r="D16" s="590"/>
      <c r="E16" s="590"/>
      <c r="F16" s="590"/>
      <c r="G16" s="590"/>
      <c r="H16" s="590"/>
      <c r="I16" s="590"/>
      <c r="J16" s="590"/>
      <c r="K16" s="590"/>
      <c r="L16" s="590"/>
      <c r="M16" s="590"/>
      <c r="N16" s="590"/>
      <c r="O16" s="590"/>
      <c r="P16" s="590"/>
      <c r="Q16" s="590"/>
      <c r="R16" s="590"/>
      <c r="S16" s="590"/>
      <c r="T16" s="590"/>
      <c r="U16" s="590"/>
      <c r="V16" s="590"/>
      <c r="W16" s="590"/>
      <c r="X16" s="590"/>
      <c r="Y16" s="590"/>
      <c r="Z16" s="590"/>
    </row>
    <row r="17" ht="12.75" customHeight="1">
      <c r="A17" s="590"/>
      <c r="B17" s="590"/>
      <c r="C17" s="590"/>
      <c r="D17" s="590"/>
      <c r="E17" s="590"/>
      <c r="F17" s="590"/>
      <c r="G17" s="590"/>
      <c r="H17" s="590"/>
      <c r="I17" s="590"/>
      <c r="J17" s="590"/>
      <c r="K17" s="590"/>
      <c r="L17" s="590"/>
      <c r="M17" s="590"/>
      <c r="N17" s="590"/>
      <c r="O17" s="590"/>
      <c r="P17" s="590"/>
      <c r="Q17" s="590"/>
      <c r="R17" s="590"/>
      <c r="S17" s="590"/>
      <c r="T17" s="590"/>
      <c r="U17" s="590"/>
      <c r="V17" s="590"/>
      <c r="W17" s="590"/>
      <c r="X17" s="590"/>
      <c r="Y17" s="590"/>
      <c r="Z17" s="590"/>
    </row>
    <row r="18" ht="12.75" customHeight="1">
      <c r="A18" s="590"/>
      <c r="B18" s="590"/>
      <c r="C18" s="590"/>
      <c r="D18" s="590"/>
      <c r="E18" s="590"/>
      <c r="F18" s="590"/>
      <c r="G18" s="590"/>
      <c r="H18" s="590"/>
      <c r="I18" s="590"/>
      <c r="J18" s="590"/>
      <c r="K18" s="590"/>
      <c r="L18" s="590"/>
      <c r="M18" s="590"/>
      <c r="N18" s="590"/>
      <c r="O18" s="590"/>
      <c r="P18" s="590"/>
      <c r="Q18" s="590"/>
      <c r="R18" s="590"/>
      <c r="S18" s="590"/>
      <c r="T18" s="590"/>
      <c r="U18" s="590"/>
      <c r="V18" s="590"/>
      <c r="W18" s="590"/>
      <c r="X18" s="590"/>
      <c r="Y18" s="590"/>
      <c r="Z18" s="590"/>
    </row>
    <row r="19" ht="12.75" customHeight="1">
      <c r="A19" s="590"/>
      <c r="B19" s="590"/>
      <c r="C19" s="590"/>
      <c r="D19" s="590"/>
      <c r="E19" s="590"/>
      <c r="F19" s="590"/>
      <c r="G19" s="590"/>
      <c r="H19" s="590"/>
      <c r="I19" s="590"/>
      <c r="J19" s="590"/>
      <c r="K19" s="590"/>
      <c r="L19" s="590"/>
      <c r="M19" s="590"/>
      <c r="N19" s="590"/>
      <c r="O19" s="590"/>
      <c r="P19" s="590"/>
      <c r="Q19" s="590"/>
      <c r="R19" s="590"/>
      <c r="S19" s="590"/>
      <c r="T19" s="590"/>
      <c r="U19" s="590"/>
      <c r="V19" s="590"/>
      <c r="W19" s="590"/>
      <c r="X19" s="590"/>
      <c r="Y19" s="590"/>
      <c r="Z19" s="590"/>
    </row>
    <row r="20" ht="12.75" customHeight="1">
      <c r="A20" s="590"/>
      <c r="B20" s="590"/>
      <c r="C20" s="590"/>
      <c r="D20" s="590"/>
      <c r="E20" s="590"/>
      <c r="F20" s="590"/>
      <c r="G20" s="590"/>
      <c r="H20" s="590"/>
      <c r="I20" s="590"/>
      <c r="J20" s="590"/>
      <c r="K20" s="590"/>
      <c r="L20" s="590"/>
      <c r="M20" s="590"/>
      <c r="N20" s="590"/>
      <c r="O20" s="590"/>
      <c r="P20" s="590"/>
      <c r="Q20" s="590"/>
      <c r="R20" s="590"/>
      <c r="S20" s="590"/>
      <c r="T20" s="590"/>
      <c r="U20" s="590"/>
      <c r="V20" s="590"/>
      <c r="W20" s="590"/>
      <c r="X20" s="590"/>
      <c r="Y20" s="590"/>
      <c r="Z20" s="590"/>
    </row>
    <row r="21" ht="12.75" customHeight="1">
      <c r="A21" s="590"/>
      <c r="B21" s="590"/>
      <c r="C21" s="590"/>
      <c r="D21" s="590"/>
      <c r="E21" s="590"/>
      <c r="F21" s="590"/>
      <c r="G21" s="590"/>
      <c r="H21" s="590"/>
      <c r="I21" s="590"/>
      <c r="J21" s="590"/>
      <c r="K21" s="590"/>
      <c r="L21" s="590"/>
      <c r="M21" s="590"/>
      <c r="N21" s="590"/>
      <c r="O21" s="590"/>
      <c r="P21" s="590"/>
      <c r="Q21" s="590"/>
      <c r="R21" s="590"/>
      <c r="S21" s="590"/>
      <c r="T21" s="590"/>
      <c r="U21" s="590"/>
      <c r="V21" s="590"/>
      <c r="W21" s="590"/>
      <c r="X21" s="590"/>
      <c r="Y21" s="590"/>
      <c r="Z21" s="590"/>
    </row>
    <row r="22" ht="12.75" customHeight="1">
      <c r="A22" s="590"/>
      <c r="B22" s="590"/>
      <c r="C22" s="590"/>
      <c r="D22" s="590"/>
      <c r="E22" s="590"/>
      <c r="F22" s="590"/>
      <c r="G22" s="590"/>
      <c r="H22" s="590"/>
      <c r="I22" s="590"/>
      <c r="J22" s="590"/>
      <c r="K22" s="590"/>
      <c r="L22" s="590"/>
      <c r="M22" s="590"/>
      <c r="N22" s="590"/>
      <c r="O22" s="590"/>
      <c r="P22" s="590"/>
      <c r="Q22" s="590"/>
      <c r="R22" s="590"/>
      <c r="S22" s="590"/>
      <c r="T22" s="590"/>
      <c r="U22" s="590"/>
      <c r="V22" s="590"/>
      <c r="W22" s="590"/>
      <c r="X22" s="590"/>
      <c r="Y22" s="590"/>
      <c r="Z22" s="590"/>
    </row>
    <row r="23" ht="12.75" customHeight="1">
      <c r="A23" s="590"/>
      <c r="B23" s="590"/>
      <c r="C23" s="590"/>
      <c r="D23" s="590"/>
      <c r="E23" s="590"/>
      <c r="F23" s="590"/>
      <c r="G23" s="590"/>
      <c r="H23" s="590"/>
      <c r="I23" s="590"/>
      <c r="J23" s="590"/>
      <c r="K23" s="590"/>
      <c r="L23" s="590"/>
      <c r="M23" s="590"/>
      <c r="N23" s="590"/>
      <c r="O23" s="590"/>
      <c r="P23" s="590"/>
      <c r="Q23" s="590"/>
      <c r="R23" s="590"/>
      <c r="S23" s="590"/>
      <c r="T23" s="590"/>
      <c r="U23" s="590"/>
      <c r="V23" s="590"/>
      <c r="W23" s="590"/>
      <c r="X23" s="590"/>
      <c r="Y23" s="590"/>
      <c r="Z23" s="590"/>
    </row>
    <row r="24" ht="12.75" customHeight="1">
      <c r="A24" s="590"/>
      <c r="B24" s="590"/>
      <c r="C24" s="590"/>
      <c r="D24" s="590"/>
      <c r="E24" s="590"/>
      <c r="F24" s="590"/>
      <c r="G24" s="590"/>
      <c r="H24" s="590"/>
      <c r="I24" s="590"/>
      <c r="J24" s="590"/>
      <c r="K24" s="590"/>
      <c r="L24" s="590"/>
      <c r="M24" s="590"/>
      <c r="N24" s="590"/>
      <c r="O24" s="590"/>
      <c r="P24" s="590"/>
      <c r="Q24" s="590"/>
      <c r="R24" s="590"/>
      <c r="S24" s="590"/>
      <c r="T24" s="590"/>
      <c r="U24" s="590"/>
      <c r="V24" s="590"/>
      <c r="W24" s="590"/>
      <c r="X24" s="590"/>
      <c r="Y24" s="590"/>
      <c r="Z24" s="590"/>
    </row>
    <row r="25" ht="12.75" customHeight="1">
      <c r="A25" s="590"/>
      <c r="B25" s="590"/>
      <c r="C25" s="590"/>
      <c r="D25" s="590"/>
      <c r="E25" s="590"/>
      <c r="F25" s="590"/>
      <c r="G25" s="590"/>
      <c r="H25" s="590"/>
      <c r="I25" s="590"/>
      <c r="J25" s="590"/>
      <c r="K25" s="590"/>
      <c r="L25" s="590"/>
      <c r="M25" s="590"/>
      <c r="N25" s="590"/>
      <c r="O25" s="590"/>
      <c r="P25" s="590"/>
      <c r="Q25" s="590"/>
      <c r="R25" s="590"/>
      <c r="S25" s="590"/>
      <c r="T25" s="590"/>
      <c r="U25" s="590"/>
      <c r="V25" s="590"/>
      <c r="W25" s="590"/>
      <c r="X25" s="590"/>
      <c r="Y25" s="590"/>
      <c r="Z25" s="590"/>
    </row>
    <row r="26" ht="12.75" customHeight="1">
      <c r="A26" s="590"/>
      <c r="B26" s="590"/>
      <c r="C26" s="590"/>
      <c r="D26" s="590"/>
      <c r="E26" s="590"/>
      <c r="F26" s="590"/>
      <c r="G26" s="590"/>
      <c r="H26" s="590"/>
      <c r="I26" s="590"/>
      <c r="J26" s="590"/>
      <c r="K26" s="590"/>
      <c r="L26" s="590"/>
      <c r="M26" s="590"/>
      <c r="N26" s="590"/>
      <c r="O26" s="590"/>
      <c r="P26" s="590"/>
      <c r="Q26" s="590"/>
      <c r="R26" s="590"/>
      <c r="S26" s="590"/>
      <c r="T26" s="590"/>
      <c r="U26" s="590"/>
      <c r="V26" s="590"/>
      <c r="W26" s="590"/>
      <c r="X26" s="590"/>
      <c r="Y26" s="590"/>
      <c r="Z26" s="590"/>
    </row>
    <row r="27" ht="12.75" customHeight="1">
      <c r="A27" s="590"/>
      <c r="B27" s="590"/>
      <c r="C27" s="590"/>
      <c r="D27" s="590"/>
      <c r="E27" s="590"/>
      <c r="F27" s="590"/>
      <c r="G27" s="590"/>
      <c r="H27" s="590"/>
      <c r="I27" s="590"/>
      <c r="J27" s="590"/>
      <c r="K27" s="590"/>
      <c r="L27" s="590"/>
      <c r="M27" s="590"/>
      <c r="N27" s="590"/>
      <c r="O27" s="590"/>
      <c r="P27" s="590"/>
      <c r="Q27" s="590"/>
      <c r="R27" s="590"/>
      <c r="S27" s="590"/>
      <c r="T27" s="590"/>
      <c r="U27" s="590"/>
      <c r="V27" s="590"/>
      <c r="W27" s="590"/>
      <c r="X27" s="590"/>
      <c r="Y27" s="590"/>
      <c r="Z27" s="590"/>
    </row>
    <row r="28" ht="12.75" customHeight="1">
      <c r="A28" s="590"/>
      <c r="B28" s="590"/>
      <c r="C28" s="590"/>
      <c r="D28" s="590"/>
      <c r="E28" s="590"/>
      <c r="F28" s="590"/>
      <c r="G28" s="590"/>
      <c r="H28" s="590"/>
      <c r="I28" s="590"/>
      <c r="J28" s="590"/>
      <c r="K28" s="590"/>
      <c r="L28" s="590"/>
      <c r="M28" s="590"/>
      <c r="N28" s="590"/>
      <c r="O28" s="590"/>
      <c r="P28" s="590"/>
      <c r="Q28" s="590"/>
      <c r="R28" s="590"/>
      <c r="S28" s="590"/>
      <c r="T28" s="590"/>
      <c r="U28" s="590"/>
      <c r="V28" s="590"/>
      <c r="W28" s="590"/>
      <c r="X28" s="590"/>
      <c r="Y28" s="590"/>
      <c r="Z28" s="590"/>
    </row>
    <row r="29" ht="12.75" customHeight="1">
      <c r="A29" s="590"/>
      <c r="B29" s="590"/>
      <c r="C29" s="590"/>
      <c r="D29" s="590"/>
      <c r="E29" s="590"/>
      <c r="F29" s="590"/>
      <c r="G29" s="590"/>
      <c r="H29" s="590"/>
      <c r="I29" s="590"/>
      <c r="J29" s="590"/>
      <c r="K29" s="590"/>
      <c r="L29" s="590"/>
      <c r="M29" s="590"/>
      <c r="N29" s="590"/>
      <c r="O29" s="590"/>
      <c r="P29" s="590"/>
      <c r="Q29" s="590"/>
      <c r="R29" s="590"/>
      <c r="S29" s="590"/>
      <c r="T29" s="590"/>
      <c r="U29" s="590"/>
      <c r="V29" s="590"/>
      <c r="W29" s="590"/>
      <c r="X29" s="590"/>
      <c r="Y29" s="590"/>
      <c r="Z29" s="590"/>
    </row>
    <row r="30" ht="12.75" customHeight="1">
      <c r="A30" s="590"/>
      <c r="B30" s="590"/>
      <c r="C30" s="590"/>
      <c r="D30" s="590"/>
      <c r="E30" s="590"/>
      <c r="F30" s="590"/>
      <c r="G30" s="590"/>
      <c r="H30" s="590"/>
      <c r="I30" s="590"/>
      <c r="J30" s="590"/>
      <c r="K30" s="590"/>
      <c r="L30" s="590"/>
      <c r="M30" s="590"/>
      <c r="N30" s="590"/>
      <c r="O30" s="590"/>
      <c r="P30" s="590"/>
      <c r="Q30" s="590"/>
      <c r="R30" s="590"/>
      <c r="S30" s="590"/>
      <c r="T30" s="590"/>
      <c r="U30" s="590"/>
      <c r="V30" s="590"/>
      <c r="W30" s="590"/>
      <c r="X30" s="590"/>
      <c r="Y30" s="590"/>
      <c r="Z30" s="590"/>
    </row>
    <row r="31" ht="12.75" customHeight="1">
      <c r="A31" s="590"/>
      <c r="B31" s="590"/>
      <c r="C31" s="590"/>
      <c r="D31" s="590"/>
      <c r="E31" s="590"/>
      <c r="F31" s="590"/>
      <c r="G31" s="590"/>
      <c r="H31" s="590"/>
      <c r="I31" s="590"/>
      <c r="J31" s="590"/>
      <c r="K31" s="590"/>
      <c r="L31" s="590"/>
      <c r="M31" s="590"/>
      <c r="N31" s="590"/>
      <c r="O31" s="590"/>
      <c r="P31" s="590"/>
      <c r="Q31" s="590"/>
      <c r="R31" s="590"/>
      <c r="S31" s="590"/>
      <c r="T31" s="590"/>
      <c r="U31" s="590"/>
      <c r="V31" s="590"/>
      <c r="W31" s="590"/>
      <c r="X31" s="590"/>
      <c r="Y31" s="590"/>
      <c r="Z31" s="590"/>
    </row>
    <row r="32" ht="12.75" customHeight="1">
      <c r="A32" s="590"/>
      <c r="B32" s="590"/>
      <c r="C32" s="590"/>
      <c r="D32" s="590"/>
      <c r="E32" s="590"/>
      <c r="F32" s="590"/>
      <c r="G32" s="590"/>
      <c r="H32" s="590"/>
      <c r="I32" s="590"/>
      <c r="J32" s="590"/>
      <c r="K32" s="590"/>
      <c r="L32" s="590"/>
      <c r="M32" s="590"/>
      <c r="N32" s="590"/>
      <c r="O32" s="590"/>
      <c r="P32" s="590"/>
      <c r="Q32" s="590"/>
      <c r="R32" s="590"/>
      <c r="S32" s="590"/>
      <c r="T32" s="590"/>
      <c r="U32" s="590"/>
      <c r="V32" s="590"/>
      <c r="W32" s="590"/>
      <c r="X32" s="590"/>
      <c r="Y32" s="590"/>
      <c r="Z32" s="590"/>
    </row>
    <row r="33" ht="12.75" customHeight="1">
      <c r="A33" s="590"/>
      <c r="B33" s="590"/>
      <c r="C33" s="590"/>
      <c r="D33" s="590"/>
      <c r="E33" s="590"/>
      <c r="F33" s="590"/>
      <c r="G33" s="590"/>
      <c r="H33" s="590"/>
      <c r="I33" s="590"/>
      <c r="J33" s="590"/>
      <c r="K33" s="590"/>
      <c r="L33" s="590"/>
      <c r="M33" s="590"/>
      <c r="N33" s="590"/>
      <c r="O33" s="590"/>
      <c r="P33" s="590"/>
      <c r="Q33" s="590"/>
      <c r="R33" s="590"/>
      <c r="S33" s="590"/>
      <c r="T33" s="590"/>
      <c r="U33" s="590"/>
      <c r="V33" s="590"/>
      <c r="W33" s="590"/>
      <c r="X33" s="590"/>
      <c r="Y33" s="590"/>
      <c r="Z33" s="590"/>
    </row>
    <row r="34" ht="12.75" customHeight="1">
      <c r="A34" s="590"/>
      <c r="B34" s="590"/>
      <c r="C34" s="590"/>
      <c r="D34" s="590"/>
      <c r="E34" s="590"/>
      <c r="F34" s="590"/>
      <c r="G34" s="590"/>
      <c r="H34" s="590"/>
      <c r="I34" s="590"/>
      <c r="J34" s="590"/>
      <c r="K34" s="590"/>
      <c r="L34" s="590"/>
      <c r="M34" s="590"/>
      <c r="N34" s="590"/>
      <c r="O34" s="590"/>
      <c r="P34" s="590"/>
      <c r="Q34" s="590"/>
      <c r="R34" s="590"/>
      <c r="S34" s="590"/>
      <c r="T34" s="590"/>
      <c r="U34" s="590"/>
      <c r="V34" s="590"/>
      <c r="W34" s="590"/>
      <c r="X34" s="590"/>
      <c r="Y34" s="590"/>
      <c r="Z34" s="590"/>
    </row>
    <row r="35" ht="12.75" customHeight="1">
      <c r="A35" s="590"/>
      <c r="B35" s="590"/>
      <c r="C35" s="590"/>
      <c r="D35" s="590"/>
      <c r="E35" s="590"/>
      <c r="F35" s="590"/>
      <c r="G35" s="590"/>
      <c r="H35" s="590"/>
      <c r="I35" s="590"/>
      <c r="J35" s="590"/>
      <c r="K35" s="590"/>
      <c r="L35" s="590"/>
      <c r="M35" s="590"/>
      <c r="N35" s="590"/>
      <c r="O35" s="590"/>
      <c r="P35" s="590"/>
      <c r="Q35" s="590"/>
      <c r="R35" s="590"/>
      <c r="S35" s="590"/>
      <c r="T35" s="590"/>
      <c r="U35" s="590"/>
      <c r="V35" s="590"/>
      <c r="W35" s="590"/>
      <c r="X35" s="590"/>
      <c r="Y35" s="590"/>
      <c r="Z35" s="590"/>
    </row>
    <row r="36" ht="12.75" customHeight="1">
      <c r="A36" s="590"/>
      <c r="B36" s="590"/>
      <c r="C36" s="590"/>
      <c r="D36" s="590"/>
      <c r="E36" s="590"/>
      <c r="F36" s="590"/>
      <c r="G36" s="590"/>
      <c r="H36" s="590"/>
      <c r="I36" s="590"/>
      <c r="J36" s="590"/>
      <c r="K36" s="590"/>
      <c r="L36" s="590"/>
      <c r="M36" s="590"/>
      <c r="N36" s="590"/>
      <c r="O36" s="590"/>
      <c r="P36" s="590"/>
      <c r="Q36" s="590"/>
      <c r="R36" s="590"/>
      <c r="S36" s="590"/>
      <c r="T36" s="590"/>
      <c r="U36" s="590"/>
      <c r="V36" s="590"/>
      <c r="W36" s="590"/>
      <c r="X36" s="590"/>
      <c r="Y36" s="590"/>
      <c r="Z36" s="590"/>
    </row>
    <row r="37" ht="12.75" customHeight="1">
      <c r="A37" s="590"/>
      <c r="B37" s="590"/>
      <c r="C37" s="590"/>
      <c r="D37" s="590"/>
      <c r="E37" s="590"/>
      <c r="F37" s="590"/>
      <c r="G37" s="590"/>
      <c r="H37" s="590"/>
      <c r="I37" s="590"/>
      <c r="J37" s="590"/>
      <c r="K37" s="590"/>
      <c r="L37" s="590"/>
      <c r="M37" s="590"/>
      <c r="N37" s="590"/>
      <c r="O37" s="590"/>
      <c r="P37" s="590"/>
      <c r="Q37" s="590"/>
      <c r="R37" s="590"/>
      <c r="S37" s="590"/>
      <c r="T37" s="590"/>
      <c r="U37" s="590"/>
      <c r="V37" s="590"/>
      <c r="W37" s="590"/>
      <c r="X37" s="590"/>
      <c r="Y37" s="590"/>
      <c r="Z37" s="590"/>
    </row>
    <row r="38" ht="12.75" customHeight="1">
      <c r="A38" s="590"/>
      <c r="B38" s="590"/>
      <c r="C38" s="590"/>
      <c r="D38" s="590"/>
      <c r="E38" s="590"/>
      <c r="F38" s="590"/>
      <c r="G38" s="590"/>
      <c r="H38" s="590"/>
      <c r="I38" s="590"/>
      <c r="J38" s="590"/>
      <c r="K38" s="590"/>
      <c r="L38" s="590"/>
      <c r="M38" s="590"/>
      <c r="N38" s="590"/>
      <c r="O38" s="590"/>
      <c r="P38" s="590"/>
      <c r="Q38" s="590"/>
      <c r="R38" s="590"/>
      <c r="S38" s="590"/>
      <c r="T38" s="590"/>
      <c r="U38" s="590"/>
      <c r="V38" s="590"/>
      <c r="W38" s="590"/>
      <c r="X38" s="590"/>
      <c r="Y38" s="590"/>
      <c r="Z38" s="590"/>
    </row>
    <row r="39" ht="12.75" customHeight="1">
      <c r="A39" s="590"/>
      <c r="B39" s="590"/>
      <c r="C39" s="590"/>
      <c r="D39" s="590"/>
      <c r="E39" s="590"/>
      <c r="F39" s="590"/>
      <c r="G39" s="590"/>
      <c r="H39" s="590"/>
      <c r="I39" s="590"/>
      <c r="J39" s="590"/>
      <c r="K39" s="590"/>
      <c r="L39" s="590"/>
      <c r="M39" s="590"/>
      <c r="N39" s="590"/>
      <c r="O39" s="590"/>
      <c r="P39" s="590"/>
      <c r="Q39" s="590"/>
      <c r="R39" s="590"/>
      <c r="S39" s="590"/>
      <c r="T39" s="590"/>
      <c r="U39" s="590"/>
      <c r="V39" s="590"/>
      <c r="W39" s="590"/>
      <c r="X39" s="590"/>
      <c r="Y39" s="590"/>
      <c r="Z39" s="590"/>
    </row>
    <row r="40" ht="12.75" customHeight="1">
      <c r="A40" s="590"/>
      <c r="B40" s="590"/>
      <c r="C40" s="590"/>
      <c r="D40" s="590"/>
      <c r="E40" s="590"/>
      <c r="F40" s="590"/>
      <c r="G40" s="590"/>
      <c r="H40" s="590"/>
      <c r="I40" s="590"/>
      <c r="J40" s="590"/>
      <c r="K40" s="590"/>
      <c r="L40" s="590"/>
      <c r="M40" s="590"/>
      <c r="N40" s="590"/>
      <c r="O40" s="590"/>
      <c r="P40" s="590"/>
      <c r="Q40" s="590"/>
      <c r="R40" s="590"/>
      <c r="S40" s="590"/>
      <c r="T40" s="590"/>
      <c r="U40" s="590"/>
      <c r="V40" s="590"/>
      <c r="W40" s="590"/>
      <c r="X40" s="590"/>
      <c r="Y40" s="590"/>
      <c r="Z40" s="590"/>
    </row>
    <row r="41" ht="12.75" customHeight="1">
      <c r="A41" s="590"/>
      <c r="B41" s="590"/>
      <c r="C41" s="590"/>
      <c r="D41" s="590"/>
      <c r="E41" s="590"/>
      <c r="F41" s="590"/>
      <c r="G41" s="590"/>
      <c r="H41" s="590"/>
      <c r="I41" s="590"/>
      <c r="J41" s="590"/>
      <c r="K41" s="590"/>
      <c r="L41" s="590"/>
      <c r="M41" s="590"/>
      <c r="N41" s="590"/>
      <c r="O41" s="590"/>
      <c r="P41" s="590"/>
      <c r="Q41" s="590"/>
      <c r="R41" s="590"/>
      <c r="S41" s="590"/>
      <c r="T41" s="590"/>
      <c r="U41" s="590"/>
      <c r="V41" s="590"/>
      <c r="W41" s="590"/>
      <c r="X41" s="590"/>
      <c r="Y41" s="590"/>
      <c r="Z41" s="590"/>
    </row>
    <row r="42" ht="12.75" customHeight="1">
      <c r="A42" s="590"/>
      <c r="B42" s="590"/>
      <c r="C42" s="590"/>
      <c r="D42" s="590"/>
      <c r="E42" s="590"/>
      <c r="F42" s="590"/>
      <c r="G42" s="590"/>
      <c r="H42" s="590"/>
      <c r="I42" s="590"/>
      <c r="J42" s="590"/>
      <c r="K42" s="590"/>
      <c r="L42" s="590"/>
      <c r="M42" s="590"/>
      <c r="N42" s="590"/>
      <c r="O42" s="590"/>
      <c r="P42" s="590"/>
      <c r="Q42" s="590"/>
      <c r="R42" s="590"/>
      <c r="S42" s="590"/>
      <c r="T42" s="590"/>
      <c r="U42" s="590"/>
      <c r="V42" s="590"/>
      <c r="W42" s="590"/>
      <c r="X42" s="590"/>
      <c r="Y42" s="590"/>
      <c r="Z42" s="590"/>
    </row>
    <row r="43" ht="12.75" customHeight="1">
      <c r="A43" s="590"/>
      <c r="B43" s="590"/>
      <c r="C43" s="590"/>
      <c r="D43" s="590"/>
      <c r="E43" s="590"/>
      <c r="F43" s="590"/>
      <c r="G43" s="590"/>
      <c r="H43" s="590"/>
      <c r="I43" s="590"/>
      <c r="J43" s="590"/>
      <c r="K43" s="590"/>
      <c r="L43" s="590"/>
      <c r="M43" s="590"/>
      <c r="N43" s="590"/>
      <c r="O43" s="590"/>
      <c r="P43" s="590"/>
      <c r="Q43" s="590"/>
      <c r="R43" s="590"/>
      <c r="S43" s="590"/>
      <c r="T43" s="590"/>
      <c r="U43" s="590"/>
      <c r="V43" s="590"/>
      <c r="W43" s="590"/>
      <c r="X43" s="590"/>
      <c r="Y43" s="590"/>
      <c r="Z43" s="590"/>
    </row>
    <row r="44" ht="12.75" customHeight="1">
      <c r="A44" s="590"/>
      <c r="B44" s="590"/>
      <c r="C44" s="590"/>
      <c r="D44" s="590"/>
      <c r="E44" s="590"/>
      <c r="F44" s="590"/>
      <c r="G44" s="590"/>
      <c r="H44" s="590"/>
      <c r="I44" s="590"/>
      <c r="J44" s="590"/>
      <c r="K44" s="590"/>
      <c r="L44" s="590"/>
      <c r="M44" s="590"/>
      <c r="N44" s="590"/>
      <c r="O44" s="590"/>
      <c r="P44" s="590"/>
      <c r="Q44" s="590"/>
      <c r="R44" s="590"/>
      <c r="S44" s="590"/>
      <c r="T44" s="590"/>
      <c r="U44" s="590"/>
      <c r="V44" s="590"/>
      <c r="W44" s="590"/>
      <c r="X44" s="590"/>
      <c r="Y44" s="590"/>
      <c r="Z44" s="590"/>
    </row>
    <row r="45" ht="12.75" customHeight="1">
      <c r="A45" s="590"/>
      <c r="B45" s="590"/>
      <c r="C45" s="590"/>
      <c r="D45" s="590"/>
      <c r="E45" s="590"/>
      <c r="F45" s="590"/>
      <c r="G45" s="590"/>
      <c r="H45" s="590"/>
      <c r="I45" s="590"/>
      <c r="J45" s="590"/>
      <c r="K45" s="590"/>
      <c r="L45" s="590"/>
      <c r="M45" s="590"/>
      <c r="N45" s="590"/>
      <c r="O45" s="590"/>
      <c r="P45" s="590"/>
      <c r="Q45" s="590"/>
      <c r="R45" s="590"/>
      <c r="S45" s="590"/>
      <c r="T45" s="590"/>
      <c r="U45" s="590"/>
      <c r="V45" s="590"/>
      <c r="W45" s="590"/>
      <c r="X45" s="590"/>
      <c r="Y45" s="590"/>
      <c r="Z45" s="590"/>
    </row>
    <row r="46" ht="12.75" customHeight="1">
      <c r="A46" s="590"/>
      <c r="B46" s="590"/>
      <c r="C46" s="590"/>
      <c r="D46" s="590"/>
      <c r="E46" s="590"/>
      <c r="F46" s="590"/>
      <c r="G46" s="590"/>
      <c r="H46" s="590"/>
      <c r="I46" s="590"/>
      <c r="J46" s="590"/>
      <c r="K46" s="590"/>
      <c r="L46" s="590"/>
      <c r="M46" s="590"/>
      <c r="N46" s="590"/>
      <c r="O46" s="590"/>
      <c r="P46" s="590"/>
      <c r="Q46" s="590"/>
      <c r="R46" s="590"/>
      <c r="S46" s="590"/>
      <c r="T46" s="590"/>
      <c r="U46" s="590"/>
      <c r="V46" s="590"/>
      <c r="W46" s="590"/>
      <c r="X46" s="590"/>
      <c r="Y46" s="590"/>
      <c r="Z46" s="590"/>
    </row>
    <row r="47" ht="12.75" customHeight="1">
      <c r="A47" s="590"/>
      <c r="B47" s="590"/>
      <c r="C47" s="590"/>
      <c r="D47" s="590"/>
      <c r="E47" s="590"/>
      <c r="F47" s="590"/>
      <c r="G47" s="590"/>
      <c r="H47" s="590"/>
      <c r="I47" s="590"/>
      <c r="J47" s="590"/>
      <c r="K47" s="590"/>
      <c r="L47" s="590"/>
      <c r="M47" s="590"/>
      <c r="N47" s="590"/>
      <c r="O47" s="590"/>
      <c r="P47" s="590"/>
      <c r="Q47" s="590"/>
      <c r="R47" s="590"/>
      <c r="S47" s="590"/>
      <c r="T47" s="590"/>
      <c r="U47" s="590"/>
      <c r="V47" s="590"/>
      <c r="W47" s="590"/>
      <c r="X47" s="590"/>
      <c r="Y47" s="590"/>
      <c r="Z47" s="590"/>
    </row>
    <row r="48" ht="12.75" customHeight="1">
      <c r="A48" s="590"/>
      <c r="B48" s="590"/>
      <c r="C48" s="590"/>
      <c r="D48" s="590"/>
      <c r="E48" s="590"/>
      <c r="F48" s="590"/>
      <c r="G48" s="590"/>
      <c r="H48" s="590"/>
      <c r="I48" s="590"/>
      <c r="J48" s="590"/>
      <c r="K48" s="590"/>
      <c r="L48" s="590"/>
      <c r="M48" s="590"/>
      <c r="N48" s="590"/>
      <c r="O48" s="590"/>
      <c r="P48" s="590"/>
      <c r="Q48" s="590"/>
      <c r="R48" s="590"/>
      <c r="S48" s="590"/>
      <c r="T48" s="590"/>
      <c r="U48" s="590"/>
      <c r="V48" s="590"/>
      <c r="W48" s="590"/>
      <c r="X48" s="590"/>
      <c r="Y48" s="590"/>
      <c r="Z48" s="590"/>
    </row>
    <row r="49" ht="12.75" customHeight="1">
      <c r="A49" s="590"/>
      <c r="B49" s="590"/>
      <c r="C49" s="590"/>
      <c r="D49" s="590"/>
      <c r="E49" s="590"/>
      <c r="F49" s="590"/>
      <c r="G49" s="590"/>
      <c r="H49" s="590"/>
      <c r="I49" s="590"/>
      <c r="J49" s="590"/>
      <c r="K49" s="590"/>
      <c r="L49" s="590"/>
      <c r="M49" s="590"/>
      <c r="N49" s="590"/>
      <c r="O49" s="590"/>
      <c r="P49" s="590"/>
      <c r="Q49" s="590"/>
      <c r="R49" s="590"/>
      <c r="S49" s="590"/>
      <c r="T49" s="590"/>
      <c r="U49" s="590"/>
      <c r="V49" s="590"/>
      <c r="W49" s="590"/>
      <c r="X49" s="590"/>
      <c r="Y49" s="590"/>
      <c r="Z49" s="590"/>
    </row>
    <row r="50" ht="12.75" customHeight="1">
      <c r="A50" s="590"/>
      <c r="B50" s="590"/>
      <c r="C50" s="590"/>
      <c r="D50" s="590"/>
      <c r="E50" s="590"/>
      <c r="F50" s="590"/>
      <c r="G50" s="590"/>
      <c r="H50" s="590"/>
      <c r="I50" s="590"/>
      <c r="J50" s="590"/>
      <c r="K50" s="590"/>
      <c r="L50" s="590"/>
      <c r="M50" s="590"/>
      <c r="N50" s="590"/>
      <c r="O50" s="590"/>
      <c r="P50" s="590"/>
      <c r="Q50" s="590"/>
      <c r="R50" s="590"/>
      <c r="S50" s="590"/>
      <c r="T50" s="590"/>
      <c r="U50" s="590"/>
      <c r="V50" s="590"/>
      <c r="W50" s="590"/>
      <c r="X50" s="590"/>
      <c r="Y50" s="590"/>
      <c r="Z50" s="590"/>
    </row>
    <row r="51" ht="12.75" customHeight="1">
      <c r="A51" s="590"/>
      <c r="B51" s="590"/>
      <c r="C51" s="590"/>
      <c r="D51" s="590"/>
      <c r="E51" s="590"/>
      <c r="F51" s="590"/>
      <c r="G51" s="590"/>
      <c r="H51" s="590"/>
      <c r="I51" s="590"/>
      <c r="J51" s="590"/>
      <c r="K51" s="590"/>
      <c r="L51" s="590"/>
      <c r="M51" s="590"/>
      <c r="N51" s="590"/>
      <c r="O51" s="590"/>
      <c r="P51" s="590"/>
      <c r="Q51" s="590"/>
      <c r="R51" s="590"/>
      <c r="S51" s="590"/>
      <c r="T51" s="590"/>
      <c r="U51" s="590"/>
      <c r="V51" s="590"/>
      <c r="W51" s="590"/>
      <c r="X51" s="590"/>
      <c r="Y51" s="590"/>
      <c r="Z51" s="590"/>
    </row>
    <row r="52" ht="12.75" customHeight="1">
      <c r="A52" s="590"/>
      <c r="B52" s="590"/>
      <c r="C52" s="590"/>
      <c r="D52" s="590"/>
      <c r="E52" s="590"/>
      <c r="F52" s="590"/>
      <c r="G52" s="590"/>
      <c r="H52" s="590"/>
      <c r="I52" s="590"/>
      <c r="J52" s="590"/>
      <c r="K52" s="590"/>
      <c r="L52" s="590"/>
      <c r="M52" s="590"/>
      <c r="N52" s="590"/>
      <c r="O52" s="590"/>
      <c r="P52" s="590"/>
      <c r="Q52" s="590"/>
      <c r="R52" s="590"/>
      <c r="S52" s="590"/>
      <c r="T52" s="590"/>
      <c r="U52" s="590"/>
      <c r="V52" s="590"/>
      <c r="W52" s="590"/>
      <c r="X52" s="590"/>
      <c r="Y52" s="590"/>
      <c r="Z52" s="590"/>
    </row>
    <row r="53" ht="12.75" customHeight="1">
      <c r="A53" s="590"/>
      <c r="B53" s="590"/>
      <c r="C53" s="590"/>
      <c r="D53" s="590"/>
      <c r="E53" s="590"/>
      <c r="F53" s="590"/>
      <c r="G53" s="590"/>
      <c r="H53" s="590"/>
      <c r="I53" s="590"/>
      <c r="J53" s="590"/>
      <c r="K53" s="590"/>
      <c r="L53" s="590"/>
      <c r="M53" s="590"/>
      <c r="N53" s="590"/>
      <c r="O53" s="590"/>
      <c r="P53" s="590"/>
      <c r="Q53" s="590"/>
      <c r="R53" s="590"/>
      <c r="S53" s="590"/>
      <c r="T53" s="590"/>
      <c r="U53" s="590"/>
      <c r="V53" s="590"/>
      <c r="W53" s="590"/>
      <c r="X53" s="590"/>
      <c r="Y53" s="590"/>
      <c r="Z53" s="590"/>
    </row>
    <row r="54" ht="12.75" customHeight="1">
      <c r="A54" s="590"/>
      <c r="B54" s="590"/>
      <c r="C54" s="590"/>
      <c r="D54" s="590"/>
      <c r="E54" s="590"/>
      <c r="F54" s="590"/>
      <c r="G54" s="590"/>
      <c r="H54" s="590"/>
      <c r="I54" s="590"/>
      <c r="J54" s="590"/>
      <c r="K54" s="590"/>
      <c r="L54" s="590"/>
      <c r="M54" s="590"/>
      <c r="N54" s="590"/>
      <c r="O54" s="590"/>
      <c r="P54" s="590"/>
      <c r="Q54" s="590"/>
      <c r="R54" s="590"/>
      <c r="S54" s="590"/>
      <c r="T54" s="590"/>
      <c r="U54" s="590"/>
      <c r="V54" s="590"/>
      <c r="W54" s="590"/>
      <c r="X54" s="590"/>
      <c r="Y54" s="590"/>
      <c r="Z54" s="590"/>
    </row>
    <row r="55" ht="12.75" customHeight="1">
      <c r="A55" s="590"/>
      <c r="B55" s="590"/>
      <c r="C55" s="590"/>
      <c r="D55" s="590"/>
      <c r="E55" s="590"/>
      <c r="F55" s="590"/>
      <c r="G55" s="590"/>
      <c r="H55" s="590"/>
      <c r="I55" s="590"/>
      <c r="J55" s="590"/>
      <c r="K55" s="590"/>
      <c r="L55" s="590"/>
      <c r="M55" s="590"/>
      <c r="N55" s="590"/>
      <c r="O55" s="590"/>
      <c r="P55" s="590"/>
      <c r="Q55" s="590"/>
      <c r="R55" s="590"/>
      <c r="S55" s="590"/>
      <c r="T55" s="590"/>
      <c r="U55" s="590"/>
      <c r="V55" s="590"/>
      <c r="W55" s="590"/>
      <c r="X55" s="590"/>
      <c r="Y55" s="590"/>
      <c r="Z55" s="590"/>
    </row>
    <row r="56" ht="12.75" customHeight="1">
      <c r="A56" s="590"/>
      <c r="B56" s="590"/>
      <c r="C56" s="590"/>
      <c r="D56" s="590"/>
      <c r="E56" s="590"/>
      <c r="F56" s="590"/>
      <c r="G56" s="590"/>
      <c r="H56" s="590"/>
      <c r="I56" s="590"/>
      <c r="J56" s="590"/>
      <c r="K56" s="590"/>
      <c r="L56" s="590"/>
      <c r="M56" s="590"/>
      <c r="N56" s="590"/>
      <c r="O56" s="590"/>
      <c r="P56" s="590"/>
      <c r="Q56" s="590"/>
      <c r="R56" s="590"/>
      <c r="S56" s="590"/>
      <c r="T56" s="590"/>
      <c r="U56" s="590"/>
      <c r="V56" s="590"/>
      <c r="W56" s="590"/>
      <c r="X56" s="590"/>
      <c r="Y56" s="590"/>
      <c r="Z56" s="590"/>
    </row>
    <row r="57" ht="12.75" customHeight="1">
      <c r="A57" s="590"/>
      <c r="B57" s="590"/>
      <c r="C57" s="590"/>
      <c r="D57" s="590"/>
      <c r="E57" s="590"/>
      <c r="F57" s="590"/>
      <c r="G57" s="590"/>
      <c r="H57" s="590"/>
      <c r="I57" s="590"/>
      <c r="J57" s="590"/>
      <c r="K57" s="590"/>
      <c r="L57" s="590"/>
      <c r="M57" s="590"/>
      <c r="N57" s="590"/>
      <c r="O57" s="590"/>
      <c r="P57" s="590"/>
      <c r="Q57" s="590"/>
      <c r="R57" s="590"/>
      <c r="S57" s="590"/>
      <c r="T57" s="590"/>
      <c r="U57" s="590"/>
      <c r="V57" s="590"/>
      <c r="W57" s="590"/>
      <c r="X57" s="590"/>
      <c r="Y57" s="590"/>
      <c r="Z57" s="590"/>
    </row>
    <row r="58" ht="12.75" customHeight="1">
      <c r="A58" s="590"/>
      <c r="B58" s="590"/>
      <c r="C58" s="590"/>
      <c r="D58" s="590"/>
      <c r="E58" s="590"/>
      <c r="F58" s="590"/>
      <c r="G58" s="590"/>
      <c r="H58" s="590"/>
      <c r="I58" s="590"/>
      <c r="J58" s="590"/>
      <c r="K58" s="590"/>
      <c r="L58" s="590"/>
      <c r="M58" s="590"/>
      <c r="N58" s="590"/>
      <c r="O58" s="590"/>
      <c r="P58" s="590"/>
      <c r="Q58" s="590"/>
      <c r="R58" s="590"/>
      <c r="S58" s="590"/>
      <c r="T58" s="590"/>
      <c r="U58" s="590"/>
      <c r="V58" s="590"/>
      <c r="W58" s="590"/>
      <c r="X58" s="590"/>
      <c r="Y58" s="590"/>
      <c r="Z58" s="590"/>
    </row>
    <row r="59" ht="12.75" customHeight="1">
      <c r="A59" s="590"/>
      <c r="B59" s="590"/>
      <c r="C59" s="590"/>
      <c r="D59" s="590"/>
      <c r="E59" s="590"/>
      <c r="F59" s="590"/>
      <c r="G59" s="590"/>
      <c r="H59" s="590"/>
      <c r="I59" s="590"/>
      <c r="J59" s="590"/>
      <c r="K59" s="590"/>
      <c r="L59" s="590"/>
      <c r="M59" s="590"/>
      <c r="N59" s="590"/>
      <c r="O59" s="590"/>
      <c r="P59" s="590"/>
      <c r="Q59" s="590"/>
      <c r="R59" s="590"/>
      <c r="S59" s="590"/>
      <c r="T59" s="590"/>
      <c r="U59" s="590"/>
      <c r="V59" s="590"/>
      <c r="W59" s="590"/>
      <c r="X59" s="590"/>
      <c r="Y59" s="590"/>
      <c r="Z59" s="590"/>
    </row>
    <row r="60" ht="12.75" customHeight="1">
      <c r="A60" s="590"/>
      <c r="B60" s="590"/>
      <c r="C60" s="590"/>
      <c r="D60" s="590"/>
      <c r="E60" s="590"/>
      <c r="F60" s="590"/>
      <c r="G60" s="590"/>
      <c r="H60" s="590"/>
      <c r="I60" s="590"/>
      <c r="J60" s="590"/>
      <c r="K60" s="590"/>
      <c r="L60" s="590"/>
      <c r="M60" s="590"/>
      <c r="N60" s="590"/>
      <c r="O60" s="590"/>
      <c r="P60" s="590"/>
      <c r="Q60" s="590"/>
      <c r="R60" s="590"/>
      <c r="S60" s="590"/>
      <c r="T60" s="590"/>
      <c r="U60" s="590"/>
      <c r="V60" s="590"/>
      <c r="W60" s="590"/>
      <c r="X60" s="590"/>
      <c r="Y60" s="590"/>
      <c r="Z60" s="590"/>
    </row>
    <row r="61" ht="12.75" customHeight="1">
      <c r="A61" s="590"/>
      <c r="B61" s="590"/>
      <c r="C61" s="590"/>
      <c r="D61" s="590"/>
      <c r="E61" s="590"/>
      <c r="F61" s="590"/>
      <c r="G61" s="590"/>
      <c r="H61" s="590"/>
      <c r="I61" s="590"/>
      <c r="J61" s="590"/>
      <c r="K61" s="590"/>
      <c r="L61" s="590"/>
      <c r="M61" s="590"/>
      <c r="N61" s="590"/>
      <c r="O61" s="590"/>
      <c r="P61" s="590"/>
      <c r="Q61" s="590"/>
      <c r="R61" s="590"/>
      <c r="S61" s="590"/>
      <c r="T61" s="590"/>
      <c r="U61" s="590"/>
      <c r="V61" s="590"/>
      <c r="W61" s="590"/>
      <c r="X61" s="590"/>
      <c r="Y61" s="590"/>
      <c r="Z61" s="590"/>
    </row>
    <row r="62" ht="12.75" customHeight="1">
      <c r="A62" s="590"/>
      <c r="B62" s="590"/>
      <c r="C62" s="590"/>
      <c r="D62" s="590"/>
      <c r="E62" s="590"/>
      <c r="F62" s="590"/>
      <c r="G62" s="590"/>
      <c r="H62" s="590"/>
      <c r="I62" s="590"/>
      <c r="J62" s="590"/>
      <c r="K62" s="590"/>
      <c r="L62" s="590"/>
      <c r="M62" s="590"/>
      <c r="N62" s="590"/>
      <c r="O62" s="590"/>
      <c r="P62" s="590"/>
      <c r="Q62" s="590"/>
      <c r="R62" s="590"/>
      <c r="S62" s="590"/>
      <c r="T62" s="590"/>
      <c r="U62" s="590"/>
      <c r="V62" s="590"/>
      <c r="W62" s="590"/>
      <c r="X62" s="590"/>
      <c r="Y62" s="590"/>
      <c r="Z62" s="590"/>
    </row>
    <row r="63" ht="12.75" customHeight="1">
      <c r="A63" s="590"/>
      <c r="B63" s="590"/>
      <c r="C63" s="590"/>
      <c r="D63" s="590"/>
      <c r="E63" s="590"/>
      <c r="F63" s="590"/>
      <c r="G63" s="590"/>
      <c r="H63" s="590"/>
      <c r="I63" s="590"/>
      <c r="J63" s="590"/>
      <c r="K63" s="590"/>
      <c r="L63" s="590"/>
      <c r="M63" s="590"/>
      <c r="N63" s="590"/>
      <c r="O63" s="590"/>
      <c r="P63" s="590"/>
      <c r="Q63" s="590"/>
      <c r="R63" s="590"/>
      <c r="S63" s="590"/>
      <c r="T63" s="590"/>
      <c r="U63" s="590"/>
      <c r="V63" s="590"/>
      <c r="W63" s="590"/>
      <c r="X63" s="590"/>
      <c r="Y63" s="590"/>
      <c r="Z63" s="590"/>
    </row>
    <row r="64" ht="12.75" customHeight="1">
      <c r="A64" s="590"/>
      <c r="B64" s="590"/>
      <c r="C64" s="590"/>
      <c r="D64" s="590"/>
      <c r="E64" s="590"/>
      <c r="F64" s="590"/>
      <c r="G64" s="590"/>
      <c r="H64" s="590"/>
      <c r="I64" s="590"/>
      <c r="J64" s="590"/>
      <c r="K64" s="590"/>
      <c r="L64" s="590"/>
      <c r="M64" s="590"/>
      <c r="N64" s="590"/>
      <c r="O64" s="590"/>
      <c r="P64" s="590"/>
      <c r="Q64" s="590"/>
      <c r="R64" s="590"/>
      <c r="S64" s="590"/>
      <c r="T64" s="590"/>
      <c r="U64" s="590"/>
      <c r="V64" s="590"/>
      <c r="W64" s="590"/>
      <c r="X64" s="590"/>
      <c r="Y64" s="590"/>
      <c r="Z64" s="590"/>
    </row>
    <row r="65" ht="12.75" customHeight="1">
      <c r="A65" s="590"/>
      <c r="B65" s="590"/>
      <c r="C65" s="590"/>
      <c r="D65" s="590"/>
      <c r="E65" s="590"/>
      <c r="F65" s="590"/>
      <c r="G65" s="590"/>
      <c r="H65" s="590"/>
      <c r="I65" s="590"/>
      <c r="J65" s="590"/>
      <c r="K65" s="590"/>
      <c r="L65" s="590"/>
      <c r="M65" s="590"/>
      <c r="N65" s="590"/>
      <c r="O65" s="590"/>
      <c r="P65" s="590"/>
      <c r="Q65" s="590"/>
      <c r="R65" s="590"/>
      <c r="S65" s="590"/>
      <c r="T65" s="590"/>
      <c r="U65" s="590"/>
      <c r="V65" s="590"/>
      <c r="W65" s="590"/>
      <c r="X65" s="590"/>
      <c r="Y65" s="590"/>
      <c r="Z65" s="590"/>
    </row>
    <row r="66" ht="12.75" customHeight="1">
      <c r="A66" s="590"/>
      <c r="B66" s="590"/>
      <c r="C66" s="590"/>
      <c r="D66" s="590"/>
      <c r="E66" s="590"/>
      <c r="F66" s="590"/>
      <c r="G66" s="590"/>
      <c r="H66" s="590"/>
      <c r="I66" s="590"/>
      <c r="J66" s="590"/>
      <c r="K66" s="590"/>
      <c r="L66" s="590"/>
      <c r="M66" s="590"/>
      <c r="N66" s="590"/>
      <c r="O66" s="590"/>
      <c r="P66" s="590"/>
      <c r="Q66" s="590"/>
      <c r="R66" s="590"/>
      <c r="S66" s="590"/>
      <c r="T66" s="590"/>
      <c r="U66" s="590"/>
      <c r="V66" s="590"/>
      <c r="W66" s="590"/>
      <c r="X66" s="590"/>
      <c r="Y66" s="590"/>
      <c r="Z66" s="590"/>
    </row>
    <row r="67" ht="12.75" customHeight="1">
      <c r="A67" s="590"/>
      <c r="B67" s="590"/>
      <c r="C67" s="590"/>
      <c r="D67" s="590"/>
      <c r="E67" s="590"/>
      <c r="F67" s="590"/>
      <c r="G67" s="590"/>
      <c r="H67" s="590"/>
      <c r="I67" s="590"/>
      <c r="J67" s="590"/>
      <c r="K67" s="590"/>
      <c r="L67" s="590"/>
      <c r="M67" s="590"/>
      <c r="N67" s="590"/>
      <c r="O67" s="590"/>
      <c r="P67" s="590"/>
      <c r="Q67" s="590"/>
      <c r="R67" s="590"/>
      <c r="S67" s="590"/>
      <c r="T67" s="590"/>
      <c r="U67" s="590"/>
      <c r="V67" s="590"/>
      <c r="W67" s="590"/>
      <c r="X67" s="590"/>
      <c r="Y67" s="590"/>
      <c r="Z67" s="590"/>
    </row>
    <row r="68" ht="12.75" customHeight="1">
      <c r="A68" s="590"/>
      <c r="B68" s="590"/>
      <c r="C68" s="590"/>
      <c r="D68" s="590"/>
      <c r="E68" s="590"/>
      <c r="F68" s="590"/>
      <c r="G68" s="590"/>
      <c r="H68" s="590"/>
      <c r="I68" s="590"/>
      <c r="J68" s="590"/>
      <c r="K68" s="590"/>
      <c r="L68" s="590"/>
      <c r="M68" s="590"/>
      <c r="N68" s="590"/>
      <c r="O68" s="590"/>
      <c r="P68" s="590"/>
      <c r="Q68" s="590"/>
      <c r="R68" s="590"/>
      <c r="S68" s="590"/>
      <c r="T68" s="590"/>
      <c r="U68" s="590"/>
      <c r="V68" s="590"/>
      <c r="W68" s="590"/>
      <c r="X68" s="590"/>
      <c r="Y68" s="590"/>
      <c r="Z68" s="590"/>
    </row>
    <row r="69" ht="12.75" customHeight="1">
      <c r="A69" s="590"/>
      <c r="B69" s="590"/>
      <c r="C69" s="590"/>
      <c r="D69" s="590"/>
      <c r="E69" s="590"/>
      <c r="F69" s="590"/>
      <c r="G69" s="590"/>
      <c r="H69" s="590"/>
      <c r="I69" s="590"/>
      <c r="J69" s="590"/>
      <c r="K69" s="590"/>
      <c r="L69" s="590"/>
      <c r="M69" s="590"/>
      <c r="N69" s="590"/>
      <c r="O69" s="590"/>
      <c r="P69" s="590"/>
      <c r="Q69" s="590"/>
      <c r="R69" s="590"/>
      <c r="S69" s="590"/>
      <c r="T69" s="590"/>
      <c r="U69" s="590"/>
      <c r="V69" s="590"/>
      <c r="W69" s="590"/>
      <c r="X69" s="590"/>
      <c r="Y69" s="590"/>
      <c r="Z69" s="590"/>
    </row>
    <row r="70" ht="12.75" customHeight="1">
      <c r="A70" s="590"/>
      <c r="B70" s="590"/>
      <c r="C70" s="590"/>
      <c r="D70" s="590"/>
      <c r="E70" s="590"/>
      <c r="F70" s="590"/>
      <c r="G70" s="590"/>
      <c r="H70" s="590"/>
      <c r="I70" s="590"/>
      <c r="J70" s="590"/>
      <c r="K70" s="590"/>
      <c r="L70" s="590"/>
      <c r="M70" s="590"/>
      <c r="N70" s="590"/>
      <c r="O70" s="590"/>
      <c r="P70" s="590"/>
      <c r="Q70" s="590"/>
      <c r="R70" s="590"/>
      <c r="S70" s="590"/>
      <c r="T70" s="590"/>
      <c r="U70" s="590"/>
      <c r="V70" s="590"/>
      <c r="W70" s="590"/>
      <c r="X70" s="590"/>
      <c r="Y70" s="590"/>
      <c r="Z70" s="590"/>
    </row>
    <row r="71" ht="12.75" customHeight="1">
      <c r="A71" s="590"/>
      <c r="B71" s="590"/>
      <c r="C71" s="590"/>
      <c r="D71" s="590"/>
      <c r="E71" s="590"/>
      <c r="F71" s="590"/>
      <c r="G71" s="590"/>
      <c r="H71" s="590"/>
      <c r="I71" s="590"/>
      <c r="J71" s="590"/>
      <c r="K71" s="590"/>
      <c r="L71" s="590"/>
      <c r="M71" s="590"/>
      <c r="N71" s="590"/>
      <c r="O71" s="590"/>
      <c r="P71" s="590"/>
      <c r="Q71" s="590"/>
      <c r="R71" s="590"/>
      <c r="S71" s="590"/>
      <c r="T71" s="590"/>
      <c r="U71" s="590"/>
      <c r="V71" s="590"/>
      <c r="W71" s="590"/>
      <c r="X71" s="590"/>
      <c r="Y71" s="590"/>
      <c r="Z71" s="590"/>
    </row>
    <row r="72" ht="12.75" customHeight="1">
      <c r="A72" s="590"/>
      <c r="B72" s="590"/>
      <c r="C72" s="590"/>
      <c r="D72" s="590"/>
      <c r="E72" s="590"/>
      <c r="F72" s="590"/>
      <c r="G72" s="590"/>
      <c r="H72" s="590"/>
      <c r="I72" s="590"/>
      <c r="J72" s="590"/>
      <c r="K72" s="590"/>
      <c r="L72" s="590"/>
      <c r="M72" s="590"/>
      <c r="N72" s="590"/>
      <c r="O72" s="590"/>
      <c r="P72" s="590"/>
      <c r="Q72" s="590"/>
      <c r="R72" s="590"/>
      <c r="S72" s="590"/>
      <c r="T72" s="590"/>
      <c r="U72" s="590"/>
      <c r="V72" s="590"/>
      <c r="W72" s="590"/>
      <c r="X72" s="590"/>
      <c r="Y72" s="590"/>
      <c r="Z72" s="590"/>
    </row>
    <row r="73" ht="12.75" customHeight="1">
      <c r="A73" s="590"/>
      <c r="B73" s="590"/>
      <c r="C73" s="590"/>
      <c r="D73" s="590"/>
      <c r="E73" s="590"/>
      <c r="F73" s="590"/>
      <c r="G73" s="590"/>
      <c r="H73" s="590"/>
      <c r="I73" s="590"/>
      <c r="J73" s="590"/>
      <c r="K73" s="590"/>
      <c r="L73" s="590"/>
      <c r="M73" s="590"/>
      <c r="N73" s="590"/>
      <c r="O73" s="590"/>
      <c r="P73" s="590"/>
      <c r="Q73" s="590"/>
      <c r="R73" s="590"/>
      <c r="S73" s="590"/>
      <c r="T73" s="590"/>
      <c r="U73" s="590"/>
      <c r="V73" s="590"/>
      <c r="W73" s="590"/>
      <c r="X73" s="590"/>
      <c r="Y73" s="590"/>
      <c r="Z73" s="590"/>
    </row>
    <row r="74" ht="12.75" customHeight="1">
      <c r="A74" s="590"/>
      <c r="B74" s="590"/>
      <c r="C74" s="590"/>
      <c r="D74" s="590"/>
      <c r="E74" s="590"/>
      <c r="F74" s="590"/>
      <c r="G74" s="590"/>
      <c r="H74" s="590"/>
      <c r="I74" s="590"/>
      <c r="J74" s="590"/>
      <c r="K74" s="590"/>
      <c r="L74" s="590"/>
      <c r="M74" s="590"/>
      <c r="N74" s="590"/>
      <c r="O74" s="590"/>
      <c r="P74" s="590"/>
      <c r="Q74" s="590"/>
      <c r="R74" s="590"/>
      <c r="S74" s="590"/>
      <c r="T74" s="590"/>
      <c r="U74" s="590"/>
      <c r="V74" s="590"/>
      <c r="W74" s="590"/>
      <c r="X74" s="590"/>
      <c r="Y74" s="590"/>
      <c r="Z74" s="590"/>
    </row>
    <row r="75" ht="12.75" customHeight="1">
      <c r="A75" s="590"/>
      <c r="B75" s="590"/>
      <c r="C75" s="590"/>
      <c r="D75" s="590"/>
      <c r="E75" s="590"/>
      <c r="F75" s="590"/>
      <c r="G75" s="590"/>
      <c r="H75" s="590"/>
      <c r="I75" s="590"/>
      <c r="J75" s="590"/>
      <c r="K75" s="590"/>
      <c r="L75" s="590"/>
      <c r="M75" s="590"/>
      <c r="N75" s="590"/>
      <c r="O75" s="590"/>
      <c r="P75" s="590"/>
      <c r="Q75" s="590"/>
      <c r="R75" s="590"/>
      <c r="S75" s="590"/>
      <c r="T75" s="590"/>
      <c r="U75" s="590"/>
      <c r="V75" s="590"/>
      <c r="W75" s="590"/>
      <c r="X75" s="590"/>
      <c r="Y75" s="590"/>
      <c r="Z75" s="590"/>
    </row>
    <row r="76" ht="12.75" customHeight="1">
      <c r="A76" s="590"/>
      <c r="B76" s="590"/>
      <c r="C76" s="590"/>
      <c r="D76" s="590"/>
      <c r="E76" s="590"/>
      <c r="F76" s="590"/>
      <c r="G76" s="590"/>
      <c r="H76" s="590"/>
      <c r="I76" s="590"/>
      <c r="J76" s="590"/>
      <c r="K76" s="590"/>
      <c r="L76" s="590"/>
      <c r="M76" s="590"/>
      <c r="N76" s="590"/>
      <c r="O76" s="590"/>
      <c r="P76" s="590"/>
      <c r="Q76" s="590"/>
      <c r="R76" s="590"/>
      <c r="S76" s="590"/>
      <c r="T76" s="590"/>
      <c r="U76" s="590"/>
      <c r="V76" s="590"/>
      <c r="W76" s="590"/>
      <c r="X76" s="590"/>
      <c r="Y76" s="590"/>
      <c r="Z76" s="590"/>
    </row>
    <row r="77" ht="12.75" customHeight="1">
      <c r="A77" s="590"/>
      <c r="B77" s="590"/>
      <c r="C77" s="590"/>
      <c r="D77" s="590"/>
      <c r="E77" s="590"/>
      <c r="F77" s="590"/>
      <c r="G77" s="590"/>
      <c r="H77" s="590"/>
      <c r="I77" s="590"/>
      <c r="J77" s="590"/>
      <c r="K77" s="590"/>
      <c r="L77" s="590"/>
      <c r="M77" s="590"/>
      <c r="N77" s="590"/>
      <c r="O77" s="590"/>
      <c r="P77" s="590"/>
      <c r="Q77" s="590"/>
      <c r="R77" s="590"/>
      <c r="S77" s="590"/>
      <c r="T77" s="590"/>
      <c r="U77" s="590"/>
      <c r="V77" s="590"/>
      <c r="W77" s="590"/>
      <c r="X77" s="590"/>
      <c r="Y77" s="590"/>
      <c r="Z77" s="590"/>
    </row>
    <row r="78" ht="12.75" customHeight="1">
      <c r="A78" s="590"/>
      <c r="B78" s="590"/>
      <c r="C78" s="590"/>
      <c r="D78" s="590"/>
      <c r="E78" s="590"/>
      <c r="F78" s="590"/>
      <c r="G78" s="590"/>
      <c r="H78" s="590"/>
      <c r="I78" s="590"/>
      <c r="J78" s="590"/>
      <c r="K78" s="590"/>
      <c r="L78" s="590"/>
      <c r="M78" s="590"/>
      <c r="N78" s="590"/>
      <c r="O78" s="590"/>
      <c r="P78" s="590"/>
      <c r="Q78" s="590"/>
      <c r="R78" s="590"/>
      <c r="S78" s="590"/>
      <c r="T78" s="590"/>
      <c r="U78" s="590"/>
      <c r="V78" s="590"/>
      <c r="W78" s="590"/>
      <c r="X78" s="590"/>
      <c r="Y78" s="590"/>
      <c r="Z78" s="590"/>
    </row>
    <row r="79" ht="12.75" customHeight="1">
      <c r="A79" s="590"/>
      <c r="B79" s="590"/>
      <c r="C79" s="590"/>
      <c r="D79" s="590"/>
      <c r="E79" s="590"/>
      <c r="F79" s="590"/>
      <c r="G79" s="590"/>
      <c r="H79" s="590"/>
      <c r="I79" s="590"/>
      <c r="J79" s="590"/>
      <c r="K79" s="590"/>
      <c r="L79" s="590"/>
      <c r="M79" s="590"/>
      <c r="N79" s="590"/>
      <c r="O79" s="590"/>
      <c r="P79" s="590"/>
      <c r="Q79" s="590"/>
      <c r="R79" s="590"/>
      <c r="S79" s="590"/>
      <c r="T79" s="590"/>
      <c r="U79" s="590"/>
      <c r="V79" s="590"/>
      <c r="W79" s="590"/>
      <c r="X79" s="590"/>
      <c r="Y79" s="590"/>
      <c r="Z79" s="590"/>
    </row>
    <row r="80" ht="12.75" customHeight="1">
      <c r="A80" s="590"/>
      <c r="B80" s="590"/>
      <c r="C80" s="590"/>
      <c r="D80" s="590"/>
      <c r="E80" s="590"/>
      <c r="F80" s="590"/>
      <c r="G80" s="590"/>
      <c r="H80" s="590"/>
      <c r="I80" s="590"/>
      <c r="J80" s="590"/>
      <c r="K80" s="590"/>
      <c r="L80" s="590"/>
      <c r="M80" s="590"/>
      <c r="N80" s="590"/>
      <c r="O80" s="590"/>
      <c r="P80" s="590"/>
      <c r="Q80" s="590"/>
      <c r="R80" s="590"/>
      <c r="S80" s="590"/>
      <c r="T80" s="590"/>
      <c r="U80" s="590"/>
      <c r="V80" s="590"/>
      <c r="W80" s="590"/>
      <c r="X80" s="590"/>
      <c r="Y80" s="590"/>
      <c r="Z80" s="590"/>
    </row>
    <row r="81" ht="12.75" customHeight="1">
      <c r="A81" s="590"/>
      <c r="B81" s="590"/>
      <c r="C81" s="590"/>
      <c r="D81" s="590"/>
      <c r="E81" s="590"/>
      <c r="F81" s="590"/>
      <c r="G81" s="590"/>
      <c r="H81" s="590"/>
      <c r="I81" s="590"/>
      <c r="J81" s="590"/>
      <c r="K81" s="590"/>
      <c r="L81" s="590"/>
      <c r="M81" s="590"/>
      <c r="N81" s="590"/>
      <c r="O81" s="590"/>
      <c r="P81" s="590"/>
      <c r="Q81" s="590"/>
      <c r="R81" s="590"/>
      <c r="S81" s="590"/>
      <c r="T81" s="590"/>
      <c r="U81" s="590"/>
      <c r="V81" s="590"/>
      <c r="W81" s="590"/>
      <c r="X81" s="590"/>
      <c r="Y81" s="590"/>
      <c r="Z81" s="590"/>
    </row>
    <row r="82" ht="12.75" customHeight="1">
      <c r="A82" s="590"/>
      <c r="B82" s="590"/>
      <c r="C82" s="590"/>
      <c r="D82" s="590"/>
      <c r="E82" s="590"/>
      <c r="F82" s="590"/>
      <c r="G82" s="590"/>
      <c r="H82" s="590"/>
      <c r="I82" s="590"/>
      <c r="J82" s="590"/>
      <c r="K82" s="590"/>
      <c r="L82" s="590"/>
      <c r="M82" s="590"/>
      <c r="N82" s="590"/>
      <c r="O82" s="590"/>
      <c r="P82" s="590"/>
      <c r="Q82" s="590"/>
      <c r="R82" s="590"/>
      <c r="S82" s="590"/>
      <c r="T82" s="590"/>
      <c r="U82" s="590"/>
      <c r="V82" s="590"/>
      <c r="W82" s="590"/>
      <c r="X82" s="590"/>
      <c r="Y82" s="590"/>
      <c r="Z82" s="590"/>
    </row>
    <row r="83" ht="12.75" customHeight="1">
      <c r="A83" s="590"/>
      <c r="B83" s="590"/>
      <c r="C83" s="590"/>
      <c r="D83" s="590"/>
      <c r="E83" s="590"/>
      <c r="F83" s="590"/>
      <c r="G83" s="590"/>
      <c r="H83" s="590"/>
      <c r="I83" s="590"/>
      <c r="J83" s="590"/>
      <c r="K83" s="590"/>
      <c r="L83" s="590"/>
      <c r="M83" s="590"/>
      <c r="N83" s="590"/>
      <c r="O83" s="590"/>
      <c r="P83" s="590"/>
      <c r="Q83" s="590"/>
      <c r="R83" s="590"/>
      <c r="S83" s="590"/>
      <c r="T83" s="590"/>
      <c r="U83" s="590"/>
      <c r="V83" s="590"/>
      <c r="W83" s="590"/>
      <c r="X83" s="590"/>
      <c r="Y83" s="590"/>
      <c r="Z83" s="590"/>
    </row>
    <row r="84" ht="12.75" customHeight="1">
      <c r="A84" s="590"/>
      <c r="B84" s="590"/>
      <c r="C84" s="590"/>
      <c r="D84" s="590"/>
      <c r="E84" s="590"/>
      <c r="F84" s="590"/>
      <c r="G84" s="590"/>
      <c r="H84" s="590"/>
      <c r="I84" s="590"/>
      <c r="J84" s="590"/>
      <c r="K84" s="590"/>
      <c r="L84" s="590"/>
      <c r="M84" s="590"/>
      <c r="N84" s="590"/>
      <c r="O84" s="590"/>
      <c r="P84" s="590"/>
      <c r="Q84" s="590"/>
      <c r="R84" s="590"/>
      <c r="S84" s="590"/>
      <c r="T84" s="590"/>
      <c r="U84" s="590"/>
      <c r="V84" s="590"/>
      <c r="W84" s="590"/>
      <c r="X84" s="590"/>
      <c r="Y84" s="590"/>
      <c r="Z84" s="590"/>
    </row>
    <row r="85" ht="12.75" customHeight="1">
      <c r="A85" s="590"/>
      <c r="B85" s="590"/>
      <c r="C85" s="590"/>
      <c r="D85" s="590"/>
      <c r="E85" s="590"/>
      <c r="F85" s="590"/>
      <c r="G85" s="590"/>
      <c r="H85" s="590"/>
      <c r="I85" s="590"/>
      <c r="J85" s="590"/>
      <c r="K85" s="590"/>
      <c r="L85" s="590"/>
      <c r="M85" s="590"/>
      <c r="N85" s="590"/>
      <c r="O85" s="590"/>
      <c r="P85" s="590"/>
      <c r="Q85" s="590"/>
      <c r="R85" s="590"/>
      <c r="S85" s="590"/>
      <c r="T85" s="590"/>
      <c r="U85" s="590"/>
      <c r="V85" s="590"/>
      <c r="W85" s="590"/>
      <c r="X85" s="590"/>
      <c r="Y85" s="590"/>
      <c r="Z85" s="590"/>
    </row>
    <row r="86" ht="12.75" customHeight="1">
      <c r="A86" s="590"/>
      <c r="B86" s="590"/>
      <c r="C86" s="590"/>
      <c r="D86" s="590"/>
      <c r="E86" s="590"/>
      <c r="F86" s="590"/>
      <c r="G86" s="590"/>
      <c r="H86" s="590"/>
      <c r="I86" s="590"/>
      <c r="J86" s="590"/>
      <c r="K86" s="590"/>
      <c r="L86" s="590"/>
      <c r="M86" s="590"/>
      <c r="N86" s="590"/>
      <c r="O86" s="590"/>
      <c r="P86" s="590"/>
      <c r="Q86" s="590"/>
      <c r="R86" s="590"/>
      <c r="S86" s="590"/>
      <c r="T86" s="590"/>
      <c r="U86" s="590"/>
      <c r="V86" s="590"/>
      <c r="W86" s="590"/>
      <c r="X86" s="590"/>
      <c r="Y86" s="590"/>
      <c r="Z86" s="590"/>
    </row>
    <row r="87" ht="12.75" customHeight="1">
      <c r="A87" s="590"/>
      <c r="B87" s="590"/>
      <c r="C87" s="590"/>
      <c r="D87" s="590"/>
      <c r="E87" s="590"/>
      <c r="F87" s="590"/>
      <c r="G87" s="590"/>
      <c r="H87" s="590"/>
      <c r="I87" s="590"/>
      <c r="J87" s="590"/>
      <c r="K87" s="590"/>
      <c r="L87" s="590"/>
      <c r="M87" s="590"/>
      <c r="N87" s="590"/>
      <c r="O87" s="590"/>
      <c r="P87" s="590"/>
      <c r="Q87" s="590"/>
      <c r="R87" s="590"/>
      <c r="S87" s="590"/>
      <c r="T87" s="590"/>
      <c r="U87" s="590"/>
      <c r="V87" s="590"/>
      <c r="W87" s="590"/>
      <c r="X87" s="590"/>
      <c r="Y87" s="590"/>
      <c r="Z87" s="590"/>
    </row>
    <row r="88" ht="12.75" customHeight="1">
      <c r="A88" s="590"/>
      <c r="B88" s="590"/>
      <c r="C88" s="590"/>
      <c r="D88" s="590"/>
      <c r="E88" s="590"/>
      <c r="F88" s="590"/>
      <c r="G88" s="590"/>
      <c r="H88" s="590"/>
      <c r="I88" s="590"/>
      <c r="J88" s="590"/>
      <c r="K88" s="590"/>
      <c r="L88" s="590"/>
      <c r="M88" s="590"/>
      <c r="N88" s="590"/>
      <c r="O88" s="590"/>
      <c r="P88" s="590"/>
      <c r="Q88" s="590"/>
      <c r="R88" s="590"/>
      <c r="S88" s="590"/>
      <c r="T88" s="590"/>
      <c r="U88" s="590"/>
      <c r="V88" s="590"/>
      <c r="W88" s="590"/>
      <c r="X88" s="590"/>
      <c r="Y88" s="590"/>
      <c r="Z88" s="590"/>
    </row>
    <row r="89" ht="12.75" customHeight="1">
      <c r="A89" s="590"/>
      <c r="B89" s="590"/>
      <c r="C89" s="590"/>
      <c r="D89" s="590"/>
      <c r="E89" s="590"/>
      <c r="F89" s="590"/>
      <c r="G89" s="590"/>
      <c r="H89" s="590"/>
      <c r="I89" s="590"/>
      <c r="J89" s="590"/>
      <c r="K89" s="590"/>
      <c r="L89" s="590"/>
      <c r="M89" s="590"/>
      <c r="N89" s="590"/>
      <c r="O89" s="590"/>
      <c r="P89" s="590"/>
      <c r="Q89" s="590"/>
      <c r="R89" s="590"/>
      <c r="S89" s="590"/>
      <c r="T89" s="590"/>
      <c r="U89" s="590"/>
      <c r="V89" s="590"/>
      <c r="W89" s="590"/>
      <c r="X89" s="590"/>
      <c r="Y89" s="590"/>
      <c r="Z89" s="590"/>
    </row>
    <row r="90" ht="12.75" customHeight="1">
      <c r="A90" s="590"/>
      <c r="B90" s="590"/>
      <c r="C90" s="590"/>
      <c r="D90" s="590"/>
      <c r="E90" s="590"/>
      <c r="F90" s="590"/>
      <c r="G90" s="590"/>
      <c r="H90" s="590"/>
      <c r="I90" s="590"/>
      <c r="J90" s="590"/>
      <c r="K90" s="590"/>
      <c r="L90" s="590"/>
      <c r="M90" s="590"/>
      <c r="N90" s="590"/>
      <c r="O90" s="590"/>
      <c r="P90" s="590"/>
      <c r="Q90" s="590"/>
      <c r="R90" s="590"/>
      <c r="S90" s="590"/>
      <c r="T90" s="590"/>
      <c r="U90" s="590"/>
      <c r="V90" s="590"/>
      <c r="W90" s="590"/>
      <c r="X90" s="590"/>
      <c r="Y90" s="590"/>
      <c r="Z90" s="590"/>
    </row>
    <row r="91" ht="12.75" customHeight="1">
      <c r="A91" s="590"/>
      <c r="B91" s="590"/>
      <c r="C91" s="590"/>
      <c r="D91" s="590"/>
      <c r="E91" s="590"/>
      <c r="F91" s="590"/>
      <c r="G91" s="590"/>
      <c r="H91" s="590"/>
      <c r="I91" s="590"/>
      <c r="J91" s="590"/>
      <c r="K91" s="590"/>
      <c r="L91" s="590"/>
      <c r="M91" s="590"/>
      <c r="N91" s="590"/>
      <c r="O91" s="590"/>
      <c r="P91" s="590"/>
      <c r="Q91" s="590"/>
      <c r="R91" s="590"/>
      <c r="S91" s="590"/>
      <c r="T91" s="590"/>
      <c r="U91" s="590"/>
      <c r="V91" s="590"/>
      <c r="W91" s="590"/>
      <c r="X91" s="590"/>
      <c r="Y91" s="590"/>
      <c r="Z91" s="590"/>
    </row>
    <row r="92" ht="12.75" customHeight="1">
      <c r="A92" s="590"/>
      <c r="B92" s="590"/>
      <c r="C92" s="590"/>
      <c r="D92" s="590"/>
      <c r="E92" s="590"/>
      <c r="F92" s="590"/>
      <c r="G92" s="590"/>
      <c r="H92" s="590"/>
      <c r="I92" s="590"/>
      <c r="J92" s="590"/>
      <c r="K92" s="590"/>
      <c r="L92" s="590"/>
      <c r="M92" s="590"/>
      <c r="N92" s="590"/>
      <c r="O92" s="590"/>
      <c r="P92" s="590"/>
      <c r="Q92" s="590"/>
      <c r="R92" s="590"/>
      <c r="S92" s="590"/>
      <c r="T92" s="590"/>
      <c r="U92" s="590"/>
      <c r="V92" s="590"/>
      <c r="W92" s="590"/>
      <c r="X92" s="590"/>
      <c r="Y92" s="590"/>
      <c r="Z92" s="590"/>
    </row>
    <row r="93" ht="12.75" customHeight="1">
      <c r="A93" s="590"/>
      <c r="B93" s="590"/>
      <c r="C93" s="590"/>
      <c r="D93" s="590"/>
      <c r="E93" s="590"/>
      <c r="F93" s="590"/>
      <c r="G93" s="590"/>
      <c r="H93" s="590"/>
      <c r="I93" s="590"/>
      <c r="J93" s="590"/>
      <c r="K93" s="590"/>
      <c r="L93" s="590"/>
      <c r="M93" s="590"/>
      <c r="N93" s="590"/>
      <c r="O93" s="590"/>
      <c r="P93" s="590"/>
      <c r="Q93" s="590"/>
      <c r="R93" s="590"/>
      <c r="S93" s="590"/>
      <c r="T93" s="590"/>
      <c r="U93" s="590"/>
      <c r="V93" s="590"/>
      <c r="W93" s="590"/>
      <c r="X93" s="590"/>
      <c r="Y93" s="590"/>
      <c r="Z93" s="590"/>
    </row>
    <row r="94" ht="12.75" customHeight="1">
      <c r="A94" s="590"/>
      <c r="B94" s="590"/>
      <c r="C94" s="590"/>
      <c r="D94" s="590"/>
      <c r="E94" s="590"/>
      <c r="F94" s="590"/>
      <c r="G94" s="590"/>
      <c r="H94" s="590"/>
      <c r="I94" s="590"/>
      <c r="J94" s="590"/>
      <c r="K94" s="590"/>
      <c r="L94" s="590"/>
      <c r="M94" s="590"/>
      <c r="N94" s="590"/>
      <c r="O94" s="590"/>
      <c r="P94" s="590"/>
      <c r="Q94" s="590"/>
      <c r="R94" s="590"/>
      <c r="S94" s="590"/>
      <c r="T94" s="590"/>
      <c r="U94" s="590"/>
      <c r="V94" s="590"/>
      <c r="W94" s="590"/>
      <c r="X94" s="590"/>
      <c r="Y94" s="590"/>
      <c r="Z94" s="590"/>
    </row>
    <row r="95" ht="12.75" customHeight="1">
      <c r="A95" s="590"/>
      <c r="B95" s="590"/>
      <c r="C95" s="590"/>
      <c r="D95" s="590"/>
      <c r="E95" s="590"/>
      <c r="F95" s="590"/>
      <c r="G95" s="590"/>
      <c r="H95" s="590"/>
      <c r="I95" s="590"/>
      <c r="J95" s="590"/>
      <c r="K95" s="590"/>
      <c r="L95" s="590"/>
      <c r="M95" s="590"/>
      <c r="N95" s="590"/>
      <c r="O95" s="590"/>
      <c r="P95" s="590"/>
      <c r="Q95" s="590"/>
      <c r="R95" s="590"/>
      <c r="S95" s="590"/>
      <c r="T95" s="590"/>
      <c r="U95" s="590"/>
      <c r="V95" s="590"/>
      <c r="W95" s="590"/>
      <c r="X95" s="590"/>
      <c r="Y95" s="590"/>
      <c r="Z95" s="590"/>
    </row>
    <row r="96" ht="12.75" customHeight="1">
      <c r="A96" s="590"/>
      <c r="B96" s="590"/>
      <c r="C96" s="590"/>
      <c r="D96" s="590"/>
      <c r="E96" s="590"/>
      <c r="F96" s="590"/>
      <c r="G96" s="590"/>
      <c r="H96" s="590"/>
      <c r="I96" s="590"/>
      <c r="J96" s="590"/>
      <c r="K96" s="590"/>
      <c r="L96" s="590"/>
      <c r="M96" s="590"/>
      <c r="N96" s="590"/>
      <c r="O96" s="590"/>
      <c r="P96" s="590"/>
      <c r="Q96" s="590"/>
      <c r="R96" s="590"/>
      <c r="S96" s="590"/>
      <c r="T96" s="590"/>
      <c r="U96" s="590"/>
      <c r="V96" s="590"/>
      <c r="W96" s="590"/>
      <c r="X96" s="590"/>
      <c r="Y96" s="590"/>
      <c r="Z96" s="590"/>
    </row>
    <row r="97" ht="12.75" customHeight="1">
      <c r="A97" s="590"/>
      <c r="B97" s="590"/>
      <c r="C97" s="590"/>
      <c r="D97" s="590"/>
      <c r="E97" s="590"/>
      <c r="F97" s="590"/>
      <c r="G97" s="590"/>
      <c r="H97" s="590"/>
      <c r="I97" s="590"/>
      <c r="J97" s="590"/>
      <c r="K97" s="590"/>
      <c r="L97" s="590"/>
      <c r="M97" s="590"/>
      <c r="N97" s="590"/>
      <c r="O97" s="590"/>
      <c r="P97" s="590"/>
      <c r="Q97" s="590"/>
      <c r="R97" s="590"/>
      <c r="S97" s="590"/>
      <c r="T97" s="590"/>
      <c r="U97" s="590"/>
      <c r="V97" s="590"/>
      <c r="W97" s="590"/>
      <c r="X97" s="590"/>
      <c r="Y97" s="590"/>
      <c r="Z97" s="590"/>
    </row>
    <row r="98" ht="12.75" customHeight="1">
      <c r="A98" s="590"/>
      <c r="B98" s="590"/>
      <c r="C98" s="590"/>
      <c r="D98" s="590"/>
      <c r="E98" s="590"/>
      <c r="F98" s="590"/>
      <c r="G98" s="590"/>
      <c r="H98" s="590"/>
      <c r="I98" s="590"/>
      <c r="J98" s="590"/>
      <c r="K98" s="590"/>
      <c r="L98" s="590"/>
      <c r="M98" s="590"/>
      <c r="N98" s="590"/>
      <c r="O98" s="590"/>
      <c r="P98" s="590"/>
      <c r="Q98" s="590"/>
      <c r="R98" s="590"/>
      <c r="S98" s="590"/>
      <c r="T98" s="590"/>
      <c r="U98" s="590"/>
      <c r="V98" s="590"/>
      <c r="W98" s="590"/>
      <c r="X98" s="590"/>
      <c r="Y98" s="590"/>
      <c r="Z98" s="590"/>
    </row>
    <row r="99" ht="12.75" customHeight="1">
      <c r="A99" s="590"/>
      <c r="B99" s="590"/>
      <c r="C99" s="590"/>
      <c r="D99" s="590"/>
      <c r="E99" s="590"/>
      <c r="F99" s="590"/>
      <c r="G99" s="590"/>
      <c r="H99" s="590"/>
      <c r="I99" s="590"/>
      <c r="J99" s="590"/>
      <c r="K99" s="590"/>
      <c r="L99" s="590"/>
      <c r="M99" s="590"/>
      <c r="N99" s="590"/>
      <c r="O99" s="590"/>
      <c r="P99" s="590"/>
      <c r="Q99" s="590"/>
      <c r="R99" s="590"/>
      <c r="S99" s="590"/>
      <c r="T99" s="590"/>
      <c r="U99" s="590"/>
      <c r="V99" s="590"/>
      <c r="W99" s="590"/>
      <c r="X99" s="590"/>
      <c r="Y99" s="590"/>
      <c r="Z99" s="590"/>
    </row>
    <row r="100" ht="12.75" customHeight="1">
      <c r="A100" s="590"/>
      <c r="B100" s="590"/>
      <c r="C100" s="590"/>
      <c r="D100" s="590"/>
      <c r="E100" s="590"/>
      <c r="F100" s="590"/>
      <c r="G100" s="590"/>
      <c r="H100" s="590"/>
      <c r="I100" s="590"/>
      <c r="J100" s="590"/>
      <c r="K100" s="590"/>
      <c r="L100" s="590"/>
      <c r="M100" s="590"/>
      <c r="N100" s="590"/>
      <c r="O100" s="590"/>
      <c r="P100" s="590"/>
      <c r="Q100" s="590"/>
      <c r="R100" s="590"/>
      <c r="S100" s="590"/>
      <c r="T100" s="590"/>
      <c r="U100" s="590"/>
      <c r="V100" s="590"/>
      <c r="W100" s="590"/>
      <c r="X100" s="590"/>
      <c r="Y100" s="590"/>
      <c r="Z100" s="590"/>
    </row>
    <row r="101" ht="12.75" customHeight="1">
      <c r="A101" s="590"/>
      <c r="B101" s="590"/>
      <c r="C101" s="590"/>
      <c r="D101" s="590"/>
      <c r="E101" s="590"/>
      <c r="F101" s="590"/>
      <c r="G101" s="590"/>
      <c r="H101" s="590"/>
      <c r="I101" s="590"/>
      <c r="J101" s="590"/>
      <c r="K101" s="590"/>
      <c r="L101" s="590"/>
      <c r="M101" s="590"/>
      <c r="N101" s="590"/>
      <c r="O101" s="590"/>
      <c r="P101" s="590"/>
      <c r="Q101" s="590"/>
      <c r="R101" s="590"/>
      <c r="S101" s="590"/>
      <c r="T101" s="590"/>
      <c r="U101" s="590"/>
      <c r="V101" s="590"/>
      <c r="W101" s="590"/>
      <c r="X101" s="590"/>
      <c r="Y101" s="590"/>
      <c r="Z101" s="590"/>
    </row>
    <row r="102" ht="12.75" customHeight="1">
      <c r="A102" s="590"/>
      <c r="B102" s="590"/>
      <c r="C102" s="590"/>
      <c r="D102" s="590"/>
      <c r="E102" s="590"/>
      <c r="F102" s="590"/>
      <c r="G102" s="590"/>
      <c r="H102" s="590"/>
      <c r="I102" s="590"/>
      <c r="J102" s="590"/>
      <c r="K102" s="590"/>
      <c r="L102" s="590"/>
      <c r="M102" s="590"/>
      <c r="N102" s="590"/>
      <c r="O102" s="590"/>
      <c r="P102" s="590"/>
      <c r="Q102" s="590"/>
      <c r="R102" s="590"/>
      <c r="S102" s="590"/>
      <c r="T102" s="590"/>
      <c r="U102" s="590"/>
      <c r="V102" s="590"/>
      <c r="W102" s="590"/>
      <c r="X102" s="590"/>
      <c r="Y102" s="590"/>
      <c r="Z102" s="590"/>
    </row>
    <row r="103" ht="12.75" customHeight="1">
      <c r="A103" s="590"/>
      <c r="B103" s="590"/>
      <c r="C103" s="590"/>
      <c r="D103" s="590"/>
      <c r="E103" s="590"/>
      <c r="F103" s="590"/>
      <c r="G103" s="590"/>
      <c r="H103" s="590"/>
      <c r="I103" s="590"/>
      <c r="J103" s="590"/>
      <c r="K103" s="590"/>
      <c r="L103" s="590"/>
      <c r="M103" s="590"/>
      <c r="N103" s="590"/>
      <c r="O103" s="590"/>
      <c r="P103" s="590"/>
      <c r="Q103" s="590"/>
      <c r="R103" s="590"/>
      <c r="S103" s="590"/>
      <c r="T103" s="590"/>
      <c r="U103" s="590"/>
      <c r="V103" s="590"/>
      <c r="W103" s="590"/>
      <c r="X103" s="590"/>
      <c r="Y103" s="590"/>
      <c r="Z103" s="590"/>
    </row>
    <row r="104" ht="12.75" customHeight="1">
      <c r="A104" s="590"/>
      <c r="B104" s="590"/>
      <c r="C104" s="590"/>
      <c r="D104" s="590"/>
      <c r="E104" s="590"/>
      <c r="F104" s="590"/>
      <c r="G104" s="590"/>
      <c r="H104" s="590"/>
      <c r="I104" s="590"/>
      <c r="J104" s="590"/>
      <c r="K104" s="590"/>
      <c r="L104" s="590"/>
      <c r="M104" s="590"/>
      <c r="N104" s="590"/>
      <c r="O104" s="590"/>
      <c r="P104" s="590"/>
      <c r="Q104" s="590"/>
      <c r="R104" s="590"/>
      <c r="S104" s="590"/>
      <c r="T104" s="590"/>
      <c r="U104" s="590"/>
      <c r="V104" s="590"/>
      <c r="W104" s="590"/>
      <c r="X104" s="590"/>
      <c r="Y104" s="590"/>
      <c r="Z104" s="590"/>
    </row>
    <row r="105" ht="12.75" customHeight="1">
      <c r="A105" s="590"/>
      <c r="B105" s="590"/>
      <c r="C105" s="590"/>
      <c r="D105" s="590"/>
      <c r="E105" s="590"/>
      <c r="F105" s="590"/>
      <c r="G105" s="590"/>
      <c r="H105" s="590"/>
      <c r="I105" s="590"/>
      <c r="J105" s="590"/>
      <c r="K105" s="590"/>
      <c r="L105" s="590"/>
      <c r="M105" s="590"/>
      <c r="N105" s="590"/>
      <c r="O105" s="590"/>
      <c r="P105" s="590"/>
      <c r="Q105" s="590"/>
      <c r="R105" s="590"/>
      <c r="S105" s="590"/>
      <c r="T105" s="590"/>
      <c r="U105" s="590"/>
      <c r="V105" s="590"/>
      <c r="W105" s="590"/>
      <c r="X105" s="590"/>
      <c r="Y105" s="590"/>
      <c r="Z105" s="590"/>
    </row>
    <row r="106" ht="12.75" customHeight="1">
      <c r="A106" s="590"/>
      <c r="B106" s="590"/>
      <c r="C106" s="590"/>
      <c r="D106" s="590"/>
      <c r="E106" s="590"/>
      <c r="F106" s="590"/>
      <c r="G106" s="590"/>
      <c r="H106" s="590"/>
      <c r="I106" s="590"/>
      <c r="J106" s="590"/>
      <c r="K106" s="590"/>
      <c r="L106" s="590"/>
      <c r="M106" s="590"/>
      <c r="N106" s="590"/>
      <c r="O106" s="590"/>
      <c r="P106" s="590"/>
      <c r="Q106" s="590"/>
      <c r="R106" s="590"/>
      <c r="S106" s="590"/>
      <c r="T106" s="590"/>
      <c r="U106" s="590"/>
      <c r="V106" s="590"/>
      <c r="W106" s="590"/>
      <c r="X106" s="590"/>
      <c r="Y106" s="590"/>
      <c r="Z106" s="590"/>
    </row>
    <row r="107" ht="12.75" customHeight="1">
      <c r="A107" s="590"/>
      <c r="B107" s="590"/>
      <c r="C107" s="590"/>
      <c r="D107" s="590"/>
      <c r="E107" s="590"/>
      <c r="F107" s="590"/>
      <c r="G107" s="590"/>
      <c r="H107" s="590"/>
      <c r="I107" s="590"/>
      <c r="J107" s="590"/>
      <c r="K107" s="590"/>
      <c r="L107" s="590"/>
      <c r="M107" s="590"/>
      <c r="N107" s="590"/>
      <c r="O107" s="590"/>
      <c r="P107" s="590"/>
      <c r="Q107" s="590"/>
      <c r="R107" s="590"/>
      <c r="S107" s="590"/>
      <c r="T107" s="590"/>
      <c r="U107" s="590"/>
      <c r="V107" s="590"/>
      <c r="W107" s="590"/>
      <c r="X107" s="590"/>
      <c r="Y107" s="590"/>
      <c r="Z107" s="590"/>
    </row>
    <row r="108" ht="12.75" customHeight="1">
      <c r="A108" s="590"/>
      <c r="B108" s="590"/>
      <c r="C108" s="590"/>
      <c r="D108" s="590"/>
      <c r="E108" s="590"/>
      <c r="F108" s="590"/>
      <c r="G108" s="590"/>
      <c r="H108" s="590"/>
      <c r="I108" s="590"/>
      <c r="J108" s="590"/>
      <c r="K108" s="590"/>
      <c r="L108" s="590"/>
      <c r="M108" s="590"/>
      <c r="N108" s="590"/>
      <c r="O108" s="590"/>
      <c r="P108" s="590"/>
      <c r="Q108" s="590"/>
      <c r="R108" s="590"/>
      <c r="S108" s="590"/>
      <c r="T108" s="590"/>
      <c r="U108" s="590"/>
      <c r="V108" s="590"/>
      <c r="W108" s="590"/>
      <c r="X108" s="590"/>
      <c r="Y108" s="590"/>
      <c r="Z108" s="590"/>
    </row>
    <row r="109" ht="12.75" customHeight="1">
      <c r="A109" s="590"/>
      <c r="B109" s="590"/>
      <c r="C109" s="590"/>
      <c r="D109" s="590"/>
      <c r="E109" s="590"/>
      <c r="F109" s="590"/>
      <c r="G109" s="590"/>
      <c r="H109" s="590"/>
      <c r="I109" s="590"/>
      <c r="J109" s="590"/>
      <c r="K109" s="590"/>
      <c r="L109" s="590"/>
      <c r="M109" s="590"/>
      <c r="N109" s="590"/>
      <c r="O109" s="590"/>
      <c r="P109" s="590"/>
      <c r="Q109" s="590"/>
      <c r="R109" s="590"/>
      <c r="S109" s="590"/>
      <c r="T109" s="590"/>
      <c r="U109" s="590"/>
      <c r="V109" s="590"/>
      <c r="W109" s="590"/>
      <c r="X109" s="590"/>
      <c r="Y109" s="590"/>
      <c r="Z109" s="590"/>
    </row>
    <row r="110" ht="12.75" customHeight="1">
      <c r="A110" s="590"/>
      <c r="B110" s="590"/>
      <c r="C110" s="590"/>
      <c r="D110" s="590"/>
      <c r="E110" s="590"/>
      <c r="F110" s="590"/>
      <c r="G110" s="590"/>
      <c r="H110" s="590"/>
      <c r="I110" s="590"/>
      <c r="J110" s="590"/>
      <c r="K110" s="590"/>
      <c r="L110" s="590"/>
      <c r="M110" s="590"/>
      <c r="N110" s="590"/>
      <c r="O110" s="590"/>
      <c r="P110" s="590"/>
      <c r="Q110" s="590"/>
      <c r="R110" s="590"/>
      <c r="S110" s="590"/>
      <c r="T110" s="590"/>
      <c r="U110" s="590"/>
      <c r="V110" s="590"/>
      <c r="W110" s="590"/>
      <c r="X110" s="590"/>
      <c r="Y110" s="590"/>
      <c r="Z110" s="590"/>
    </row>
    <row r="111" ht="12.75" customHeight="1">
      <c r="A111" s="590"/>
      <c r="B111" s="590"/>
      <c r="C111" s="590"/>
      <c r="D111" s="590"/>
      <c r="E111" s="590"/>
      <c r="F111" s="590"/>
      <c r="G111" s="590"/>
      <c r="H111" s="590"/>
      <c r="I111" s="590"/>
      <c r="J111" s="590"/>
      <c r="K111" s="590"/>
      <c r="L111" s="590"/>
      <c r="M111" s="590"/>
      <c r="N111" s="590"/>
      <c r="O111" s="590"/>
      <c r="P111" s="590"/>
      <c r="Q111" s="590"/>
      <c r="R111" s="590"/>
      <c r="S111" s="590"/>
      <c r="T111" s="590"/>
      <c r="U111" s="590"/>
      <c r="V111" s="590"/>
      <c r="W111" s="590"/>
      <c r="X111" s="590"/>
      <c r="Y111" s="590"/>
      <c r="Z111" s="590"/>
    </row>
    <row r="112" ht="12.75" customHeight="1">
      <c r="A112" s="590"/>
      <c r="B112" s="590"/>
      <c r="C112" s="590"/>
      <c r="D112" s="590"/>
      <c r="E112" s="590"/>
      <c r="F112" s="590"/>
      <c r="G112" s="590"/>
      <c r="H112" s="590"/>
      <c r="I112" s="590"/>
      <c r="J112" s="590"/>
      <c r="K112" s="590"/>
      <c r="L112" s="590"/>
      <c r="M112" s="590"/>
      <c r="N112" s="590"/>
      <c r="O112" s="590"/>
      <c r="P112" s="590"/>
      <c r="Q112" s="590"/>
      <c r="R112" s="590"/>
      <c r="S112" s="590"/>
      <c r="T112" s="590"/>
      <c r="U112" s="590"/>
      <c r="V112" s="590"/>
      <c r="W112" s="590"/>
      <c r="X112" s="590"/>
      <c r="Y112" s="590"/>
      <c r="Z112" s="590"/>
    </row>
    <row r="113" ht="12.75" customHeight="1">
      <c r="A113" s="590"/>
      <c r="B113" s="590"/>
      <c r="C113" s="590"/>
      <c r="D113" s="590"/>
      <c r="E113" s="590"/>
      <c r="F113" s="590"/>
      <c r="G113" s="590"/>
      <c r="H113" s="590"/>
      <c r="I113" s="590"/>
      <c r="J113" s="590"/>
      <c r="K113" s="590"/>
      <c r="L113" s="590"/>
      <c r="M113" s="590"/>
      <c r="N113" s="590"/>
      <c r="O113" s="590"/>
      <c r="P113" s="590"/>
      <c r="Q113" s="590"/>
      <c r="R113" s="590"/>
      <c r="S113" s="590"/>
      <c r="T113" s="590"/>
      <c r="U113" s="590"/>
      <c r="V113" s="590"/>
      <c r="W113" s="590"/>
      <c r="X113" s="590"/>
      <c r="Y113" s="590"/>
      <c r="Z113" s="590"/>
    </row>
    <row r="114" ht="12.75" customHeight="1">
      <c r="A114" s="590"/>
      <c r="B114" s="590"/>
      <c r="C114" s="590"/>
      <c r="D114" s="590"/>
      <c r="E114" s="590"/>
      <c r="F114" s="590"/>
      <c r="G114" s="590"/>
      <c r="H114" s="590"/>
      <c r="I114" s="590"/>
      <c r="J114" s="590"/>
      <c r="K114" s="590"/>
      <c r="L114" s="590"/>
      <c r="M114" s="590"/>
      <c r="N114" s="590"/>
      <c r="O114" s="590"/>
      <c r="P114" s="590"/>
      <c r="Q114" s="590"/>
      <c r="R114" s="590"/>
      <c r="S114" s="590"/>
      <c r="T114" s="590"/>
      <c r="U114" s="590"/>
      <c r="V114" s="590"/>
      <c r="W114" s="590"/>
      <c r="X114" s="590"/>
      <c r="Y114" s="590"/>
      <c r="Z114" s="590"/>
    </row>
    <row r="115" ht="12.75" customHeight="1">
      <c r="A115" s="590"/>
      <c r="B115" s="590"/>
      <c r="C115" s="590"/>
      <c r="D115" s="590"/>
      <c r="E115" s="590"/>
      <c r="F115" s="590"/>
      <c r="G115" s="590"/>
      <c r="H115" s="590"/>
      <c r="I115" s="590"/>
      <c r="J115" s="590"/>
      <c r="K115" s="590"/>
      <c r="L115" s="590"/>
      <c r="M115" s="590"/>
      <c r="N115" s="590"/>
      <c r="O115" s="590"/>
      <c r="P115" s="590"/>
      <c r="Q115" s="590"/>
      <c r="R115" s="590"/>
      <c r="S115" s="590"/>
      <c r="T115" s="590"/>
      <c r="U115" s="590"/>
      <c r="V115" s="590"/>
      <c r="W115" s="590"/>
      <c r="X115" s="590"/>
      <c r="Y115" s="590"/>
      <c r="Z115" s="590"/>
    </row>
    <row r="116" ht="12.75" customHeight="1">
      <c r="A116" s="590"/>
      <c r="B116" s="590"/>
      <c r="C116" s="590"/>
      <c r="D116" s="590"/>
      <c r="E116" s="590"/>
      <c r="F116" s="590"/>
      <c r="G116" s="590"/>
      <c r="H116" s="590"/>
      <c r="I116" s="590"/>
      <c r="J116" s="590"/>
      <c r="K116" s="590"/>
      <c r="L116" s="590"/>
      <c r="M116" s="590"/>
      <c r="N116" s="590"/>
      <c r="O116" s="590"/>
      <c r="P116" s="590"/>
      <c r="Q116" s="590"/>
      <c r="R116" s="590"/>
      <c r="S116" s="590"/>
      <c r="T116" s="590"/>
      <c r="U116" s="590"/>
      <c r="V116" s="590"/>
      <c r="W116" s="590"/>
      <c r="X116" s="590"/>
      <c r="Y116" s="590"/>
      <c r="Z116" s="590"/>
    </row>
    <row r="117" ht="12.75" customHeight="1">
      <c r="A117" s="590"/>
      <c r="B117" s="590"/>
      <c r="C117" s="590"/>
      <c r="D117" s="590"/>
      <c r="E117" s="590"/>
      <c r="F117" s="590"/>
      <c r="G117" s="590"/>
      <c r="H117" s="590"/>
      <c r="I117" s="590"/>
      <c r="J117" s="590"/>
      <c r="K117" s="590"/>
      <c r="L117" s="590"/>
      <c r="M117" s="590"/>
      <c r="N117" s="590"/>
      <c r="O117" s="590"/>
      <c r="P117" s="590"/>
      <c r="Q117" s="590"/>
      <c r="R117" s="590"/>
      <c r="S117" s="590"/>
      <c r="T117" s="590"/>
      <c r="U117" s="590"/>
      <c r="V117" s="590"/>
      <c r="W117" s="590"/>
      <c r="X117" s="590"/>
      <c r="Y117" s="590"/>
      <c r="Z117" s="590"/>
    </row>
    <row r="118" ht="12.75" customHeight="1">
      <c r="A118" s="590"/>
      <c r="B118" s="590"/>
      <c r="C118" s="590"/>
      <c r="D118" s="590"/>
      <c r="E118" s="590"/>
      <c r="F118" s="590"/>
      <c r="G118" s="590"/>
      <c r="H118" s="590"/>
      <c r="I118" s="590"/>
      <c r="J118" s="590"/>
      <c r="K118" s="590"/>
      <c r="L118" s="590"/>
      <c r="M118" s="590"/>
      <c r="N118" s="590"/>
      <c r="O118" s="590"/>
      <c r="P118" s="590"/>
      <c r="Q118" s="590"/>
      <c r="R118" s="590"/>
      <c r="S118" s="590"/>
      <c r="T118" s="590"/>
      <c r="U118" s="590"/>
      <c r="V118" s="590"/>
      <c r="W118" s="590"/>
      <c r="X118" s="590"/>
      <c r="Y118" s="590"/>
      <c r="Z118" s="590"/>
    </row>
    <row r="119" ht="12.75" customHeight="1">
      <c r="A119" s="590"/>
      <c r="B119" s="590"/>
      <c r="C119" s="590"/>
      <c r="D119" s="590"/>
      <c r="E119" s="590"/>
      <c r="F119" s="590"/>
      <c r="G119" s="590"/>
      <c r="H119" s="590"/>
      <c r="I119" s="590"/>
      <c r="J119" s="590"/>
      <c r="K119" s="590"/>
      <c r="L119" s="590"/>
      <c r="M119" s="590"/>
      <c r="N119" s="590"/>
      <c r="O119" s="590"/>
      <c r="P119" s="590"/>
      <c r="Q119" s="590"/>
      <c r="R119" s="590"/>
      <c r="S119" s="590"/>
      <c r="T119" s="590"/>
      <c r="U119" s="590"/>
      <c r="V119" s="590"/>
      <c r="W119" s="590"/>
      <c r="X119" s="590"/>
      <c r="Y119" s="590"/>
      <c r="Z119" s="590"/>
    </row>
    <row r="120" ht="12.75" customHeight="1">
      <c r="A120" s="590"/>
      <c r="B120" s="590"/>
      <c r="C120" s="590"/>
      <c r="D120" s="590"/>
      <c r="E120" s="590"/>
      <c r="F120" s="590"/>
      <c r="G120" s="590"/>
      <c r="H120" s="590"/>
      <c r="I120" s="590"/>
      <c r="J120" s="590"/>
      <c r="K120" s="590"/>
      <c r="L120" s="590"/>
      <c r="M120" s="590"/>
      <c r="N120" s="590"/>
      <c r="O120" s="590"/>
      <c r="P120" s="590"/>
      <c r="Q120" s="590"/>
      <c r="R120" s="590"/>
      <c r="S120" s="590"/>
      <c r="T120" s="590"/>
      <c r="U120" s="590"/>
      <c r="V120" s="590"/>
      <c r="W120" s="590"/>
      <c r="X120" s="590"/>
      <c r="Y120" s="590"/>
      <c r="Z120" s="590"/>
    </row>
    <row r="121" ht="12.75" customHeight="1">
      <c r="A121" s="590"/>
      <c r="B121" s="590"/>
      <c r="C121" s="590"/>
      <c r="D121" s="590"/>
      <c r="E121" s="590"/>
      <c r="F121" s="590"/>
      <c r="G121" s="590"/>
      <c r="H121" s="590"/>
      <c r="I121" s="590"/>
      <c r="J121" s="590"/>
      <c r="K121" s="590"/>
      <c r="L121" s="590"/>
      <c r="M121" s="590"/>
      <c r="N121" s="590"/>
      <c r="O121" s="590"/>
      <c r="P121" s="590"/>
      <c r="Q121" s="590"/>
      <c r="R121" s="590"/>
      <c r="S121" s="590"/>
      <c r="T121" s="590"/>
      <c r="U121" s="590"/>
      <c r="V121" s="590"/>
      <c r="W121" s="590"/>
      <c r="X121" s="590"/>
      <c r="Y121" s="590"/>
      <c r="Z121" s="590"/>
    </row>
    <row r="122" ht="12.75" customHeight="1">
      <c r="A122" s="590"/>
      <c r="B122" s="590"/>
      <c r="C122" s="590"/>
      <c r="D122" s="590"/>
      <c r="E122" s="590"/>
      <c r="F122" s="590"/>
      <c r="G122" s="590"/>
      <c r="H122" s="590"/>
      <c r="I122" s="590"/>
      <c r="J122" s="590"/>
      <c r="K122" s="590"/>
      <c r="L122" s="590"/>
      <c r="M122" s="590"/>
      <c r="N122" s="590"/>
      <c r="O122" s="590"/>
      <c r="P122" s="590"/>
      <c r="Q122" s="590"/>
      <c r="R122" s="590"/>
      <c r="S122" s="590"/>
      <c r="T122" s="590"/>
      <c r="U122" s="590"/>
      <c r="V122" s="590"/>
      <c r="W122" s="590"/>
      <c r="X122" s="590"/>
      <c r="Y122" s="590"/>
      <c r="Z122" s="590"/>
    </row>
    <row r="123" ht="12.75" customHeight="1">
      <c r="A123" s="590"/>
      <c r="B123" s="590"/>
      <c r="C123" s="590"/>
      <c r="D123" s="590"/>
      <c r="E123" s="590"/>
      <c r="F123" s="590"/>
      <c r="G123" s="590"/>
      <c r="H123" s="590"/>
      <c r="I123" s="590"/>
      <c r="J123" s="590"/>
      <c r="K123" s="590"/>
      <c r="L123" s="590"/>
      <c r="M123" s="590"/>
      <c r="N123" s="590"/>
      <c r="O123" s="590"/>
      <c r="P123" s="590"/>
      <c r="Q123" s="590"/>
      <c r="R123" s="590"/>
      <c r="S123" s="590"/>
      <c r="T123" s="590"/>
      <c r="U123" s="590"/>
      <c r="V123" s="590"/>
      <c r="W123" s="590"/>
      <c r="X123" s="590"/>
      <c r="Y123" s="590"/>
      <c r="Z123" s="590"/>
    </row>
    <row r="124" ht="12.75" customHeight="1">
      <c r="A124" s="590"/>
      <c r="B124" s="590"/>
      <c r="C124" s="590"/>
      <c r="D124" s="590"/>
      <c r="E124" s="590"/>
      <c r="F124" s="590"/>
      <c r="G124" s="590"/>
      <c r="H124" s="590"/>
      <c r="I124" s="590"/>
      <c r="J124" s="590"/>
      <c r="K124" s="590"/>
      <c r="L124" s="590"/>
      <c r="M124" s="590"/>
      <c r="N124" s="590"/>
      <c r="O124" s="590"/>
      <c r="P124" s="590"/>
      <c r="Q124" s="590"/>
      <c r="R124" s="590"/>
      <c r="S124" s="590"/>
      <c r="T124" s="590"/>
      <c r="U124" s="590"/>
      <c r="V124" s="590"/>
      <c r="W124" s="590"/>
      <c r="X124" s="590"/>
      <c r="Y124" s="590"/>
      <c r="Z124" s="590"/>
    </row>
    <row r="125" ht="12.75" customHeight="1">
      <c r="A125" s="590"/>
      <c r="B125" s="590"/>
      <c r="C125" s="590"/>
      <c r="D125" s="590"/>
      <c r="E125" s="590"/>
      <c r="F125" s="590"/>
      <c r="G125" s="590"/>
      <c r="H125" s="590"/>
      <c r="I125" s="590"/>
      <c r="J125" s="590"/>
      <c r="K125" s="590"/>
      <c r="L125" s="590"/>
      <c r="M125" s="590"/>
      <c r="N125" s="590"/>
      <c r="O125" s="590"/>
      <c r="P125" s="590"/>
      <c r="Q125" s="590"/>
      <c r="R125" s="590"/>
      <c r="S125" s="590"/>
      <c r="T125" s="590"/>
      <c r="U125" s="590"/>
      <c r="V125" s="590"/>
      <c r="W125" s="590"/>
      <c r="X125" s="590"/>
      <c r="Y125" s="590"/>
      <c r="Z125" s="590"/>
    </row>
    <row r="126" ht="12.75" customHeight="1">
      <c r="A126" s="590"/>
      <c r="B126" s="590"/>
      <c r="C126" s="590"/>
      <c r="D126" s="590"/>
      <c r="E126" s="590"/>
      <c r="F126" s="590"/>
      <c r="G126" s="590"/>
      <c r="H126" s="590"/>
      <c r="I126" s="590"/>
      <c r="J126" s="590"/>
      <c r="K126" s="590"/>
      <c r="L126" s="590"/>
      <c r="M126" s="590"/>
      <c r="N126" s="590"/>
      <c r="O126" s="590"/>
      <c r="P126" s="590"/>
      <c r="Q126" s="590"/>
      <c r="R126" s="590"/>
      <c r="S126" s="590"/>
      <c r="T126" s="590"/>
      <c r="U126" s="590"/>
      <c r="V126" s="590"/>
      <c r="W126" s="590"/>
      <c r="X126" s="590"/>
      <c r="Y126" s="590"/>
      <c r="Z126" s="590"/>
    </row>
    <row r="127" ht="12.75" customHeight="1">
      <c r="A127" s="590"/>
      <c r="B127" s="590"/>
      <c r="C127" s="590"/>
      <c r="D127" s="590"/>
      <c r="E127" s="590"/>
      <c r="F127" s="590"/>
      <c r="G127" s="590"/>
      <c r="H127" s="590"/>
      <c r="I127" s="590"/>
      <c r="J127" s="590"/>
      <c r="K127" s="590"/>
      <c r="L127" s="590"/>
      <c r="M127" s="590"/>
      <c r="N127" s="590"/>
      <c r="O127" s="590"/>
      <c r="P127" s="590"/>
      <c r="Q127" s="590"/>
      <c r="R127" s="590"/>
      <c r="S127" s="590"/>
      <c r="T127" s="590"/>
      <c r="U127" s="590"/>
      <c r="V127" s="590"/>
      <c r="W127" s="590"/>
      <c r="X127" s="590"/>
      <c r="Y127" s="590"/>
      <c r="Z127" s="590"/>
    </row>
    <row r="128" ht="12.75" customHeight="1">
      <c r="A128" s="590"/>
      <c r="B128" s="590"/>
      <c r="C128" s="590"/>
      <c r="D128" s="590"/>
      <c r="E128" s="590"/>
      <c r="F128" s="590"/>
      <c r="G128" s="590"/>
      <c r="H128" s="590"/>
      <c r="I128" s="590"/>
      <c r="J128" s="590"/>
      <c r="K128" s="590"/>
      <c r="L128" s="590"/>
      <c r="M128" s="590"/>
      <c r="N128" s="590"/>
      <c r="O128" s="590"/>
      <c r="P128" s="590"/>
      <c r="Q128" s="590"/>
      <c r="R128" s="590"/>
      <c r="S128" s="590"/>
      <c r="T128" s="590"/>
      <c r="U128" s="590"/>
      <c r="V128" s="590"/>
      <c r="W128" s="590"/>
      <c r="X128" s="590"/>
      <c r="Y128" s="590"/>
      <c r="Z128" s="590"/>
    </row>
    <row r="129" ht="12.75" customHeight="1">
      <c r="A129" s="590"/>
      <c r="B129" s="590"/>
      <c r="C129" s="590"/>
      <c r="D129" s="590"/>
      <c r="E129" s="590"/>
      <c r="F129" s="590"/>
      <c r="G129" s="590"/>
      <c r="H129" s="590"/>
      <c r="I129" s="590"/>
      <c r="J129" s="590"/>
      <c r="K129" s="590"/>
      <c r="L129" s="590"/>
      <c r="M129" s="590"/>
      <c r="N129" s="590"/>
      <c r="O129" s="590"/>
      <c r="P129" s="590"/>
      <c r="Q129" s="590"/>
      <c r="R129" s="590"/>
      <c r="S129" s="590"/>
      <c r="T129" s="590"/>
      <c r="U129" s="590"/>
      <c r="V129" s="590"/>
      <c r="W129" s="590"/>
      <c r="X129" s="590"/>
      <c r="Y129" s="590"/>
      <c r="Z129" s="590"/>
    </row>
    <row r="130" ht="12.75" customHeight="1">
      <c r="A130" s="590"/>
      <c r="B130" s="590"/>
      <c r="C130" s="590"/>
      <c r="D130" s="590"/>
      <c r="E130" s="590"/>
      <c r="F130" s="590"/>
      <c r="G130" s="590"/>
      <c r="H130" s="590"/>
      <c r="I130" s="590"/>
      <c r="J130" s="590"/>
      <c r="K130" s="590"/>
      <c r="L130" s="590"/>
      <c r="M130" s="590"/>
      <c r="N130" s="590"/>
      <c r="O130" s="590"/>
      <c r="P130" s="590"/>
      <c r="Q130" s="590"/>
      <c r="R130" s="590"/>
      <c r="S130" s="590"/>
      <c r="T130" s="590"/>
      <c r="U130" s="590"/>
      <c r="V130" s="590"/>
      <c r="W130" s="590"/>
      <c r="X130" s="590"/>
      <c r="Y130" s="590"/>
      <c r="Z130" s="590"/>
    </row>
    <row r="131" ht="12.75" customHeight="1">
      <c r="A131" s="590"/>
      <c r="B131" s="590"/>
      <c r="C131" s="590"/>
      <c r="D131" s="590"/>
      <c r="E131" s="590"/>
      <c r="F131" s="590"/>
      <c r="G131" s="590"/>
      <c r="H131" s="590"/>
      <c r="I131" s="590"/>
      <c r="J131" s="590"/>
      <c r="K131" s="590"/>
      <c r="L131" s="590"/>
      <c r="M131" s="590"/>
      <c r="N131" s="590"/>
      <c r="O131" s="590"/>
      <c r="P131" s="590"/>
      <c r="Q131" s="590"/>
      <c r="R131" s="590"/>
      <c r="S131" s="590"/>
      <c r="T131" s="590"/>
      <c r="U131" s="590"/>
      <c r="V131" s="590"/>
      <c r="W131" s="590"/>
      <c r="X131" s="590"/>
      <c r="Y131" s="590"/>
      <c r="Z131" s="590"/>
    </row>
    <row r="132" ht="12.75" customHeight="1">
      <c r="A132" s="590"/>
      <c r="B132" s="590"/>
      <c r="C132" s="590"/>
      <c r="D132" s="590"/>
      <c r="E132" s="590"/>
      <c r="F132" s="590"/>
      <c r="G132" s="590"/>
      <c r="H132" s="590"/>
      <c r="I132" s="590"/>
      <c r="J132" s="590"/>
      <c r="K132" s="590"/>
      <c r="L132" s="590"/>
      <c r="M132" s="590"/>
      <c r="N132" s="590"/>
      <c r="O132" s="590"/>
      <c r="P132" s="590"/>
      <c r="Q132" s="590"/>
      <c r="R132" s="590"/>
      <c r="S132" s="590"/>
      <c r="T132" s="590"/>
      <c r="U132" s="590"/>
      <c r="V132" s="590"/>
      <c r="W132" s="590"/>
      <c r="X132" s="590"/>
      <c r="Y132" s="590"/>
      <c r="Z132" s="590"/>
    </row>
    <row r="133" ht="12.75" customHeight="1">
      <c r="A133" s="590"/>
      <c r="B133" s="590"/>
      <c r="C133" s="590"/>
      <c r="D133" s="590"/>
      <c r="E133" s="590"/>
      <c r="F133" s="590"/>
      <c r="G133" s="590"/>
      <c r="H133" s="590"/>
      <c r="I133" s="590"/>
      <c r="J133" s="590"/>
      <c r="K133" s="590"/>
      <c r="L133" s="590"/>
      <c r="M133" s="590"/>
      <c r="N133" s="590"/>
      <c r="O133" s="590"/>
      <c r="P133" s="590"/>
      <c r="Q133" s="590"/>
      <c r="R133" s="590"/>
      <c r="S133" s="590"/>
      <c r="T133" s="590"/>
      <c r="U133" s="590"/>
      <c r="V133" s="590"/>
      <c r="W133" s="590"/>
      <c r="X133" s="590"/>
      <c r="Y133" s="590"/>
      <c r="Z133" s="590"/>
    </row>
    <row r="134" ht="12.75" customHeight="1">
      <c r="A134" s="590"/>
      <c r="B134" s="590"/>
      <c r="C134" s="590"/>
      <c r="D134" s="590"/>
      <c r="E134" s="590"/>
      <c r="F134" s="590"/>
      <c r="G134" s="590"/>
      <c r="H134" s="590"/>
      <c r="I134" s="590"/>
      <c r="J134" s="590"/>
      <c r="K134" s="590"/>
      <c r="L134" s="590"/>
      <c r="M134" s="590"/>
      <c r="N134" s="590"/>
      <c r="O134" s="590"/>
      <c r="P134" s="590"/>
      <c r="Q134" s="590"/>
      <c r="R134" s="590"/>
      <c r="S134" s="590"/>
      <c r="T134" s="590"/>
      <c r="U134" s="590"/>
      <c r="V134" s="590"/>
      <c r="W134" s="590"/>
      <c r="X134" s="590"/>
      <c r="Y134" s="590"/>
      <c r="Z134" s="590"/>
    </row>
    <row r="135" ht="12.75" customHeight="1">
      <c r="A135" s="590"/>
      <c r="B135" s="590"/>
      <c r="C135" s="590"/>
      <c r="D135" s="590"/>
      <c r="E135" s="590"/>
      <c r="F135" s="590"/>
      <c r="G135" s="590"/>
      <c r="H135" s="590"/>
      <c r="I135" s="590"/>
      <c r="J135" s="590"/>
      <c r="K135" s="590"/>
      <c r="L135" s="590"/>
      <c r="M135" s="590"/>
      <c r="N135" s="590"/>
      <c r="O135" s="590"/>
      <c r="P135" s="590"/>
      <c r="Q135" s="590"/>
      <c r="R135" s="590"/>
      <c r="S135" s="590"/>
      <c r="T135" s="590"/>
      <c r="U135" s="590"/>
      <c r="V135" s="590"/>
      <c r="W135" s="590"/>
      <c r="X135" s="590"/>
      <c r="Y135" s="590"/>
      <c r="Z135" s="590"/>
    </row>
    <row r="136" ht="12.75" customHeight="1">
      <c r="A136" s="590"/>
      <c r="B136" s="590"/>
      <c r="C136" s="590"/>
      <c r="D136" s="590"/>
      <c r="E136" s="590"/>
      <c r="F136" s="590"/>
      <c r="G136" s="590"/>
      <c r="H136" s="590"/>
      <c r="I136" s="590"/>
      <c r="J136" s="590"/>
      <c r="K136" s="590"/>
      <c r="L136" s="590"/>
      <c r="M136" s="590"/>
      <c r="N136" s="590"/>
      <c r="O136" s="590"/>
      <c r="P136" s="590"/>
      <c r="Q136" s="590"/>
      <c r="R136" s="590"/>
      <c r="S136" s="590"/>
      <c r="T136" s="590"/>
      <c r="U136" s="590"/>
      <c r="V136" s="590"/>
      <c r="W136" s="590"/>
      <c r="X136" s="590"/>
      <c r="Y136" s="590"/>
      <c r="Z136" s="590"/>
    </row>
    <row r="137" ht="12.75" customHeight="1">
      <c r="A137" s="590"/>
      <c r="B137" s="590"/>
      <c r="C137" s="590"/>
      <c r="D137" s="590"/>
      <c r="E137" s="590"/>
      <c r="F137" s="590"/>
      <c r="G137" s="590"/>
      <c r="H137" s="590"/>
      <c r="I137" s="590"/>
      <c r="J137" s="590"/>
      <c r="K137" s="590"/>
      <c r="L137" s="590"/>
      <c r="M137" s="590"/>
      <c r="N137" s="590"/>
      <c r="O137" s="590"/>
      <c r="P137" s="590"/>
      <c r="Q137" s="590"/>
      <c r="R137" s="590"/>
      <c r="S137" s="590"/>
      <c r="T137" s="590"/>
      <c r="U137" s="590"/>
      <c r="V137" s="590"/>
      <c r="W137" s="590"/>
      <c r="X137" s="590"/>
      <c r="Y137" s="590"/>
      <c r="Z137" s="590"/>
    </row>
    <row r="138" ht="12.75" customHeight="1">
      <c r="A138" s="590"/>
      <c r="B138" s="590"/>
      <c r="C138" s="590"/>
      <c r="D138" s="590"/>
      <c r="E138" s="590"/>
      <c r="F138" s="590"/>
      <c r="G138" s="590"/>
      <c r="H138" s="590"/>
      <c r="I138" s="590"/>
      <c r="J138" s="590"/>
      <c r="K138" s="590"/>
      <c r="L138" s="590"/>
      <c r="M138" s="590"/>
      <c r="N138" s="590"/>
      <c r="O138" s="590"/>
      <c r="P138" s="590"/>
      <c r="Q138" s="590"/>
      <c r="R138" s="590"/>
      <c r="S138" s="590"/>
      <c r="T138" s="590"/>
      <c r="U138" s="590"/>
      <c r="V138" s="590"/>
      <c r="W138" s="590"/>
      <c r="X138" s="590"/>
      <c r="Y138" s="590"/>
      <c r="Z138" s="590"/>
    </row>
    <row r="139" ht="12.75" customHeight="1">
      <c r="A139" s="590"/>
      <c r="B139" s="590"/>
      <c r="C139" s="590"/>
      <c r="D139" s="590"/>
      <c r="E139" s="590"/>
      <c r="F139" s="590"/>
      <c r="G139" s="590"/>
      <c r="H139" s="590"/>
      <c r="I139" s="590"/>
      <c r="J139" s="590"/>
      <c r="K139" s="590"/>
      <c r="L139" s="590"/>
      <c r="M139" s="590"/>
      <c r="N139" s="590"/>
      <c r="O139" s="590"/>
      <c r="P139" s="590"/>
      <c r="Q139" s="590"/>
      <c r="R139" s="590"/>
      <c r="S139" s="590"/>
      <c r="T139" s="590"/>
      <c r="U139" s="590"/>
      <c r="V139" s="590"/>
      <c r="W139" s="590"/>
      <c r="X139" s="590"/>
      <c r="Y139" s="590"/>
      <c r="Z139" s="590"/>
    </row>
    <row r="140" ht="12.75" customHeight="1">
      <c r="A140" s="590"/>
      <c r="B140" s="590"/>
      <c r="C140" s="590"/>
      <c r="D140" s="590"/>
      <c r="E140" s="590"/>
      <c r="F140" s="590"/>
      <c r="G140" s="590"/>
      <c r="H140" s="590"/>
      <c r="I140" s="590"/>
      <c r="J140" s="590"/>
      <c r="K140" s="590"/>
      <c r="L140" s="590"/>
      <c r="M140" s="590"/>
      <c r="N140" s="590"/>
      <c r="O140" s="590"/>
      <c r="P140" s="590"/>
      <c r="Q140" s="590"/>
      <c r="R140" s="590"/>
      <c r="S140" s="590"/>
      <c r="T140" s="590"/>
      <c r="U140" s="590"/>
      <c r="V140" s="590"/>
      <c r="W140" s="590"/>
      <c r="X140" s="590"/>
      <c r="Y140" s="590"/>
      <c r="Z140" s="590"/>
    </row>
    <row r="141" ht="12.75" customHeight="1">
      <c r="A141" s="590"/>
      <c r="B141" s="590"/>
      <c r="C141" s="590"/>
      <c r="D141" s="590"/>
      <c r="E141" s="590"/>
      <c r="F141" s="590"/>
      <c r="G141" s="590"/>
      <c r="H141" s="590"/>
      <c r="I141" s="590"/>
      <c r="J141" s="590"/>
      <c r="K141" s="590"/>
      <c r="L141" s="590"/>
      <c r="M141" s="590"/>
      <c r="N141" s="590"/>
      <c r="O141" s="590"/>
      <c r="P141" s="590"/>
      <c r="Q141" s="590"/>
      <c r="R141" s="590"/>
      <c r="S141" s="590"/>
      <c r="T141" s="590"/>
      <c r="U141" s="590"/>
      <c r="V141" s="590"/>
      <c r="W141" s="590"/>
      <c r="X141" s="590"/>
      <c r="Y141" s="590"/>
      <c r="Z141" s="590"/>
    </row>
    <row r="142" ht="12.75" customHeight="1">
      <c r="A142" s="590"/>
      <c r="B142" s="590"/>
      <c r="C142" s="590"/>
      <c r="D142" s="590"/>
      <c r="E142" s="590"/>
      <c r="F142" s="590"/>
      <c r="G142" s="590"/>
      <c r="H142" s="590"/>
      <c r="I142" s="590"/>
      <c r="J142" s="590"/>
      <c r="K142" s="590"/>
      <c r="L142" s="590"/>
      <c r="M142" s="590"/>
      <c r="N142" s="590"/>
      <c r="O142" s="590"/>
      <c r="P142" s="590"/>
      <c r="Q142" s="590"/>
      <c r="R142" s="590"/>
      <c r="S142" s="590"/>
      <c r="T142" s="590"/>
      <c r="U142" s="590"/>
      <c r="V142" s="590"/>
      <c r="W142" s="590"/>
      <c r="X142" s="590"/>
      <c r="Y142" s="590"/>
      <c r="Z142" s="590"/>
    </row>
    <row r="143" ht="12.75" customHeight="1">
      <c r="A143" s="590"/>
      <c r="B143" s="590"/>
      <c r="C143" s="590"/>
      <c r="D143" s="590"/>
      <c r="E143" s="590"/>
      <c r="F143" s="590"/>
      <c r="G143" s="590"/>
      <c r="H143" s="590"/>
      <c r="I143" s="590"/>
      <c r="J143" s="590"/>
      <c r="K143" s="590"/>
      <c r="L143" s="590"/>
      <c r="M143" s="590"/>
      <c r="N143" s="590"/>
      <c r="O143" s="590"/>
      <c r="P143" s="590"/>
      <c r="Q143" s="590"/>
      <c r="R143" s="590"/>
      <c r="S143" s="590"/>
      <c r="T143" s="590"/>
      <c r="U143" s="590"/>
      <c r="V143" s="590"/>
      <c r="W143" s="590"/>
      <c r="X143" s="590"/>
      <c r="Y143" s="590"/>
      <c r="Z143" s="590"/>
    </row>
    <row r="144" ht="12.75" customHeight="1">
      <c r="A144" s="590"/>
      <c r="B144" s="590"/>
      <c r="C144" s="590"/>
      <c r="D144" s="590"/>
      <c r="E144" s="590"/>
      <c r="F144" s="590"/>
      <c r="G144" s="590"/>
      <c r="H144" s="590"/>
      <c r="I144" s="590"/>
      <c r="J144" s="590"/>
      <c r="K144" s="590"/>
      <c r="L144" s="590"/>
      <c r="M144" s="590"/>
      <c r="N144" s="590"/>
      <c r="O144" s="590"/>
      <c r="P144" s="590"/>
      <c r="Q144" s="590"/>
      <c r="R144" s="590"/>
      <c r="S144" s="590"/>
      <c r="T144" s="590"/>
      <c r="U144" s="590"/>
      <c r="V144" s="590"/>
      <c r="W144" s="590"/>
      <c r="X144" s="590"/>
      <c r="Y144" s="590"/>
      <c r="Z144" s="590"/>
    </row>
    <row r="145" ht="12.75" customHeight="1">
      <c r="A145" s="590"/>
      <c r="B145" s="590"/>
      <c r="C145" s="590"/>
      <c r="D145" s="590"/>
      <c r="E145" s="590"/>
      <c r="F145" s="590"/>
      <c r="G145" s="590"/>
      <c r="H145" s="590"/>
      <c r="I145" s="590"/>
      <c r="J145" s="590"/>
      <c r="K145" s="590"/>
      <c r="L145" s="590"/>
      <c r="M145" s="590"/>
      <c r="N145" s="590"/>
      <c r="O145" s="590"/>
      <c r="P145" s="590"/>
      <c r="Q145" s="590"/>
      <c r="R145" s="590"/>
      <c r="S145" s="590"/>
      <c r="T145" s="590"/>
      <c r="U145" s="590"/>
      <c r="V145" s="590"/>
      <c r="W145" s="590"/>
      <c r="X145" s="590"/>
      <c r="Y145" s="590"/>
      <c r="Z145" s="590"/>
    </row>
    <row r="146" ht="12.75" customHeight="1">
      <c r="A146" s="590"/>
      <c r="B146" s="590"/>
      <c r="C146" s="590"/>
      <c r="D146" s="590"/>
      <c r="E146" s="590"/>
      <c r="F146" s="590"/>
      <c r="G146" s="590"/>
      <c r="H146" s="590"/>
      <c r="I146" s="590"/>
      <c r="J146" s="590"/>
      <c r="K146" s="590"/>
      <c r="L146" s="590"/>
      <c r="M146" s="590"/>
      <c r="N146" s="590"/>
      <c r="O146" s="590"/>
      <c r="P146" s="590"/>
      <c r="Q146" s="590"/>
      <c r="R146" s="590"/>
      <c r="S146" s="590"/>
      <c r="T146" s="590"/>
      <c r="U146" s="590"/>
      <c r="V146" s="590"/>
      <c r="W146" s="590"/>
      <c r="X146" s="590"/>
      <c r="Y146" s="590"/>
      <c r="Z146" s="590"/>
    </row>
    <row r="147" ht="12.75" customHeight="1">
      <c r="A147" s="590"/>
      <c r="B147" s="590"/>
      <c r="C147" s="590"/>
      <c r="D147" s="590"/>
      <c r="E147" s="590"/>
      <c r="F147" s="590"/>
      <c r="G147" s="590"/>
      <c r="H147" s="590"/>
      <c r="I147" s="590"/>
      <c r="J147" s="590"/>
      <c r="K147" s="590"/>
      <c r="L147" s="590"/>
      <c r="M147" s="590"/>
      <c r="N147" s="590"/>
      <c r="O147" s="590"/>
      <c r="P147" s="590"/>
      <c r="Q147" s="590"/>
      <c r="R147" s="590"/>
      <c r="S147" s="590"/>
      <c r="T147" s="590"/>
      <c r="U147" s="590"/>
      <c r="V147" s="590"/>
      <c r="W147" s="590"/>
      <c r="X147" s="590"/>
      <c r="Y147" s="590"/>
      <c r="Z147" s="590"/>
    </row>
    <row r="148" ht="12.75" customHeight="1">
      <c r="A148" s="590"/>
      <c r="B148" s="590"/>
      <c r="C148" s="590"/>
      <c r="D148" s="590"/>
      <c r="E148" s="590"/>
      <c r="F148" s="590"/>
      <c r="G148" s="590"/>
      <c r="H148" s="590"/>
      <c r="I148" s="590"/>
      <c r="J148" s="590"/>
      <c r="K148" s="590"/>
      <c r="L148" s="590"/>
      <c r="M148" s="590"/>
      <c r="N148" s="590"/>
      <c r="O148" s="590"/>
      <c r="P148" s="590"/>
      <c r="Q148" s="590"/>
      <c r="R148" s="590"/>
      <c r="S148" s="590"/>
      <c r="T148" s="590"/>
      <c r="U148" s="590"/>
      <c r="V148" s="590"/>
      <c r="W148" s="590"/>
      <c r="X148" s="590"/>
      <c r="Y148" s="590"/>
      <c r="Z148" s="590"/>
    </row>
    <row r="149" ht="12.75" customHeight="1">
      <c r="A149" s="590"/>
      <c r="B149" s="590"/>
      <c r="C149" s="590"/>
      <c r="D149" s="590"/>
      <c r="E149" s="590"/>
      <c r="F149" s="590"/>
      <c r="G149" s="590"/>
      <c r="H149" s="590"/>
      <c r="I149" s="590"/>
      <c r="J149" s="590"/>
      <c r="K149" s="590"/>
      <c r="L149" s="590"/>
      <c r="M149" s="590"/>
      <c r="N149" s="590"/>
      <c r="O149" s="590"/>
      <c r="P149" s="590"/>
      <c r="Q149" s="590"/>
      <c r="R149" s="590"/>
      <c r="S149" s="590"/>
      <c r="T149" s="590"/>
      <c r="U149" s="590"/>
      <c r="V149" s="590"/>
      <c r="W149" s="590"/>
      <c r="X149" s="590"/>
      <c r="Y149" s="590"/>
      <c r="Z149" s="590"/>
    </row>
    <row r="150" ht="12.75" customHeight="1">
      <c r="A150" s="590"/>
      <c r="B150" s="590"/>
      <c r="C150" s="590"/>
      <c r="D150" s="590"/>
      <c r="E150" s="590"/>
      <c r="F150" s="590"/>
      <c r="G150" s="590"/>
      <c r="H150" s="590"/>
      <c r="I150" s="590"/>
      <c r="J150" s="590"/>
      <c r="K150" s="590"/>
      <c r="L150" s="590"/>
      <c r="M150" s="590"/>
      <c r="N150" s="590"/>
      <c r="O150" s="590"/>
      <c r="P150" s="590"/>
      <c r="Q150" s="590"/>
      <c r="R150" s="590"/>
      <c r="S150" s="590"/>
      <c r="T150" s="590"/>
      <c r="U150" s="590"/>
      <c r="V150" s="590"/>
      <c r="W150" s="590"/>
      <c r="X150" s="590"/>
      <c r="Y150" s="590"/>
      <c r="Z150" s="590"/>
    </row>
    <row r="151" ht="12.75" customHeight="1">
      <c r="A151" s="590"/>
      <c r="B151" s="590"/>
      <c r="C151" s="590"/>
      <c r="D151" s="590"/>
      <c r="E151" s="590"/>
      <c r="F151" s="590"/>
      <c r="G151" s="590"/>
      <c r="H151" s="590"/>
      <c r="I151" s="590"/>
      <c r="J151" s="590"/>
      <c r="K151" s="590"/>
      <c r="L151" s="590"/>
      <c r="M151" s="590"/>
      <c r="N151" s="590"/>
      <c r="O151" s="590"/>
      <c r="P151" s="590"/>
      <c r="Q151" s="590"/>
      <c r="R151" s="590"/>
      <c r="S151" s="590"/>
      <c r="T151" s="590"/>
      <c r="U151" s="590"/>
      <c r="V151" s="590"/>
      <c r="W151" s="590"/>
      <c r="X151" s="590"/>
      <c r="Y151" s="590"/>
      <c r="Z151" s="590"/>
    </row>
    <row r="152" ht="12.75" customHeight="1">
      <c r="A152" s="590"/>
      <c r="B152" s="590"/>
      <c r="C152" s="590"/>
      <c r="D152" s="590"/>
      <c r="E152" s="590"/>
      <c r="F152" s="590"/>
      <c r="G152" s="590"/>
      <c r="H152" s="590"/>
      <c r="I152" s="590"/>
      <c r="J152" s="590"/>
      <c r="K152" s="590"/>
      <c r="L152" s="590"/>
      <c r="M152" s="590"/>
      <c r="N152" s="590"/>
      <c r="O152" s="590"/>
      <c r="P152" s="590"/>
      <c r="Q152" s="590"/>
      <c r="R152" s="590"/>
      <c r="S152" s="590"/>
      <c r="T152" s="590"/>
      <c r="U152" s="590"/>
      <c r="V152" s="590"/>
      <c r="W152" s="590"/>
      <c r="X152" s="590"/>
      <c r="Y152" s="590"/>
      <c r="Z152" s="590"/>
    </row>
    <row r="153" ht="12.75" customHeight="1">
      <c r="A153" s="590"/>
      <c r="B153" s="590"/>
      <c r="C153" s="590"/>
      <c r="D153" s="590"/>
      <c r="E153" s="590"/>
      <c r="F153" s="590"/>
      <c r="G153" s="590"/>
      <c r="H153" s="590"/>
      <c r="I153" s="590"/>
      <c r="J153" s="590"/>
      <c r="K153" s="590"/>
      <c r="L153" s="590"/>
      <c r="M153" s="590"/>
      <c r="N153" s="590"/>
      <c r="O153" s="590"/>
      <c r="P153" s="590"/>
      <c r="Q153" s="590"/>
      <c r="R153" s="590"/>
      <c r="S153" s="590"/>
      <c r="T153" s="590"/>
      <c r="U153" s="590"/>
      <c r="V153" s="590"/>
      <c r="W153" s="590"/>
      <c r="X153" s="590"/>
      <c r="Y153" s="590"/>
      <c r="Z153" s="590"/>
    </row>
    <row r="154" ht="12.75" customHeight="1">
      <c r="A154" s="590"/>
      <c r="B154" s="590"/>
      <c r="C154" s="590"/>
      <c r="D154" s="590"/>
      <c r="E154" s="590"/>
      <c r="F154" s="590"/>
      <c r="G154" s="590"/>
      <c r="H154" s="590"/>
      <c r="I154" s="590"/>
      <c r="J154" s="590"/>
      <c r="K154" s="590"/>
      <c r="L154" s="590"/>
      <c r="M154" s="590"/>
      <c r="N154" s="590"/>
      <c r="O154" s="590"/>
      <c r="P154" s="590"/>
      <c r="Q154" s="590"/>
      <c r="R154" s="590"/>
      <c r="S154" s="590"/>
      <c r="T154" s="590"/>
      <c r="U154" s="590"/>
      <c r="V154" s="590"/>
      <c r="W154" s="590"/>
      <c r="X154" s="590"/>
      <c r="Y154" s="590"/>
      <c r="Z154" s="590"/>
    </row>
    <row r="155" ht="12.75" customHeight="1">
      <c r="A155" s="590"/>
      <c r="B155" s="590"/>
      <c r="C155" s="590"/>
      <c r="D155" s="590"/>
      <c r="E155" s="590"/>
      <c r="F155" s="590"/>
      <c r="G155" s="590"/>
      <c r="H155" s="590"/>
      <c r="I155" s="590"/>
      <c r="J155" s="590"/>
      <c r="K155" s="590"/>
      <c r="L155" s="590"/>
      <c r="M155" s="590"/>
      <c r="N155" s="590"/>
      <c r="O155" s="590"/>
      <c r="P155" s="590"/>
      <c r="Q155" s="590"/>
      <c r="R155" s="590"/>
      <c r="S155" s="590"/>
      <c r="T155" s="590"/>
      <c r="U155" s="590"/>
      <c r="V155" s="590"/>
      <c r="W155" s="590"/>
      <c r="X155" s="590"/>
      <c r="Y155" s="590"/>
      <c r="Z155" s="590"/>
    </row>
    <row r="156" ht="12.75" customHeight="1">
      <c r="A156" s="590"/>
      <c r="B156" s="590"/>
      <c r="C156" s="590"/>
      <c r="D156" s="590"/>
      <c r="E156" s="590"/>
      <c r="F156" s="590"/>
      <c r="G156" s="590"/>
      <c r="H156" s="590"/>
      <c r="I156" s="590"/>
      <c r="J156" s="590"/>
      <c r="K156" s="590"/>
      <c r="L156" s="590"/>
      <c r="M156" s="590"/>
      <c r="N156" s="590"/>
      <c r="O156" s="590"/>
      <c r="P156" s="590"/>
      <c r="Q156" s="590"/>
      <c r="R156" s="590"/>
      <c r="S156" s="590"/>
      <c r="T156" s="590"/>
      <c r="U156" s="590"/>
      <c r="V156" s="590"/>
      <c r="W156" s="590"/>
      <c r="X156" s="590"/>
      <c r="Y156" s="590"/>
      <c r="Z156" s="590"/>
    </row>
    <row r="157" ht="12.75" customHeight="1">
      <c r="A157" s="590"/>
      <c r="B157" s="590"/>
      <c r="C157" s="590"/>
      <c r="D157" s="590"/>
      <c r="E157" s="590"/>
      <c r="F157" s="590"/>
      <c r="G157" s="590"/>
      <c r="H157" s="590"/>
      <c r="I157" s="590"/>
      <c r="J157" s="590"/>
      <c r="K157" s="590"/>
      <c r="L157" s="590"/>
      <c r="M157" s="590"/>
      <c r="N157" s="590"/>
      <c r="O157" s="590"/>
      <c r="P157" s="590"/>
      <c r="Q157" s="590"/>
      <c r="R157" s="590"/>
      <c r="S157" s="590"/>
      <c r="T157" s="590"/>
      <c r="U157" s="590"/>
      <c r="V157" s="590"/>
      <c r="W157" s="590"/>
      <c r="X157" s="590"/>
      <c r="Y157" s="590"/>
      <c r="Z157" s="590"/>
    </row>
    <row r="158" ht="12.75" customHeight="1">
      <c r="A158" s="590"/>
      <c r="B158" s="590"/>
      <c r="C158" s="590"/>
      <c r="D158" s="590"/>
      <c r="E158" s="590"/>
      <c r="F158" s="590"/>
      <c r="G158" s="590"/>
      <c r="H158" s="590"/>
      <c r="I158" s="590"/>
      <c r="J158" s="590"/>
      <c r="K158" s="590"/>
      <c r="L158" s="590"/>
      <c r="M158" s="590"/>
      <c r="N158" s="590"/>
      <c r="O158" s="590"/>
      <c r="P158" s="590"/>
      <c r="Q158" s="590"/>
      <c r="R158" s="590"/>
      <c r="S158" s="590"/>
      <c r="T158" s="590"/>
      <c r="U158" s="590"/>
      <c r="V158" s="590"/>
      <c r="W158" s="590"/>
      <c r="X158" s="590"/>
      <c r="Y158" s="590"/>
      <c r="Z158" s="590"/>
    </row>
    <row r="159" ht="12.75" customHeight="1">
      <c r="A159" s="590"/>
      <c r="B159" s="590"/>
      <c r="C159" s="590"/>
      <c r="D159" s="590"/>
      <c r="E159" s="590"/>
      <c r="F159" s="590"/>
      <c r="G159" s="590"/>
      <c r="H159" s="590"/>
      <c r="I159" s="590"/>
      <c r="J159" s="590"/>
      <c r="K159" s="590"/>
      <c r="L159" s="590"/>
      <c r="M159" s="590"/>
      <c r="N159" s="590"/>
      <c r="O159" s="590"/>
      <c r="P159" s="590"/>
      <c r="Q159" s="590"/>
      <c r="R159" s="590"/>
      <c r="S159" s="590"/>
      <c r="T159" s="590"/>
      <c r="U159" s="590"/>
      <c r="V159" s="590"/>
      <c r="W159" s="590"/>
      <c r="X159" s="590"/>
      <c r="Y159" s="590"/>
      <c r="Z159" s="590"/>
    </row>
    <row r="160" ht="12.75" customHeight="1">
      <c r="A160" s="590"/>
      <c r="B160" s="590"/>
      <c r="C160" s="590"/>
      <c r="D160" s="590"/>
      <c r="E160" s="590"/>
      <c r="F160" s="590"/>
      <c r="G160" s="590"/>
      <c r="H160" s="590"/>
      <c r="I160" s="590"/>
      <c r="J160" s="590"/>
      <c r="K160" s="590"/>
      <c r="L160" s="590"/>
      <c r="M160" s="590"/>
      <c r="N160" s="590"/>
      <c r="O160" s="590"/>
      <c r="P160" s="590"/>
      <c r="Q160" s="590"/>
      <c r="R160" s="590"/>
      <c r="S160" s="590"/>
      <c r="T160" s="590"/>
      <c r="U160" s="590"/>
      <c r="V160" s="590"/>
      <c r="W160" s="590"/>
      <c r="X160" s="590"/>
      <c r="Y160" s="590"/>
      <c r="Z160" s="590"/>
    </row>
    <row r="161" ht="12.75" customHeight="1">
      <c r="A161" s="590"/>
      <c r="B161" s="590"/>
      <c r="C161" s="590"/>
      <c r="D161" s="590"/>
      <c r="E161" s="590"/>
      <c r="F161" s="590"/>
      <c r="G161" s="590"/>
      <c r="H161" s="590"/>
      <c r="I161" s="590"/>
      <c r="J161" s="590"/>
      <c r="K161" s="590"/>
      <c r="L161" s="590"/>
      <c r="M161" s="590"/>
      <c r="N161" s="590"/>
      <c r="O161" s="590"/>
      <c r="P161" s="590"/>
      <c r="Q161" s="590"/>
      <c r="R161" s="590"/>
      <c r="S161" s="590"/>
      <c r="T161" s="590"/>
      <c r="U161" s="590"/>
      <c r="V161" s="590"/>
      <c r="W161" s="590"/>
      <c r="X161" s="590"/>
      <c r="Y161" s="590"/>
      <c r="Z161" s="590"/>
    </row>
    <row r="162" ht="12.75" customHeight="1">
      <c r="A162" s="590"/>
      <c r="B162" s="590"/>
      <c r="C162" s="590"/>
      <c r="D162" s="590"/>
      <c r="E162" s="590"/>
      <c r="F162" s="590"/>
      <c r="G162" s="590"/>
      <c r="H162" s="590"/>
      <c r="I162" s="590"/>
      <c r="J162" s="590"/>
      <c r="K162" s="590"/>
      <c r="L162" s="590"/>
      <c r="M162" s="590"/>
      <c r="N162" s="590"/>
      <c r="O162" s="590"/>
      <c r="P162" s="590"/>
      <c r="Q162" s="590"/>
      <c r="R162" s="590"/>
      <c r="S162" s="590"/>
      <c r="T162" s="590"/>
      <c r="U162" s="590"/>
      <c r="V162" s="590"/>
      <c r="W162" s="590"/>
      <c r="X162" s="590"/>
      <c r="Y162" s="590"/>
      <c r="Z162" s="590"/>
    </row>
    <row r="163" ht="12.75" customHeight="1">
      <c r="A163" s="590"/>
      <c r="B163" s="590"/>
      <c r="C163" s="590"/>
      <c r="D163" s="590"/>
      <c r="E163" s="590"/>
      <c r="F163" s="590"/>
      <c r="G163" s="590"/>
      <c r="H163" s="590"/>
      <c r="I163" s="590"/>
      <c r="J163" s="590"/>
      <c r="K163" s="590"/>
      <c r="L163" s="590"/>
      <c r="M163" s="590"/>
      <c r="N163" s="590"/>
      <c r="O163" s="590"/>
      <c r="P163" s="590"/>
      <c r="Q163" s="590"/>
      <c r="R163" s="590"/>
      <c r="S163" s="590"/>
      <c r="T163" s="590"/>
      <c r="U163" s="590"/>
      <c r="V163" s="590"/>
      <c r="W163" s="590"/>
      <c r="X163" s="590"/>
      <c r="Y163" s="590"/>
      <c r="Z163" s="590"/>
    </row>
    <row r="164" ht="12.75" customHeight="1">
      <c r="A164" s="590"/>
      <c r="B164" s="590"/>
      <c r="C164" s="590"/>
      <c r="D164" s="590"/>
      <c r="E164" s="590"/>
      <c r="F164" s="590"/>
      <c r="G164" s="590"/>
      <c r="H164" s="590"/>
      <c r="I164" s="590"/>
      <c r="J164" s="590"/>
      <c r="K164" s="590"/>
      <c r="L164" s="590"/>
      <c r="M164" s="590"/>
      <c r="N164" s="590"/>
      <c r="O164" s="590"/>
      <c r="P164" s="590"/>
      <c r="Q164" s="590"/>
      <c r="R164" s="590"/>
      <c r="S164" s="590"/>
      <c r="T164" s="590"/>
      <c r="U164" s="590"/>
      <c r="V164" s="590"/>
      <c r="W164" s="590"/>
      <c r="X164" s="590"/>
      <c r="Y164" s="590"/>
      <c r="Z164" s="590"/>
    </row>
    <row r="165" ht="12.75" customHeight="1">
      <c r="A165" s="590"/>
      <c r="B165" s="590"/>
      <c r="C165" s="590"/>
      <c r="D165" s="590"/>
      <c r="E165" s="590"/>
      <c r="F165" s="590"/>
      <c r="G165" s="590"/>
      <c r="H165" s="590"/>
      <c r="I165" s="590"/>
      <c r="J165" s="590"/>
      <c r="K165" s="590"/>
      <c r="L165" s="590"/>
      <c r="M165" s="590"/>
      <c r="N165" s="590"/>
      <c r="O165" s="590"/>
      <c r="P165" s="590"/>
      <c r="Q165" s="590"/>
      <c r="R165" s="590"/>
      <c r="S165" s="590"/>
      <c r="T165" s="590"/>
      <c r="U165" s="590"/>
      <c r="V165" s="590"/>
      <c r="W165" s="590"/>
      <c r="X165" s="590"/>
      <c r="Y165" s="590"/>
      <c r="Z165" s="590"/>
    </row>
    <row r="166" ht="12.75" customHeight="1">
      <c r="A166" s="590"/>
      <c r="B166" s="590"/>
      <c r="C166" s="590"/>
      <c r="D166" s="590"/>
      <c r="E166" s="590"/>
      <c r="F166" s="590"/>
      <c r="G166" s="590"/>
      <c r="H166" s="590"/>
      <c r="I166" s="590"/>
      <c r="J166" s="590"/>
      <c r="K166" s="590"/>
      <c r="L166" s="590"/>
      <c r="M166" s="590"/>
      <c r="N166" s="590"/>
      <c r="O166" s="590"/>
      <c r="P166" s="590"/>
      <c r="Q166" s="590"/>
      <c r="R166" s="590"/>
      <c r="S166" s="590"/>
      <c r="T166" s="590"/>
      <c r="U166" s="590"/>
      <c r="V166" s="590"/>
      <c r="W166" s="590"/>
      <c r="X166" s="590"/>
      <c r="Y166" s="590"/>
      <c r="Z166" s="590"/>
    </row>
    <row r="167" ht="12.75" customHeight="1">
      <c r="A167" s="590"/>
      <c r="B167" s="590"/>
      <c r="C167" s="590"/>
      <c r="D167" s="590"/>
      <c r="E167" s="590"/>
      <c r="F167" s="590"/>
      <c r="G167" s="590"/>
      <c r="H167" s="590"/>
      <c r="I167" s="590"/>
      <c r="J167" s="590"/>
      <c r="K167" s="590"/>
      <c r="L167" s="590"/>
      <c r="M167" s="590"/>
      <c r="N167" s="590"/>
      <c r="O167" s="590"/>
      <c r="P167" s="590"/>
      <c r="Q167" s="590"/>
      <c r="R167" s="590"/>
      <c r="S167" s="590"/>
      <c r="T167" s="590"/>
      <c r="U167" s="590"/>
      <c r="V167" s="590"/>
      <c r="W167" s="590"/>
      <c r="X167" s="590"/>
      <c r="Y167" s="590"/>
      <c r="Z167" s="590"/>
    </row>
    <row r="168" ht="12.75" customHeight="1">
      <c r="A168" s="590"/>
      <c r="B168" s="590"/>
      <c r="C168" s="590"/>
      <c r="D168" s="590"/>
      <c r="E168" s="590"/>
      <c r="F168" s="590"/>
      <c r="G168" s="590"/>
      <c r="H168" s="590"/>
      <c r="I168" s="590"/>
      <c r="J168" s="590"/>
      <c r="K168" s="590"/>
      <c r="L168" s="590"/>
      <c r="M168" s="590"/>
      <c r="N168" s="590"/>
      <c r="O168" s="590"/>
      <c r="P168" s="590"/>
      <c r="Q168" s="590"/>
      <c r="R168" s="590"/>
      <c r="S168" s="590"/>
      <c r="T168" s="590"/>
      <c r="U168" s="590"/>
      <c r="V168" s="590"/>
      <c r="W168" s="590"/>
      <c r="X168" s="590"/>
      <c r="Y168" s="590"/>
      <c r="Z168" s="590"/>
    </row>
    <row r="169" ht="12.75" customHeight="1">
      <c r="A169" s="590"/>
      <c r="B169" s="590"/>
      <c r="C169" s="590"/>
      <c r="D169" s="590"/>
      <c r="E169" s="590"/>
      <c r="F169" s="590"/>
      <c r="G169" s="590"/>
      <c r="H169" s="590"/>
      <c r="I169" s="590"/>
      <c r="J169" s="590"/>
      <c r="K169" s="590"/>
      <c r="L169" s="590"/>
      <c r="M169" s="590"/>
      <c r="N169" s="590"/>
      <c r="O169" s="590"/>
      <c r="P169" s="590"/>
      <c r="Q169" s="590"/>
      <c r="R169" s="590"/>
      <c r="S169" s="590"/>
      <c r="T169" s="590"/>
      <c r="U169" s="590"/>
      <c r="V169" s="590"/>
      <c r="W169" s="590"/>
      <c r="X169" s="590"/>
      <c r="Y169" s="590"/>
      <c r="Z169" s="590"/>
    </row>
    <row r="170" ht="12.75" customHeight="1">
      <c r="A170" s="590"/>
      <c r="B170" s="590"/>
      <c r="C170" s="590"/>
      <c r="D170" s="590"/>
      <c r="E170" s="590"/>
      <c r="F170" s="590"/>
      <c r="G170" s="590"/>
      <c r="H170" s="590"/>
      <c r="I170" s="590"/>
      <c r="J170" s="590"/>
      <c r="K170" s="590"/>
      <c r="L170" s="590"/>
      <c r="M170" s="590"/>
      <c r="N170" s="590"/>
      <c r="O170" s="590"/>
      <c r="P170" s="590"/>
      <c r="Q170" s="590"/>
      <c r="R170" s="590"/>
      <c r="S170" s="590"/>
      <c r="T170" s="590"/>
      <c r="U170" s="590"/>
      <c r="V170" s="590"/>
      <c r="W170" s="590"/>
      <c r="X170" s="590"/>
      <c r="Y170" s="590"/>
      <c r="Z170" s="590"/>
    </row>
    <row r="171" ht="12.75" customHeight="1">
      <c r="A171" s="590"/>
      <c r="B171" s="590"/>
      <c r="C171" s="590"/>
      <c r="D171" s="590"/>
      <c r="E171" s="590"/>
      <c r="F171" s="590"/>
      <c r="G171" s="590"/>
      <c r="H171" s="590"/>
      <c r="I171" s="590"/>
      <c r="J171" s="590"/>
      <c r="K171" s="590"/>
      <c r="L171" s="590"/>
      <c r="M171" s="590"/>
      <c r="N171" s="590"/>
      <c r="O171" s="590"/>
      <c r="P171" s="590"/>
      <c r="Q171" s="590"/>
      <c r="R171" s="590"/>
      <c r="S171" s="590"/>
      <c r="T171" s="590"/>
      <c r="U171" s="590"/>
      <c r="V171" s="590"/>
      <c r="W171" s="590"/>
      <c r="X171" s="590"/>
      <c r="Y171" s="590"/>
      <c r="Z171" s="590"/>
    </row>
    <row r="172" ht="12.75" customHeight="1">
      <c r="A172" s="590"/>
      <c r="B172" s="590"/>
      <c r="C172" s="590"/>
      <c r="D172" s="590"/>
      <c r="E172" s="590"/>
      <c r="F172" s="590"/>
      <c r="G172" s="590"/>
      <c r="H172" s="590"/>
      <c r="I172" s="590"/>
      <c r="J172" s="590"/>
      <c r="K172" s="590"/>
      <c r="L172" s="590"/>
      <c r="M172" s="590"/>
      <c r="N172" s="590"/>
      <c r="O172" s="590"/>
      <c r="P172" s="590"/>
      <c r="Q172" s="590"/>
      <c r="R172" s="590"/>
      <c r="S172" s="590"/>
      <c r="T172" s="590"/>
      <c r="U172" s="590"/>
      <c r="V172" s="590"/>
      <c r="W172" s="590"/>
      <c r="X172" s="590"/>
      <c r="Y172" s="590"/>
      <c r="Z172" s="590"/>
    </row>
    <row r="173" ht="12.75" customHeight="1">
      <c r="A173" s="590"/>
      <c r="B173" s="590"/>
      <c r="C173" s="590"/>
      <c r="D173" s="590"/>
      <c r="E173" s="590"/>
      <c r="F173" s="590"/>
      <c r="G173" s="590"/>
      <c r="H173" s="590"/>
      <c r="I173" s="590"/>
      <c r="J173" s="590"/>
      <c r="K173" s="590"/>
      <c r="L173" s="590"/>
      <c r="M173" s="590"/>
      <c r="N173" s="590"/>
      <c r="O173" s="590"/>
      <c r="P173" s="590"/>
      <c r="Q173" s="590"/>
      <c r="R173" s="590"/>
      <c r="S173" s="590"/>
      <c r="T173" s="590"/>
      <c r="U173" s="590"/>
      <c r="V173" s="590"/>
      <c r="W173" s="590"/>
      <c r="X173" s="590"/>
      <c r="Y173" s="590"/>
      <c r="Z173" s="590"/>
    </row>
    <row r="174" ht="12.75" customHeight="1">
      <c r="A174" s="590"/>
      <c r="B174" s="590"/>
      <c r="C174" s="590"/>
      <c r="D174" s="590"/>
      <c r="E174" s="590"/>
      <c r="F174" s="590"/>
      <c r="G174" s="590"/>
      <c r="H174" s="590"/>
      <c r="I174" s="590"/>
      <c r="J174" s="590"/>
      <c r="K174" s="590"/>
      <c r="L174" s="590"/>
      <c r="M174" s="590"/>
      <c r="N174" s="590"/>
      <c r="O174" s="590"/>
      <c r="P174" s="590"/>
      <c r="Q174" s="590"/>
      <c r="R174" s="590"/>
      <c r="S174" s="590"/>
      <c r="T174" s="590"/>
      <c r="U174" s="590"/>
      <c r="V174" s="590"/>
      <c r="W174" s="590"/>
      <c r="X174" s="590"/>
      <c r="Y174" s="590"/>
      <c r="Z174" s="590"/>
    </row>
    <row r="175" ht="12.75" customHeight="1">
      <c r="A175" s="590"/>
      <c r="B175" s="590"/>
      <c r="C175" s="590"/>
      <c r="D175" s="590"/>
      <c r="E175" s="590"/>
      <c r="F175" s="590"/>
      <c r="G175" s="590"/>
      <c r="H175" s="590"/>
      <c r="I175" s="590"/>
      <c r="J175" s="590"/>
      <c r="K175" s="590"/>
      <c r="L175" s="590"/>
      <c r="M175" s="590"/>
      <c r="N175" s="590"/>
      <c r="O175" s="590"/>
      <c r="P175" s="590"/>
      <c r="Q175" s="590"/>
      <c r="R175" s="590"/>
      <c r="S175" s="590"/>
      <c r="T175" s="590"/>
      <c r="U175" s="590"/>
      <c r="V175" s="590"/>
      <c r="W175" s="590"/>
      <c r="X175" s="590"/>
      <c r="Y175" s="590"/>
      <c r="Z175" s="590"/>
    </row>
    <row r="176" ht="12.75" customHeight="1">
      <c r="A176" s="590"/>
      <c r="B176" s="590"/>
      <c r="C176" s="590"/>
      <c r="D176" s="590"/>
      <c r="E176" s="590"/>
      <c r="F176" s="590"/>
      <c r="G176" s="590"/>
      <c r="H176" s="590"/>
      <c r="I176" s="590"/>
      <c r="J176" s="590"/>
      <c r="K176" s="590"/>
      <c r="L176" s="590"/>
      <c r="M176" s="590"/>
      <c r="N176" s="590"/>
      <c r="O176" s="590"/>
      <c r="P176" s="590"/>
      <c r="Q176" s="590"/>
      <c r="R176" s="590"/>
      <c r="S176" s="590"/>
      <c r="T176" s="590"/>
      <c r="U176" s="590"/>
      <c r="V176" s="590"/>
      <c r="W176" s="590"/>
      <c r="X176" s="590"/>
      <c r="Y176" s="590"/>
      <c r="Z176" s="590"/>
    </row>
    <row r="177" ht="12.75" customHeight="1">
      <c r="A177" s="590"/>
      <c r="B177" s="590"/>
      <c r="C177" s="590"/>
      <c r="D177" s="590"/>
      <c r="E177" s="590"/>
      <c r="F177" s="590"/>
      <c r="G177" s="590"/>
      <c r="H177" s="590"/>
      <c r="I177" s="590"/>
      <c r="J177" s="590"/>
      <c r="K177" s="590"/>
      <c r="L177" s="590"/>
      <c r="M177" s="590"/>
      <c r="N177" s="590"/>
      <c r="O177" s="590"/>
      <c r="P177" s="590"/>
      <c r="Q177" s="590"/>
      <c r="R177" s="590"/>
      <c r="S177" s="590"/>
      <c r="T177" s="590"/>
      <c r="U177" s="590"/>
      <c r="V177" s="590"/>
      <c r="W177" s="590"/>
      <c r="X177" s="590"/>
      <c r="Y177" s="590"/>
      <c r="Z177" s="590"/>
    </row>
    <row r="178" ht="12.75" customHeight="1">
      <c r="A178" s="590"/>
      <c r="B178" s="590"/>
      <c r="C178" s="590"/>
      <c r="D178" s="590"/>
      <c r="E178" s="590"/>
      <c r="F178" s="590"/>
      <c r="G178" s="590"/>
      <c r="H178" s="590"/>
      <c r="I178" s="590"/>
      <c r="J178" s="590"/>
      <c r="K178" s="590"/>
      <c r="L178" s="590"/>
      <c r="M178" s="590"/>
      <c r="N178" s="590"/>
      <c r="O178" s="590"/>
      <c r="P178" s="590"/>
      <c r="Q178" s="590"/>
      <c r="R178" s="590"/>
      <c r="S178" s="590"/>
      <c r="T178" s="590"/>
      <c r="U178" s="590"/>
      <c r="V178" s="590"/>
      <c r="W178" s="590"/>
      <c r="X178" s="590"/>
      <c r="Y178" s="590"/>
      <c r="Z178" s="590"/>
    </row>
    <row r="179" ht="12.75" customHeight="1">
      <c r="A179" s="590"/>
      <c r="B179" s="590"/>
      <c r="C179" s="590"/>
      <c r="D179" s="590"/>
      <c r="E179" s="590"/>
      <c r="F179" s="590"/>
      <c r="G179" s="590"/>
      <c r="H179" s="590"/>
      <c r="I179" s="590"/>
      <c r="J179" s="590"/>
      <c r="K179" s="590"/>
      <c r="L179" s="590"/>
      <c r="M179" s="590"/>
      <c r="N179" s="590"/>
      <c r="O179" s="590"/>
      <c r="P179" s="590"/>
      <c r="Q179" s="590"/>
      <c r="R179" s="590"/>
      <c r="S179" s="590"/>
      <c r="T179" s="590"/>
      <c r="U179" s="590"/>
      <c r="V179" s="590"/>
      <c r="W179" s="590"/>
      <c r="X179" s="590"/>
      <c r="Y179" s="590"/>
      <c r="Z179" s="590"/>
    </row>
    <row r="180" ht="12.75" customHeight="1">
      <c r="A180" s="590"/>
      <c r="B180" s="590"/>
      <c r="C180" s="590"/>
      <c r="D180" s="590"/>
      <c r="E180" s="590"/>
      <c r="F180" s="590"/>
      <c r="G180" s="590"/>
      <c r="H180" s="590"/>
      <c r="I180" s="590"/>
      <c r="J180" s="590"/>
      <c r="K180" s="590"/>
      <c r="L180" s="590"/>
      <c r="M180" s="590"/>
      <c r="N180" s="590"/>
      <c r="O180" s="590"/>
      <c r="P180" s="590"/>
      <c r="Q180" s="590"/>
      <c r="R180" s="590"/>
      <c r="S180" s="590"/>
      <c r="T180" s="590"/>
      <c r="U180" s="590"/>
      <c r="V180" s="590"/>
      <c r="W180" s="590"/>
      <c r="X180" s="590"/>
      <c r="Y180" s="590"/>
      <c r="Z180" s="590"/>
    </row>
    <row r="181" ht="12.75" customHeight="1">
      <c r="A181" s="590"/>
      <c r="B181" s="590"/>
      <c r="C181" s="590"/>
      <c r="D181" s="590"/>
      <c r="E181" s="590"/>
      <c r="F181" s="590"/>
      <c r="G181" s="590"/>
      <c r="H181" s="590"/>
      <c r="I181" s="590"/>
      <c r="J181" s="590"/>
      <c r="K181" s="590"/>
      <c r="L181" s="590"/>
      <c r="M181" s="590"/>
      <c r="N181" s="590"/>
      <c r="O181" s="590"/>
      <c r="P181" s="590"/>
      <c r="Q181" s="590"/>
      <c r="R181" s="590"/>
      <c r="S181" s="590"/>
      <c r="T181" s="590"/>
      <c r="U181" s="590"/>
      <c r="V181" s="590"/>
      <c r="W181" s="590"/>
      <c r="X181" s="590"/>
      <c r="Y181" s="590"/>
      <c r="Z181" s="590"/>
    </row>
    <row r="182" ht="12.75" customHeight="1">
      <c r="A182" s="590"/>
      <c r="B182" s="590"/>
      <c r="C182" s="590"/>
      <c r="D182" s="590"/>
      <c r="E182" s="590"/>
      <c r="F182" s="590"/>
      <c r="G182" s="590"/>
      <c r="H182" s="590"/>
      <c r="I182" s="590"/>
      <c r="J182" s="590"/>
      <c r="K182" s="590"/>
      <c r="L182" s="590"/>
      <c r="M182" s="590"/>
      <c r="N182" s="590"/>
      <c r="O182" s="590"/>
      <c r="P182" s="590"/>
      <c r="Q182" s="590"/>
      <c r="R182" s="590"/>
      <c r="S182" s="590"/>
      <c r="T182" s="590"/>
      <c r="U182" s="590"/>
      <c r="V182" s="590"/>
      <c r="W182" s="590"/>
      <c r="X182" s="590"/>
      <c r="Y182" s="590"/>
      <c r="Z182" s="590"/>
    </row>
    <row r="183" ht="12.75" customHeight="1">
      <c r="A183" s="590"/>
      <c r="B183" s="590"/>
      <c r="C183" s="590"/>
      <c r="D183" s="590"/>
      <c r="E183" s="590"/>
      <c r="F183" s="590"/>
      <c r="G183" s="590"/>
      <c r="H183" s="590"/>
      <c r="I183" s="590"/>
      <c r="J183" s="590"/>
      <c r="K183" s="590"/>
      <c r="L183" s="590"/>
      <c r="M183" s="590"/>
      <c r="N183" s="590"/>
      <c r="O183" s="590"/>
      <c r="P183" s="590"/>
      <c r="Q183" s="590"/>
      <c r="R183" s="590"/>
      <c r="S183" s="590"/>
      <c r="T183" s="590"/>
      <c r="U183" s="590"/>
      <c r="V183" s="590"/>
      <c r="W183" s="590"/>
      <c r="X183" s="590"/>
      <c r="Y183" s="590"/>
      <c r="Z183" s="590"/>
    </row>
    <row r="184" ht="12.75" customHeight="1">
      <c r="A184" s="590"/>
      <c r="B184" s="590"/>
      <c r="C184" s="590"/>
      <c r="D184" s="590"/>
      <c r="E184" s="590"/>
      <c r="F184" s="590"/>
      <c r="G184" s="590"/>
      <c r="H184" s="590"/>
      <c r="I184" s="590"/>
      <c r="J184" s="590"/>
      <c r="K184" s="590"/>
      <c r="L184" s="590"/>
      <c r="M184" s="590"/>
      <c r="N184" s="590"/>
      <c r="O184" s="590"/>
      <c r="P184" s="590"/>
      <c r="Q184" s="590"/>
      <c r="R184" s="590"/>
      <c r="S184" s="590"/>
      <c r="T184" s="590"/>
      <c r="U184" s="590"/>
      <c r="V184" s="590"/>
      <c r="W184" s="590"/>
      <c r="X184" s="590"/>
      <c r="Y184" s="590"/>
      <c r="Z184" s="590"/>
    </row>
    <row r="185" ht="12.75" customHeight="1">
      <c r="A185" s="590"/>
      <c r="B185" s="590"/>
      <c r="C185" s="590"/>
      <c r="D185" s="590"/>
      <c r="E185" s="590"/>
      <c r="F185" s="590"/>
      <c r="G185" s="590"/>
      <c r="H185" s="590"/>
      <c r="I185" s="590"/>
      <c r="J185" s="590"/>
      <c r="K185" s="590"/>
      <c r="L185" s="590"/>
      <c r="M185" s="590"/>
      <c r="N185" s="590"/>
      <c r="O185" s="590"/>
      <c r="P185" s="590"/>
      <c r="Q185" s="590"/>
      <c r="R185" s="590"/>
      <c r="S185" s="590"/>
      <c r="T185" s="590"/>
      <c r="U185" s="590"/>
      <c r="V185" s="590"/>
      <c r="W185" s="590"/>
      <c r="X185" s="590"/>
      <c r="Y185" s="590"/>
      <c r="Z185" s="590"/>
    </row>
    <row r="186" ht="12.75" customHeight="1">
      <c r="A186" s="590"/>
      <c r="B186" s="590"/>
      <c r="C186" s="590"/>
      <c r="D186" s="590"/>
      <c r="E186" s="590"/>
      <c r="F186" s="590"/>
      <c r="G186" s="590"/>
      <c r="H186" s="590"/>
      <c r="I186" s="590"/>
      <c r="J186" s="590"/>
      <c r="K186" s="590"/>
      <c r="L186" s="590"/>
      <c r="M186" s="590"/>
      <c r="N186" s="590"/>
      <c r="O186" s="590"/>
      <c r="P186" s="590"/>
      <c r="Q186" s="590"/>
      <c r="R186" s="590"/>
      <c r="S186" s="590"/>
      <c r="T186" s="590"/>
      <c r="U186" s="590"/>
      <c r="V186" s="590"/>
      <c r="W186" s="590"/>
      <c r="X186" s="590"/>
      <c r="Y186" s="590"/>
      <c r="Z186" s="590"/>
    </row>
    <row r="187" ht="12.75" customHeight="1">
      <c r="A187" s="590"/>
      <c r="B187" s="590"/>
      <c r="C187" s="590"/>
      <c r="D187" s="590"/>
      <c r="E187" s="590"/>
      <c r="F187" s="590"/>
      <c r="G187" s="590"/>
      <c r="H187" s="590"/>
      <c r="I187" s="590"/>
      <c r="J187" s="590"/>
      <c r="K187" s="590"/>
      <c r="L187" s="590"/>
      <c r="M187" s="590"/>
      <c r="N187" s="590"/>
      <c r="O187" s="590"/>
      <c r="P187" s="590"/>
      <c r="Q187" s="590"/>
      <c r="R187" s="590"/>
      <c r="S187" s="590"/>
      <c r="T187" s="590"/>
      <c r="U187" s="590"/>
      <c r="V187" s="590"/>
      <c r="W187" s="590"/>
      <c r="X187" s="590"/>
      <c r="Y187" s="590"/>
      <c r="Z187" s="590"/>
    </row>
    <row r="188" ht="12.75" customHeight="1">
      <c r="A188" s="590"/>
      <c r="B188" s="590"/>
      <c r="C188" s="590"/>
      <c r="D188" s="590"/>
      <c r="E188" s="590"/>
      <c r="F188" s="590"/>
      <c r="G188" s="590"/>
      <c r="H188" s="590"/>
      <c r="I188" s="590"/>
      <c r="J188" s="590"/>
      <c r="K188" s="590"/>
      <c r="L188" s="590"/>
      <c r="M188" s="590"/>
      <c r="N188" s="590"/>
      <c r="O188" s="590"/>
      <c r="P188" s="590"/>
      <c r="Q188" s="590"/>
      <c r="R188" s="590"/>
      <c r="S188" s="590"/>
      <c r="T188" s="590"/>
      <c r="U188" s="590"/>
      <c r="V188" s="590"/>
      <c r="W188" s="590"/>
      <c r="X188" s="590"/>
      <c r="Y188" s="590"/>
      <c r="Z188" s="590"/>
    </row>
    <row r="189" ht="12.75" customHeight="1">
      <c r="A189" s="590"/>
      <c r="B189" s="590"/>
      <c r="C189" s="590"/>
      <c r="D189" s="590"/>
      <c r="E189" s="590"/>
      <c r="F189" s="590"/>
      <c r="G189" s="590"/>
      <c r="H189" s="590"/>
      <c r="I189" s="590"/>
      <c r="J189" s="590"/>
      <c r="K189" s="590"/>
      <c r="L189" s="590"/>
      <c r="M189" s="590"/>
      <c r="N189" s="590"/>
      <c r="O189" s="590"/>
      <c r="P189" s="590"/>
      <c r="Q189" s="590"/>
      <c r="R189" s="590"/>
      <c r="S189" s="590"/>
      <c r="T189" s="590"/>
      <c r="U189" s="590"/>
      <c r="V189" s="590"/>
      <c r="W189" s="590"/>
      <c r="X189" s="590"/>
      <c r="Y189" s="590"/>
      <c r="Z189" s="590"/>
    </row>
    <row r="190" ht="12.75" customHeight="1">
      <c r="A190" s="590"/>
      <c r="B190" s="590"/>
      <c r="C190" s="590"/>
      <c r="D190" s="590"/>
      <c r="E190" s="590"/>
      <c r="F190" s="590"/>
      <c r="G190" s="590"/>
      <c r="H190" s="590"/>
      <c r="I190" s="590"/>
      <c r="J190" s="590"/>
      <c r="K190" s="590"/>
      <c r="L190" s="590"/>
      <c r="M190" s="590"/>
      <c r="N190" s="590"/>
      <c r="O190" s="590"/>
      <c r="P190" s="590"/>
      <c r="Q190" s="590"/>
      <c r="R190" s="590"/>
      <c r="S190" s="590"/>
      <c r="T190" s="590"/>
      <c r="U190" s="590"/>
      <c r="V190" s="590"/>
      <c r="W190" s="590"/>
      <c r="X190" s="590"/>
      <c r="Y190" s="590"/>
      <c r="Z190" s="590"/>
    </row>
    <row r="191" ht="12.75" customHeight="1">
      <c r="A191" s="590"/>
      <c r="B191" s="590"/>
      <c r="C191" s="590"/>
      <c r="D191" s="590"/>
      <c r="E191" s="590"/>
      <c r="F191" s="590"/>
      <c r="G191" s="590"/>
      <c r="H191" s="590"/>
      <c r="I191" s="590"/>
      <c r="J191" s="590"/>
      <c r="K191" s="590"/>
      <c r="L191" s="590"/>
      <c r="M191" s="590"/>
      <c r="N191" s="590"/>
      <c r="O191" s="590"/>
      <c r="P191" s="590"/>
      <c r="Q191" s="590"/>
      <c r="R191" s="590"/>
      <c r="S191" s="590"/>
      <c r="T191" s="590"/>
      <c r="U191" s="590"/>
      <c r="V191" s="590"/>
      <c r="W191" s="590"/>
      <c r="X191" s="590"/>
      <c r="Y191" s="590"/>
      <c r="Z191" s="590"/>
    </row>
    <row r="192" ht="12.75" customHeight="1">
      <c r="A192" s="590"/>
      <c r="B192" s="590"/>
      <c r="C192" s="590"/>
      <c r="D192" s="590"/>
      <c r="E192" s="590"/>
      <c r="F192" s="590"/>
      <c r="G192" s="590"/>
      <c r="H192" s="590"/>
      <c r="I192" s="590"/>
      <c r="J192" s="590"/>
      <c r="K192" s="590"/>
      <c r="L192" s="590"/>
      <c r="M192" s="590"/>
      <c r="N192" s="590"/>
      <c r="O192" s="590"/>
      <c r="P192" s="590"/>
      <c r="Q192" s="590"/>
      <c r="R192" s="590"/>
      <c r="S192" s="590"/>
      <c r="T192" s="590"/>
      <c r="U192" s="590"/>
      <c r="V192" s="590"/>
      <c r="W192" s="590"/>
      <c r="X192" s="590"/>
      <c r="Y192" s="590"/>
      <c r="Z192" s="590"/>
    </row>
    <row r="193" ht="12.75" customHeight="1">
      <c r="A193" s="590"/>
      <c r="B193" s="590"/>
      <c r="C193" s="590"/>
      <c r="D193" s="590"/>
      <c r="E193" s="590"/>
      <c r="F193" s="590"/>
      <c r="G193" s="590"/>
      <c r="H193" s="590"/>
      <c r="I193" s="590"/>
      <c r="J193" s="590"/>
      <c r="K193" s="590"/>
      <c r="L193" s="590"/>
      <c r="M193" s="590"/>
      <c r="N193" s="590"/>
      <c r="O193" s="590"/>
      <c r="P193" s="590"/>
      <c r="Q193" s="590"/>
      <c r="R193" s="590"/>
      <c r="S193" s="590"/>
      <c r="T193" s="590"/>
      <c r="U193" s="590"/>
      <c r="V193" s="590"/>
      <c r="W193" s="590"/>
      <c r="X193" s="590"/>
      <c r="Y193" s="590"/>
      <c r="Z193" s="590"/>
    </row>
    <row r="194" ht="12.75" customHeight="1">
      <c r="A194" s="590"/>
      <c r="B194" s="590"/>
      <c r="C194" s="590"/>
      <c r="D194" s="590"/>
      <c r="E194" s="590"/>
      <c r="F194" s="590"/>
      <c r="G194" s="590"/>
      <c r="H194" s="590"/>
      <c r="I194" s="590"/>
      <c r="J194" s="590"/>
      <c r="K194" s="590"/>
      <c r="L194" s="590"/>
      <c r="M194" s="590"/>
      <c r="N194" s="590"/>
      <c r="O194" s="590"/>
      <c r="P194" s="590"/>
      <c r="Q194" s="590"/>
      <c r="R194" s="590"/>
      <c r="S194" s="590"/>
      <c r="T194" s="590"/>
      <c r="U194" s="590"/>
      <c r="V194" s="590"/>
      <c r="W194" s="590"/>
      <c r="X194" s="590"/>
      <c r="Y194" s="590"/>
      <c r="Z194" s="590"/>
    </row>
    <row r="195" ht="12.75" customHeight="1">
      <c r="A195" s="590"/>
      <c r="B195" s="590"/>
      <c r="C195" s="590"/>
      <c r="D195" s="590"/>
      <c r="E195" s="590"/>
      <c r="F195" s="590"/>
      <c r="G195" s="590"/>
      <c r="H195" s="590"/>
      <c r="I195" s="590"/>
      <c r="J195" s="590"/>
      <c r="K195" s="590"/>
      <c r="L195" s="590"/>
      <c r="M195" s="590"/>
      <c r="N195" s="590"/>
      <c r="O195" s="590"/>
      <c r="P195" s="590"/>
      <c r="Q195" s="590"/>
      <c r="R195" s="590"/>
      <c r="S195" s="590"/>
      <c r="T195" s="590"/>
      <c r="U195" s="590"/>
      <c r="V195" s="590"/>
      <c r="W195" s="590"/>
      <c r="X195" s="590"/>
      <c r="Y195" s="590"/>
      <c r="Z195" s="590"/>
    </row>
    <row r="196" ht="12.75" customHeight="1">
      <c r="A196" s="590"/>
      <c r="B196" s="590"/>
      <c r="C196" s="590"/>
      <c r="D196" s="590"/>
      <c r="E196" s="590"/>
      <c r="F196" s="590"/>
      <c r="G196" s="590"/>
      <c r="H196" s="590"/>
      <c r="I196" s="590"/>
      <c r="J196" s="590"/>
      <c r="K196" s="590"/>
      <c r="L196" s="590"/>
      <c r="M196" s="590"/>
      <c r="N196" s="590"/>
      <c r="O196" s="590"/>
      <c r="P196" s="590"/>
      <c r="Q196" s="590"/>
      <c r="R196" s="590"/>
      <c r="S196" s="590"/>
      <c r="T196" s="590"/>
      <c r="U196" s="590"/>
      <c r="V196" s="590"/>
      <c r="W196" s="590"/>
      <c r="X196" s="590"/>
      <c r="Y196" s="590"/>
      <c r="Z196" s="590"/>
    </row>
    <row r="197" ht="12.75" customHeight="1">
      <c r="A197" s="590"/>
      <c r="B197" s="590"/>
      <c r="C197" s="590"/>
      <c r="D197" s="590"/>
      <c r="E197" s="590"/>
      <c r="F197" s="590"/>
      <c r="G197" s="590"/>
      <c r="H197" s="590"/>
      <c r="I197" s="590"/>
      <c r="J197" s="590"/>
      <c r="K197" s="590"/>
      <c r="L197" s="590"/>
      <c r="M197" s="590"/>
      <c r="N197" s="590"/>
      <c r="O197" s="590"/>
      <c r="P197" s="590"/>
      <c r="Q197" s="590"/>
      <c r="R197" s="590"/>
      <c r="S197" s="590"/>
      <c r="T197" s="590"/>
      <c r="U197" s="590"/>
      <c r="V197" s="590"/>
      <c r="W197" s="590"/>
      <c r="X197" s="590"/>
      <c r="Y197" s="590"/>
      <c r="Z197" s="590"/>
    </row>
    <row r="198" ht="12.75" customHeight="1">
      <c r="A198" s="590"/>
      <c r="B198" s="590"/>
      <c r="C198" s="590"/>
      <c r="D198" s="590"/>
      <c r="E198" s="590"/>
      <c r="F198" s="590"/>
      <c r="G198" s="590"/>
      <c r="H198" s="590"/>
      <c r="I198" s="590"/>
      <c r="J198" s="590"/>
      <c r="K198" s="590"/>
      <c r="L198" s="590"/>
      <c r="M198" s="590"/>
      <c r="N198" s="590"/>
      <c r="O198" s="590"/>
      <c r="P198" s="590"/>
      <c r="Q198" s="590"/>
      <c r="R198" s="590"/>
      <c r="S198" s="590"/>
      <c r="T198" s="590"/>
      <c r="U198" s="590"/>
      <c r="V198" s="590"/>
      <c r="W198" s="590"/>
      <c r="X198" s="590"/>
      <c r="Y198" s="590"/>
      <c r="Z198" s="590"/>
    </row>
    <row r="199" ht="12.75" customHeight="1">
      <c r="A199" s="590"/>
      <c r="B199" s="590"/>
      <c r="C199" s="590"/>
      <c r="D199" s="590"/>
      <c r="E199" s="590"/>
      <c r="F199" s="590"/>
      <c r="G199" s="590"/>
      <c r="H199" s="590"/>
      <c r="I199" s="590"/>
      <c r="J199" s="590"/>
      <c r="K199" s="590"/>
      <c r="L199" s="590"/>
      <c r="M199" s="590"/>
      <c r="N199" s="590"/>
      <c r="O199" s="590"/>
      <c r="P199" s="590"/>
      <c r="Q199" s="590"/>
      <c r="R199" s="590"/>
      <c r="S199" s="590"/>
      <c r="T199" s="590"/>
      <c r="U199" s="590"/>
      <c r="V199" s="590"/>
      <c r="W199" s="590"/>
      <c r="X199" s="590"/>
      <c r="Y199" s="590"/>
      <c r="Z199" s="590"/>
    </row>
    <row r="200" ht="12.75" customHeight="1">
      <c r="A200" s="590"/>
      <c r="B200" s="590"/>
      <c r="C200" s="590"/>
      <c r="D200" s="590"/>
      <c r="E200" s="590"/>
      <c r="F200" s="590"/>
      <c r="G200" s="590"/>
      <c r="H200" s="590"/>
      <c r="I200" s="590"/>
      <c r="J200" s="590"/>
      <c r="K200" s="590"/>
      <c r="L200" s="590"/>
      <c r="M200" s="590"/>
      <c r="N200" s="590"/>
      <c r="O200" s="590"/>
      <c r="P200" s="590"/>
      <c r="Q200" s="590"/>
      <c r="R200" s="590"/>
      <c r="S200" s="590"/>
      <c r="T200" s="590"/>
      <c r="U200" s="590"/>
      <c r="V200" s="590"/>
      <c r="W200" s="590"/>
      <c r="X200" s="590"/>
      <c r="Y200" s="590"/>
      <c r="Z200" s="590"/>
    </row>
    <row r="201" ht="12.75" customHeight="1">
      <c r="A201" s="590"/>
      <c r="B201" s="590"/>
      <c r="C201" s="590"/>
      <c r="D201" s="590"/>
      <c r="E201" s="590"/>
      <c r="F201" s="590"/>
      <c r="G201" s="590"/>
      <c r="H201" s="590"/>
      <c r="I201" s="590"/>
      <c r="J201" s="590"/>
      <c r="K201" s="590"/>
      <c r="L201" s="590"/>
      <c r="M201" s="590"/>
      <c r="N201" s="590"/>
      <c r="O201" s="590"/>
      <c r="P201" s="590"/>
      <c r="Q201" s="590"/>
      <c r="R201" s="590"/>
      <c r="S201" s="590"/>
      <c r="T201" s="590"/>
      <c r="U201" s="590"/>
      <c r="V201" s="590"/>
      <c r="W201" s="590"/>
      <c r="X201" s="590"/>
      <c r="Y201" s="590"/>
      <c r="Z201" s="590"/>
    </row>
    <row r="202" ht="12.75" customHeight="1">
      <c r="A202" s="590"/>
      <c r="B202" s="590"/>
      <c r="C202" s="590"/>
      <c r="D202" s="590"/>
      <c r="E202" s="590"/>
      <c r="F202" s="590"/>
      <c r="G202" s="590"/>
      <c r="H202" s="590"/>
      <c r="I202" s="590"/>
      <c r="J202" s="590"/>
      <c r="K202" s="590"/>
      <c r="L202" s="590"/>
      <c r="M202" s="590"/>
      <c r="N202" s="590"/>
      <c r="O202" s="590"/>
      <c r="P202" s="590"/>
      <c r="Q202" s="590"/>
      <c r="R202" s="590"/>
      <c r="S202" s="590"/>
      <c r="T202" s="590"/>
      <c r="U202" s="590"/>
      <c r="V202" s="590"/>
      <c r="W202" s="590"/>
      <c r="X202" s="590"/>
      <c r="Y202" s="590"/>
      <c r="Z202" s="590"/>
    </row>
    <row r="203" ht="12.75" customHeight="1">
      <c r="A203" s="590"/>
      <c r="B203" s="590"/>
      <c r="C203" s="590"/>
      <c r="D203" s="590"/>
      <c r="E203" s="590"/>
      <c r="F203" s="590"/>
      <c r="G203" s="590"/>
      <c r="H203" s="590"/>
      <c r="I203" s="590"/>
      <c r="J203" s="590"/>
      <c r="K203" s="590"/>
      <c r="L203" s="590"/>
      <c r="M203" s="590"/>
      <c r="N203" s="590"/>
      <c r="O203" s="590"/>
      <c r="P203" s="590"/>
      <c r="Q203" s="590"/>
      <c r="R203" s="590"/>
      <c r="S203" s="590"/>
      <c r="T203" s="590"/>
      <c r="U203" s="590"/>
      <c r="V203" s="590"/>
      <c r="W203" s="590"/>
      <c r="X203" s="590"/>
      <c r="Y203" s="590"/>
      <c r="Z203" s="590"/>
    </row>
    <row r="204" ht="12.75" customHeight="1">
      <c r="A204" s="590"/>
      <c r="B204" s="590"/>
      <c r="C204" s="590"/>
      <c r="D204" s="590"/>
      <c r="E204" s="590"/>
      <c r="F204" s="590"/>
      <c r="G204" s="590"/>
      <c r="H204" s="590"/>
      <c r="I204" s="590"/>
      <c r="J204" s="590"/>
      <c r="K204" s="590"/>
      <c r="L204" s="590"/>
      <c r="M204" s="590"/>
      <c r="N204" s="590"/>
      <c r="O204" s="590"/>
      <c r="P204" s="590"/>
      <c r="Q204" s="590"/>
      <c r="R204" s="590"/>
      <c r="S204" s="590"/>
      <c r="T204" s="590"/>
      <c r="U204" s="590"/>
      <c r="V204" s="590"/>
      <c r="W204" s="590"/>
      <c r="X204" s="590"/>
      <c r="Y204" s="590"/>
      <c r="Z204" s="590"/>
    </row>
    <row r="205" ht="12.75" customHeight="1">
      <c r="A205" s="590"/>
      <c r="B205" s="590"/>
      <c r="C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ht="12.75" customHeight="1">
      <c r="A206" s="590"/>
      <c r="B206" s="590"/>
      <c r="C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ht="12.75" customHeight="1">
      <c r="A207" s="590"/>
      <c r="B207" s="590"/>
      <c r="C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ht="12.75" customHeight="1">
      <c r="A208" s="590"/>
      <c r="B208" s="590"/>
      <c r="C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ht="12.75" customHeight="1">
      <c r="A209" s="590"/>
      <c r="B209" s="590"/>
      <c r="C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ht="12.75" customHeight="1">
      <c r="A210" s="590"/>
      <c r="B210" s="590"/>
      <c r="C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ht="12.75" customHeight="1">
      <c r="A211" s="590"/>
      <c r="B211" s="590"/>
      <c r="C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ht="12.75" customHeight="1">
      <c r="A212" s="590"/>
      <c r="B212" s="590"/>
      <c r="C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ht="12.75" customHeight="1">
      <c r="A213" s="590"/>
      <c r="B213" s="590"/>
      <c r="C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ht="12.75" customHeight="1">
      <c r="A214" s="590"/>
      <c r="B214" s="590"/>
      <c r="C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ht="12.75" customHeight="1">
      <c r="A215" s="590"/>
      <c r="B215" s="590"/>
      <c r="C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ht="12.75" customHeight="1">
      <c r="A216" s="590"/>
      <c r="B216" s="590"/>
      <c r="C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ht="12.75" customHeight="1">
      <c r="A217" s="590"/>
      <c r="B217" s="590"/>
      <c r="C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ht="12.75" customHeight="1">
      <c r="A218" s="590"/>
      <c r="B218" s="590"/>
      <c r="C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ht="12.75" customHeight="1">
      <c r="A219" s="590"/>
      <c r="B219" s="590"/>
      <c r="C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ht="12.75" customHeight="1">
      <c r="A220" s="590"/>
      <c r="B220" s="590"/>
      <c r="C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E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5"/>
    <col customWidth="1" min="2" max="2" width="11.5"/>
    <col customWidth="1" min="3" max="3" width="13.88"/>
    <col customWidth="1" min="4" max="4" width="8.5"/>
    <col customWidth="1" min="5" max="5" width="13.63"/>
    <col customWidth="1" min="6" max="20" width="10.5"/>
    <col customWidth="1" min="21" max="21" width="11.5"/>
    <col customWidth="1" min="22" max="26" width="10.63"/>
  </cols>
  <sheetData>
    <row r="1" ht="12.75" customHeight="1">
      <c r="A1" s="590"/>
      <c r="B1" s="590"/>
      <c r="C1" s="590"/>
      <c r="D1" s="590"/>
      <c r="E1" s="590"/>
      <c r="F1" s="590"/>
      <c r="G1" s="590"/>
      <c r="H1" s="590"/>
      <c r="I1" s="590"/>
      <c r="J1" s="590"/>
      <c r="K1" s="590"/>
      <c r="L1" s="590"/>
      <c r="M1" s="590"/>
      <c r="N1" s="590"/>
      <c r="O1" s="590"/>
      <c r="P1" s="590"/>
      <c r="Q1" s="590"/>
      <c r="R1" s="590"/>
      <c r="S1" s="590"/>
      <c r="T1" s="590"/>
      <c r="U1" s="590"/>
      <c r="V1" s="590"/>
      <c r="W1" s="590"/>
      <c r="X1" s="590"/>
      <c r="Y1" s="590"/>
      <c r="Z1" s="590"/>
    </row>
    <row r="2" ht="12.75" customHeight="1">
      <c r="A2" s="590"/>
      <c r="B2" s="601" t="s">
        <v>1647</v>
      </c>
      <c r="C2" s="602"/>
      <c r="D2" s="602"/>
      <c r="E2" s="603"/>
      <c r="F2" s="402">
        <v>45957.0</v>
      </c>
      <c r="G2" s="402">
        <f t="shared" ref="G2:H2" si="1">+F2+30</f>
        <v>45987</v>
      </c>
      <c r="H2" s="402">
        <f t="shared" si="1"/>
        <v>46017</v>
      </c>
      <c r="I2" s="402">
        <v>46023.0</v>
      </c>
      <c r="J2" s="402">
        <v>46054.0</v>
      </c>
      <c r="K2" s="402">
        <v>46112.0</v>
      </c>
      <c r="L2" s="402">
        <v>46142.0</v>
      </c>
      <c r="M2" s="402">
        <v>46172.0</v>
      </c>
      <c r="N2" s="402">
        <v>46202.0</v>
      </c>
      <c r="O2" s="402">
        <v>46232.0</v>
      </c>
      <c r="P2" s="402">
        <v>46262.0</v>
      </c>
      <c r="Q2" s="402">
        <v>46292.0</v>
      </c>
      <c r="R2" s="402">
        <v>46322.0</v>
      </c>
      <c r="S2" s="435">
        <v>46352.0</v>
      </c>
      <c r="T2" s="402">
        <v>46382.0</v>
      </c>
      <c r="U2" s="590"/>
      <c r="V2" s="590"/>
      <c r="W2" s="590"/>
      <c r="X2" s="590"/>
      <c r="Y2" s="590"/>
      <c r="Z2" s="590"/>
    </row>
    <row r="3" ht="12.75" customHeight="1">
      <c r="A3" s="590"/>
      <c r="B3" s="590"/>
      <c r="C3" s="590"/>
      <c r="D3" s="590"/>
      <c r="E3" s="590"/>
      <c r="F3" s="590"/>
      <c r="G3" s="590"/>
      <c r="H3" s="590"/>
      <c r="I3" s="590"/>
      <c r="J3" s="590"/>
      <c r="K3" s="590"/>
      <c r="L3" s="590"/>
      <c r="M3" s="590"/>
      <c r="N3" s="590"/>
      <c r="O3" s="590"/>
      <c r="P3" s="590"/>
      <c r="Q3" s="590"/>
      <c r="R3" s="590"/>
      <c r="S3" s="590"/>
      <c r="T3" s="590"/>
      <c r="U3" s="590"/>
      <c r="V3" s="590"/>
      <c r="W3" s="590"/>
      <c r="X3" s="590"/>
      <c r="Y3" s="590"/>
      <c r="Z3" s="590"/>
    </row>
    <row r="4" ht="12.75" customHeight="1">
      <c r="A4" s="590"/>
      <c r="B4" s="590"/>
      <c r="C4" s="590" t="s">
        <v>1645</v>
      </c>
      <c r="D4" s="590"/>
      <c r="E4" s="590"/>
      <c r="F4" s="598">
        <f t="shared" ref="F4:G4" si="2">+E4*(1+F7)</f>
        <v>0</v>
      </c>
      <c r="G4" s="598">
        <f t="shared" si="2"/>
        <v>0</v>
      </c>
      <c r="H4" s="604">
        <v>345000.0</v>
      </c>
      <c r="I4" s="598">
        <f>+H4*(I6)</f>
        <v>367193.574</v>
      </c>
      <c r="J4" s="598">
        <f t="shared" ref="J4:K4" si="3">+I4</f>
        <v>367193.574</v>
      </c>
      <c r="K4" s="598">
        <f t="shared" si="3"/>
        <v>367193.574</v>
      </c>
      <c r="L4" s="598">
        <f>+K4*(L6)</f>
        <v>402018.7979</v>
      </c>
      <c r="M4" s="598">
        <f t="shared" ref="M4:N4" si="4">+L4</f>
        <v>402018.7979</v>
      </c>
      <c r="N4" s="598">
        <f t="shared" si="4"/>
        <v>402018.7979</v>
      </c>
      <c r="O4" s="598">
        <f>+N4*(O6)</f>
        <v>436741.5096</v>
      </c>
      <c r="P4" s="598">
        <f t="shared" ref="P4:Q4" si="5">+O4</f>
        <v>436741.5096</v>
      </c>
      <c r="Q4" s="598">
        <f t="shared" si="5"/>
        <v>436741.5096</v>
      </c>
      <c r="R4" s="598">
        <f>+Q4*(R6)</f>
        <v>475850.5714</v>
      </c>
      <c r="S4" s="598">
        <f t="shared" ref="S4:T4" si="6">+R4</f>
        <v>475850.5714</v>
      </c>
      <c r="T4" s="598">
        <f t="shared" si="6"/>
        <v>475850.5714</v>
      </c>
      <c r="U4" s="599">
        <f>SUM(I4:T4)</f>
        <v>5045413.359</v>
      </c>
      <c r="V4" s="590"/>
      <c r="W4" s="590"/>
      <c r="X4" s="590"/>
      <c r="Y4" s="590"/>
      <c r="Z4" s="590"/>
    </row>
    <row r="5" ht="12.75" customHeight="1">
      <c r="A5" s="590"/>
      <c r="B5" s="590"/>
      <c r="C5" s="332" t="s">
        <v>1648</v>
      </c>
      <c r="D5" s="590"/>
      <c r="E5" s="590"/>
      <c r="F5" s="590"/>
      <c r="G5" s="590"/>
      <c r="H5" s="590"/>
      <c r="I5" s="590"/>
      <c r="J5" s="590"/>
      <c r="K5" s="590"/>
      <c r="L5" s="590"/>
      <c r="M5" s="590"/>
      <c r="N5" s="590"/>
      <c r="O5" s="590"/>
      <c r="P5" s="590"/>
      <c r="Q5" s="590"/>
      <c r="R5" s="590"/>
      <c r="S5" s="590"/>
      <c r="T5" s="590"/>
      <c r="U5" s="590"/>
      <c r="V5" s="590"/>
      <c r="W5" s="590"/>
      <c r="X5" s="590"/>
      <c r="Y5" s="590"/>
      <c r="Z5" s="590"/>
    </row>
    <row r="6" ht="12.75" customHeight="1">
      <c r="A6" s="590"/>
      <c r="B6" s="590"/>
      <c r="C6" s="332"/>
      <c r="D6" s="590"/>
      <c r="E6" s="590"/>
      <c r="F6" s="590"/>
      <c r="G6" s="590"/>
      <c r="H6" s="590"/>
      <c r="I6" s="605">
        <f>1*(1+F7)*(1+G7)*(1+H7)</f>
        <v>1.0643292</v>
      </c>
      <c r="J6" s="590"/>
      <c r="K6" s="590"/>
      <c r="L6" s="605">
        <f>1*(1+I7)*(1+J7)*(1+K7)</f>
        <v>1.094841594</v>
      </c>
      <c r="M6" s="590"/>
      <c r="N6" s="590"/>
      <c r="O6" s="605">
        <f>1*(1+L7)*(1+M7)*(1+N7)</f>
        <v>1.086370866</v>
      </c>
      <c r="P6" s="590"/>
      <c r="Q6" s="590"/>
      <c r="R6" s="605">
        <f>1*(1+O7)*(1+P7)*(1+Q7)</f>
        <v>1.089547389</v>
      </c>
      <c r="S6" s="590"/>
      <c r="T6" s="590"/>
      <c r="U6" s="590"/>
      <c r="V6" s="590"/>
      <c r="W6" s="590"/>
      <c r="X6" s="590"/>
      <c r="Y6" s="590"/>
      <c r="Z6" s="590"/>
    </row>
    <row r="7" ht="12.75" customHeight="1">
      <c r="A7" s="590"/>
      <c r="B7" s="590"/>
      <c r="C7" s="422"/>
      <c r="D7" s="422"/>
      <c r="E7" s="422" t="s">
        <v>1641</v>
      </c>
      <c r="F7" s="424">
        <f>+Flk!K34</f>
        <v>0.023</v>
      </c>
      <c r="G7" s="424">
        <f>+Flk!L34</f>
        <v>0.02</v>
      </c>
      <c r="H7" s="424">
        <f>+Flk!M34</f>
        <v>0.02</v>
      </c>
      <c r="I7" s="424">
        <f>+Flk!B71</f>
        <v>0.029</v>
      </c>
      <c r="J7" s="424">
        <f>+Flk!C71</f>
        <v>0.029</v>
      </c>
      <c r="K7" s="424">
        <f>+Flk!D71</f>
        <v>0.034</v>
      </c>
      <c r="L7" s="424">
        <f>+Flk!E71</f>
        <v>0.026</v>
      </c>
      <c r="M7" s="424">
        <f>+Flk!F71</f>
        <v>0.029</v>
      </c>
      <c r="N7" s="424">
        <f>+Flk!G71</f>
        <v>0.029</v>
      </c>
      <c r="O7" s="424">
        <f>+Flk!H71</f>
        <v>0.029</v>
      </c>
      <c r="P7" s="424">
        <f>+Flk!I71</f>
        <v>0.029</v>
      </c>
      <c r="Q7" s="424">
        <f>+Flk!J71</f>
        <v>0.029</v>
      </c>
      <c r="R7" s="424">
        <f>+Flk!K71</f>
        <v>0.029</v>
      </c>
      <c r="S7" s="424">
        <f>+Flk!L71</f>
        <v>0.029</v>
      </c>
      <c r="T7" s="424">
        <f>+Flk!M71</f>
        <v>0.029</v>
      </c>
      <c r="U7" s="590"/>
      <c r="V7" s="590"/>
      <c r="W7" s="590"/>
      <c r="X7" s="590"/>
      <c r="Y7" s="590"/>
      <c r="Z7" s="590"/>
    </row>
    <row r="8" ht="12.75" customHeight="1">
      <c r="A8" s="590"/>
      <c r="B8" s="590"/>
      <c r="C8" s="590"/>
      <c r="D8" s="590"/>
      <c r="E8" s="590"/>
      <c r="F8" s="590"/>
      <c r="G8" s="590"/>
      <c r="H8" s="590"/>
      <c r="I8" s="590"/>
      <c r="J8" s="590"/>
      <c r="K8" s="590"/>
      <c r="L8" s="590"/>
      <c r="M8" s="590"/>
      <c r="N8" s="590"/>
      <c r="O8" s="590"/>
      <c r="P8" s="590"/>
      <c r="Q8" s="590"/>
      <c r="R8" s="590"/>
      <c r="S8" s="590"/>
      <c r="T8" s="590"/>
      <c r="U8" s="590"/>
      <c r="V8" s="590"/>
      <c r="W8" s="590"/>
      <c r="X8" s="590"/>
      <c r="Y8" s="590"/>
      <c r="Z8" s="590"/>
    </row>
    <row r="9" ht="12.75" customHeight="1">
      <c r="A9" s="590"/>
      <c r="B9" s="590"/>
      <c r="C9" s="590"/>
      <c r="D9" s="590"/>
      <c r="E9" s="590"/>
      <c r="F9" s="590"/>
      <c r="G9" s="590"/>
      <c r="H9" s="590"/>
      <c r="I9" s="590"/>
      <c r="J9" s="590"/>
      <c r="K9" s="590"/>
      <c r="L9" s="590"/>
      <c r="M9" s="590"/>
      <c r="N9" s="590"/>
      <c r="O9" s="590"/>
      <c r="P9" s="590"/>
      <c r="Q9" s="590"/>
      <c r="R9" s="590"/>
      <c r="S9" s="590"/>
      <c r="T9" s="590"/>
      <c r="U9" s="590"/>
      <c r="V9" s="590"/>
      <c r="W9" s="590"/>
      <c r="X9" s="590"/>
      <c r="Y9" s="590"/>
      <c r="Z9" s="590"/>
    </row>
    <row r="10" ht="12.75" customHeight="1">
      <c r="A10" s="590"/>
      <c r="B10" s="590"/>
      <c r="C10" s="590"/>
      <c r="D10" s="590"/>
      <c r="E10" s="590"/>
      <c r="F10" s="590"/>
      <c r="G10" s="590"/>
      <c r="H10" s="590"/>
      <c r="I10" s="590"/>
      <c r="J10" s="590"/>
      <c r="K10" s="590"/>
      <c r="L10" s="590"/>
      <c r="M10" s="590"/>
      <c r="N10" s="590"/>
      <c r="O10" s="590"/>
      <c r="P10" s="590"/>
      <c r="Q10" s="590"/>
      <c r="R10" s="590"/>
      <c r="S10" s="590"/>
      <c r="T10" s="590"/>
      <c r="U10" s="590"/>
      <c r="V10" s="590"/>
      <c r="W10" s="590"/>
      <c r="X10" s="590"/>
      <c r="Y10" s="590"/>
      <c r="Z10" s="590"/>
    </row>
    <row r="11" ht="12.75" customHeight="1">
      <c r="A11" s="600"/>
      <c r="B11" s="590"/>
      <c r="C11" s="590"/>
      <c r="D11" s="590"/>
      <c r="E11" s="590"/>
      <c r="F11" s="590"/>
      <c r="G11" s="590"/>
      <c r="H11" s="590"/>
      <c r="I11" s="590"/>
      <c r="J11" s="590"/>
      <c r="K11" s="590"/>
      <c r="L11" s="590"/>
      <c r="M11" s="590"/>
      <c r="N11" s="590"/>
      <c r="O11" s="590"/>
      <c r="P11" s="590"/>
      <c r="Q11" s="590"/>
      <c r="R11" s="590"/>
      <c r="S11" s="590"/>
      <c r="T11" s="590"/>
      <c r="U11" s="590"/>
      <c r="V11" s="590"/>
      <c r="W11" s="590"/>
      <c r="X11" s="590"/>
      <c r="Y11" s="590"/>
      <c r="Z11" s="590"/>
    </row>
    <row r="12" ht="12.75" customHeight="1">
      <c r="A12" s="590"/>
      <c r="B12" s="590"/>
      <c r="C12" s="590"/>
      <c r="D12" s="590"/>
      <c r="E12" s="590"/>
      <c r="F12" s="590"/>
      <c r="G12" s="590"/>
      <c r="H12" s="590"/>
      <c r="I12" s="590"/>
      <c r="J12" s="590"/>
      <c r="K12" s="590"/>
      <c r="L12" s="590"/>
      <c r="M12" s="590"/>
      <c r="N12" s="590"/>
      <c r="O12" s="590"/>
      <c r="P12" s="590"/>
      <c r="Q12" s="590"/>
      <c r="R12" s="590"/>
      <c r="S12" s="590"/>
      <c r="T12" s="590"/>
      <c r="U12" s="590"/>
      <c r="V12" s="590"/>
      <c r="W12" s="590"/>
      <c r="X12" s="590"/>
      <c r="Y12" s="590"/>
      <c r="Z12" s="590"/>
    </row>
    <row r="13" ht="12.75" customHeight="1">
      <c r="A13" s="590"/>
      <c r="B13" s="590"/>
      <c r="C13" s="590"/>
      <c r="D13" s="590"/>
      <c r="E13" s="590"/>
      <c r="F13" s="590"/>
      <c r="G13" s="590"/>
      <c r="H13" s="590"/>
      <c r="I13" s="590"/>
      <c r="J13" s="590"/>
      <c r="K13" s="590"/>
      <c r="L13" s="590"/>
      <c r="M13" s="590"/>
      <c r="N13" s="590"/>
      <c r="O13" s="590"/>
      <c r="P13" s="590"/>
      <c r="Q13" s="590"/>
      <c r="R13" s="590"/>
      <c r="S13" s="590"/>
      <c r="T13" s="590"/>
      <c r="U13" s="590"/>
      <c r="V13" s="590"/>
      <c r="W13" s="590"/>
      <c r="X13" s="590"/>
      <c r="Y13" s="590"/>
      <c r="Z13" s="590"/>
    </row>
    <row r="14" ht="12.75" customHeight="1">
      <c r="A14" s="590"/>
      <c r="B14" s="590"/>
      <c r="C14" s="590"/>
      <c r="D14" s="590"/>
      <c r="E14" s="590"/>
      <c r="F14" s="590"/>
      <c r="G14" s="590"/>
      <c r="H14" s="590"/>
      <c r="I14" s="590"/>
      <c r="J14" s="590"/>
      <c r="K14" s="590"/>
      <c r="L14" s="590"/>
      <c r="M14" s="590"/>
      <c r="N14" s="590"/>
      <c r="O14" s="590"/>
      <c r="P14" s="590"/>
      <c r="Q14" s="590"/>
      <c r="R14" s="590"/>
      <c r="S14" s="590"/>
      <c r="T14" s="590"/>
      <c r="U14" s="590"/>
      <c r="V14" s="590"/>
      <c r="W14" s="590"/>
      <c r="X14" s="590"/>
      <c r="Y14" s="590"/>
      <c r="Z14" s="590"/>
    </row>
    <row r="15" ht="12.75" customHeight="1">
      <c r="A15" s="590"/>
      <c r="B15" s="590"/>
      <c r="C15" s="590"/>
      <c r="D15" s="590"/>
      <c r="E15" s="590"/>
      <c r="F15" s="590"/>
      <c r="G15" s="590"/>
      <c r="H15" s="590"/>
      <c r="I15" s="590"/>
      <c r="J15" s="590"/>
      <c r="K15" s="590"/>
      <c r="L15" s="590"/>
      <c r="M15" s="590"/>
      <c r="N15" s="590"/>
      <c r="O15" s="590"/>
      <c r="P15" s="590"/>
      <c r="Q15" s="590"/>
      <c r="R15" s="590"/>
      <c r="S15" s="590"/>
      <c r="T15" s="590"/>
      <c r="U15" s="590"/>
      <c r="V15" s="590"/>
      <c r="W15" s="590"/>
      <c r="X15" s="590"/>
      <c r="Y15" s="590"/>
      <c r="Z15" s="590"/>
    </row>
    <row r="16" ht="12.75" customHeight="1">
      <c r="A16" s="590"/>
      <c r="B16" s="590"/>
      <c r="C16" s="590"/>
      <c r="D16" s="590"/>
      <c r="E16" s="590"/>
      <c r="F16" s="590"/>
      <c r="G16" s="590"/>
      <c r="H16" s="590"/>
      <c r="I16" s="590"/>
      <c r="J16" s="590"/>
      <c r="K16" s="590"/>
      <c r="L16" s="590"/>
      <c r="M16" s="590"/>
      <c r="N16" s="590"/>
      <c r="O16" s="590"/>
      <c r="P16" s="590"/>
      <c r="Q16" s="590"/>
      <c r="R16" s="590"/>
      <c r="S16" s="590"/>
      <c r="T16" s="590"/>
      <c r="U16" s="590"/>
      <c r="V16" s="590"/>
      <c r="W16" s="590"/>
      <c r="X16" s="590"/>
      <c r="Y16" s="590"/>
      <c r="Z16" s="590"/>
    </row>
    <row r="17" ht="12.75" customHeight="1">
      <c r="A17" s="590"/>
      <c r="B17" s="590"/>
      <c r="C17" s="590"/>
      <c r="D17" s="590"/>
      <c r="E17" s="590"/>
      <c r="F17" s="590"/>
      <c r="G17" s="590"/>
      <c r="H17" s="590"/>
      <c r="I17" s="590"/>
      <c r="J17" s="590"/>
      <c r="K17" s="590"/>
      <c r="L17" s="590"/>
      <c r="M17" s="590"/>
      <c r="N17" s="590"/>
      <c r="O17" s="590"/>
      <c r="P17" s="590"/>
      <c r="Q17" s="590"/>
      <c r="R17" s="590"/>
      <c r="S17" s="590"/>
      <c r="T17" s="590"/>
      <c r="U17" s="590"/>
      <c r="V17" s="590"/>
      <c r="W17" s="590"/>
      <c r="X17" s="590"/>
      <c r="Y17" s="590"/>
      <c r="Z17" s="590"/>
    </row>
    <row r="18" ht="12.75" customHeight="1">
      <c r="A18" s="590"/>
      <c r="B18" s="590"/>
      <c r="C18" s="590"/>
      <c r="D18" s="590"/>
      <c r="E18" s="590"/>
      <c r="F18" s="590"/>
      <c r="G18" s="590"/>
      <c r="H18" s="590"/>
      <c r="I18" s="590"/>
      <c r="J18" s="590"/>
      <c r="K18" s="590"/>
      <c r="L18" s="590"/>
      <c r="M18" s="590"/>
      <c r="N18" s="590"/>
      <c r="O18" s="590"/>
      <c r="P18" s="590"/>
      <c r="Q18" s="590"/>
      <c r="R18" s="590"/>
      <c r="S18" s="590"/>
      <c r="T18" s="590"/>
      <c r="U18" s="590"/>
      <c r="V18" s="590"/>
      <c r="W18" s="590"/>
      <c r="X18" s="590"/>
      <c r="Y18" s="590"/>
      <c r="Z18" s="590"/>
    </row>
    <row r="19" ht="12.75" customHeight="1">
      <c r="A19" s="590"/>
      <c r="B19" s="590"/>
      <c r="C19" s="590"/>
      <c r="D19" s="590"/>
      <c r="E19" s="590"/>
      <c r="F19" s="590"/>
      <c r="G19" s="590"/>
      <c r="H19" s="590"/>
      <c r="I19" s="590"/>
      <c r="J19" s="590"/>
      <c r="K19" s="590"/>
      <c r="L19" s="590"/>
      <c r="M19" s="590"/>
      <c r="N19" s="590"/>
      <c r="O19" s="590"/>
      <c r="P19" s="590"/>
      <c r="Q19" s="590"/>
      <c r="R19" s="590"/>
      <c r="S19" s="590"/>
      <c r="T19" s="590"/>
      <c r="U19" s="590"/>
      <c r="V19" s="590"/>
      <c r="W19" s="590"/>
      <c r="X19" s="590"/>
      <c r="Y19" s="590"/>
      <c r="Z19" s="590"/>
    </row>
    <row r="20" ht="12.75" customHeight="1">
      <c r="A20" s="590"/>
      <c r="B20" s="590"/>
      <c r="C20" s="590"/>
      <c r="D20" s="590"/>
      <c r="E20" s="590"/>
      <c r="F20" s="590"/>
      <c r="G20" s="590"/>
      <c r="H20" s="590"/>
      <c r="I20" s="590"/>
      <c r="J20" s="590"/>
      <c r="K20" s="590"/>
      <c r="L20" s="590"/>
      <c r="M20" s="590"/>
      <c r="N20" s="590"/>
      <c r="O20" s="590"/>
      <c r="P20" s="590"/>
      <c r="Q20" s="590"/>
      <c r="R20" s="590"/>
      <c r="S20" s="590"/>
      <c r="T20" s="590"/>
      <c r="U20" s="590"/>
      <c r="V20" s="590"/>
      <c r="W20" s="590"/>
      <c r="X20" s="590"/>
      <c r="Y20" s="590"/>
      <c r="Z20" s="590"/>
    </row>
    <row r="21" ht="12.75" customHeight="1">
      <c r="A21" s="590"/>
      <c r="B21" s="590"/>
      <c r="C21" s="590"/>
      <c r="D21" s="590"/>
      <c r="E21" s="590"/>
      <c r="F21" s="590"/>
      <c r="G21" s="590"/>
      <c r="H21" s="590"/>
      <c r="I21" s="590"/>
      <c r="J21" s="590"/>
      <c r="K21" s="590"/>
      <c r="L21" s="590"/>
      <c r="M21" s="590"/>
      <c r="N21" s="590"/>
      <c r="O21" s="590"/>
      <c r="P21" s="590"/>
      <c r="Q21" s="590"/>
      <c r="R21" s="590"/>
      <c r="S21" s="590"/>
      <c r="T21" s="590"/>
      <c r="U21" s="590"/>
      <c r="V21" s="590"/>
      <c r="W21" s="590"/>
      <c r="X21" s="590"/>
      <c r="Y21" s="590"/>
      <c r="Z21" s="590"/>
    </row>
    <row r="22" ht="12.75" customHeight="1">
      <c r="A22" s="590"/>
      <c r="B22" s="590"/>
      <c r="C22" s="590"/>
      <c r="D22" s="590"/>
      <c r="E22" s="590"/>
      <c r="F22" s="590"/>
      <c r="G22" s="590"/>
      <c r="H22" s="590"/>
      <c r="I22" s="590"/>
      <c r="J22" s="590"/>
      <c r="K22" s="590"/>
      <c r="L22" s="590"/>
      <c r="M22" s="590"/>
      <c r="N22" s="590"/>
      <c r="O22" s="590"/>
      <c r="P22" s="590"/>
      <c r="Q22" s="590"/>
      <c r="R22" s="590"/>
      <c r="S22" s="590"/>
      <c r="T22" s="590"/>
      <c r="U22" s="590"/>
      <c r="V22" s="590"/>
      <c r="W22" s="590"/>
      <c r="X22" s="590"/>
      <c r="Y22" s="590"/>
      <c r="Z22" s="590"/>
    </row>
    <row r="23" ht="12.75" customHeight="1">
      <c r="A23" s="590"/>
      <c r="B23" s="590"/>
      <c r="C23" s="590"/>
      <c r="D23" s="590"/>
      <c r="E23" s="590"/>
      <c r="F23" s="590"/>
      <c r="G23" s="590"/>
      <c r="H23" s="590"/>
      <c r="I23" s="590"/>
      <c r="J23" s="590"/>
      <c r="K23" s="590"/>
      <c r="L23" s="590"/>
      <c r="M23" s="590"/>
      <c r="N23" s="590"/>
      <c r="O23" s="590"/>
      <c r="P23" s="590"/>
      <c r="Q23" s="590"/>
      <c r="R23" s="590"/>
      <c r="S23" s="590"/>
      <c r="T23" s="590"/>
      <c r="U23" s="590"/>
      <c r="V23" s="590"/>
      <c r="W23" s="590"/>
      <c r="X23" s="590"/>
      <c r="Y23" s="590"/>
      <c r="Z23" s="590"/>
    </row>
    <row r="24" ht="12.75" customHeight="1">
      <c r="A24" s="590"/>
      <c r="B24" s="590"/>
      <c r="C24" s="590"/>
      <c r="D24" s="590"/>
      <c r="E24" s="590"/>
      <c r="F24" s="590"/>
      <c r="G24" s="590"/>
      <c r="H24" s="590"/>
      <c r="I24" s="590"/>
      <c r="J24" s="590"/>
      <c r="K24" s="590"/>
      <c r="L24" s="590"/>
      <c r="M24" s="590"/>
      <c r="N24" s="590"/>
      <c r="O24" s="590"/>
      <c r="P24" s="590"/>
      <c r="Q24" s="590"/>
      <c r="R24" s="590"/>
      <c r="S24" s="590"/>
      <c r="T24" s="590"/>
      <c r="U24" s="590"/>
      <c r="V24" s="590"/>
      <c r="W24" s="590"/>
      <c r="X24" s="590"/>
      <c r="Y24" s="590"/>
      <c r="Z24" s="590"/>
    </row>
    <row r="25" ht="12.75" customHeight="1">
      <c r="A25" s="590"/>
      <c r="B25" s="590"/>
      <c r="C25" s="590"/>
      <c r="D25" s="590"/>
      <c r="E25" s="590"/>
      <c r="F25" s="590"/>
      <c r="G25" s="590"/>
      <c r="H25" s="590"/>
      <c r="I25" s="590"/>
      <c r="J25" s="590"/>
      <c r="K25" s="590"/>
      <c r="L25" s="590"/>
      <c r="M25" s="590"/>
      <c r="N25" s="590"/>
      <c r="O25" s="590"/>
      <c r="P25" s="590"/>
      <c r="Q25" s="590"/>
      <c r="R25" s="590"/>
      <c r="S25" s="590"/>
      <c r="T25" s="590"/>
      <c r="U25" s="590"/>
      <c r="V25" s="590"/>
      <c r="W25" s="590"/>
      <c r="X25" s="590"/>
      <c r="Y25" s="590"/>
      <c r="Z25" s="590"/>
    </row>
    <row r="26" ht="12.75" customHeight="1">
      <c r="A26" s="590"/>
      <c r="B26" s="590"/>
      <c r="C26" s="590"/>
      <c r="D26" s="590"/>
      <c r="E26" s="590"/>
      <c r="F26" s="590"/>
      <c r="G26" s="590"/>
      <c r="H26" s="590"/>
      <c r="I26" s="590"/>
      <c r="J26" s="590"/>
      <c r="K26" s="590"/>
      <c r="L26" s="590"/>
      <c r="M26" s="590"/>
      <c r="N26" s="590"/>
      <c r="O26" s="590"/>
      <c r="P26" s="590"/>
      <c r="Q26" s="590"/>
      <c r="R26" s="590"/>
      <c r="S26" s="590"/>
      <c r="T26" s="590"/>
      <c r="U26" s="590"/>
      <c r="V26" s="590"/>
      <c r="W26" s="590"/>
      <c r="X26" s="590"/>
      <c r="Y26" s="590"/>
      <c r="Z26" s="590"/>
    </row>
    <row r="27" ht="12.75" customHeight="1">
      <c r="A27" s="590"/>
      <c r="B27" s="590"/>
      <c r="C27" s="590"/>
      <c r="D27" s="590"/>
      <c r="E27" s="590"/>
      <c r="F27" s="590"/>
      <c r="G27" s="590"/>
      <c r="H27" s="590"/>
      <c r="I27" s="590"/>
      <c r="J27" s="590"/>
      <c r="K27" s="590"/>
      <c r="L27" s="590"/>
      <c r="M27" s="590"/>
      <c r="N27" s="590"/>
      <c r="O27" s="590"/>
      <c r="P27" s="590"/>
      <c r="Q27" s="590"/>
      <c r="R27" s="590"/>
      <c r="S27" s="590"/>
      <c r="T27" s="590"/>
      <c r="U27" s="590"/>
      <c r="V27" s="590"/>
      <c r="W27" s="590"/>
      <c r="X27" s="590"/>
      <c r="Y27" s="590"/>
      <c r="Z27" s="590"/>
    </row>
    <row r="28" ht="12.75" customHeight="1">
      <c r="A28" s="590"/>
      <c r="B28" s="590"/>
      <c r="C28" s="590"/>
      <c r="D28" s="590"/>
      <c r="E28" s="590"/>
      <c r="F28" s="590"/>
      <c r="G28" s="590"/>
      <c r="H28" s="590"/>
      <c r="I28" s="590"/>
      <c r="J28" s="590"/>
      <c r="K28" s="590"/>
      <c r="L28" s="590"/>
      <c r="M28" s="590"/>
      <c r="N28" s="590"/>
      <c r="O28" s="590"/>
      <c r="P28" s="590"/>
      <c r="Q28" s="590"/>
      <c r="R28" s="590"/>
      <c r="S28" s="590"/>
      <c r="T28" s="590"/>
      <c r="U28" s="590"/>
      <c r="V28" s="590"/>
      <c r="W28" s="590"/>
      <c r="X28" s="590"/>
      <c r="Y28" s="590"/>
      <c r="Z28" s="590"/>
    </row>
    <row r="29" ht="12.75" customHeight="1">
      <c r="A29" s="590"/>
      <c r="B29" s="590"/>
      <c r="C29" s="590"/>
      <c r="D29" s="590"/>
      <c r="E29" s="590"/>
      <c r="F29" s="590"/>
      <c r="G29" s="590"/>
      <c r="H29" s="590"/>
      <c r="I29" s="590"/>
      <c r="J29" s="590"/>
      <c r="K29" s="590"/>
      <c r="L29" s="590"/>
      <c r="M29" s="590"/>
      <c r="N29" s="590"/>
      <c r="O29" s="590"/>
      <c r="P29" s="590"/>
      <c r="Q29" s="590"/>
      <c r="R29" s="590"/>
      <c r="S29" s="590"/>
      <c r="T29" s="590"/>
      <c r="U29" s="590"/>
      <c r="V29" s="590"/>
      <c r="W29" s="590"/>
      <c r="X29" s="590"/>
      <c r="Y29" s="590"/>
      <c r="Z29" s="590"/>
    </row>
    <row r="30" ht="12.75" customHeight="1">
      <c r="A30" s="590"/>
      <c r="B30" s="590"/>
      <c r="C30" s="590"/>
      <c r="D30" s="590"/>
      <c r="E30" s="590"/>
      <c r="F30" s="590"/>
      <c r="G30" s="590"/>
      <c r="H30" s="590"/>
      <c r="I30" s="590"/>
      <c r="J30" s="590"/>
      <c r="K30" s="590"/>
      <c r="L30" s="590"/>
      <c r="M30" s="590"/>
      <c r="N30" s="590"/>
      <c r="O30" s="590"/>
      <c r="P30" s="590"/>
      <c r="Q30" s="590"/>
      <c r="R30" s="590"/>
      <c r="S30" s="590"/>
      <c r="T30" s="590"/>
      <c r="U30" s="590"/>
      <c r="V30" s="590"/>
      <c r="W30" s="590"/>
      <c r="X30" s="590"/>
      <c r="Y30" s="590"/>
      <c r="Z30" s="590"/>
    </row>
    <row r="31" ht="12.75" customHeight="1">
      <c r="A31" s="590"/>
      <c r="B31" s="590"/>
      <c r="C31" s="590"/>
      <c r="D31" s="590"/>
      <c r="E31" s="590"/>
      <c r="F31" s="590"/>
      <c r="G31" s="590"/>
      <c r="H31" s="590"/>
      <c r="I31" s="590"/>
      <c r="J31" s="590"/>
      <c r="K31" s="590"/>
      <c r="L31" s="590"/>
      <c r="M31" s="590"/>
      <c r="N31" s="590"/>
      <c r="O31" s="590"/>
      <c r="P31" s="590"/>
      <c r="Q31" s="590"/>
      <c r="R31" s="590"/>
      <c r="S31" s="590"/>
      <c r="T31" s="590"/>
      <c r="U31" s="590"/>
      <c r="V31" s="590"/>
      <c r="W31" s="590"/>
      <c r="X31" s="590"/>
      <c r="Y31" s="590"/>
      <c r="Z31" s="590"/>
    </row>
    <row r="32" ht="12.75" customHeight="1">
      <c r="A32" s="590"/>
      <c r="B32" s="590"/>
      <c r="C32" s="590"/>
      <c r="D32" s="590"/>
      <c r="E32" s="590"/>
      <c r="F32" s="590"/>
      <c r="G32" s="590"/>
      <c r="H32" s="590"/>
      <c r="I32" s="590"/>
      <c r="J32" s="590"/>
      <c r="K32" s="590"/>
      <c r="L32" s="590"/>
      <c r="M32" s="590"/>
      <c r="N32" s="590"/>
      <c r="O32" s="590"/>
      <c r="P32" s="590"/>
      <c r="Q32" s="590"/>
      <c r="R32" s="590"/>
      <c r="S32" s="590"/>
      <c r="T32" s="590"/>
      <c r="U32" s="590"/>
      <c r="V32" s="590"/>
      <c r="W32" s="590"/>
      <c r="X32" s="590"/>
      <c r="Y32" s="590"/>
      <c r="Z32" s="590"/>
    </row>
    <row r="33" ht="12.75" customHeight="1">
      <c r="A33" s="590"/>
      <c r="B33" s="590"/>
      <c r="C33" s="590"/>
      <c r="D33" s="590"/>
      <c r="E33" s="590"/>
      <c r="F33" s="590"/>
      <c r="G33" s="590"/>
      <c r="H33" s="590"/>
      <c r="I33" s="590"/>
      <c r="J33" s="590"/>
      <c r="K33" s="590"/>
      <c r="L33" s="590"/>
      <c r="M33" s="590"/>
      <c r="N33" s="590"/>
      <c r="O33" s="590"/>
      <c r="P33" s="590"/>
      <c r="Q33" s="590"/>
      <c r="R33" s="590"/>
      <c r="S33" s="590"/>
      <c r="T33" s="590"/>
      <c r="U33" s="590"/>
      <c r="V33" s="590"/>
      <c r="W33" s="590"/>
      <c r="X33" s="590"/>
      <c r="Y33" s="590"/>
      <c r="Z33" s="590"/>
    </row>
    <row r="34" ht="12.75" customHeight="1">
      <c r="A34" s="590"/>
      <c r="B34" s="590"/>
      <c r="C34" s="590"/>
      <c r="D34" s="590"/>
      <c r="E34" s="590"/>
      <c r="F34" s="590"/>
      <c r="G34" s="590"/>
      <c r="H34" s="590"/>
      <c r="I34" s="590"/>
      <c r="J34" s="590"/>
      <c r="K34" s="590"/>
      <c r="L34" s="590"/>
      <c r="M34" s="590"/>
      <c r="N34" s="590"/>
      <c r="O34" s="590"/>
      <c r="P34" s="590"/>
      <c r="Q34" s="590"/>
      <c r="R34" s="590"/>
      <c r="S34" s="590"/>
      <c r="T34" s="590"/>
      <c r="U34" s="590"/>
      <c r="V34" s="590"/>
      <c r="W34" s="590"/>
      <c r="X34" s="590"/>
      <c r="Y34" s="590"/>
      <c r="Z34" s="590"/>
    </row>
    <row r="35" ht="12.75" customHeight="1">
      <c r="A35" s="590"/>
      <c r="B35" s="590"/>
      <c r="C35" s="590"/>
      <c r="D35" s="590"/>
      <c r="E35" s="590"/>
      <c r="F35" s="590"/>
      <c r="G35" s="590"/>
      <c r="H35" s="590"/>
      <c r="I35" s="590"/>
      <c r="J35" s="590"/>
      <c r="K35" s="590"/>
      <c r="L35" s="590"/>
      <c r="M35" s="590"/>
      <c r="N35" s="590"/>
      <c r="O35" s="590"/>
      <c r="P35" s="590"/>
      <c r="Q35" s="590"/>
      <c r="R35" s="590"/>
      <c r="S35" s="590"/>
      <c r="T35" s="590"/>
      <c r="U35" s="590"/>
      <c r="V35" s="590"/>
      <c r="W35" s="590"/>
      <c r="X35" s="590"/>
      <c r="Y35" s="590"/>
      <c r="Z35" s="590"/>
    </row>
    <row r="36" ht="12.75" customHeight="1">
      <c r="A36" s="590"/>
      <c r="B36" s="590"/>
      <c r="C36" s="590"/>
      <c r="D36" s="590"/>
      <c r="E36" s="590"/>
      <c r="F36" s="590"/>
      <c r="G36" s="590"/>
      <c r="H36" s="590"/>
      <c r="I36" s="590"/>
      <c r="J36" s="590"/>
      <c r="K36" s="590"/>
      <c r="L36" s="590"/>
      <c r="M36" s="590"/>
      <c r="N36" s="590"/>
      <c r="O36" s="590"/>
      <c r="P36" s="590"/>
      <c r="Q36" s="590"/>
      <c r="R36" s="590"/>
      <c r="S36" s="590"/>
      <c r="T36" s="590"/>
      <c r="U36" s="590"/>
      <c r="V36" s="590"/>
      <c r="W36" s="590"/>
      <c r="X36" s="590"/>
      <c r="Y36" s="590"/>
      <c r="Z36" s="590"/>
    </row>
    <row r="37" ht="12.75" customHeight="1">
      <c r="A37" s="590"/>
      <c r="B37" s="590"/>
      <c r="C37" s="590"/>
      <c r="D37" s="590"/>
      <c r="E37" s="590"/>
      <c r="F37" s="590"/>
      <c r="G37" s="590"/>
      <c r="H37" s="590"/>
      <c r="I37" s="590"/>
      <c r="J37" s="590"/>
      <c r="K37" s="590"/>
      <c r="L37" s="590"/>
      <c r="M37" s="590"/>
      <c r="N37" s="590"/>
      <c r="O37" s="590"/>
      <c r="P37" s="590"/>
      <c r="Q37" s="590"/>
      <c r="R37" s="590"/>
      <c r="S37" s="590"/>
      <c r="T37" s="590"/>
      <c r="U37" s="590"/>
      <c r="V37" s="590"/>
      <c r="W37" s="590"/>
      <c r="X37" s="590"/>
      <c r="Y37" s="590"/>
      <c r="Z37" s="590"/>
    </row>
    <row r="38" ht="12.75" customHeight="1">
      <c r="A38" s="590"/>
      <c r="B38" s="590"/>
      <c r="C38" s="590"/>
      <c r="D38" s="590"/>
      <c r="E38" s="590"/>
      <c r="F38" s="590"/>
      <c r="G38" s="590"/>
      <c r="H38" s="590"/>
      <c r="I38" s="590"/>
      <c r="J38" s="590"/>
      <c r="K38" s="590"/>
      <c r="L38" s="590"/>
      <c r="M38" s="590"/>
      <c r="N38" s="590"/>
      <c r="O38" s="590"/>
      <c r="P38" s="590"/>
      <c r="Q38" s="590"/>
      <c r="R38" s="590"/>
      <c r="S38" s="590"/>
      <c r="T38" s="590"/>
      <c r="U38" s="590"/>
      <c r="V38" s="590"/>
      <c r="W38" s="590"/>
      <c r="X38" s="590"/>
      <c r="Y38" s="590"/>
      <c r="Z38" s="590"/>
    </row>
    <row r="39" ht="12.75" customHeight="1">
      <c r="A39" s="590"/>
      <c r="B39" s="590"/>
      <c r="C39" s="590"/>
      <c r="D39" s="590"/>
      <c r="E39" s="590"/>
      <c r="F39" s="590"/>
      <c r="G39" s="590"/>
      <c r="H39" s="590"/>
      <c r="I39" s="590"/>
      <c r="J39" s="590"/>
      <c r="K39" s="590"/>
      <c r="L39" s="590"/>
      <c r="M39" s="590"/>
      <c r="N39" s="590"/>
      <c r="O39" s="590"/>
      <c r="P39" s="590"/>
      <c r="Q39" s="590"/>
      <c r="R39" s="590"/>
      <c r="S39" s="590"/>
      <c r="T39" s="590"/>
      <c r="U39" s="590"/>
      <c r="V39" s="590"/>
      <c r="W39" s="590"/>
      <c r="X39" s="590"/>
      <c r="Y39" s="590"/>
      <c r="Z39" s="590"/>
    </row>
    <row r="40" ht="12.75" customHeight="1">
      <c r="A40" s="590"/>
      <c r="B40" s="590"/>
      <c r="C40" s="590"/>
      <c r="D40" s="590"/>
      <c r="E40" s="590"/>
      <c r="F40" s="590"/>
      <c r="G40" s="590"/>
      <c r="H40" s="590"/>
      <c r="I40" s="590"/>
      <c r="J40" s="590"/>
      <c r="K40" s="590"/>
      <c r="L40" s="590"/>
      <c r="M40" s="590"/>
      <c r="N40" s="590"/>
      <c r="O40" s="590"/>
      <c r="P40" s="590"/>
      <c r="Q40" s="590"/>
      <c r="R40" s="590"/>
      <c r="S40" s="590"/>
      <c r="T40" s="590"/>
      <c r="U40" s="590"/>
      <c r="V40" s="590"/>
      <c r="W40" s="590"/>
      <c r="X40" s="590"/>
      <c r="Y40" s="590"/>
      <c r="Z40" s="590"/>
    </row>
    <row r="41" ht="12.75" customHeight="1">
      <c r="A41" s="590"/>
      <c r="B41" s="590"/>
      <c r="C41" s="590"/>
      <c r="D41" s="590"/>
      <c r="E41" s="590"/>
      <c r="F41" s="590"/>
      <c r="G41" s="590"/>
      <c r="H41" s="590"/>
      <c r="I41" s="590"/>
      <c r="J41" s="590"/>
      <c r="K41" s="590"/>
      <c r="L41" s="590"/>
      <c r="M41" s="590"/>
      <c r="N41" s="590"/>
      <c r="O41" s="590"/>
      <c r="P41" s="590"/>
      <c r="Q41" s="590"/>
      <c r="R41" s="590"/>
      <c r="S41" s="590"/>
      <c r="T41" s="590"/>
      <c r="U41" s="590"/>
      <c r="V41" s="590"/>
      <c r="W41" s="590"/>
      <c r="X41" s="590"/>
      <c r="Y41" s="590"/>
      <c r="Z41" s="590"/>
    </row>
    <row r="42" ht="12.75" customHeight="1">
      <c r="A42" s="590"/>
      <c r="B42" s="590"/>
      <c r="C42" s="590"/>
      <c r="D42" s="590"/>
      <c r="E42" s="590"/>
      <c r="F42" s="590"/>
      <c r="G42" s="590"/>
      <c r="H42" s="590"/>
      <c r="I42" s="590"/>
      <c r="J42" s="590"/>
      <c r="K42" s="590"/>
      <c r="L42" s="590"/>
      <c r="M42" s="590"/>
      <c r="N42" s="590"/>
      <c r="O42" s="590"/>
      <c r="P42" s="590"/>
      <c r="Q42" s="590"/>
      <c r="R42" s="590"/>
      <c r="S42" s="590"/>
      <c r="T42" s="590"/>
      <c r="U42" s="590"/>
      <c r="V42" s="590"/>
      <c r="W42" s="590"/>
      <c r="X42" s="590"/>
      <c r="Y42" s="590"/>
      <c r="Z42" s="590"/>
    </row>
    <row r="43" ht="12.75" customHeight="1">
      <c r="A43" s="590"/>
      <c r="B43" s="590"/>
      <c r="C43" s="590"/>
      <c r="D43" s="590"/>
      <c r="E43" s="590"/>
      <c r="F43" s="590"/>
      <c r="G43" s="590"/>
      <c r="H43" s="590"/>
      <c r="I43" s="590"/>
      <c r="J43" s="590"/>
      <c r="K43" s="590"/>
      <c r="L43" s="590"/>
      <c r="M43" s="590"/>
      <c r="N43" s="590"/>
      <c r="O43" s="590"/>
      <c r="P43" s="590"/>
      <c r="Q43" s="590"/>
      <c r="R43" s="590"/>
      <c r="S43" s="590"/>
      <c r="T43" s="590"/>
      <c r="U43" s="590"/>
      <c r="V43" s="590"/>
      <c r="W43" s="590"/>
      <c r="X43" s="590"/>
      <c r="Y43" s="590"/>
      <c r="Z43" s="590"/>
    </row>
    <row r="44" ht="12.75" customHeight="1">
      <c r="A44" s="590"/>
      <c r="B44" s="590"/>
      <c r="C44" s="590"/>
      <c r="D44" s="590"/>
      <c r="E44" s="590"/>
      <c r="F44" s="590"/>
      <c r="G44" s="590"/>
      <c r="H44" s="590"/>
      <c r="I44" s="590"/>
      <c r="J44" s="590"/>
      <c r="K44" s="590"/>
      <c r="L44" s="590"/>
      <c r="M44" s="590"/>
      <c r="N44" s="590"/>
      <c r="O44" s="590"/>
      <c r="P44" s="590"/>
      <c r="Q44" s="590"/>
      <c r="R44" s="590"/>
      <c r="S44" s="590"/>
      <c r="T44" s="590"/>
      <c r="U44" s="590"/>
      <c r="V44" s="590"/>
      <c r="W44" s="590"/>
      <c r="X44" s="590"/>
      <c r="Y44" s="590"/>
      <c r="Z44" s="590"/>
    </row>
    <row r="45" ht="12.75" customHeight="1">
      <c r="A45" s="590"/>
      <c r="B45" s="590"/>
      <c r="C45" s="590"/>
      <c r="D45" s="590"/>
      <c r="E45" s="590"/>
      <c r="F45" s="590"/>
      <c r="G45" s="590"/>
      <c r="H45" s="590"/>
      <c r="I45" s="590"/>
      <c r="J45" s="590"/>
      <c r="K45" s="590"/>
      <c r="L45" s="590"/>
      <c r="M45" s="590"/>
      <c r="N45" s="590"/>
      <c r="O45" s="590"/>
      <c r="P45" s="590"/>
      <c r="Q45" s="590"/>
      <c r="R45" s="590"/>
      <c r="S45" s="590"/>
      <c r="T45" s="590"/>
      <c r="U45" s="590"/>
      <c r="V45" s="590"/>
      <c r="W45" s="590"/>
      <c r="X45" s="590"/>
      <c r="Y45" s="590"/>
      <c r="Z45" s="590"/>
    </row>
    <row r="46" ht="12.75" customHeight="1">
      <c r="A46" s="590"/>
      <c r="B46" s="590"/>
      <c r="C46" s="590"/>
      <c r="D46" s="590"/>
      <c r="E46" s="590"/>
      <c r="F46" s="590"/>
      <c r="G46" s="590"/>
      <c r="H46" s="590"/>
      <c r="I46" s="590"/>
      <c r="J46" s="590"/>
      <c r="K46" s="590"/>
      <c r="L46" s="590"/>
      <c r="M46" s="590"/>
      <c r="N46" s="590"/>
      <c r="O46" s="590"/>
      <c r="P46" s="590"/>
      <c r="Q46" s="590"/>
      <c r="R46" s="590"/>
      <c r="S46" s="590"/>
      <c r="T46" s="590"/>
      <c r="U46" s="590"/>
      <c r="V46" s="590"/>
      <c r="W46" s="590"/>
      <c r="X46" s="590"/>
      <c r="Y46" s="590"/>
      <c r="Z46" s="590"/>
    </row>
    <row r="47" ht="12.75" customHeight="1">
      <c r="A47" s="590"/>
      <c r="B47" s="590"/>
      <c r="C47" s="590"/>
      <c r="D47" s="590"/>
      <c r="E47" s="590"/>
      <c r="F47" s="590"/>
      <c r="G47" s="590"/>
      <c r="H47" s="590"/>
      <c r="I47" s="590"/>
      <c r="J47" s="590"/>
      <c r="K47" s="590"/>
      <c r="L47" s="590"/>
      <c r="M47" s="590"/>
      <c r="N47" s="590"/>
      <c r="O47" s="590"/>
      <c r="P47" s="590"/>
      <c r="Q47" s="590"/>
      <c r="R47" s="590"/>
      <c r="S47" s="590"/>
      <c r="T47" s="590"/>
      <c r="U47" s="590"/>
      <c r="V47" s="590"/>
      <c r="W47" s="590"/>
      <c r="X47" s="590"/>
      <c r="Y47" s="590"/>
      <c r="Z47" s="590"/>
    </row>
    <row r="48" ht="12.75" customHeight="1">
      <c r="A48" s="590"/>
      <c r="B48" s="590"/>
      <c r="C48" s="590"/>
      <c r="D48" s="590"/>
      <c r="E48" s="590"/>
      <c r="F48" s="590"/>
      <c r="G48" s="590"/>
      <c r="H48" s="590"/>
      <c r="I48" s="590"/>
      <c r="J48" s="590"/>
      <c r="K48" s="590"/>
      <c r="L48" s="590"/>
      <c r="M48" s="590"/>
      <c r="N48" s="590"/>
      <c r="O48" s="590"/>
      <c r="P48" s="590"/>
      <c r="Q48" s="590"/>
      <c r="R48" s="590"/>
      <c r="S48" s="590"/>
      <c r="T48" s="590"/>
      <c r="U48" s="590"/>
      <c r="V48" s="590"/>
      <c r="W48" s="590"/>
      <c r="X48" s="590"/>
      <c r="Y48" s="590"/>
      <c r="Z48" s="590"/>
    </row>
    <row r="49" ht="12.75" customHeight="1">
      <c r="A49" s="590"/>
      <c r="B49" s="590"/>
      <c r="C49" s="590"/>
      <c r="D49" s="590"/>
      <c r="E49" s="590"/>
      <c r="F49" s="590"/>
      <c r="G49" s="590"/>
      <c r="H49" s="590"/>
      <c r="I49" s="590"/>
      <c r="J49" s="590"/>
      <c r="K49" s="590"/>
      <c r="L49" s="590"/>
      <c r="M49" s="590"/>
      <c r="N49" s="590"/>
      <c r="O49" s="590"/>
      <c r="P49" s="590"/>
      <c r="Q49" s="590"/>
      <c r="R49" s="590"/>
      <c r="S49" s="590"/>
      <c r="T49" s="590"/>
      <c r="U49" s="590"/>
      <c r="V49" s="590"/>
      <c r="W49" s="590"/>
      <c r="X49" s="590"/>
      <c r="Y49" s="590"/>
      <c r="Z49" s="590"/>
    </row>
    <row r="50" ht="12.75" customHeight="1">
      <c r="A50" s="590"/>
      <c r="B50" s="590"/>
      <c r="C50" s="590"/>
      <c r="D50" s="590"/>
      <c r="E50" s="590"/>
      <c r="F50" s="590"/>
      <c r="G50" s="590"/>
      <c r="H50" s="590"/>
      <c r="I50" s="590"/>
      <c r="J50" s="590"/>
      <c r="K50" s="590"/>
      <c r="L50" s="590"/>
      <c r="M50" s="590"/>
      <c r="N50" s="590"/>
      <c r="O50" s="590"/>
      <c r="P50" s="590"/>
      <c r="Q50" s="590"/>
      <c r="R50" s="590"/>
      <c r="S50" s="590"/>
      <c r="T50" s="590"/>
      <c r="U50" s="590"/>
      <c r="V50" s="590"/>
      <c r="W50" s="590"/>
      <c r="X50" s="590"/>
      <c r="Y50" s="590"/>
      <c r="Z50" s="590"/>
    </row>
    <row r="51" ht="12.75" customHeight="1">
      <c r="A51" s="590"/>
      <c r="B51" s="590"/>
      <c r="C51" s="590"/>
      <c r="D51" s="590"/>
      <c r="E51" s="590"/>
      <c r="F51" s="590"/>
      <c r="G51" s="590"/>
      <c r="H51" s="590"/>
      <c r="I51" s="590"/>
      <c r="J51" s="590"/>
      <c r="K51" s="590"/>
      <c r="L51" s="590"/>
      <c r="M51" s="590"/>
      <c r="N51" s="590"/>
      <c r="O51" s="590"/>
      <c r="P51" s="590"/>
      <c r="Q51" s="590"/>
      <c r="R51" s="590"/>
      <c r="S51" s="590"/>
      <c r="T51" s="590"/>
      <c r="U51" s="590"/>
      <c r="V51" s="590"/>
      <c r="W51" s="590"/>
      <c r="X51" s="590"/>
      <c r="Y51" s="590"/>
      <c r="Z51" s="590"/>
    </row>
    <row r="52" ht="12.75" customHeight="1">
      <c r="A52" s="590"/>
      <c r="B52" s="590"/>
      <c r="C52" s="590"/>
      <c r="D52" s="590"/>
      <c r="E52" s="590"/>
      <c r="F52" s="590"/>
      <c r="G52" s="590"/>
      <c r="H52" s="590"/>
      <c r="I52" s="590"/>
      <c r="J52" s="590"/>
      <c r="K52" s="590"/>
      <c r="L52" s="590"/>
      <c r="M52" s="590"/>
      <c r="N52" s="590"/>
      <c r="O52" s="590"/>
      <c r="P52" s="590"/>
      <c r="Q52" s="590"/>
      <c r="R52" s="590"/>
      <c r="S52" s="590"/>
      <c r="T52" s="590"/>
      <c r="U52" s="590"/>
      <c r="V52" s="590"/>
      <c r="W52" s="590"/>
      <c r="X52" s="590"/>
      <c r="Y52" s="590"/>
      <c r="Z52" s="590"/>
    </row>
    <row r="53" ht="12.75" customHeight="1">
      <c r="A53" s="590"/>
      <c r="B53" s="590"/>
      <c r="C53" s="590"/>
      <c r="D53" s="590"/>
      <c r="E53" s="590"/>
      <c r="F53" s="590"/>
      <c r="G53" s="590"/>
      <c r="H53" s="590"/>
      <c r="I53" s="590"/>
      <c r="J53" s="590"/>
      <c r="K53" s="590"/>
      <c r="L53" s="590"/>
      <c r="M53" s="590"/>
      <c r="N53" s="590"/>
      <c r="O53" s="590"/>
      <c r="P53" s="590"/>
      <c r="Q53" s="590"/>
      <c r="R53" s="590"/>
      <c r="S53" s="590"/>
      <c r="T53" s="590"/>
      <c r="U53" s="590"/>
      <c r="V53" s="590"/>
      <c r="W53" s="590"/>
      <c r="X53" s="590"/>
      <c r="Y53" s="590"/>
      <c r="Z53" s="590"/>
    </row>
    <row r="54" ht="12.75" customHeight="1">
      <c r="A54" s="590"/>
      <c r="B54" s="590"/>
      <c r="C54" s="590"/>
      <c r="D54" s="590"/>
      <c r="E54" s="590"/>
      <c r="F54" s="590"/>
      <c r="G54" s="590"/>
      <c r="H54" s="590"/>
      <c r="I54" s="590"/>
      <c r="J54" s="590"/>
      <c r="K54" s="590"/>
      <c r="L54" s="590"/>
      <c r="M54" s="590"/>
      <c r="N54" s="590"/>
      <c r="O54" s="590"/>
      <c r="P54" s="590"/>
      <c r="Q54" s="590"/>
      <c r="R54" s="590"/>
      <c r="S54" s="590"/>
      <c r="T54" s="590"/>
      <c r="U54" s="590"/>
      <c r="V54" s="590"/>
      <c r="W54" s="590"/>
      <c r="X54" s="590"/>
      <c r="Y54" s="590"/>
      <c r="Z54" s="590"/>
    </row>
    <row r="55" ht="12.75" customHeight="1">
      <c r="A55" s="590"/>
      <c r="B55" s="590"/>
      <c r="C55" s="590"/>
      <c r="D55" s="590"/>
      <c r="E55" s="590"/>
      <c r="F55" s="590"/>
      <c r="G55" s="590"/>
      <c r="H55" s="590"/>
      <c r="I55" s="590"/>
      <c r="J55" s="590"/>
      <c r="K55" s="590"/>
      <c r="L55" s="590"/>
      <c r="M55" s="590"/>
      <c r="N55" s="590"/>
      <c r="O55" s="590"/>
      <c r="P55" s="590"/>
      <c r="Q55" s="590"/>
      <c r="R55" s="590"/>
      <c r="S55" s="590"/>
      <c r="T55" s="590"/>
      <c r="U55" s="590"/>
      <c r="V55" s="590"/>
      <c r="W55" s="590"/>
      <c r="X55" s="590"/>
      <c r="Y55" s="590"/>
      <c r="Z55" s="590"/>
    </row>
    <row r="56" ht="12.75" customHeight="1">
      <c r="A56" s="590"/>
      <c r="B56" s="590"/>
      <c r="C56" s="590"/>
      <c r="D56" s="590"/>
      <c r="E56" s="590"/>
      <c r="F56" s="590"/>
      <c r="G56" s="590"/>
      <c r="H56" s="590"/>
      <c r="I56" s="590"/>
      <c r="J56" s="590"/>
      <c r="K56" s="590"/>
      <c r="L56" s="590"/>
      <c r="M56" s="590"/>
      <c r="N56" s="590"/>
      <c r="O56" s="590"/>
      <c r="P56" s="590"/>
      <c r="Q56" s="590"/>
      <c r="R56" s="590"/>
      <c r="S56" s="590"/>
      <c r="T56" s="590"/>
      <c r="U56" s="590"/>
      <c r="V56" s="590"/>
      <c r="W56" s="590"/>
      <c r="X56" s="590"/>
      <c r="Y56" s="590"/>
      <c r="Z56" s="590"/>
    </row>
    <row r="57" ht="12.75" customHeight="1">
      <c r="A57" s="590"/>
      <c r="B57" s="590"/>
      <c r="C57" s="590"/>
      <c r="D57" s="590"/>
      <c r="E57" s="590"/>
      <c r="F57" s="590"/>
      <c r="G57" s="590"/>
      <c r="H57" s="590"/>
      <c r="I57" s="590"/>
      <c r="J57" s="590"/>
      <c r="K57" s="590"/>
      <c r="L57" s="590"/>
      <c r="M57" s="590"/>
      <c r="N57" s="590"/>
      <c r="O57" s="590"/>
      <c r="P57" s="590"/>
      <c r="Q57" s="590"/>
      <c r="R57" s="590"/>
      <c r="S57" s="590"/>
      <c r="T57" s="590"/>
      <c r="U57" s="590"/>
      <c r="V57" s="590"/>
      <c r="W57" s="590"/>
      <c r="X57" s="590"/>
      <c r="Y57" s="590"/>
      <c r="Z57" s="590"/>
    </row>
    <row r="58" ht="12.75" customHeight="1">
      <c r="A58" s="590"/>
      <c r="B58" s="590"/>
      <c r="C58" s="590"/>
      <c r="D58" s="590"/>
      <c r="E58" s="590"/>
      <c r="F58" s="590"/>
      <c r="G58" s="590"/>
      <c r="H58" s="590"/>
      <c r="I58" s="590"/>
      <c r="J58" s="590"/>
      <c r="K58" s="590"/>
      <c r="L58" s="590"/>
      <c r="M58" s="590"/>
      <c r="N58" s="590"/>
      <c r="O58" s="590"/>
      <c r="P58" s="590"/>
      <c r="Q58" s="590"/>
      <c r="R58" s="590"/>
      <c r="S58" s="590"/>
      <c r="T58" s="590"/>
      <c r="U58" s="590"/>
      <c r="V58" s="590"/>
      <c r="W58" s="590"/>
      <c r="X58" s="590"/>
      <c r="Y58" s="590"/>
      <c r="Z58" s="590"/>
    </row>
    <row r="59" ht="12.75" customHeight="1">
      <c r="A59" s="590"/>
      <c r="B59" s="590"/>
      <c r="C59" s="590"/>
      <c r="D59" s="590"/>
      <c r="E59" s="590"/>
      <c r="F59" s="590"/>
      <c r="G59" s="590"/>
      <c r="H59" s="590"/>
      <c r="I59" s="590"/>
      <c r="J59" s="590"/>
      <c r="K59" s="590"/>
      <c r="L59" s="590"/>
      <c r="M59" s="590"/>
      <c r="N59" s="590"/>
      <c r="O59" s="590"/>
      <c r="P59" s="590"/>
      <c r="Q59" s="590"/>
      <c r="R59" s="590"/>
      <c r="S59" s="590"/>
      <c r="T59" s="590"/>
      <c r="U59" s="590"/>
      <c r="V59" s="590"/>
      <c r="W59" s="590"/>
      <c r="X59" s="590"/>
      <c r="Y59" s="590"/>
      <c r="Z59" s="590"/>
    </row>
    <row r="60" ht="12.75" customHeight="1">
      <c r="A60" s="590"/>
      <c r="B60" s="590"/>
      <c r="C60" s="590"/>
      <c r="D60" s="590"/>
      <c r="E60" s="590"/>
      <c r="F60" s="590"/>
      <c r="G60" s="590"/>
      <c r="H60" s="590"/>
      <c r="I60" s="590"/>
      <c r="J60" s="590"/>
      <c r="K60" s="590"/>
      <c r="L60" s="590"/>
      <c r="M60" s="590"/>
      <c r="N60" s="590"/>
      <c r="O60" s="590"/>
      <c r="P60" s="590"/>
      <c r="Q60" s="590"/>
      <c r="R60" s="590"/>
      <c r="S60" s="590"/>
      <c r="T60" s="590"/>
      <c r="U60" s="590"/>
      <c r="V60" s="590"/>
      <c r="W60" s="590"/>
      <c r="X60" s="590"/>
      <c r="Y60" s="590"/>
      <c r="Z60" s="590"/>
    </row>
    <row r="61" ht="12.75" customHeight="1">
      <c r="A61" s="590"/>
      <c r="B61" s="590"/>
      <c r="C61" s="590"/>
      <c r="D61" s="590"/>
      <c r="E61" s="590"/>
      <c r="F61" s="590"/>
      <c r="G61" s="590"/>
      <c r="H61" s="590"/>
      <c r="I61" s="590"/>
      <c r="J61" s="590"/>
      <c r="K61" s="590"/>
      <c r="L61" s="590"/>
      <c r="M61" s="590"/>
      <c r="N61" s="590"/>
      <c r="O61" s="590"/>
      <c r="P61" s="590"/>
      <c r="Q61" s="590"/>
      <c r="R61" s="590"/>
      <c r="S61" s="590"/>
      <c r="T61" s="590"/>
      <c r="U61" s="590"/>
      <c r="V61" s="590"/>
      <c r="W61" s="590"/>
      <c r="X61" s="590"/>
      <c r="Y61" s="590"/>
      <c r="Z61" s="590"/>
    </row>
    <row r="62" ht="12.75" customHeight="1">
      <c r="A62" s="590"/>
      <c r="B62" s="590"/>
      <c r="C62" s="590"/>
      <c r="D62" s="590"/>
      <c r="E62" s="590"/>
      <c r="F62" s="590"/>
      <c r="G62" s="590"/>
      <c r="H62" s="590"/>
      <c r="I62" s="590"/>
      <c r="J62" s="590"/>
      <c r="K62" s="590"/>
      <c r="L62" s="590"/>
      <c r="M62" s="590"/>
      <c r="N62" s="590"/>
      <c r="O62" s="590"/>
      <c r="P62" s="590"/>
      <c r="Q62" s="590"/>
      <c r="R62" s="590"/>
      <c r="S62" s="590"/>
      <c r="T62" s="590"/>
      <c r="U62" s="590"/>
      <c r="V62" s="590"/>
      <c r="W62" s="590"/>
      <c r="X62" s="590"/>
      <c r="Y62" s="590"/>
      <c r="Z62" s="590"/>
    </row>
    <row r="63" ht="12.75" customHeight="1">
      <c r="A63" s="590"/>
      <c r="B63" s="590"/>
      <c r="C63" s="590"/>
      <c r="D63" s="590"/>
      <c r="E63" s="590"/>
      <c r="F63" s="590"/>
      <c r="G63" s="590"/>
      <c r="H63" s="590"/>
      <c r="I63" s="590"/>
      <c r="J63" s="590"/>
      <c r="K63" s="590"/>
      <c r="L63" s="590"/>
      <c r="M63" s="590"/>
      <c r="N63" s="590"/>
      <c r="O63" s="590"/>
      <c r="P63" s="590"/>
      <c r="Q63" s="590"/>
      <c r="R63" s="590"/>
      <c r="S63" s="590"/>
      <c r="T63" s="590"/>
      <c r="U63" s="590"/>
      <c r="V63" s="590"/>
      <c r="W63" s="590"/>
      <c r="X63" s="590"/>
      <c r="Y63" s="590"/>
      <c r="Z63" s="590"/>
    </row>
    <row r="64" ht="12.75" customHeight="1">
      <c r="A64" s="590"/>
      <c r="B64" s="590"/>
      <c r="C64" s="590"/>
      <c r="D64" s="590"/>
      <c r="E64" s="590"/>
      <c r="F64" s="590"/>
      <c r="G64" s="590"/>
      <c r="H64" s="590"/>
      <c r="I64" s="590"/>
      <c r="J64" s="590"/>
      <c r="K64" s="590"/>
      <c r="L64" s="590"/>
      <c r="M64" s="590"/>
      <c r="N64" s="590"/>
      <c r="O64" s="590"/>
      <c r="P64" s="590"/>
      <c r="Q64" s="590"/>
      <c r="R64" s="590"/>
      <c r="S64" s="590"/>
      <c r="T64" s="590"/>
      <c r="U64" s="590"/>
      <c r="V64" s="590"/>
      <c r="W64" s="590"/>
      <c r="X64" s="590"/>
      <c r="Y64" s="590"/>
      <c r="Z64" s="590"/>
    </row>
    <row r="65" ht="12.75" customHeight="1">
      <c r="A65" s="590"/>
      <c r="B65" s="590"/>
      <c r="C65" s="590"/>
      <c r="D65" s="590"/>
      <c r="E65" s="590"/>
      <c r="F65" s="590"/>
      <c r="G65" s="590"/>
      <c r="H65" s="590"/>
      <c r="I65" s="590"/>
      <c r="J65" s="590"/>
      <c r="K65" s="590"/>
      <c r="L65" s="590"/>
      <c r="M65" s="590"/>
      <c r="N65" s="590"/>
      <c r="O65" s="590"/>
      <c r="P65" s="590"/>
      <c r="Q65" s="590"/>
      <c r="R65" s="590"/>
      <c r="S65" s="590"/>
      <c r="T65" s="590"/>
      <c r="U65" s="590"/>
      <c r="V65" s="590"/>
      <c r="W65" s="590"/>
      <c r="X65" s="590"/>
      <c r="Y65" s="590"/>
      <c r="Z65" s="590"/>
    </row>
    <row r="66" ht="12.75" customHeight="1">
      <c r="A66" s="590"/>
      <c r="B66" s="590"/>
      <c r="C66" s="590"/>
      <c r="D66" s="590"/>
      <c r="E66" s="590"/>
      <c r="F66" s="590"/>
      <c r="G66" s="590"/>
      <c r="H66" s="590"/>
      <c r="I66" s="590"/>
      <c r="J66" s="590"/>
      <c r="K66" s="590"/>
      <c r="L66" s="590"/>
      <c r="M66" s="590"/>
      <c r="N66" s="590"/>
      <c r="O66" s="590"/>
      <c r="P66" s="590"/>
      <c r="Q66" s="590"/>
      <c r="R66" s="590"/>
      <c r="S66" s="590"/>
      <c r="T66" s="590"/>
      <c r="U66" s="590"/>
      <c r="V66" s="590"/>
      <c r="W66" s="590"/>
      <c r="X66" s="590"/>
      <c r="Y66" s="590"/>
      <c r="Z66" s="590"/>
    </row>
    <row r="67" ht="12.75" customHeight="1">
      <c r="A67" s="590"/>
      <c r="B67" s="590"/>
      <c r="C67" s="590"/>
      <c r="D67" s="590"/>
      <c r="E67" s="590"/>
      <c r="F67" s="590"/>
      <c r="G67" s="590"/>
      <c r="H67" s="590"/>
      <c r="I67" s="590"/>
      <c r="J67" s="590"/>
      <c r="K67" s="590"/>
      <c r="L67" s="590"/>
      <c r="M67" s="590"/>
      <c r="N67" s="590"/>
      <c r="O67" s="590"/>
      <c r="P67" s="590"/>
      <c r="Q67" s="590"/>
      <c r="R67" s="590"/>
      <c r="S67" s="590"/>
      <c r="T67" s="590"/>
      <c r="U67" s="590"/>
      <c r="V67" s="590"/>
      <c r="W67" s="590"/>
      <c r="X67" s="590"/>
      <c r="Y67" s="590"/>
      <c r="Z67" s="590"/>
    </row>
    <row r="68" ht="12.75" customHeight="1">
      <c r="A68" s="590"/>
      <c r="B68" s="590"/>
      <c r="C68" s="590"/>
      <c r="D68" s="590"/>
      <c r="E68" s="590"/>
      <c r="F68" s="590"/>
      <c r="G68" s="590"/>
      <c r="H68" s="590"/>
      <c r="I68" s="590"/>
      <c r="J68" s="590"/>
      <c r="K68" s="590"/>
      <c r="L68" s="590"/>
      <c r="M68" s="590"/>
      <c r="N68" s="590"/>
      <c r="O68" s="590"/>
      <c r="P68" s="590"/>
      <c r="Q68" s="590"/>
      <c r="R68" s="590"/>
      <c r="S68" s="590"/>
      <c r="T68" s="590"/>
      <c r="U68" s="590"/>
      <c r="V68" s="590"/>
      <c r="W68" s="590"/>
      <c r="X68" s="590"/>
      <c r="Y68" s="590"/>
      <c r="Z68" s="590"/>
    </row>
    <row r="69" ht="12.75" customHeight="1">
      <c r="A69" s="590"/>
      <c r="B69" s="590"/>
      <c r="C69" s="590"/>
      <c r="D69" s="590"/>
      <c r="E69" s="590"/>
      <c r="F69" s="590"/>
      <c r="G69" s="590"/>
      <c r="H69" s="590"/>
      <c r="I69" s="590"/>
      <c r="J69" s="590"/>
      <c r="K69" s="590"/>
      <c r="L69" s="590"/>
      <c r="M69" s="590"/>
      <c r="N69" s="590"/>
      <c r="O69" s="590"/>
      <c r="P69" s="590"/>
      <c r="Q69" s="590"/>
      <c r="R69" s="590"/>
      <c r="S69" s="590"/>
      <c r="T69" s="590"/>
      <c r="U69" s="590"/>
      <c r="V69" s="590"/>
      <c r="W69" s="590"/>
      <c r="X69" s="590"/>
      <c r="Y69" s="590"/>
      <c r="Z69" s="590"/>
    </row>
    <row r="70" ht="12.75" customHeight="1">
      <c r="A70" s="590"/>
      <c r="B70" s="590"/>
      <c r="C70" s="590"/>
      <c r="D70" s="590"/>
      <c r="E70" s="590"/>
      <c r="F70" s="590"/>
      <c r="G70" s="590"/>
      <c r="H70" s="590"/>
      <c r="I70" s="590"/>
      <c r="J70" s="590"/>
      <c r="K70" s="590"/>
      <c r="L70" s="590"/>
      <c r="M70" s="590"/>
      <c r="N70" s="590"/>
      <c r="O70" s="590"/>
      <c r="P70" s="590"/>
      <c r="Q70" s="590"/>
      <c r="R70" s="590"/>
      <c r="S70" s="590"/>
      <c r="T70" s="590"/>
      <c r="U70" s="590"/>
      <c r="V70" s="590"/>
      <c r="W70" s="590"/>
      <c r="X70" s="590"/>
      <c r="Y70" s="590"/>
      <c r="Z70" s="590"/>
    </row>
    <row r="71" ht="12.75" customHeight="1">
      <c r="A71" s="590"/>
      <c r="B71" s="590"/>
      <c r="C71" s="590"/>
      <c r="D71" s="590"/>
      <c r="E71" s="590"/>
      <c r="F71" s="590"/>
      <c r="G71" s="590"/>
      <c r="H71" s="590"/>
      <c r="I71" s="590"/>
      <c r="J71" s="590"/>
      <c r="K71" s="590"/>
      <c r="L71" s="590"/>
      <c r="M71" s="590"/>
      <c r="N71" s="590"/>
      <c r="O71" s="590"/>
      <c r="P71" s="590"/>
      <c r="Q71" s="590"/>
      <c r="R71" s="590"/>
      <c r="S71" s="590"/>
      <c r="T71" s="590"/>
      <c r="U71" s="590"/>
      <c r="V71" s="590"/>
      <c r="W71" s="590"/>
      <c r="X71" s="590"/>
      <c r="Y71" s="590"/>
      <c r="Z71" s="590"/>
    </row>
    <row r="72" ht="12.75" customHeight="1">
      <c r="A72" s="590"/>
      <c r="B72" s="590"/>
      <c r="C72" s="590"/>
      <c r="D72" s="590"/>
      <c r="E72" s="590"/>
      <c r="F72" s="590"/>
      <c r="G72" s="590"/>
      <c r="H72" s="590"/>
      <c r="I72" s="590"/>
      <c r="J72" s="590"/>
      <c r="K72" s="590"/>
      <c r="L72" s="590"/>
      <c r="M72" s="590"/>
      <c r="N72" s="590"/>
      <c r="O72" s="590"/>
      <c r="P72" s="590"/>
      <c r="Q72" s="590"/>
      <c r="R72" s="590"/>
      <c r="S72" s="590"/>
      <c r="T72" s="590"/>
      <c r="U72" s="590"/>
      <c r="V72" s="590"/>
      <c r="W72" s="590"/>
      <c r="X72" s="590"/>
      <c r="Y72" s="590"/>
      <c r="Z72" s="590"/>
    </row>
    <row r="73" ht="12.75" customHeight="1">
      <c r="A73" s="590"/>
      <c r="B73" s="590"/>
      <c r="C73" s="590"/>
      <c r="D73" s="590"/>
      <c r="E73" s="590"/>
      <c r="F73" s="590"/>
      <c r="G73" s="590"/>
      <c r="H73" s="590"/>
      <c r="I73" s="590"/>
      <c r="J73" s="590"/>
      <c r="K73" s="590"/>
      <c r="L73" s="590"/>
      <c r="M73" s="590"/>
      <c r="N73" s="590"/>
      <c r="O73" s="590"/>
      <c r="P73" s="590"/>
      <c r="Q73" s="590"/>
      <c r="R73" s="590"/>
      <c r="S73" s="590"/>
      <c r="T73" s="590"/>
      <c r="U73" s="590"/>
      <c r="V73" s="590"/>
      <c r="W73" s="590"/>
      <c r="X73" s="590"/>
      <c r="Y73" s="590"/>
      <c r="Z73" s="590"/>
    </row>
    <row r="74" ht="12.75" customHeight="1">
      <c r="A74" s="590"/>
      <c r="B74" s="590"/>
      <c r="C74" s="590"/>
      <c r="D74" s="590"/>
      <c r="E74" s="590"/>
      <c r="F74" s="590"/>
      <c r="G74" s="590"/>
      <c r="H74" s="590"/>
      <c r="I74" s="590"/>
      <c r="J74" s="590"/>
      <c r="K74" s="590"/>
      <c r="L74" s="590"/>
      <c r="M74" s="590"/>
      <c r="N74" s="590"/>
      <c r="O74" s="590"/>
      <c r="P74" s="590"/>
      <c r="Q74" s="590"/>
      <c r="R74" s="590"/>
      <c r="S74" s="590"/>
      <c r="T74" s="590"/>
      <c r="U74" s="590"/>
      <c r="V74" s="590"/>
      <c r="W74" s="590"/>
      <c r="X74" s="590"/>
      <c r="Y74" s="590"/>
      <c r="Z74" s="590"/>
    </row>
    <row r="75" ht="12.75" customHeight="1">
      <c r="A75" s="590"/>
      <c r="B75" s="590"/>
      <c r="C75" s="590"/>
      <c r="D75" s="590"/>
      <c r="E75" s="590"/>
      <c r="F75" s="590"/>
      <c r="G75" s="590"/>
      <c r="H75" s="590"/>
      <c r="I75" s="590"/>
      <c r="J75" s="590"/>
      <c r="K75" s="590"/>
      <c r="L75" s="590"/>
      <c r="M75" s="590"/>
      <c r="N75" s="590"/>
      <c r="O75" s="590"/>
      <c r="P75" s="590"/>
      <c r="Q75" s="590"/>
      <c r="R75" s="590"/>
      <c r="S75" s="590"/>
      <c r="T75" s="590"/>
      <c r="U75" s="590"/>
      <c r="V75" s="590"/>
      <c r="W75" s="590"/>
      <c r="X75" s="590"/>
      <c r="Y75" s="590"/>
      <c r="Z75" s="590"/>
    </row>
    <row r="76" ht="12.75" customHeight="1">
      <c r="A76" s="590"/>
      <c r="B76" s="590"/>
      <c r="C76" s="590"/>
      <c r="D76" s="590"/>
      <c r="E76" s="590"/>
      <c r="F76" s="590"/>
      <c r="G76" s="590"/>
      <c r="H76" s="590"/>
      <c r="I76" s="590"/>
      <c r="J76" s="590"/>
      <c r="K76" s="590"/>
      <c r="L76" s="590"/>
      <c r="M76" s="590"/>
      <c r="N76" s="590"/>
      <c r="O76" s="590"/>
      <c r="P76" s="590"/>
      <c r="Q76" s="590"/>
      <c r="R76" s="590"/>
      <c r="S76" s="590"/>
      <c r="T76" s="590"/>
      <c r="U76" s="590"/>
      <c r="V76" s="590"/>
      <c r="W76" s="590"/>
      <c r="X76" s="590"/>
      <c r="Y76" s="590"/>
      <c r="Z76" s="590"/>
    </row>
    <row r="77" ht="12.75" customHeight="1">
      <c r="A77" s="590"/>
      <c r="B77" s="590"/>
      <c r="C77" s="590"/>
      <c r="D77" s="590"/>
      <c r="E77" s="590"/>
      <c r="F77" s="590"/>
      <c r="G77" s="590"/>
      <c r="H77" s="590"/>
      <c r="I77" s="590"/>
      <c r="J77" s="590"/>
      <c r="K77" s="590"/>
      <c r="L77" s="590"/>
      <c r="M77" s="590"/>
      <c r="N77" s="590"/>
      <c r="O77" s="590"/>
      <c r="P77" s="590"/>
      <c r="Q77" s="590"/>
      <c r="R77" s="590"/>
      <c r="S77" s="590"/>
      <c r="T77" s="590"/>
      <c r="U77" s="590"/>
      <c r="V77" s="590"/>
      <c r="W77" s="590"/>
      <c r="X77" s="590"/>
      <c r="Y77" s="590"/>
      <c r="Z77" s="590"/>
    </row>
    <row r="78" ht="12.75" customHeight="1">
      <c r="A78" s="590"/>
      <c r="B78" s="590"/>
      <c r="C78" s="590"/>
      <c r="D78" s="590"/>
      <c r="E78" s="590"/>
      <c r="F78" s="590"/>
      <c r="G78" s="590"/>
      <c r="H78" s="590"/>
      <c r="I78" s="590"/>
      <c r="J78" s="590"/>
      <c r="K78" s="590"/>
      <c r="L78" s="590"/>
      <c r="M78" s="590"/>
      <c r="N78" s="590"/>
      <c r="O78" s="590"/>
      <c r="P78" s="590"/>
      <c r="Q78" s="590"/>
      <c r="R78" s="590"/>
      <c r="S78" s="590"/>
      <c r="T78" s="590"/>
      <c r="U78" s="590"/>
      <c r="V78" s="590"/>
      <c r="W78" s="590"/>
      <c r="X78" s="590"/>
      <c r="Y78" s="590"/>
      <c r="Z78" s="590"/>
    </row>
    <row r="79" ht="12.75" customHeight="1">
      <c r="A79" s="590"/>
      <c r="B79" s="590"/>
      <c r="C79" s="590"/>
      <c r="D79" s="590"/>
      <c r="E79" s="590"/>
      <c r="F79" s="590"/>
      <c r="G79" s="590"/>
      <c r="H79" s="590"/>
      <c r="I79" s="590"/>
      <c r="J79" s="590"/>
      <c r="K79" s="590"/>
      <c r="L79" s="590"/>
      <c r="M79" s="590"/>
      <c r="N79" s="590"/>
      <c r="O79" s="590"/>
      <c r="P79" s="590"/>
      <c r="Q79" s="590"/>
      <c r="R79" s="590"/>
      <c r="S79" s="590"/>
      <c r="T79" s="590"/>
      <c r="U79" s="590"/>
      <c r="V79" s="590"/>
      <c r="W79" s="590"/>
      <c r="X79" s="590"/>
      <c r="Y79" s="590"/>
      <c r="Z79" s="590"/>
    </row>
    <row r="80" ht="12.75" customHeight="1">
      <c r="A80" s="590"/>
      <c r="B80" s="590"/>
      <c r="C80" s="590"/>
      <c r="D80" s="590"/>
      <c r="E80" s="590"/>
      <c r="F80" s="590"/>
      <c r="G80" s="590"/>
      <c r="H80" s="590"/>
      <c r="I80" s="590"/>
      <c r="J80" s="590"/>
      <c r="K80" s="590"/>
      <c r="L80" s="590"/>
      <c r="M80" s="590"/>
      <c r="N80" s="590"/>
      <c r="O80" s="590"/>
      <c r="P80" s="590"/>
      <c r="Q80" s="590"/>
      <c r="R80" s="590"/>
      <c r="S80" s="590"/>
      <c r="T80" s="590"/>
      <c r="U80" s="590"/>
      <c r="V80" s="590"/>
      <c r="W80" s="590"/>
      <c r="X80" s="590"/>
      <c r="Y80" s="590"/>
      <c r="Z80" s="590"/>
    </row>
    <row r="81" ht="12.75" customHeight="1">
      <c r="A81" s="590"/>
      <c r="B81" s="590"/>
      <c r="C81" s="590"/>
      <c r="D81" s="590"/>
      <c r="E81" s="590"/>
      <c r="F81" s="590"/>
      <c r="G81" s="590"/>
      <c r="H81" s="590"/>
      <c r="I81" s="590"/>
      <c r="J81" s="590"/>
      <c r="K81" s="590"/>
      <c r="L81" s="590"/>
      <c r="M81" s="590"/>
      <c r="N81" s="590"/>
      <c r="O81" s="590"/>
      <c r="P81" s="590"/>
      <c r="Q81" s="590"/>
      <c r="R81" s="590"/>
      <c r="S81" s="590"/>
      <c r="T81" s="590"/>
      <c r="U81" s="590"/>
      <c r="V81" s="590"/>
      <c r="W81" s="590"/>
      <c r="X81" s="590"/>
      <c r="Y81" s="590"/>
      <c r="Z81" s="590"/>
    </row>
    <row r="82" ht="12.75" customHeight="1">
      <c r="A82" s="590"/>
      <c r="B82" s="590"/>
      <c r="C82" s="590"/>
      <c r="D82" s="590"/>
      <c r="E82" s="590"/>
      <c r="F82" s="590"/>
      <c r="G82" s="590"/>
      <c r="H82" s="590"/>
      <c r="I82" s="590"/>
      <c r="J82" s="590"/>
      <c r="K82" s="590"/>
      <c r="L82" s="590"/>
      <c r="M82" s="590"/>
      <c r="N82" s="590"/>
      <c r="O82" s="590"/>
      <c r="P82" s="590"/>
      <c r="Q82" s="590"/>
      <c r="R82" s="590"/>
      <c r="S82" s="590"/>
      <c r="T82" s="590"/>
      <c r="U82" s="590"/>
      <c r="V82" s="590"/>
      <c r="W82" s="590"/>
      <c r="X82" s="590"/>
      <c r="Y82" s="590"/>
      <c r="Z82" s="590"/>
    </row>
    <row r="83" ht="12.75" customHeight="1">
      <c r="A83" s="590"/>
      <c r="B83" s="590"/>
      <c r="C83" s="590"/>
      <c r="D83" s="590"/>
      <c r="E83" s="590"/>
      <c r="F83" s="590"/>
      <c r="G83" s="590"/>
      <c r="H83" s="590"/>
      <c r="I83" s="590"/>
      <c r="J83" s="590"/>
      <c r="K83" s="590"/>
      <c r="L83" s="590"/>
      <c r="M83" s="590"/>
      <c r="N83" s="590"/>
      <c r="O83" s="590"/>
      <c r="P83" s="590"/>
      <c r="Q83" s="590"/>
      <c r="R83" s="590"/>
      <c r="S83" s="590"/>
      <c r="T83" s="590"/>
      <c r="U83" s="590"/>
      <c r="V83" s="590"/>
      <c r="W83" s="590"/>
      <c r="X83" s="590"/>
      <c r="Y83" s="590"/>
      <c r="Z83" s="590"/>
    </row>
    <row r="84" ht="12.75" customHeight="1">
      <c r="A84" s="590"/>
      <c r="B84" s="590"/>
      <c r="C84" s="590"/>
      <c r="D84" s="590"/>
      <c r="E84" s="590"/>
      <c r="F84" s="590"/>
      <c r="G84" s="590"/>
      <c r="H84" s="590"/>
      <c r="I84" s="590"/>
      <c r="J84" s="590"/>
      <c r="K84" s="590"/>
      <c r="L84" s="590"/>
      <c r="M84" s="590"/>
      <c r="N84" s="590"/>
      <c r="O84" s="590"/>
      <c r="P84" s="590"/>
      <c r="Q84" s="590"/>
      <c r="R84" s="590"/>
      <c r="S84" s="590"/>
      <c r="T84" s="590"/>
      <c r="U84" s="590"/>
      <c r="V84" s="590"/>
      <c r="W84" s="590"/>
      <c r="X84" s="590"/>
      <c r="Y84" s="590"/>
      <c r="Z84" s="590"/>
    </row>
    <row r="85" ht="12.75" customHeight="1">
      <c r="A85" s="590"/>
      <c r="B85" s="590"/>
      <c r="C85" s="590"/>
      <c r="D85" s="590"/>
      <c r="E85" s="590"/>
      <c r="F85" s="590"/>
      <c r="G85" s="590"/>
      <c r="H85" s="590"/>
      <c r="I85" s="590"/>
      <c r="J85" s="590"/>
      <c r="K85" s="590"/>
      <c r="L85" s="590"/>
      <c r="M85" s="590"/>
      <c r="N85" s="590"/>
      <c r="O85" s="590"/>
      <c r="P85" s="590"/>
      <c r="Q85" s="590"/>
      <c r="R85" s="590"/>
      <c r="S85" s="590"/>
      <c r="T85" s="590"/>
      <c r="U85" s="590"/>
      <c r="V85" s="590"/>
      <c r="W85" s="590"/>
      <c r="X85" s="590"/>
      <c r="Y85" s="590"/>
      <c r="Z85" s="590"/>
    </row>
    <row r="86" ht="12.75" customHeight="1">
      <c r="A86" s="590"/>
      <c r="B86" s="590"/>
      <c r="C86" s="590"/>
      <c r="D86" s="590"/>
      <c r="E86" s="590"/>
      <c r="F86" s="590"/>
      <c r="G86" s="590"/>
      <c r="H86" s="590"/>
      <c r="I86" s="590"/>
      <c r="J86" s="590"/>
      <c r="K86" s="590"/>
      <c r="L86" s="590"/>
      <c r="M86" s="590"/>
      <c r="N86" s="590"/>
      <c r="O86" s="590"/>
      <c r="P86" s="590"/>
      <c r="Q86" s="590"/>
      <c r="R86" s="590"/>
      <c r="S86" s="590"/>
      <c r="T86" s="590"/>
      <c r="U86" s="590"/>
      <c r="V86" s="590"/>
      <c r="W86" s="590"/>
      <c r="X86" s="590"/>
      <c r="Y86" s="590"/>
      <c r="Z86" s="590"/>
    </row>
    <row r="87" ht="12.75" customHeight="1">
      <c r="A87" s="590"/>
      <c r="B87" s="590"/>
      <c r="C87" s="590"/>
      <c r="D87" s="590"/>
      <c r="E87" s="590"/>
      <c r="F87" s="590"/>
      <c r="G87" s="590"/>
      <c r="H87" s="590"/>
      <c r="I87" s="590"/>
      <c r="J87" s="590"/>
      <c r="K87" s="590"/>
      <c r="L87" s="590"/>
      <c r="M87" s="590"/>
      <c r="N87" s="590"/>
      <c r="O87" s="590"/>
      <c r="P87" s="590"/>
      <c r="Q87" s="590"/>
      <c r="R87" s="590"/>
      <c r="S87" s="590"/>
      <c r="T87" s="590"/>
      <c r="U87" s="590"/>
      <c r="V87" s="590"/>
      <c r="W87" s="590"/>
      <c r="X87" s="590"/>
      <c r="Y87" s="590"/>
      <c r="Z87" s="590"/>
    </row>
    <row r="88" ht="12.75" customHeight="1">
      <c r="A88" s="590"/>
      <c r="B88" s="590"/>
      <c r="C88" s="590"/>
      <c r="D88" s="590"/>
      <c r="E88" s="590"/>
      <c r="F88" s="590"/>
      <c r="G88" s="590"/>
      <c r="H88" s="590"/>
      <c r="I88" s="590"/>
      <c r="J88" s="590"/>
      <c r="K88" s="590"/>
      <c r="L88" s="590"/>
      <c r="M88" s="590"/>
      <c r="N88" s="590"/>
      <c r="O88" s="590"/>
      <c r="P88" s="590"/>
      <c r="Q88" s="590"/>
      <c r="R88" s="590"/>
      <c r="S88" s="590"/>
      <c r="T88" s="590"/>
      <c r="U88" s="590"/>
      <c r="V88" s="590"/>
      <c r="W88" s="590"/>
      <c r="X88" s="590"/>
      <c r="Y88" s="590"/>
      <c r="Z88" s="590"/>
    </row>
    <row r="89" ht="12.75" customHeight="1">
      <c r="A89" s="590"/>
      <c r="B89" s="590"/>
      <c r="C89" s="590"/>
      <c r="D89" s="590"/>
      <c r="E89" s="590"/>
      <c r="F89" s="590"/>
      <c r="G89" s="590"/>
      <c r="H89" s="590"/>
      <c r="I89" s="590"/>
      <c r="J89" s="590"/>
      <c r="K89" s="590"/>
      <c r="L89" s="590"/>
      <c r="M89" s="590"/>
      <c r="N89" s="590"/>
      <c r="O89" s="590"/>
      <c r="P89" s="590"/>
      <c r="Q89" s="590"/>
      <c r="R89" s="590"/>
      <c r="S89" s="590"/>
      <c r="T89" s="590"/>
      <c r="U89" s="590"/>
      <c r="V89" s="590"/>
      <c r="W89" s="590"/>
      <c r="X89" s="590"/>
      <c r="Y89" s="590"/>
      <c r="Z89" s="590"/>
    </row>
    <row r="90" ht="12.75" customHeight="1">
      <c r="A90" s="590"/>
      <c r="B90" s="590"/>
      <c r="C90" s="590"/>
      <c r="D90" s="590"/>
      <c r="E90" s="590"/>
      <c r="F90" s="590"/>
      <c r="G90" s="590"/>
      <c r="H90" s="590"/>
      <c r="I90" s="590"/>
      <c r="J90" s="590"/>
      <c r="K90" s="590"/>
      <c r="L90" s="590"/>
      <c r="M90" s="590"/>
      <c r="N90" s="590"/>
      <c r="O90" s="590"/>
      <c r="P90" s="590"/>
      <c r="Q90" s="590"/>
      <c r="R90" s="590"/>
      <c r="S90" s="590"/>
      <c r="T90" s="590"/>
      <c r="U90" s="590"/>
      <c r="V90" s="590"/>
      <c r="W90" s="590"/>
      <c r="X90" s="590"/>
      <c r="Y90" s="590"/>
      <c r="Z90" s="590"/>
    </row>
    <row r="91" ht="12.75" customHeight="1">
      <c r="A91" s="590"/>
      <c r="B91" s="590"/>
      <c r="C91" s="590"/>
      <c r="D91" s="590"/>
      <c r="E91" s="590"/>
      <c r="F91" s="590"/>
      <c r="G91" s="590"/>
      <c r="H91" s="590"/>
      <c r="I91" s="590"/>
      <c r="J91" s="590"/>
      <c r="K91" s="590"/>
      <c r="L91" s="590"/>
      <c r="M91" s="590"/>
      <c r="N91" s="590"/>
      <c r="O91" s="590"/>
      <c r="P91" s="590"/>
      <c r="Q91" s="590"/>
      <c r="R91" s="590"/>
      <c r="S91" s="590"/>
      <c r="T91" s="590"/>
      <c r="U91" s="590"/>
      <c r="V91" s="590"/>
      <c r="W91" s="590"/>
      <c r="X91" s="590"/>
      <c r="Y91" s="590"/>
      <c r="Z91" s="590"/>
    </row>
    <row r="92" ht="12.75" customHeight="1">
      <c r="A92" s="590"/>
      <c r="B92" s="590"/>
      <c r="C92" s="590"/>
      <c r="D92" s="590"/>
      <c r="E92" s="590"/>
      <c r="F92" s="590"/>
      <c r="G92" s="590"/>
      <c r="H92" s="590"/>
      <c r="I92" s="590"/>
      <c r="J92" s="590"/>
      <c r="K92" s="590"/>
      <c r="L92" s="590"/>
      <c r="M92" s="590"/>
      <c r="N92" s="590"/>
      <c r="O92" s="590"/>
      <c r="P92" s="590"/>
      <c r="Q92" s="590"/>
      <c r="R92" s="590"/>
      <c r="S92" s="590"/>
      <c r="T92" s="590"/>
      <c r="U92" s="590"/>
      <c r="V92" s="590"/>
      <c r="W92" s="590"/>
      <c r="X92" s="590"/>
      <c r="Y92" s="590"/>
      <c r="Z92" s="590"/>
    </row>
    <row r="93" ht="12.75" customHeight="1">
      <c r="A93" s="590"/>
      <c r="B93" s="590"/>
      <c r="C93" s="590"/>
      <c r="D93" s="590"/>
      <c r="E93" s="590"/>
      <c r="F93" s="590"/>
      <c r="G93" s="590"/>
      <c r="H93" s="590"/>
      <c r="I93" s="590"/>
      <c r="J93" s="590"/>
      <c r="K93" s="590"/>
      <c r="L93" s="590"/>
      <c r="M93" s="590"/>
      <c r="N93" s="590"/>
      <c r="O93" s="590"/>
      <c r="P93" s="590"/>
      <c r="Q93" s="590"/>
      <c r="R93" s="590"/>
      <c r="S93" s="590"/>
      <c r="T93" s="590"/>
      <c r="U93" s="590"/>
      <c r="V93" s="590"/>
      <c r="W93" s="590"/>
      <c r="X93" s="590"/>
      <c r="Y93" s="590"/>
      <c r="Z93" s="590"/>
    </row>
    <row r="94" ht="12.75" customHeight="1">
      <c r="A94" s="590"/>
      <c r="B94" s="590"/>
      <c r="C94" s="590"/>
      <c r="D94" s="590"/>
      <c r="E94" s="590"/>
      <c r="F94" s="590"/>
      <c r="G94" s="590"/>
      <c r="H94" s="590"/>
      <c r="I94" s="590"/>
      <c r="J94" s="590"/>
      <c r="K94" s="590"/>
      <c r="L94" s="590"/>
      <c r="M94" s="590"/>
      <c r="N94" s="590"/>
      <c r="O94" s="590"/>
      <c r="P94" s="590"/>
      <c r="Q94" s="590"/>
      <c r="R94" s="590"/>
      <c r="S94" s="590"/>
      <c r="T94" s="590"/>
      <c r="U94" s="590"/>
      <c r="V94" s="590"/>
      <c r="W94" s="590"/>
      <c r="X94" s="590"/>
      <c r="Y94" s="590"/>
      <c r="Z94" s="590"/>
    </row>
    <row r="95" ht="12.75" customHeight="1">
      <c r="A95" s="590"/>
      <c r="B95" s="590"/>
      <c r="C95" s="590"/>
      <c r="D95" s="590"/>
      <c r="E95" s="590"/>
      <c r="F95" s="590"/>
      <c r="G95" s="590"/>
      <c r="H95" s="590"/>
      <c r="I95" s="590"/>
      <c r="J95" s="590"/>
      <c r="K95" s="590"/>
      <c r="L95" s="590"/>
      <c r="M95" s="590"/>
      <c r="N95" s="590"/>
      <c r="O95" s="590"/>
      <c r="P95" s="590"/>
      <c r="Q95" s="590"/>
      <c r="R95" s="590"/>
      <c r="S95" s="590"/>
      <c r="T95" s="590"/>
      <c r="U95" s="590"/>
      <c r="V95" s="590"/>
      <c r="W95" s="590"/>
      <c r="X95" s="590"/>
      <c r="Y95" s="590"/>
      <c r="Z95" s="590"/>
    </row>
    <row r="96" ht="12.75" customHeight="1">
      <c r="A96" s="590"/>
      <c r="B96" s="590"/>
      <c r="C96" s="590"/>
      <c r="D96" s="590"/>
      <c r="E96" s="590"/>
      <c r="F96" s="590"/>
      <c r="G96" s="590"/>
      <c r="H96" s="590"/>
      <c r="I96" s="590"/>
      <c r="J96" s="590"/>
      <c r="K96" s="590"/>
      <c r="L96" s="590"/>
      <c r="M96" s="590"/>
      <c r="N96" s="590"/>
      <c r="O96" s="590"/>
      <c r="P96" s="590"/>
      <c r="Q96" s="590"/>
      <c r="R96" s="590"/>
      <c r="S96" s="590"/>
      <c r="T96" s="590"/>
      <c r="U96" s="590"/>
      <c r="V96" s="590"/>
      <c r="W96" s="590"/>
      <c r="X96" s="590"/>
      <c r="Y96" s="590"/>
      <c r="Z96" s="590"/>
    </row>
    <row r="97" ht="12.75" customHeight="1">
      <c r="A97" s="590"/>
      <c r="B97" s="590"/>
      <c r="C97" s="590"/>
      <c r="D97" s="590"/>
      <c r="E97" s="590"/>
      <c r="F97" s="590"/>
      <c r="G97" s="590"/>
      <c r="H97" s="590"/>
      <c r="I97" s="590"/>
      <c r="J97" s="590"/>
      <c r="K97" s="590"/>
      <c r="L97" s="590"/>
      <c r="M97" s="590"/>
      <c r="N97" s="590"/>
      <c r="O97" s="590"/>
      <c r="P97" s="590"/>
      <c r="Q97" s="590"/>
      <c r="R97" s="590"/>
      <c r="S97" s="590"/>
      <c r="T97" s="590"/>
      <c r="U97" s="590"/>
      <c r="V97" s="590"/>
      <c r="W97" s="590"/>
      <c r="X97" s="590"/>
      <c r="Y97" s="590"/>
      <c r="Z97" s="590"/>
    </row>
    <row r="98" ht="12.75" customHeight="1">
      <c r="A98" s="590"/>
      <c r="B98" s="590"/>
      <c r="C98" s="590"/>
      <c r="D98" s="590"/>
      <c r="E98" s="590"/>
      <c r="F98" s="590"/>
      <c r="G98" s="590"/>
      <c r="H98" s="590"/>
      <c r="I98" s="590"/>
      <c r="J98" s="590"/>
      <c r="K98" s="590"/>
      <c r="L98" s="590"/>
      <c r="M98" s="590"/>
      <c r="N98" s="590"/>
      <c r="O98" s="590"/>
      <c r="P98" s="590"/>
      <c r="Q98" s="590"/>
      <c r="R98" s="590"/>
      <c r="S98" s="590"/>
      <c r="T98" s="590"/>
      <c r="U98" s="590"/>
      <c r="V98" s="590"/>
      <c r="W98" s="590"/>
      <c r="X98" s="590"/>
      <c r="Y98" s="590"/>
      <c r="Z98" s="590"/>
    </row>
    <row r="99" ht="12.75" customHeight="1">
      <c r="A99" s="590"/>
      <c r="B99" s="590"/>
      <c r="C99" s="590"/>
      <c r="D99" s="590"/>
      <c r="E99" s="590"/>
      <c r="F99" s="590"/>
      <c r="G99" s="590"/>
      <c r="H99" s="590"/>
      <c r="I99" s="590"/>
      <c r="J99" s="590"/>
      <c r="K99" s="590"/>
      <c r="L99" s="590"/>
      <c r="M99" s="590"/>
      <c r="N99" s="590"/>
      <c r="O99" s="590"/>
      <c r="P99" s="590"/>
      <c r="Q99" s="590"/>
      <c r="R99" s="590"/>
      <c r="S99" s="590"/>
      <c r="T99" s="590"/>
      <c r="U99" s="590"/>
      <c r="V99" s="590"/>
      <c r="W99" s="590"/>
      <c r="X99" s="590"/>
      <c r="Y99" s="590"/>
      <c r="Z99" s="590"/>
    </row>
    <row r="100" ht="12.75" customHeight="1">
      <c r="A100" s="590"/>
      <c r="B100" s="590"/>
      <c r="C100" s="590"/>
      <c r="D100" s="590"/>
      <c r="E100" s="590"/>
      <c r="F100" s="590"/>
      <c r="G100" s="590"/>
      <c r="H100" s="590"/>
      <c r="I100" s="590"/>
      <c r="J100" s="590"/>
      <c r="K100" s="590"/>
      <c r="L100" s="590"/>
      <c r="M100" s="590"/>
      <c r="N100" s="590"/>
      <c r="O100" s="590"/>
      <c r="P100" s="590"/>
      <c r="Q100" s="590"/>
      <c r="R100" s="590"/>
      <c r="S100" s="590"/>
      <c r="T100" s="590"/>
      <c r="U100" s="590"/>
      <c r="V100" s="590"/>
      <c r="W100" s="590"/>
      <c r="X100" s="590"/>
      <c r="Y100" s="590"/>
      <c r="Z100" s="590"/>
    </row>
    <row r="101" ht="12.75" customHeight="1">
      <c r="A101" s="590"/>
      <c r="B101" s="590"/>
      <c r="C101" s="590"/>
      <c r="D101" s="590"/>
      <c r="E101" s="590"/>
      <c r="F101" s="590"/>
      <c r="G101" s="590"/>
      <c r="H101" s="590"/>
      <c r="I101" s="590"/>
      <c r="J101" s="590"/>
      <c r="K101" s="590"/>
      <c r="L101" s="590"/>
      <c r="M101" s="590"/>
      <c r="N101" s="590"/>
      <c r="O101" s="590"/>
      <c r="P101" s="590"/>
      <c r="Q101" s="590"/>
      <c r="R101" s="590"/>
      <c r="S101" s="590"/>
      <c r="T101" s="590"/>
      <c r="U101" s="590"/>
      <c r="V101" s="590"/>
      <c r="W101" s="590"/>
      <c r="X101" s="590"/>
      <c r="Y101" s="590"/>
      <c r="Z101" s="590"/>
    </row>
    <row r="102" ht="12.75" customHeight="1">
      <c r="A102" s="590"/>
      <c r="B102" s="590"/>
      <c r="C102" s="590"/>
      <c r="D102" s="590"/>
      <c r="E102" s="590"/>
      <c r="F102" s="590"/>
      <c r="G102" s="590"/>
      <c r="H102" s="590"/>
      <c r="I102" s="590"/>
      <c r="J102" s="590"/>
      <c r="K102" s="590"/>
      <c r="L102" s="590"/>
      <c r="M102" s="590"/>
      <c r="N102" s="590"/>
      <c r="O102" s="590"/>
      <c r="P102" s="590"/>
      <c r="Q102" s="590"/>
      <c r="R102" s="590"/>
      <c r="S102" s="590"/>
      <c r="T102" s="590"/>
      <c r="U102" s="590"/>
      <c r="V102" s="590"/>
      <c r="W102" s="590"/>
      <c r="X102" s="590"/>
      <c r="Y102" s="590"/>
      <c r="Z102" s="590"/>
    </row>
    <row r="103" ht="12.75" customHeight="1">
      <c r="A103" s="590"/>
      <c r="B103" s="590"/>
      <c r="C103" s="590"/>
      <c r="D103" s="590"/>
      <c r="E103" s="590"/>
      <c r="F103" s="590"/>
      <c r="G103" s="590"/>
      <c r="H103" s="590"/>
      <c r="I103" s="590"/>
      <c r="J103" s="590"/>
      <c r="K103" s="590"/>
      <c r="L103" s="590"/>
      <c r="M103" s="590"/>
      <c r="N103" s="590"/>
      <c r="O103" s="590"/>
      <c r="P103" s="590"/>
      <c r="Q103" s="590"/>
      <c r="R103" s="590"/>
      <c r="S103" s="590"/>
      <c r="T103" s="590"/>
      <c r="U103" s="590"/>
      <c r="V103" s="590"/>
      <c r="W103" s="590"/>
      <c r="X103" s="590"/>
      <c r="Y103" s="590"/>
      <c r="Z103" s="590"/>
    </row>
    <row r="104" ht="12.75" customHeight="1">
      <c r="A104" s="590"/>
      <c r="B104" s="590"/>
      <c r="C104" s="590"/>
      <c r="D104" s="590"/>
      <c r="E104" s="590"/>
      <c r="F104" s="590"/>
      <c r="G104" s="590"/>
      <c r="H104" s="590"/>
      <c r="I104" s="590"/>
      <c r="J104" s="590"/>
      <c r="K104" s="590"/>
      <c r="L104" s="590"/>
      <c r="M104" s="590"/>
      <c r="N104" s="590"/>
      <c r="O104" s="590"/>
      <c r="P104" s="590"/>
      <c r="Q104" s="590"/>
      <c r="R104" s="590"/>
      <c r="S104" s="590"/>
      <c r="T104" s="590"/>
      <c r="U104" s="590"/>
      <c r="V104" s="590"/>
      <c r="W104" s="590"/>
      <c r="X104" s="590"/>
      <c r="Y104" s="590"/>
      <c r="Z104" s="590"/>
    </row>
    <row r="105" ht="12.75" customHeight="1">
      <c r="A105" s="590"/>
      <c r="B105" s="590"/>
      <c r="C105" s="590"/>
      <c r="D105" s="590"/>
      <c r="E105" s="590"/>
      <c r="F105" s="590"/>
      <c r="G105" s="590"/>
      <c r="H105" s="590"/>
      <c r="I105" s="590"/>
      <c r="J105" s="590"/>
      <c r="K105" s="590"/>
      <c r="L105" s="590"/>
      <c r="M105" s="590"/>
      <c r="N105" s="590"/>
      <c r="O105" s="590"/>
      <c r="P105" s="590"/>
      <c r="Q105" s="590"/>
      <c r="R105" s="590"/>
      <c r="S105" s="590"/>
      <c r="T105" s="590"/>
      <c r="U105" s="590"/>
      <c r="V105" s="590"/>
      <c r="W105" s="590"/>
      <c r="X105" s="590"/>
      <c r="Y105" s="590"/>
      <c r="Z105" s="590"/>
    </row>
    <row r="106" ht="12.75" customHeight="1">
      <c r="A106" s="590"/>
      <c r="B106" s="590"/>
      <c r="C106" s="590"/>
      <c r="D106" s="590"/>
      <c r="E106" s="590"/>
      <c r="F106" s="590"/>
      <c r="G106" s="590"/>
      <c r="H106" s="590"/>
      <c r="I106" s="590"/>
      <c r="J106" s="590"/>
      <c r="K106" s="590"/>
      <c r="L106" s="590"/>
      <c r="M106" s="590"/>
      <c r="N106" s="590"/>
      <c r="O106" s="590"/>
      <c r="P106" s="590"/>
      <c r="Q106" s="590"/>
      <c r="R106" s="590"/>
      <c r="S106" s="590"/>
      <c r="T106" s="590"/>
      <c r="U106" s="590"/>
      <c r="V106" s="590"/>
      <c r="W106" s="590"/>
      <c r="X106" s="590"/>
      <c r="Y106" s="590"/>
      <c r="Z106" s="590"/>
    </row>
    <row r="107" ht="12.75" customHeight="1">
      <c r="A107" s="590"/>
      <c r="B107" s="590"/>
      <c r="C107" s="590"/>
      <c r="D107" s="590"/>
      <c r="E107" s="590"/>
      <c r="F107" s="590"/>
      <c r="G107" s="590"/>
      <c r="H107" s="590"/>
      <c r="I107" s="590"/>
      <c r="J107" s="590"/>
      <c r="K107" s="590"/>
      <c r="L107" s="590"/>
      <c r="M107" s="590"/>
      <c r="N107" s="590"/>
      <c r="O107" s="590"/>
      <c r="P107" s="590"/>
      <c r="Q107" s="590"/>
      <c r="R107" s="590"/>
      <c r="S107" s="590"/>
      <c r="T107" s="590"/>
      <c r="U107" s="590"/>
      <c r="V107" s="590"/>
      <c r="W107" s="590"/>
      <c r="X107" s="590"/>
      <c r="Y107" s="590"/>
      <c r="Z107" s="590"/>
    </row>
    <row r="108" ht="12.75" customHeight="1">
      <c r="A108" s="590"/>
      <c r="B108" s="590"/>
      <c r="C108" s="590"/>
      <c r="D108" s="590"/>
      <c r="E108" s="590"/>
      <c r="F108" s="590"/>
      <c r="G108" s="590"/>
      <c r="H108" s="590"/>
      <c r="I108" s="590"/>
      <c r="J108" s="590"/>
      <c r="K108" s="590"/>
      <c r="L108" s="590"/>
      <c r="M108" s="590"/>
      <c r="N108" s="590"/>
      <c r="O108" s="590"/>
      <c r="P108" s="590"/>
      <c r="Q108" s="590"/>
      <c r="R108" s="590"/>
      <c r="S108" s="590"/>
      <c r="T108" s="590"/>
      <c r="U108" s="590"/>
      <c r="V108" s="590"/>
      <c r="W108" s="590"/>
      <c r="X108" s="590"/>
      <c r="Y108" s="590"/>
      <c r="Z108" s="590"/>
    </row>
    <row r="109" ht="12.75" customHeight="1">
      <c r="A109" s="590"/>
      <c r="B109" s="590"/>
      <c r="C109" s="590"/>
      <c r="D109" s="590"/>
      <c r="E109" s="590"/>
      <c r="F109" s="590"/>
      <c r="G109" s="590"/>
      <c r="H109" s="590"/>
      <c r="I109" s="590"/>
      <c r="J109" s="590"/>
      <c r="K109" s="590"/>
      <c r="L109" s="590"/>
      <c r="M109" s="590"/>
      <c r="N109" s="590"/>
      <c r="O109" s="590"/>
      <c r="P109" s="590"/>
      <c r="Q109" s="590"/>
      <c r="R109" s="590"/>
      <c r="S109" s="590"/>
      <c r="T109" s="590"/>
      <c r="U109" s="590"/>
      <c r="V109" s="590"/>
      <c r="W109" s="590"/>
      <c r="X109" s="590"/>
      <c r="Y109" s="590"/>
      <c r="Z109" s="590"/>
    </row>
    <row r="110" ht="12.75" customHeight="1">
      <c r="A110" s="590"/>
      <c r="B110" s="590"/>
      <c r="C110" s="590"/>
      <c r="D110" s="590"/>
      <c r="E110" s="590"/>
      <c r="F110" s="590"/>
      <c r="G110" s="590"/>
      <c r="H110" s="590"/>
      <c r="I110" s="590"/>
      <c r="J110" s="590"/>
      <c r="K110" s="590"/>
      <c r="L110" s="590"/>
      <c r="M110" s="590"/>
      <c r="N110" s="590"/>
      <c r="O110" s="590"/>
      <c r="P110" s="590"/>
      <c r="Q110" s="590"/>
      <c r="R110" s="590"/>
      <c r="S110" s="590"/>
      <c r="T110" s="590"/>
      <c r="U110" s="590"/>
      <c r="V110" s="590"/>
      <c r="W110" s="590"/>
      <c r="X110" s="590"/>
      <c r="Y110" s="590"/>
      <c r="Z110" s="590"/>
    </row>
    <row r="111" ht="12.75" customHeight="1">
      <c r="A111" s="590"/>
      <c r="B111" s="590"/>
      <c r="C111" s="590"/>
      <c r="D111" s="590"/>
      <c r="E111" s="590"/>
      <c r="F111" s="590"/>
      <c r="G111" s="590"/>
      <c r="H111" s="590"/>
      <c r="I111" s="590"/>
      <c r="J111" s="590"/>
      <c r="K111" s="590"/>
      <c r="L111" s="590"/>
      <c r="M111" s="590"/>
      <c r="N111" s="590"/>
      <c r="O111" s="590"/>
      <c r="P111" s="590"/>
      <c r="Q111" s="590"/>
      <c r="R111" s="590"/>
      <c r="S111" s="590"/>
      <c r="T111" s="590"/>
      <c r="U111" s="590"/>
      <c r="V111" s="590"/>
      <c r="W111" s="590"/>
      <c r="X111" s="590"/>
      <c r="Y111" s="590"/>
      <c r="Z111" s="590"/>
    </row>
    <row r="112" ht="12.75" customHeight="1">
      <c r="A112" s="590"/>
      <c r="B112" s="590"/>
      <c r="C112" s="590"/>
      <c r="D112" s="590"/>
      <c r="E112" s="590"/>
      <c r="F112" s="590"/>
      <c r="G112" s="590"/>
      <c r="H112" s="590"/>
      <c r="I112" s="590"/>
      <c r="J112" s="590"/>
      <c r="K112" s="590"/>
      <c r="L112" s="590"/>
      <c r="M112" s="590"/>
      <c r="N112" s="590"/>
      <c r="O112" s="590"/>
      <c r="P112" s="590"/>
      <c r="Q112" s="590"/>
      <c r="R112" s="590"/>
      <c r="S112" s="590"/>
      <c r="T112" s="590"/>
      <c r="U112" s="590"/>
      <c r="V112" s="590"/>
      <c r="W112" s="590"/>
      <c r="X112" s="590"/>
      <c r="Y112" s="590"/>
      <c r="Z112" s="590"/>
    </row>
    <row r="113" ht="12.75" customHeight="1">
      <c r="A113" s="590"/>
      <c r="B113" s="590"/>
      <c r="C113" s="590"/>
      <c r="D113" s="590"/>
      <c r="E113" s="590"/>
      <c r="F113" s="590"/>
      <c r="G113" s="590"/>
      <c r="H113" s="590"/>
      <c r="I113" s="590"/>
      <c r="J113" s="590"/>
      <c r="K113" s="590"/>
      <c r="L113" s="590"/>
      <c r="M113" s="590"/>
      <c r="N113" s="590"/>
      <c r="O113" s="590"/>
      <c r="P113" s="590"/>
      <c r="Q113" s="590"/>
      <c r="R113" s="590"/>
      <c r="S113" s="590"/>
      <c r="T113" s="590"/>
      <c r="U113" s="590"/>
      <c r="V113" s="590"/>
      <c r="W113" s="590"/>
      <c r="X113" s="590"/>
      <c r="Y113" s="590"/>
      <c r="Z113" s="590"/>
    </row>
    <row r="114" ht="12.75" customHeight="1">
      <c r="A114" s="590"/>
      <c r="B114" s="590"/>
      <c r="C114" s="590"/>
      <c r="D114" s="590"/>
      <c r="E114" s="590"/>
      <c r="F114" s="590"/>
      <c r="G114" s="590"/>
      <c r="H114" s="590"/>
      <c r="I114" s="590"/>
      <c r="J114" s="590"/>
      <c r="K114" s="590"/>
      <c r="L114" s="590"/>
      <c r="M114" s="590"/>
      <c r="N114" s="590"/>
      <c r="O114" s="590"/>
      <c r="P114" s="590"/>
      <c r="Q114" s="590"/>
      <c r="R114" s="590"/>
      <c r="S114" s="590"/>
      <c r="T114" s="590"/>
      <c r="U114" s="590"/>
      <c r="V114" s="590"/>
      <c r="W114" s="590"/>
      <c r="X114" s="590"/>
      <c r="Y114" s="590"/>
      <c r="Z114" s="590"/>
    </row>
    <row r="115" ht="12.75" customHeight="1">
      <c r="A115" s="590"/>
      <c r="B115" s="590"/>
      <c r="C115" s="590"/>
      <c r="D115" s="590"/>
      <c r="E115" s="590"/>
      <c r="F115" s="590"/>
      <c r="G115" s="590"/>
      <c r="H115" s="590"/>
      <c r="I115" s="590"/>
      <c r="J115" s="590"/>
      <c r="K115" s="590"/>
      <c r="L115" s="590"/>
      <c r="M115" s="590"/>
      <c r="N115" s="590"/>
      <c r="O115" s="590"/>
      <c r="P115" s="590"/>
      <c r="Q115" s="590"/>
      <c r="R115" s="590"/>
      <c r="S115" s="590"/>
      <c r="T115" s="590"/>
      <c r="U115" s="590"/>
      <c r="V115" s="590"/>
      <c r="W115" s="590"/>
      <c r="X115" s="590"/>
      <c r="Y115" s="590"/>
      <c r="Z115" s="590"/>
    </row>
    <row r="116" ht="12.75" customHeight="1">
      <c r="A116" s="590"/>
      <c r="B116" s="590"/>
      <c r="C116" s="590"/>
      <c r="D116" s="590"/>
      <c r="E116" s="590"/>
      <c r="F116" s="590"/>
      <c r="G116" s="590"/>
      <c r="H116" s="590"/>
      <c r="I116" s="590"/>
      <c r="J116" s="590"/>
      <c r="K116" s="590"/>
      <c r="L116" s="590"/>
      <c r="M116" s="590"/>
      <c r="N116" s="590"/>
      <c r="O116" s="590"/>
      <c r="P116" s="590"/>
      <c r="Q116" s="590"/>
      <c r="R116" s="590"/>
      <c r="S116" s="590"/>
      <c r="T116" s="590"/>
      <c r="U116" s="590"/>
      <c r="V116" s="590"/>
      <c r="W116" s="590"/>
      <c r="X116" s="590"/>
      <c r="Y116" s="590"/>
      <c r="Z116" s="590"/>
    </row>
    <row r="117" ht="12.75" customHeight="1">
      <c r="A117" s="590"/>
      <c r="B117" s="590"/>
      <c r="C117" s="590"/>
      <c r="D117" s="590"/>
      <c r="E117" s="590"/>
      <c r="F117" s="590"/>
      <c r="G117" s="590"/>
      <c r="H117" s="590"/>
      <c r="I117" s="590"/>
      <c r="J117" s="590"/>
      <c r="K117" s="590"/>
      <c r="L117" s="590"/>
      <c r="M117" s="590"/>
      <c r="N117" s="590"/>
      <c r="O117" s="590"/>
      <c r="P117" s="590"/>
      <c r="Q117" s="590"/>
      <c r="R117" s="590"/>
      <c r="S117" s="590"/>
      <c r="T117" s="590"/>
      <c r="U117" s="590"/>
      <c r="V117" s="590"/>
      <c r="W117" s="590"/>
      <c r="X117" s="590"/>
      <c r="Y117" s="590"/>
      <c r="Z117" s="590"/>
    </row>
    <row r="118" ht="12.75" customHeight="1">
      <c r="A118" s="590"/>
      <c r="B118" s="590"/>
      <c r="C118" s="590"/>
      <c r="D118" s="590"/>
      <c r="E118" s="590"/>
      <c r="F118" s="590"/>
      <c r="G118" s="590"/>
      <c r="H118" s="590"/>
      <c r="I118" s="590"/>
      <c r="J118" s="590"/>
      <c r="K118" s="590"/>
      <c r="L118" s="590"/>
      <c r="M118" s="590"/>
      <c r="N118" s="590"/>
      <c r="O118" s="590"/>
      <c r="P118" s="590"/>
      <c r="Q118" s="590"/>
      <c r="R118" s="590"/>
      <c r="S118" s="590"/>
      <c r="T118" s="590"/>
      <c r="U118" s="590"/>
      <c r="V118" s="590"/>
      <c r="W118" s="590"/>
      <c r="X118" s="590"/>
      <c r="Y118" s="590"/>
      <c r="Z118" s="590"/>
    </row>
    <row r="119" ht="12.75" customHeight="1">
      <c r="A119" s="590"/>
      <c r="B119" s="590"/>
      <c r="C119" s="590"/>
      <c r="D119" s="590"/>
      <c r="E119" s="590"/>
      <c r="F119" s="590"/>
      <c r="G119" s="590"/>
      <c r="H119" s="590"/>
      <c r="I119" s="590"/>
      <c r="J119" s="590"/>
      <c r="K119" s="590"/>
      <c r="L119" s="590"/>
      <c r="M119" s="590"/>
      <c r="N119" s="590"/>
      <c r="O119" s="590"/>
      <c r="P119" s="590"/>
      <c r="Q119" s="590"/>
      <c r="R119" s="590"/>
      <c r="S119" s="590"/>
      <c r="T119" s="590"/>
      <c r="U119" s="590"/>
      <c r="V119" s="590"/>
      <c r="W119" s="590"/>
      <c r="X119" s="590"/>
      <c r="Y119" s="590"/>
      <c r="Z119" s="590"/>
    </row>
    <row r="120" ht="12.75" customHeight="1">
      <c r="A120" s="590"/>
      <c r="B120" s="590"/>
      <c r="C120" s="590"/>
      <c r="D120" s="590"/>
      <c r="E120" s="590"/>
      <c r="F120" s="590"/>
      <c r="G120" s="590"/>
      <c r="H120" s="590"/>
      <c r="I120" s="590"/>
      <c r="J120" s="590"/>
      <c r="K120" s="590"/>
      <c r="L120" s="590"/>
      <c r="M120" s="590"/>
      <c r="N120" s="590"/>
      <c r="O120" s="590"/>
      <c r="P120" s="590"/>
      <c r="Q120" s="590"/>
      <c r="R120" s="590"/>
      <c r="S120" s="590"/>
      <c r="T120" s="590"/>
      <c r="U120" s="590"/>
      <c r="V120" s="590"/>
      <c r="W120" s="590"/>
      <c r="X120" s="590"/>
      <c r="Y120" s="590"/>
      <c r="Z120" s="590"/>
    </row>
    <row r="121" ht="12.75" customHeight="1">
      <c r="A121" s="590"/>
      <c r="B121" s="590"/>
      <c r="C121" s="590"/>
      <c r="D121" s="590"/>
      <c r="E121" s="590"/>
      <c r="F121" s="590"/>
      <c r="G121" s="590"/>
      <c r="H121" s="590"/>
      <c r="I121" s="590"/>
      <c r="J121" s="590"/>
      <c r="K121" s="590"/>
      <c r="L121" s="590"/>
      <c r="M121" s="590"/>
      <c r="N121" s="590"/>
      <c r="O121" s="590"/>
      <c r="P121" s="590"/>
      <c r="Q121" s="590"/>
      <c r="R121" s="590"/>
      <c r="S121" s="590"/>
      <c r="T121" s="590"/>
      <c r="U121" s="590"/>
      <c r="V121" s="590"/>
      <c r="W121" s="590"/>
      <c r="X121" s="590"/>
      <c r="Y121" s="590"/>
      <c r="Z121" s="590"/>
    </row>
    <row r="122" ht="12.75" customHeight="1">
      <c r="A122" s="590"/>
      <c r="B122" s="590"/>
      <c r="C122" s="590"/>
      <c r="D122" s="590"/>
      <c r="E122" s="590"/>
      <c r="F122" s="590"/>
      <c r="G122" s="590"/>
      <c r="H122" s="590"/>
      <c r="I122" s="590"/>
      <c r="J122" s="590"/>
      <c r="K122" s="590"/>
      <c r="L122" s="590"/>
      <c r="M122" s="590"/>
      <c r="N122" s="590"/>
      <c r="O122" s="590"/>
      <c r="P122" s="590"/>
      <c r="Q122" s="590"/>
      <c r="R122" s="590"/>
      <c r="S122" s="590"/>
      <c r="T122" s="590"/>
      <c r="U122" s="590"/>
      <c r="V122" s="590"/>
      <c r="W122" s="590"/>
      <c r="X122" s="590"/>
      <c r="Y122" s="590"/>
      <c r="Z122" s="590"/>
    </row>
    <row r="123" ht="12.75" customHeight="1">
      <c r="A123" s="590"/>
      <c r="B123" s="590"/>
      <c r="C123" s="590"/>
      <c r="D123" s="590"/>
      <c r="E123" s="590"/>
      <c r="F123" s="590"/>
      <c r="G123" s="590"/>
      <c r="H123" s="590"/>
      <c r="I123" s="590"/>
      <c r="J123" s="590"/>
      <c r="K123" s="590"/>
      <c r="L123" s="590"/>
      <c r="M123" s="590"/>
      <c r="N123" s="590"/>
      <c r="O123" s="590"/>
      <c r="P123" s="590"/>
      <c r="Q123" s="590"/>
      <c r="R123" s="590"/>
      <c r="S123" s="590"/>
      <c r="T123" s="590"/>
      <c r="U123" s="590"/>
      <c r="V123" s="590"/>
      <c r="W123" s="590"/>
      <c r="X123" s="590"/>
      <c r="Y123" s="590"/>
      <c r="Z123" s="590"/>
    </row>
    <row r="124" ht="12.75" customHeight="1">
      <c r="A124" s="590"/>
      <c r="B124" s="590"/>
      <c r="C124" s="590"/>
      <c r="D124" s="590"/>
      <c r="E124" s="590"/>
      <c r="F124" s="590"/>
      <c r="G124" s="590"/>
      <c r="H124" s="590"/>
      <c r="I124" s="590"/>
      <c r="J124" s="590"/>
      <c r="K124" s="590"/>
      <c r="L124" s="590"/>
      <c r="M124" s="590"/>
      <c r="N124" s="590"/>
      <c r="O124" s="590"/>
      <c r="P124" s="590"/>
      <c r="Q124" s="590"/>
      <c r="R124" s="590"/>
      <c r="S124" s="590"/>
      <c r="T124" s="590"/>
      <c r="U124" s="590"/>
      <c r="V124" s="590"/>
      <c r="W124" s="590"/>
      <c r="X124" s="590"/>
      <c r="Y124" s="590"/>
      <c r="Z124" s="590"/>
    </row>
    <row r="125" ht="12.75" customHeight="1">
      <c r="A125" s="590"/>
      <c r="B125" s="590"/>
      <c r="C125" s="590"/>
      <c r="D125" s="590"/>
      <c r="E125" s="590"/>
      <c r="F125" s="590"/>
      <c r="G125" s="590"/>
      <c r="H125" s="590"/>
      <c r="I125" s="590"/>
      <c r="J125" s="590"/>
      <c r="K125" s="590"/>
      <c r="L125" s="590"/>
      <c r="M125" s="590"/>
      <c r="N125" s="590"/>
      <c r="O125" s="590"/>
      <c r="P125" s="590"/>
      <c r="Q125" s="590"/>
      <c r="R125" s="590"/>
      <c r="S125" s="590"/>
      <c r="T125" s="590"/>
      <c r="U125" s="590"/>
      <c r="V125" s="590"/>
      <c r="W125" s="590"/>
      <c r="X125" s="590"/>
      <c r="Y125" s="590"/>
      <c r="Z125" s="590"/>
    </row>
    <row r="126" ht="12.75" customHeight="1">
      <c r="A126" s="590"/>
      <c r="B126" s="590"/>
      <c r="C126" s="590"/>
      <c r="D126" s="590"/>
      <c r="E126" s="590"/>
      <c r="F126" s="590"/>
      <c r="G126" s="590"/>
      <c r="H126" s="590"/>
      <c r="I126" s="590"/>
      <c r="J126" s="590"/>
      <c r="K126" s="590"/>
      <c r="L126" s="590"/>
      <c r="M126" s="590"/>
      <c r="N126" s="590"/>
      <c r="O126" s="590"/>
      <c r="P126" s="590"/>
      <c r="Q126" s="590"/>
      <c r="R126" s="590"/>
      <c r="S126" s="590"/>
      <c r="T126" s="590"/>
      <c r="U126" s="590"/>
      <c r="V126" s="590"/>
      <c r="W126" s="590"/>
      <c r="X126" s="590"/>
      <c r="Y126" s="590"/>
      <c r="Z126" s="590"/>
    </row>
    <row r="127" ht="12.75" customHeight="1">
      <c r="A127" s="590"/>
      <c r="B127" s="590"/>
      <c r="C127" s="590"/>
      <c r="D127" s="590"/>
      <c r="E127" s="590"/>
      <c r="F127" s="590"/>
      <c r="G127" s="590"/>
      <c r="H127" s="590"/>
      <c r="I127" s="590"/>
      <c r="J127" s="590"/>
      <c r="K127" s="590"/>
      <c r="L127" s="590"/>
      <c r="M127" s="590"/>
      <c r="N127" s="590"/>
      <c r="O127" s="590"/>
      <c r="P127" s="590"/>
      <c r="Q127" s="590"/>
      <c r="R127" s="590"/>
      <c r="S127" s="590"/>
      <c r="T127" s="590"/>
      <c r="U127" s="590"/>
      <c r="V127" s="590"/>
      <c r="W127" s="590"/>
      <c r="X127" s="590"/>
      <c r="Y127" s="590"/>
      <c r="Z127" s="590"/>
    </row>
    <row r="128" ht="12.75" customHeight="1">
      <c r="A128" s="590"/>
      <c r="B128" s="590"/>
      <c r="C128" s="590"/>
      <c r="D128" s="590"/>
      <c r="E128" s="590"/>
      <c r="F128" s="590"/>
      <c r="G128" s="590"/>
      <c r="H128" s="590"/>
      <c r="I128" s="590"/>
      <c r="J128" s="590"/>
      <c r="K128" s="590"/>
      <c r="L128" s="590"/>
      <c r="M128" s="590"/>
      <c r="N128" s="590"/>
      <c r="O128" s="590"/>
      <c r="P128" s="590"/>
      <c r="Q128" s="590"/>
      <c r="R128" s="590"/>
      <c r="S128" s="590"/>
      <c r="T128" s="590"/>
      <c r="U128" s="590"/>
      <c r="V128" s="590"/>
      <c r="W128" s="590"/>
      <c r="X128" s="590"/>
      <c r="Y128" s="590"/>
      <c r="Z128" s="590"/>
    </row>
    <row r="129" ht="12.75" customHeight="1">
      <c r="A129" s="590"/>
      <c r="B129" s="590"/>
      <c r="C129" s="590"/>
      <c r="D129" s="590"/>
      <c r="E129" s="590"/>
      <c r="F129" s="590"/>
      <c r="G129" s="590"/>
      <c r="H129" s="590"/>
      <c r="I129" s="590"/>
      <c r="J129" s="590"/>
      <c r="K129" s="590"/>
      <c r="L129" s="590"/>
      <c r="M129" s="590"/>
      <c r="N129" s="590"/>
      <c r="O129" s="590"/>
      <c r="P129" s="590"/>
      <c r="Q129" s="590"/>
      <c r="R129" s="590"/>
      <c r="S129" s="590"/>
      <c r="T129" s="590"/>
      <c r="U129" s="590"/>
      <c r="V129" s="590"/>
      <c r="W129" s="590"/>
      <c r="X129" s="590"/>
      <c r="Y129" s="590"/>
      <c r="Z129" s="590"/>
    </row>
    <row r="130" ht="12.75" customHeight="1">
      <c r="A130" s="590"/>
      <c r="B130" s="590"/>
      <c r="C130" s="590"/>
      <c r="D130" s="590"/>
      <c r="E130" s="590"/>
      <c r="F130" s="590"/>
      <c r="G130" s="590"/>
      <c r="H130" s="590"/>
      <c r="I130" s="590"/>
      <c r="J130" s="590"/>
      <c r="K130" s="590"/>
      <c r="L130" s="590"/>
      <c r="M130" s="590"/>
      <c r="N130" s="590"/>
      <c r="O130" s="590"/>
      <c r="P130" s="590"/>
      <c r="Q130" s="590"/>
      <c r="R130" s="590"/>
      <c r="S130" s="590"/>
      <c r="T130" s="590"/>
      <c r="U130" s="590"/>
      <c r="V130" s="590"/>
      <c r="W130" s="590"/>
      <c r="X130" s="590"/>
      <c r="Y130" s="590"/>
      <c r="Z130" s="590"/>
    </row>
    <row r="131" ht="12.75" customHeight="1">
      <c r="A131" s="590"/>
      <c r="B131" s="590"/>
      <c r="C131" s="590"/>
      <c r="D131" s="590"/>
      <c r="E131" s="590"/>
      <c r="F131" s="590"/>
      <c r="G131" s="590"/>
      <c r="H131" s="590"/>
      <c r="I131" s="590"/>
      <c r="J131" s="590"/>
      <c r="K131" s="590"/>
      <c r="L131" s="590"/>
      <c r="M131" s="590"/>
      <c r="N131" s="590"/>
      <c r="O131" s="590"/>
      <c r="P131" s="590"/>
      <c r="Q131" s="590"/>
      <c r="R131" s="590"/>
      <c r="S131" s="590"/>
      <c r="T131" s="590"/>
      <c r="U131" s="590"/>
      <c r="V131" s="590"/>
      <c r="W131" s="590"/>
      <c r="X131" s="590"/>
      <c r="Y131" s="590"/>
      <c r="Z131" s="590"/>
    </row>
    <row r="132" ht="12.75" customHeight="1">
      <c r="A132" s="590"/>
      <c r="B132" s="590"/>
      <c r="C132" s="590"/>
      <c r="D132" s="590"/>
      <c r="E132" s="590"/>
      <c r="F132" s="590"/>
      <c r="G132" s="590"/>
      <c r="H132" s="590"/>
      <c r="I132" s="590"/>
      <c r="J132" s="590"/>
      <c r="K132" s="590"/>
      <c r="L132" s="590"/>
      <c r="M132" s="590"/>
      <c r="N132" s="590"/>
      <c r="O132" s="590"/>
      <c r="P132" s="590"/>
      <c r="Q132" s="590"/>
      <c r="R132" s="590"/>
      <c r="S132" s="590"/>
      <c r="T132" s="590"/>
      <c r="U132" s="590"/>
      <c r="V132" s="590"/>
      <c r="W132" s="590"/>
      <c r="X132" s="590"/>
      <c r="Y132" s="590"/>
      <c r="Z132" s="590"/>
    </row>
    <row r="133" ht="12.75" customHeight="1">
      <c r="A133" s="590"/>
      <c r="B133" s="590"/>
      <c r="C133" s="590"/>
      <c r="D133" s="590"/>
      <c r="E133" s="590"/>
      <c r="F133" s="590"/>
      <c r="G133" s="590"/>
      <c r="H133" s="590"/>
      <c r="I133" s="590"/>
      <c r="J133" s="590"/>
      <c r="K133" s="590"/>
      <c r="L133" s="590"/>
      <c r="M133" s="590"/>
      <c r="N133" s="590"/>
      <c r="O133" s="590"/>
      <c r="P133" s="590"/>
      <c r="Q133" s="590"/>
      <c r="R133" s="590"/>
      <c r="S133" s="590"/>
      <c r="T133" s="590"/>
      <c r="U133" s="590"/>
      <c r="V133" s="590"/>
      <c r="W133" s="590"/>
      <c r="X133" s="590"/>
      <c r="Y133" s="590"/>
      <c r="Z133" s="590"/>
    </row>
    <row r="134" ht="12.75" customHeight="1">
      <c r="A134" s="590"/>
      <c r="B134" s="590"/>
      <c r="C134" s="590"/>
      <c r="D134" s="590"/>
      <c r="E134" s="590"/>
      <c r="F134" s="590"/>
      <c r="G134" s="590"/>
      <c r="H134" s="590"/>
      <c r="I134" s="590"/>
      <c r="J134" s="590"/>
      <c r="K134" s="590"/>
      <c r="L134" s="590"/>
      <c r="M134" s="590"/>
      <c r="N134" s="590"/>
      <c r="O134" s="590"/>
      <c r="P134" s="590"/>
      <c r="Q134" s="590"/>
      <c r="R134" s="590"/>
      <c r="S134" s="590"/>
      <c r="T134" s="590"/>
      <c r="U134" s="590"/>
      <c r="V134" s="590"/>
      <c r="W134" s="590"/>
      <c r="X134" s="590"/>
      <c r="Y134" s="590"/>
      <c r="Z134" s="590"/>
    </row>
    <row r="135" ht="12.75" customHeight="1">
      <c r="A135" s="590"/>
      <c r="B135" s="590"/>
      <c r="C135" s="590"/>
      <c r="D135" s="590"/>
      <c r="E135" s="590"/>
      <c r="F135" s="590"/>
      <c r="G135" s="590"/>
      <c r="H135" s="590"/>
      <c r="I135" s="590"/>
      <c r="J135" s="590"/>
      <c r="K135" s="590"/>
      <c r="L135" s="590"/>
      <c r="M135" s="590"/>
      <c r="N135" s="590"/>
      <c r="O135" s="590"/>
      <c r="P135" s="590"/>
      <c r="Q135" s="590"/>
      <c r="R135" s="590"/>
      <c r="S135" s="590"/>
      <c r="T135" s="590"/>
      <c r="U135" s="590"/>
      <c r="V135" s="590"/>
      <c r="W135" s="590"/>
      <c r="X135" s="590"/>
      <c r="Y135" s="590"/>
      <c r="Z135" s="590"/>
    </row>
    <row r="136" ht="12.75" customHeight="1">
      <c r="A136" s="590"/>
      <c r="B136" s="590"/>
      <c r="C136" s="590"/>
      <c r="D136" s="590"/>
      <c r="E136" s="590"/>
      <c r="F136" s="590"/>
      <c r="G136" s="590"/>
      <c r="H136" s="590"/>
      <c r="I136" s="590"/>
      <c r="J136" s="590"/>
      <c r="K136" s="590"/>
      <c r="L136" s="590"/>
      <c r="M136" s="590"/>
      <c r="N136" s="590"/>
      <c r="O136" s="590"/>
      <c r="P136" s="590"/>
      <c r="Q136" s="590"/>
      <c r="R136" s="590"/>
      <c r="S136" s="590"/>
      <c r="T136" s="590"/>
      <c r="U136" s="590"/>
      <c r="V136" s="590"/>
      <c r="W136" s="590"/>
      <c r="X136" s="590"/>
      <c r="Y136" s="590"/>
      <c r="Z136" s="590"/>
    </row>
    <row r="137" ht="12.75" customHeight="1">
      <c r="A137" s="590"/>
      <c r="B137" s="590"/>
      <c r="C137" s="590"/>
      <c r="D137" s="590"/>
      <c r="E137" s="590"/>
      <c r="F137" s="590"/>
      <c r="G137" s="590"/>
      <c r="H137" s="590"/>
      <c r="I137" s="590"/>
      <c r="J137" s="590"/>
      <c r="K137" s="590"/>
      <c r="L137" s="590"/>
      <c r="M137" s="590"/>
      <c r="N137" s="590"/>
      <c r="O137" s="590"/>
      <c r="P137" s="590"/>
      <c r="Q137" s="590"/>
      <c r="R137" s="590"/>
      <c r="S137" s="590"/>
      <c r="T137" s="590"/>
      <c r="U137" s="590"/>
      <c r="V137" s="590"/>
      <c r="W137" s="590"/>
      <c r="X137" s="590"/>
      <c r="Y137" s="590"/>
      <c r="Z137" s="590"/>
    </row>
    <row r="138" ht="12.75" customHeight="1">
      <c r="A138" s="590"/>
      <c r="B138" s="590"/>
      <c r="C138" s="590"/>
      <c r="D138" s="590"/>
      <c r="E138" s="590"/>
      <c r="F138" s="590"/>
      <c r="G138" s="590"/>
      <c r="H138" s="590"/>
      <c r="I138" s="590"/>
      <c r="J138" s="590"/>
      <c r="K138" s="590"/>
      <c r="L138" s="590"/>
      <c r="M138" s="590"/>
      <c r="N138" s="590"/>
      <c r="O138" s="590"/>
      <c r="P138" s="590"/>
      <c r="Q138" s="590"/>
      <c r="R138" s="590"/>
      <c r="S138" s="590"/>
      <c r="T138" s="590"/>
      <c r="U138" s="590"/>
      <c r="V138" s="590"/>
      <c r="W138" s="590"/>
      <c r="X138" s="590"/>
      <c r="Y138" s="590"/>
      <c r="Z138" s="590"/>
    </row>
    <row r="139" ht="12.75" customHeight="1">
      <c r="A139" s="590"/>
      <c r="B139" s="590"/>
      <c r="C139" s="590"/>
      <c r="D139" s="590"/>
      <c r="E139" s="590"/>
      <c r="F139" s="590"/>
      <c r="G139" s="590"/>
      <c r="H139" s="590"/>
      <c r="I139" s="590"/>
      <c r="J139" s="590"/>
      <c r="K139" s="590"/>
      <c r="L139" s="590"/>
      <c r="M139" s="590"/>
      <c r="N139" s="590"/>
      <c r="O139" s="590"/>
      <c r="P139" s="590"/>
      <c r="Q139" s="590"/>
      <c r="R139" s="590"/>
      <c r="S139" s="590"/>
      <c r="T139" s="590"/>
      <c r="U139" s="590"/>
      <c r="V139" s="590"/>
      <c r="W139" s="590"/>
      <c r="X139" s="590"/>
      <c r="Y139" s="590"/>
      <c r="Z139" s="590"/>
    </row>
    <row r="140" ht="12.75" customHeight="1">
      <c r="A140" s="590"/>
      <c r="B140" s="590"/>
      <c r="C140" s="590"/>
      <c r="D140" s="590"/>
      <c r="E140" s="590"/>
      <c r="F140" s="590"/>
      <c r="G140" s="590"/>
      <c r="H140" s="590"/>
      <c r="I140" s="590"/>
      <c r="J140" s="590"/>
      <c r="K140" s="590"/>
      <c r="L140" s="590"/>
      <c r="M140" s="590"/>
      <c r="N140" s="590"/>
      <c r="O140" s="590"/>
      <c r="P140" s="590"/>
      <c r="Q140" s="590"/>
      <c r="R140" s="590"/>
      <c r="S140" s="590"/>
      <c r="T140" s="590"/>
      <c r="U140" s="590"/>
      <c r="V140" s="590"/>
      <c r="W140" s="590"/>
      <c r="X140" s="590"/>
      <c r="Y140" s="590"/>
      <c r="Z140" s="590"/>
    </row>
    <row r="141" ht="12.75" customHeight="1">
      <c r="A141" s="590"/>
      <c r="B141" s="590"/>
      <c r="C141" s="590"/>
      <c r="D141" s="590"/>
      <c r="E141" s="590"/>
      <c r="F141" s="590"/>
      <c r="G141" s="590"/>
      <c r="H141" s="590"/>
      <c r="I141" s="590"/>
      <c r="J141" s="590"/>
      <c r="K141" s="590"/>
      <c r="L141" s="590"/>
      <c r="M141" s="590"/>
      <c r="N141" s="590"/>
      <c r="O141" s="590"/>
      <c r="P141" s="590"/>
      <c r="Q141" s="590"/>
      <c r="R141" s="590"/>
      <c r="S141" s="590"/>
      <c r="T141" s="590"/>
      <c r="U141" s="590"/>
      <c r="V141" s="590"/>
      <c r="W141" s="590"/>
      <c r="X141" s="590"/>
      <c r="Y141" s="590"/>
      <c r="Z141" s="590"/>
    </row>
    <row r="142" ht="12.75" customHeight="1">
      <c r="A142" s="590"/>
      <c r="B142" s="590"/>
      <c r="C142" s="590"/>
      <c r="D142" s="590"/>
      <c r="E142" s="590"/>
      <c r="F142" s="590"/>
      <c r="G142" s="590"/>
      <c r="H142" s="590"/>
      <c r="I142" s="590"/>
      <c r="J142" s="590"/>
      <c r="K142" s="590"/>
      <c r="L142" s="590"/>
      <c r="M142" s="590"/>
      <c r="N142" s="590"/>
      <c r="O142" s="590"/>
      <c r="P142" s="590"/>
      <c r="Q142" s="590"/>
      <c r="R142" s="590"/>
      <c r="S142" s="590"/>
      <c r="T142" s="590"/>
      <c r="U142" s="590"/>
      <c r="V142" s="590"/>
      <c r="W142" s="590"/>
      <c r="X142" s="590"/>
      <c r="Y142" s="590"/>
      <c r="Z142" s="590"/>
    </row>
    <row r="143" ht="12.75" customHeight="1">
      <c r="A143" s="590"/>
      <c r="B143" s="590"/>
      <c r="C143" s="590"/>
      <c r="D143" s="590"/>
      <c r="E143" s="590"/>
      <c r="F143" s="590"/>
      <c r="G143" s="590"/>
      <c r="H143" s="590"/>
      <c r="I143" s="590"/>
      <c r="J143" s="590"/>
      <c r="K143" s="590"/>
      <c r="L143" s="590"/>
      <c r="M143" s="590"/>
      <c r="N143" s="590"/>
      <c r="O143" s="590"/>
      <c r="P143" s="590"/>
      <c r="Q143" s="590"/>
      <c r="R143" s="590"/>
      <c r="S143" s="590"/>
      <c r="T143" s="590"/>
      <c r="U143" s="590"/>
      <c r="V143" s="590"/>
      <c r="W143" s="590"/>
      <c r="X143" s="590"/>
      <c r="Y143" s="590"/>
      <c r="Z143" s="590"/>
    </row>
    <row r="144" ht="12.75" customHeight="1">
      <c r="A144" s="590"/>
      <c r="B144" s="590"/>
      <c r="C144" s="590"/>
      <c r="D144" s="590"/>
      <c r="E144" s="590"/>
      <c r="F144" s="590"/>
      <c r="G144" s="590"/>
      <c r="H144" s="590"/>
      <c r="I144" s="590"/>
      <c r="J144" s="590"/>
      <c r="K144" s="590"/>
      <c r="L144" s="590"/>
      <c r="M144" s="590"/>
      <c r="N144" s="590"/>
      <c r="O144" s="590"/>
      <c r="P144" s="590"/>
      <c r="Q144" s="590"/>
      <c r="R144" s="590"/>
      <c r="S144" s="590"/>
      <c r="T144" s="590"/>
      <c r="U144" s="590"/>
      <c r="V144" s="590"/>
      <c r="W144" s="590"/>
      <c r="X144" s="590"/>
      <c r="Y144" s="590"/>
      <c r="Z144" s="590"/>
    </row>
    <row r="145" ht="12.75" customHeight="1">
      <c r="A145" s="590"/>
      <c r="B145" s="590"/>
      <c r="C145" s="590"/>
      <c r="D145" s="590"/>
      <c r="E145" s="590"/>
      <c r="F145" s="590"/>
      <c r="G145" s="590"/>
      <c r="H145" s="590"/>
      <c r="I145" s="590"/>
      <c r="J145" s="590"/>
      <c r="K145" s="590"/>
      <c r="L145" s="590"/>
      <c r="M145" s="590"/>
      <c r="N145" s="590"/>
      <c r="O145" s="590"/>
      <c r="P145" s="590"/>
      <c r="Q145" s="590"/>
      <c r="R145" s="590"/>
      <c r="S145" s="590"/>
      <c r="T145" s="590"/>
      <c r="U145" s="590"/>
      <c r="V145" s="590"/>
      <c r="W145" s="590"/>
      <c r="X145" s="590"/>
      <c r="Y145" s="590"/>
      <c r="Z145" s="590"/>
    </row>
    <row r="146" ht="12.75" customHeight="1">
      <c r="A146" s="590"/>
      <c r="B146" s="590"/>
      <c r="C146" s="590"/>
      <c r="D146" s="590"/>
      <c r="E146" s="590"/>
      <c r="F146" s="590"/>
      <c r="G146" s="590"/>
      <c r="H146" s="590"/>
      <c r="I146" s="590"/>
      <c r="J146" s="590"/>
      <c r="K146" s="590"/>
      <c r="L146" s="590"/>
      <c r="M146" s="590"/>
      <c r="N146" s="590"/>
      <c r="O146" s="590"/>
      <c r="P146" s="590"/>
      <c r="Q146" s="590"/>
      <c r="R146" s="590"/>
      <c r="S146" s="590"/>
      <c r="T146" s="590"/>
      <c r="U146" s="590"/>
      <c r="V146" s="590"/>
      <c r="W146" s="590"/>
      <c r="X146" s="590"/>
      <c r="Y146" s="590"/>
      <c r="Z146" s="590"/>
    </row>
    <row r="147" ht="12.75" customHeight="1">
      <c r="A147" s="590"/>
      <c r="B147" s="590"/>
      <c r="C147" s="590"/>
      <c r="D147" s="590"/>
      <c r="E147" s="590"/>
      <c r="F147" s="590"/>
      <c r="G147" s="590"/>
      <c r="H147" s="590"/>
      <c r="I147" s="590"/>
      <c r="J147" s="590"/>
      <c r="K147" s="590"/>
      <c r="L147" s="590"/>
      <c r="M147" s="590"/>
      <c r="N147" s="590"/>
      <c r="O147" s="590"/>
      <c r="P147" s="590"/>
      <c r="Q147" s="590"/>
      <c r="R147" s="590"/>
      <c r="S147" s="590"/>
      <c r="T147" s="590"/>
      <c r="U147" s="590"/>
      <c r="V147" s="590"/>
      <c r="W147" s="590"/>
      <c r="X147" s="590"/>
      <c r="Y147" s="590"/>
      <c r="Z147" s="590"/>
    </row>
    <row r="148" ht="12.75" customHeight="1">
      <c r="A148" s="590"/>
      <c r="B148" s="590"/>
      <c r="C148" s="590"/>
      <c r="D148" s="590"/>
      <c r="E148" s="590"/>
      <c r="F148" s="590"/>
      <c r="G148" s="590"/>
      <c r="H148" s="590"/>
      <c r="I148" s="590"/>
      <c r="J148" s="590"/>
      <c r="K148" s="590"/>
      <c r="L148" s="590"/>
      <c r="M148" s="590"/>
      <c r="N148" s="590"/>
      <c r="O148" s="590"/>
      <c r="P148" s="590"/>
      <c r="Q148" s="590"/>
      <c r="R148" s="590"/>
      <c r="S148" s="590"/>
      <c r="T148" s="590"/>
      <c r="U148" s="590"/>
      <c r="V148" s="590"/>
      <c r="W148" s="590"/>
      <c r="X148" s="590"/>
      <c r="Y148" s="590"/>
      <c r="Z148" s="590"/>
    </row>
    <row r="149" ht="12.75" customHeight="1">
      <c r="A149" s="590"/>
      <c r="B149" s="590"/>
      <c r="C149" s="590"/>
      <c r="D149" s="590"/>
      <c r="E149" s="590"/>
      <c r="F149" s="590"/>
      <c r="G149" s="590"/>
      <c r="H149" s="590"/>
      <c r="I149" s="590"/>
      <c r="J149" s="590"/>
      <c r="K149" s="590"/>
      <c r="L149" s="590"/>
      <c r="M149" s="590"/>
      <c r="N149" s="590"/>
      <c r="O149" s="590"/>
      <c r="P149" s="590"/>
      <c r="Q149" s="590"/>
      <c r="R149" s="590"/>
      <c r="S149" s="590"/>
      <c r="T149" s="590"/>
      <c r="U149" s="590"/>
      <c r="V149" s="590"/>
      <c r="W149" s="590"/>
      <c r="X149" s="590"/>
      <c r="Y149" s="590"/>
      <c r="Z149" s="590"/>
    </row>
    <row r="150" ht="12.75" customHeight="1">
      <c r="A150" s="590"/>
      <c r="B150" s="590"/>
      <c r="C150" s="590"/>
      <c r="D150" s="590"/>
      <c r="E150" s="590"/>
      <c r="F150" s="590"/>
      <c r="G150" s="590"/>
      <c r="H150" s="590"/>
      <c r="I150" s="590"/>
      <c r="J150" s="590"/>
      <c r="K150" s="590"/>
      <c r="L150" s="590"/>
      <c r="M150" s="590"/>
      <c r="N150" s="590"/>
      <c r="O150" s="590"/>
      <c r="P150" s="590"/>
      <c r="Q150" s="590"/>
      <c r="R150" s="590"/>
      <c r="S150" s="590"/>
      <c r="T150" s="590"/>
      <c r="U150" s="590"/>
      <c r="V150" s="590"/>
      <c r="W150" s="590"/>
      <c r="X150" s="590"/>
      <c r="Y150" s="590"/>
      <c r="Z150" s="590"/>
    </row>
    <row r="151" ht="12.75" customHeight="1">
      <c r="A151" s="590"/>
      <c r="B151" s="590"/>
      <c r="C151" s="590"/>
      <c r="D151" s="590"/>
      <c r="E151" s="590"/>
      <c r="F151" s="590"/>
      <c r="G151" s="590"/>
      <c r="H151" s="590"/>
      <c r="I151" s="590"/>
      <c r="J151" s="590"/>
      <c r="K151" s="590"/>
      <c r="L151" s="590"/>
      <c r="M151" s="590"/>
      <c r="N151" s="590"/>
      <c r="O151" s="590"/>
      <c r="P151" s="590"/>
      <c r="Q151" s="590"/>
      <c r="R151" s="590"/>
      <c r="S151" s="590"/>
      <c r="T151" s="590"/>
      <c r="U151" s="590"/>
      <c r="V151" s="590"/>
      <c r="W151" s="590"/>
      <c r="X151" s="590"/>
      <c r="Y151" s="590"/>
      <c r="Z151" s="590"/>
    </row>
    <row r="152" ht="12.75" customHeight="1">
      <c r="A152" s="590"/>
      <c r="B152" s="590"/>
      <c r="C152" s="590"/>
      <c r="D152" s="590"/>
      <c r="E152" s="590"/>
      <c r="F152" s="590"/>
      <c r="G152" s="590"/>
      <c r="H152" s="590"/>
      <c r="I152" s="590"/>
      <c r="J152" s="590"/>
      <c r="K152" s="590"/>
      <c r="L152" s="590"/>
      <c r="M152" s="590"/>
      <c r="N152" s="590"/>
      <c r="O152" s="590"/>
      <c r="P152" s="590"/>
      <c r="Q152" s="590"/>
      <c r="R152" s="590"/>
      <c r="S152" s="590"/>
      <c r="T152" s="590"/>
      <c r="U152" s="590"/>
      <c r="V152" s="590"/>
      <c r="W152" s="590"/>
      <c r="X152" s="590"/>
      <c r="Y152" s="590"/>
      <c r="Z152" s="590"/>
    </row>
    <row r="153" ht="12.75" customHeight="1">
      <c r="A153" s="590"/>
      <c r="B153" s="590"/>
      <c r="C153" s="590"/>
      <c r="D153" s="590"/>
      <c r="E153" s="590"/>
      <c r="F153" s="590"/>
      <c r="G153" s="590"/>
      <c r="H153" s="590"/>
      <c r="I153" s="590"/>
      <c r="J153" s="590"/>
      <c r="K153" s="590"/>
      <c r="L153" s="590"/>
      <c r="M153" s="590"/>
      <c r="N153" s="590"/>
      <c r="O153" s="590"/>
      <c r="P153" s="590"/>
      <c r="Q153" s="590"/>
      <c r="R153" s="590"/>
      <c r="S153" s="590"/>
      <c r="T153" s="590"/>
      <c r="U153" s="590"/>
      <c r="V153" s="590"/>
      <c r="W153" s="590"/>
      <c r="X153" s="590"/>
      <c r="Y153" s="590"/>
      <c r="Z153" s="590"/>
    </row>
    <row r="154" ht="12.75" customHeight="1">
      <c r="A154" s="590"/>
      <c r="B154" s="590"/>
      <c r="C154" s="590"/>
      <c r="D154" s="590"/>
      <c r="E154" s="590"/>
      <c r="F154" s="590"/>
      <c r="G154" s="590"/>
      <c r="H154" s="590"/>
      <c r="I154" s="590"/>
      <c r="J154" s="590"/>
      <c r="K154" s="590"/>
      <c r="L154" s="590"/>
      <c r="M154" s="590"/>
      <c r="N154" s="590"/>
      <c r="O154" s="590"/>
      <c r="P154" s="590"/>
      <c r="Q154" s="590"/>
      <c r="R154" s="590"/>
      <c r="S154" s="590"/>
      <c r="T154" s="590"/>
      <c r="U154" s="590"/>
      <c r="V154" s="590"/>
      <c r="W154" s="590"/>
      <c r="X154" s="590"/>
      <c r="Y154" s="590"/>
      <c r="Z154" s="590"/>
    </row>
    <row r="155" ht="12.75" customHeight="1">
      <c r="A155" s="590"/>
      <c r="B155" s="590"/>
      <c r="C155" s="590"/>
      <c r="D155" s="590"/>
      <c r="E155" s="590"/>
      <c r="F155" s="590"/>
      <c r="G155" s="590"/>
      <c r="H155" s="590"/>
      <c r="I155" s="590"/>
      <c r="J155" s="590"/>
      <c r="K155" s="590"/>
      <c r="L155" s="590"/>
      <c r="M155" s="590"/>
      <c r="N155" s="590"/>
      <c r="O155" s="590"/>
      <c r="P155" s="590"/>
      <c r="Q155" s="590"/>
      <c r="R155" s="590"/>
      <c r="S155" s="590"/>
      <c r="T155" s="590"/>
      <c r="U155" s="590"/>
      <c r="V155" s="590"/>
      <c r="W155" s="590"/>
      <c r="X155" s="590"/>
      <c r="Y155" s="590"/>
      <c r="Z155" s="590"/>
    </row>
    <row r="156" ht="12.75" customHeight="1">
      <c r="A156" s="590"/>
      <c r="B156" s="590"/>
      <c r="C156" s="590"/>
      <c r="D156" s="590"/>
      <c r="E156" s="590"/>
      <c r="F156" s="590"/>
      <c r="G156" s="590"/>
      <c r="H156" s="590"/>
      <c r="I156" s="590"/>
      <c r="J156" s="590"/>
      <c r="K156" s="590"/>
      <c r="L156" s="590"/>
      <c r="M156" s="590"/>
      <c r="N156" s="590"/>
      <c r="O156" s="590"/>
      <c r="P156" s="590"/>
      <c r="Q156" s="590"/>
      <c r="R156" s="590"/>
      <c r="S156" s="590"/>
      <c r="T156" s="590"/>
      <c r="U156" s="590"/>
      <c r="V156" s="590"/>
      <c r="W156" s="590"/>
      <c r="X156" s="590"/>
      <c r="Y156" s="590"/>
      <c r="Z156" s="590"/>
    </row>
    <row r="157" ht="12.75" customHeight="1">
      <c r="A157" s="590"/>
      <c r="B157" s="590"/>
      <c r="C157" s="590"/>
      <c r="D157" s="590"/>
      <c r="E157" s="590"/>
      <c r="F157" s="590"/>
      <c r="G157" s="590"/>
      <c r="H157" s="590"/>
      <c r="I157" s="590"/>
      <c r="J157" s="590"/>
      <c r="K157" s="590"/>
      <c r="L157" s="590"/>
      <c r="M157" s="590"/>
      <c r="N157" s="590"/>
      <c r="O157" s="590"/>
      <c r="P157" s="590"/>
      <c r="Q157" s="590"/>
      <c r="R157" s="590"/>
      <c r="S157" s="590"/>
      <c r="T157" s="590"/>
      <c r="U157" s="590"/>
      <c r="V157" s="590"/>
      <c r="W157" s="590"/>
      <c r="X157" s="590"/>
      <c r="Y157" s="590"/>
      <c r="Z157" s="590"/>
    </row>
    <row r="158" ht="12.75" customHeight="1">
      <c r="A158" s="590"/>
      <c r="B158" s="590"/>
      <c r="C158" s="590"/>
      <c r="D158" s="590"/>
      <c r="E158" s="590"/>
      <c r="F158" s="590"/>
      <c r="G158" s="590"/>
      <c r="H158" s="590"/>
      <c r="I158" s="590"/>
      <c r="J158" s="590"/>
      <c r="K158" s="590"/>
      <c r="L158" s="590"/>
      <c r="M158" s="590"/>
      <c r="N158" s="590"/>
      <c r="O158" s="590"/>
      <c r="P158" s="590"/>
      <c r="Q158" s="590"/>
      <c r="R158" s="590"/>
      <c r="S158" s="590"/>
      <c r="T158" s="590"/>
      <c r="U158" s="590"/>
      <c r="V158" s="590"/>
      <c r="W158" s="590"/>
      <c r="X158" s="590"/>
      <c r="Y158" s="590"/>
      <c r="Z158" s="590"/>
    </row>
    <row r="159" ht="12.75" customHeight="1">
      <c r="A159" s="590"/>
      <c r="B159" s="590"/>
      <c r="C159" s="590"/>
      <c r="D159" s="590"/>
      <c r="E159" s="590"/>
      <c r="F159" s="590"/>
      <c r="G159" s="590"/>
      <c r="H159" s="590"/>
      <c r="I159" s="590"/>
      <c r="J159" s="590"/>
      <c r="K159" s="590"/>
      <c r="L159" s="590"/>
      <c r="M159" s="590"/>
      <c r="N159" s="590"/>
      <c r="O159" s="590"/>
      <c r="P159" s="590"/>
      <c r="Q159" s="590"/>
      <c r="R159" s="590"/>
      <c r="S159" s="590"/>
      <c r="T159" s="590"/>
      <c r="U159" s="590"/>
      <c r="V159" s="590"/>
      <c r="W159" s="590"/>
      <c r="X159" s="590"/>
      <c r="Y159" s="590"/>
      <c r="Z159" s="590"/>
    </row>
    <row r="160" ht="12.75" customHeight="1">
      <c r="A160" s="590"/>
      <c r="B160" s="590"/>
      <c r="C160" s="590"/>
      <c r="D160" s="590"/>
      <c r="E160" s="590"/>
      <c r="F160" s="590"/>
      <c r="G160" s="590"/>
      <c r="H160" s="590"/>
      <c r="I160" s="590"/>
      <c r="J160" s="590"/>
      <c r="K160" s="590"/>
      <c r="L160" s="590"/>
      <c r="M160" s="590"/>
      <c r="N160" s="590"/>
      <c r="O160" s="590"/>
      <c r="P160" s="590"/>
      <c r="Q160" s="590"/>
      <c r="R160" s="590"/>
      <c r="S160" s="590"/>
      <c r="T160" s="590"/>
      <c r="U160" s="590"/>
      <c r="V160" s="590"/>
      <c r="W160" s="590"/>
      <c r="X160" s="590"/>
      <c r="Y160" s="590"/>
      <c r="Z160" s="590"/>
    </row>
    <row r="161" ht="12.75" customHeight="1">
      <c r="A161" s="590"/>
      <c r="B161" s="590"/>
      <c r="C161" s="590"/>
      <c r="D161" s="590"/>
      <c r="E161" s="590"/>
      <c r="F161" s="590"/>
      <c r="G161" s="590"/>
      <c r="H161" s="590"/>
      <c r="I161" s="590"/>
      <c r="J161" s="590"/>
      <c r="K161" s="590"/>
      <c r="L161" s="590"/>
      <c r="M161" s="590"/>
      <c r="N161" s="590"/>
      <c r="O161" s="590"/>
      <c r="P161" s="590"/>
      <c r="Q161" s="590"/>
      <c r="R161" s="590"/>
      <c r="S161" s="590"/>
      <c r="T161" s="590"/>
      <c r="U161" s="590"/>
      <c r="V161" s="590"/>
      <c r="W161" s="590"/>
      <c r="X161" s="590"/>
      <c r="Y161" s="590"/>
      <c r="Z161" s="590"/>
    </row>
    <row r="162" ht="12.75" customHeight="1">
      <c r="A162" s="590"/>
      <c r="B162" s="590"/>
      <c r="C162" s="590"/>
      <c r="D162" s="590"/>
      <c r="E162" s="590"/>
      <c r="F162" s="590"/>
      <c r="G162" s="590"/>
      <c r="H162" s="590"/>
      <c r="I162" s="590"/>
      <c r="J162" s="590"/>
      <c r="K162" s="590"/>
      <c r="L162" s="590"/>
      <c r="M162" s="590"/>
      <c r="N162" s="590"/>
      <c r="O162" s="590"/>
      <c r="P162" s="590"/>
      <c r="Q162" s="590"/>
      <c r="R162" s="590"/>
      <c r="S162" s="590"/>
      <c r="T162" s="590"/>
      <c r="U162" s="590"/>
      <c r="V162" s="590"/>
      <c r="W162" s="590"/>
      <c r="X162" s="590"/>
      <c r="Y162" s="590"/>
      <c r="Z162" s="590"/>
    </row>
    <row r="163" ht="12.75" customHeight="1">
      <c r="A163" s="590"/>
      <c r="B163" s="590"/>
      <c r="C163" s="590"/>
      <c r="D163" s="590"/>
      <c r="E163" s="590"/>
      <c r="F163" s="590"/>
      <c r="G163" s="590"/>
      <c r="H163" s="590"/>
      <c r="I163" s="590"/>
      <c r="J163" s="590"/>
      <c r="K163" s="590"/>
      <c r="L163" s="590"/>
      <c r="M163" s="590"/>
      <c r="N163" s="590"/>
      <c r="O163" s="590"/>
      <c r="P163" s="590"/>
      <c r="Q163" s="590"/>
      <c r="R163" s="590"/>
      <c r="S163" s="590"/>
      <c r="T163" s="590"/>
      <c r="U163" s="590"/>
      <c r="V163" s="590"/>
      <c r="W163" s="590"/>
      <c r="X163" s="590"/>
      <c r="Y163" s="590"/>
      <c r="Z163" s="590"/>
    </row>
    <row r="164" ht="12.75" customHeight="1">
      <c r="A164" s="590"/>
      <c r="B164" s="590"/>
      <c r="C164" s="590"/>
      <c r="D164" s="590"/>
      <c r="E164" s="590"/>
      <c r="F164" s="590"/>
      <c r="G164" s="590"/>
      <c r="H164" s="590"/>
      <c r="I164" s="590"/>
      <c r="J164" s="590"/>
      <c r="K164" s="590"/>
      <c r="L164" s="590"/>
      <c r="M164" s="590"/>
      <c r="N164" s="590"/>
      <c r="O164" s="590"/>
      <c r="P164" s="590"/>
      <c r="Q164" s="590"/>
      <c r="R164" s="590"/>
      <c r="S164" s="590"/>
      <c r="T164" s="590"/>
      <c r="U164" s="590"/>
      <c r="V164" s="590"/>
      <c r="W164" s="590"/>
      <c r="X164" s="590"/>
      <c r="Y164" s="590"/>
      <c r="Z164" s="590"/>
    </row>
    <row r="165" ht="12.75" customHeight="1">
      <c r="A165" s="590"/>
      <c r="B165" s="590"/>
      <c r="C165" s="590"/>
      <c r="D165" s="590"/>
      <c r="E165" s="590"/>
      <c r="F165" s="590"/>
      <c r="G165" s="590"/>
      <c r="H165" s="590"/>
      <c r="I165" s="590"/>
      <c r="J165" s="590"/>
      <c r="K165" s="590"/>
      <c r="L165" s="590"/>
      <c r="M165" s="590"/>
      <c r="N165" s="590"/>
      <c r="O165" s="590"/>
      <c r="P165" s="590"/>
      <c r="Q165" s="590"/>
      <c r="R165" s="590"/>
      <c r="S165" s="590"/>
      <c r="T165" s="590"/>
      <c r="U165" s="590"/>
      <c r="V165" s="590"/>
      <c r="W165" s="590"/>
      <c r="X165" s="590"/>
      <c r="Y165" s="590"/>
      <c r="Z165" s="590"/>
    </row>
    <row r="166" ht="12.75" customHeight="1">
      <c r="A166" s="590"/>
      <c r="B166" s="590"/>
      <c r="C166" s="590"/>
      <c r="D166" s="590"/>
      <c r="E166" s="590"/>
      <c r="F166" s="590"/>
      <c r="G166" s="590"/>
      <c r="H166" s="590"/>
      <c r="I166" s="590"/>
      <c r="J166" s="590"/>
      <c r="K166" s="590"/>
      <c r="L166" s="590"/>
      <c r="M166" s="590"/>
      <c r="N166" s="590"/>
      <c r="O166" s="590"/>
      <c r="P166" s="590"/>
      <c r="Q166" s="590"/>
      <c r="R166" s="590"/>
      <c r="S166" s="590"/>
      <c r="T166" s="590"/>
      <c r="U166" s="590"/>
      <c r="V166" s="590"/>
      <c r="W166" s="590"/>
      <c r="X166" s="590"/>
      <c r="Y166" s="590"/>
      <c r="Z166" s="590"/>
    </row>
    <row r="167" ht="12.75" customHeight="1">
      <c r="A167" s="590"/>
      <c r="B167" s="590"/>
      <c r="C167" s="590"/>
      <c r="D167" s="590"/>
      <c r="E167" s="590"/>
      <c r="F167" s="590"/>
      <c r="G167" s="590"/>
      <c r="H167" s="590"/>
      <c r="I167" s="590"/>
      <c r="J167" s="590"/>
      <c r="K167" s="590"/>
      <c r="L167" s="590"/>
      <c r="M167" s="590"/>
      <c r="N167" s="590"/>
      <c r="O167" s="590"/>
      <c r="P167" s="590"/>
      <c r="Q167" s="590"/>
      <c r="R167" s="590"/>
      <c r="S167" s="590"/>
      <c r="T167" s="590"/>
      <c r="U167" s="590"/>
      <c r="V167" s="590"/>
      <c r="W167" s="590"/>
      <c r="X167" s="590"/>
      <c r="Y167" s="590"/>
      <c r="Z167" s="590"/>
    </row>
    <row r="168" ht="12.75" customHeight="1">
      <c r="A168" s="590"/>
      <c r="B168" s="590"/>
      <c r="C168" s="590"/>
      <c r="D168" s="590"/>
      <c r="E168" s="590"/>
      <c r="F168" s="590"/>
      <c r="G168" s="590"/>
      <c r="H168" s="590"/>
      <c r="I168" s="590"/>
      <c r="J168" s="590"/>
      <c r="K168" s="590"/>
      <c r="L168" s="590"/>
      <c r="M168" s="590"/>
      <c r="N168" s="590"/>
      <c r="O168" s="590"/>
      <c r="P168" s="590"/>
      <c r="Q168" s="590"/>
      <c r="R168" s="590"/>
      <c r="S168" s="590"/>
      <c r="T168" s="590"/>
      <c r="U168" s="590"/>
      <c r="V168" s="590"/>
      <c r="W168" s="590"/>
      <c r="X168" s="590"/>
      <c r="Y168" s="590"/>
      <c r="Z168" s="590"/>
    </row>
    <row r="169" ht="12.75" customHeight="1">
      <c r="A169" s="590"/>
      <c r="B169" s="590"/>
      <c r="C169" s="590"/>
      <c r="D169" s="590"/>
      <c r="E169" s="590"/>
      <c r="F169" s="590"/>
      <c r="G169" s="590"/>
      <c r="H169" s="590"/>
      <c r="I169" s="590"/>
      <c r="J169" s="590"/>
      <c r="K169" s="590"/>
      <c r="L169" s="590"/>
      <c r="M169" s="590"/>
      <c r="N169" s="590"/>
      <c r="O169" s="590"/>
      <c r="P169" s="590"/>
      <c r="Q169" s="590"/>
      <c r="R169" s="590"/>
      <c r="S169" s="590"/>
      <c r="T169" s="590"/>
      <c r="U169" s="590"/>
      <c r="V169" s="590"/>
      <c r="W169" s="590"/>
      <c r="X169" s="590"/>
      <c r="Y169" s="590"/>
      <c r="Z169" s="590"/>
    </row>
    <row r="170" ht="12.75" customHeight="1">
      <c r="A170" s="590"/>
      <c r="B170" s="590"/>
      <c r="C170" s="590"/>
      <c r="D170" s="590"/>
      <c r="E170" s="590"/>
      <c r="F170" s="590"/>
      <c r="G170" s="590"/>
      <c r="H170" s="590"/>
      <c r="I170" s="590"/>
      <c r="J170" s="590"/>
      <c r="K170" s="590"/>
      <c r="L170" s="590"/>
      <c r="M170" s="590"/>
      <c r="N170" s="590"/>
      <c r="O170" s="590"/>
      <c r="P170" s="590"/>
      <c r="Q170" s="590"/>
      <c r="R170" s="590"/>
      <c r="S170" s="590"/>
      <c r="T170" s="590"/>
      <c r="U170" s="590"/>
      <c r="V170" s="590"/>
      <c r="W170" s="590"/>
      <c r="X170" s="590"/>
      <c r="Y170" s="590"/>
      <c r="Z170" s="590"/>
    </row>
    <row r="171" ht="12.75" customHeight="1">
      <c r="A171" s="590"/>
      <c r="B171" s="590"/>
      <c r="C171" s="590"/>
      <c r="D171" s="590"/>
      <c r="E171" s="590"/>
      <c r="F171" s="590"/>
      <c r="G171" s="590"/>
      <c r="H171" s="590"/>
      <c r="I171" s="590"/>
      <c r="J171" s="590"/>
      <c r="K171" s="590"/>
      <c r="L171" s="590"/>
      <c r="M171" s="590"/>
      <c r="N171" s="590"/>
      <c r="O171" s="590"/>
      <c r="P171" s="590"/>
      <c r="Q171" s="590"/>
      <c r="R171" s="590"/>
      <c r="S171" s="590"/>
      <c r="T171" s="590"/>
      <c r="U171" s="590"/>
      <c r="V171" s="590"/>
      <c r="W171" s="590"/>
      <c r="X171" s="590"/>
      <c r="Y171" s="590"/>
      <c r="Z171" s="590"/>
    </row>
    <row r="172" ht="12.75" customHeight="1">
      <c r="A172" s="590"/>
      <c r="B172" s="590"/>
      <c r="C172" s="590"/>
      <c r="D172" s="590"/>
      <c r="E172" s="590"/>
      <c r="F172" s="590"/>
      <c r="G172" s="590"/>
      <c r="H172" s="590"/>
      <c r="I172" s="590"/>
      <c r="J172" s="590"/>
      <c r="K172" s="590"/>
      <c r="L172" s="590"/>
      <c r="M172" s="590"/>
      <c r="N172" s="590"/>
      <c r="O172" s="590"/>
      <c r="P172" s="590"/>
      <c r="Q172" s="590"/>
      <c r="R172" s="590"/>
      <c r="S172" s="590"/>
      <c r="T172" s="590"/>
      <c r="U172" s="590"/>
      <c r="V172" s="590"/>
      <c r="W172" s="590"/>
      <c r="X172" s="590"/>
      <c r="Y172" s="590"/>
      <c r="Z172" s="590"/>
    </row>
    <row r="173" ht="12.75" customHeight="1">
      <c r="A173" s="590"/>
      <c r="B173" s="590"/>
      <c r="C173" s="590"/>
      <c r="D173" s="590"/>
      <c r="E173" s="590"/>
      <c r="F173" s="590"/>
      <c r="G173" s="590"/>
      <c r="H173" s="590"/>
      <c r="I173" s="590"/>
      <c r="J173" s="590"/>
      <c r="K173" s="590"/>
      <c r="L173" s="590"/>
      <c r="M173" s="590"/>
      <c r="N173" s="590"/>
      <c r="O173" s="590"/>
      <c r="P173" s="590"/>
      <c r="Q173" s="590"/>
      <c r="R173" s="590"/>
      <c r="S173" s="590"/>
      <c r="T173" s="590"/>
      <c r="U173" s="590"/>
      <c r="V173" s="590"/>
      <c r="W173" s="590"/>
      <c r="X173" s="590"/>
      <c r="Y173" s="590"/>
      <c r="Z173" s="590"/>
    </row>
    <row r="174" ht="12.75" customHeight="1">
      <c r="A174" s="590"/>
      <c r="B174" s="590"/>
      <c r="C174" s="590"/>
      <c r="D174" s="590"/>
      <c r="E174" s="590"/>
      <c r="F174" s="590"/>
      <c r="G174" s="590"/>
      <c r="H174" s="590"/>
      <c r="I174" s="590"/>
      <c r="J174" s="590"/>
      <c r="K174" s="590"/>
      <c r="L174" s="590"/>
      <c r="M174" s="590"/>
      <c r="N174" s="590"/>
      <c r="O174" s="590"/>
      <c r="P174" s="590"/>
      <c r="Q174" s="590"/>
      <c r="R174" s="590"/>
      <c r="S174" s="590"/>
      <c r="T174" s="590"/>
      <c r="U174" s="590"/>
      <c r="V174" s="590"/>
      <c r="W174" s="590"/>
      <c r="X174" s="590"/>
      <c r="Y174" s="590"/>
      <c r="Z174" s="590"/>
    </row>
    <row r="175" ht="12.75" customHeight="1">
      <c r="A175" s="590"/>
      <c r="B175" s="590"/>
      <c r="C175" s="590"/>
      <c r="D175" s="590"/>
      <c r="E175" s="590"/>
      <c r="F175" s="590"/>
      <c r="G175" s="590"/>
      <c r="H175" s="590"/>
      <c r="I175" s="590"/>
      <c r="J175" s="590"/>
      <c r="K175" s="590"/>
      <c r="L175" s="590"/>
      <c r="M175" s="590"/>
      <c r="N175" s="590"/>
      <c r="O175" s="590"/>
      <c r="P175" s="590"/>
      <c r="Q175" s="590"/>
      <c r="R175" s="590"/>
      <c r="S175" s="590"/>
      <c r="T175" s="590"/>
      <c r="U175" s="590"/>
      <c r="V175" s="590"/>
      <c r="W175" s="590"/>
      <c r="X175" s="590"/>
      <c r="Y175" s="590"/>
      <c r="Z175" s="590"/>
    </row>
    <row r="176" ht="12.75" customHeight="1">
      <c r="A176" s="590"/>
      <c r="B176" s="590"/>
      <c r="C176" s="590"/>
      <c r="D176" s="590"/>
      <c r="E176" s="590"/>
      <c r="F176" s="590"/>
      <c r="G176" s="590"/>
      <c r="H176" s="590"/>
      <c r="I176" s="590"/>
      <c r="J176" s="590"/>
      <c r="K176" s="590"/>
      <c r="L176" s="590"/>
      <c r="M176" s="590"/>
      <c r="N176" s="590"/>
      <c r="O176" s="590"/>
      <c r="P176" s="590"/>
      <c r="Q176" s="590"/>
      <c r="R176" s="590"/>
      <c r="S176" s="590"/>
      <c r="T176" s="590"/>
      <c r="U176" s="590"/>
      <c r="V176" s="590"/>
      <c r="W176" s="590"/>
      <c r="X176" s="590"/>
      <c r="Y176" s="590"/>
      <c r="Z176" s="590"/>
    </row>
    <row r="177" ht="12.75" customHeight="1">
      <c r="A177" s="590"/>
      <c r="B177" s="590"/>
      <c r="C177" s="590"/>
      <c r="D177" s="590"/>
      <c r="E177" s="590"/>
      <c r="F177" s="590"/>
      <c r="G177" s="590"/>
      <c r="H177" s="590"/>
      <c r="I177" s="590"/>
      <c r="J177" s="590"/>
      <c r="K177" s="590"/>
      <c r="L177" s="590"/>
      <c r="M177" s="590"/>
      <c r="N177" s="590"/>
      <c r="O177" s="590"/>
      <c r="P177" s="590"/>
      <c r="Q177" s="590"/>
      <c r="R177" s="590"/>
      <c r="S177" s="590"/>
      <c r="T177" s="590"/>
      <c r="U177" s="590"/>
      <c r="V177" s="590"/>
      <c r="W177" s="590"/>
      <c r="X177" s="590"/>
      <c r="Y177" s="590"/>
      <c r="Z177" s="590"/>
    </row>
    <row r="178" ht="12.75" customHeight="1">
      <c r="A178" s="590"/>
      <c r="B178" s="590"/>
      <c r="C178" s="590"/>
      <c r="D178" s="590"/>
      <c r="E178" s="590"/>
      <c r="F178" s="590"/>
      <c r="G178" s="590"/>
      <c r="H178" s="590"/>
      <c r="I178" s="590"/>
      <c r="J178" s="590"/>
      <c r="K178" s="590"/>
      <c r="L178" s="590"/>
      <c r="M178" s="590"/>
      <c r="N178" s="590"/>
      <c r="O178" s="590"/>
      <c r="P178" s="590"/>
      <c r="Q178" s="590"/>
      <c r="R178" s="590"/>
      <c r="S178" s="590"/>
      <c r="T178" s="590"/>
      <c r="U178" s="590"/>
      <c r="V178" s="590"/>
      <c r="W178" s="590"/>
      <c r="X178" s="590"/>
      <c r="Y178" s="590"/>
      <c r="Z178" s="590"/>
    </row>
    <row r="179" ht="12.75" customHeight="1">
      <c r="A179" s="590"/>
      <c r="B179" s="590"/>
      <c r="C179" s="590"/>
      <c r="D179" s="590"/>
      <c r="E179" s="590"/>
      <c r="F179" s="590"/>
      <c r="G179" s="590"/>
      <c r="H179" s="590"/>
      <c r="I179" s="590"/>
      <c r="J179" s="590"/>
      <c r="K179" s="590"/>
      <c r="L179" s="590"/>
      <c r="M179" s="590"/>
      <c r="N179" s="590"/>
      <c r="O179" s="590"/>
      <c r="P179" s="590"/>
      <c r="Q179" s="590"/>
      <c r="R179" s="590"/>
      <c r="S179" s="590"/>
      <c r="T179" s="590"/>
      <c r="U179" s="590"/>
      <c r="V179" s="590"/>
      <c r="W179" s="590"/>
      <c r="X179" s="590"/>
      <c r="Y179" s="590"/>
      <c r="Z179" s="590"/>
    </row>
    <row r="180" ht="12.75" customHeight="1">
      <c r="A180" s="590"/>
      <c r="B180" s="590"/>
      <c r="C180" s="590"/>
      <c r="D180" s="590"/>
      <c r="E180" s="590"/>
      <c r="F180" s="590"/>
      <c r="G180" s="590"/>
      <c r="H180" s="590"/>
      <c r="I180" s="590"/>
      <c r="J180" s="590"/>
      <c r="K180" s="590"/>
      <c r="L180" s="590"/>
      <c r="M180" s="590"/>
      <c r="N180" s="590"/>
      <c r="O180" s="590"/>
      <c r="P180" s="590"/>
      <c r="Q180" s="590"/>
      <c r="R180" s="590"/>
      <c r="S180" s="590"/>
      <c r="T180" s="590"/>
      <c r="U180" s="590"/>
      <c r="V180" s="590"/>
      <c r="W180" s="590"/>
      <c r="X180" s="590"/>
      <c r="Y180" s="590"/>
      <c r="Z180" s="590"/>
    </row>
    <row r="181" ht="12.75" customHeight="1">
      <c r="A181" s="590"/>
      <c r="B181" s="590"/>
      <c r="C181" s="590"/>
      <c r="D181" s="590"/>
      <c r="E181" s="590"/>
      <c r="F181" s="590"/>
      <c r="G181" s="590"/>
      <c r="H181" s="590"/>
      <c r="I181" s="590"/>
      <c r="J181" s="590"/>
      <c r="K181" s="590"/>
      <c r="L181" s="590"/>
      <c r="M181" s="590"/>
      <c r="N181" s="590"/>
      <c r="O181" s="590"/>
      <c r="P181" s="590"/>
      <c r="Q181" s="590"/>
      <c r="R181" s="590"/>
      <c r="S181" s="590"/>
      <c r="T181" s="590"/>
      <c r="U181" s="590"/>
      <c r="V181" s="590"/>
      <c r="W181" s="590"/>
      <c r="X181" s="590"/>
      <c r="Y181" s="590"/>
      <c r="Z181" s="590"/>
    </row>
    <row r="182" ht="12.75" customHeight="1">
      <c r="A182" s="590"/>
      <c r="B182" s="590"/>
      <c r="C182" s="590"/>
      <c r="D182" s="590"/>
      <c r="E182" s="590"/>
      <c r="F182" s="590"/>
      <c r="G182" s="590"/>
      <c r="H182" s="590"/>
      <c r="I182" s="590"/>
      <c r="J182" s="590"/>
      <c r="K182" s="590"/>
      <c r="L182" s="590"/>
      <c r="M182" s="590"/>
      <c r="N182" s="590"/>
      <c r="O182" s="590"/>
      <c r="P182" s="590"/>
      <c r="Q182" s="590"/>
      <c r="R182" s="590"/>
      <c r="S182" s="590"/>
      <c r="T182" s="590"/>
      <c r="U182" s="590"/>
      <c r="V182" s="590"/>
      <c r="W182" s="590"/>
      <c r="X182" s="590"/>
      <c r="Y182" s="590"/>
      <c r="Z182" s="590"/>
    </row>
    <row r="183" ht="12.75" customHeight="1">
      <c r="A183" s="590"/>
      <c r="B183" s="590"/>
      <c r="C183" s="590"/>
      <c r="D183" s="590"/>
      <c r="E183" s="590"/>
      <c r="F183" s="590"/>
      <c r="G183" s="590"/>
      <c r="H183" s="590"/>
      <c r="I183" s="590"/>
      <c r="J183" s="590"/>
      <c r="K183" s="590"/>
      <c r="L183" s="590"/>
      <c r="M183" s="590"/>
      <c r="N183" s="590"/>
      <c r="O183" s="590"/>
      <c r="P183" s="590"/>
      <c r="Q183" s="590"/>
      <c r="R183" s="590"/>
      <c r="S183" s="590"/>
      <c r="T183" s="590"/>
      <c r="U183" s="590"/>
      <c r="V183" s="590"/>
      <c r="W183" s="590"/>
      <c r="X183" s="590"/>
      <c r="Y183" s="590"/>
      <c r="Z183" s="590"/>
    </row>
    <row r="184" ht="12.75" customHeight="1">
      <c r="A184" s="590"/>
      <c r="B184" s="590"/>
      <c r="C184" s="590"/>
      <c r="D184" s="590"/>
      <c r="E184" s="590"/>
      <c r="F184" s="590"/>
      <c r="G184" s="590"/>
      <c r="H184" s="590"/>
      <c r="I184" s="590"/>
      <c r="J184" s="590"/>
      <c r="K184" s="590"/>
      <c r="L184" s="590"/>
      <c r="M184" s="590"/>
      <c r="N184" s="590"/>
      <c r="O184" s="590"/>
      <c r="P184" s="590"/>
      <c r="Q184" s="590"/>
      <c r="R184" s="590"/>
      <c r="S184" s="590"/>
      <c r="T184" s="590"/>
      <c r="U184" s="590"/>
      <c r="V184" s="590"/>
      <c r="W184" s="590"/>
      <c r="X184" s="590"/>
      <c r="Y184" s="590"/>
      <c r="Z184" s="590"/>
    </row>
    <row r="185" ht="12.75" customHeight="1">
      <c r="A185" s="590"/>
      <c r="B185" s="590"/>
      <c r="C185" s="590"/>
      <c r="D185" s="590"/>
      <c r="E185" s="590"/>
      <c r="F185" s="590"/>
      <c r="G185" s="590"/>
      <c r="H185" s="590"/>
      <c r="I185" s="590"/>
      <c r="J185" s="590"/>
      <c r="K185" s="590"/>
      <c r="L185" s="590"/>
      <c r="M185" s="590"/>
      <c r="N185" s="590"/>
      <c r="O185" s="590"/>
      <c r="P185" s="590"/>
      <c r="Q185" s="590"/>
      <c r="R185" s="590"/>
      <c r="S185" s="590"/>
      <c r="T185" s="590"/>
      <c r="U185" s="590"/>
      <c r="V185" s="590"/>
      <c r="W185" s="590"/>
      <c r="X185" s="590"/>
      <c r="Y185" s="590"/>
      <c r="Z185" s="590"/>
    </row>
    <row r="186" ht="12.75" customHeight="1">
      <c r="A186" s="590"/>
      <c r="B186" s="590"/>
      <c r="C186" s="590"/>
      <c r="D186" s="590"/>
      <c r="E186" s="590"/>
      <c r="F186" s="590"/>
      <c r="G186" s="590"/>
      <c r="H186" s="590"/>
      <c r="I186" s="590"/>
      <c r="J186" s="590"/>
      <c r="K186" s="590"/>
      <c r="L186" s="590"/>
      <c r="M186" s="590"/>
      <c r="N186" s="590"/>
      <c r="O186" s="590"/>
      <c r="P186" s="590"/>
      <c r="Q186" s="590"/>
      <c r="R186" s="590"/>
      <c r="S186" s="590"/>
      <c r="T186" s="590"/>
      <c r="U186" s="590"/>
      <c r="V186" s="590"/>
      <c r="W186" s="590"/>
      <c r="X186" s="590"/>
      <c r="Y186" s="590"/>
      <c r="Z186" s="590"/>
    </row>
    <row r="187" ht="12.75" customHeight="1">
      <c r="A187" s="590"/>
      <c r="B187" s="590"/>
      <c r="C187" s="590"/>
      <c r="D187" s="590"/>
      <c r="E187" s="590"/>
      <c r="F187" s="590"/>
      <c r="G187" s="590"/>
      <c r="H187" s="590"/>
      <c r="I187" s="590"/>
      <c r="J187" s="590"/>
      <c r="K187" s="590"/>
      <c r="L187" s="590"/>
      <c r="M187" s="590"/>
      <c r="N187" s="590"/>
      <c r="O187" s="590"/>
      <c r="P187" s="590"/>
      <c r="Q187" s="590"/>
      <c r="R187" s="590"/>
      <c r="S187" s="590"/>
      <c r="T187" s="590"/>
      <c r="U187" s="590"/>
      <c r="V187" s="590"/>
      <c r="W187" s="590"/>
      <c r="X187" s="590"/>
      <c r="Y187" s="590"/>
      <c r="Z187" s="590"/>
    </row>
    <row r="188" ht="12.75" customHeight="1">
      <c r="A188" s="590"/>
      <c r="B188" s="590"/>
      <c r="C188" s="590"/>
      <c r="D188" s="590"/>
      <c r="E188" s="590"/>
      <c r="F188" s="590"/>
      <c r="G188" s="590"/>
      <c r="H188" s="590"/>
      <c r="I188" s="590"/>
      <c r="J188" s="590"/>
      <c r="K188" s="590"/>
      <c r="L188" s="590"/>
      <c r="M188" s="590"/>
      <c r="N188" s="590"/>
      <c r="O188" s="590"/>
      <c r="P188" s="590"/>
      <c r="Q188" s="590"/>
      <c r="R188" s="590"/>
      <c r="S188" s="590"/>
      <c r="T188" s="590"/>
      <c r="U188" s="590"/>
      <c r="V188" s="590"/>
      <c r="W188" s="590"/>
      <c r="X188" s="590"/>
      <c r="Y188" s="590"/>
      <c r="Z188" s="590"/>
    </row>
    <row r="189" ht="12.75" customHeight="1">
      <c r="A189" s="590"/>
      <c r="B189" s="590"/>
      <c r="C189" s="590"/>
      <c r="D189" s="590"/>
      <c r="E189" s="590"/>
      <c r="F189" s="590"/>
      <c r="G189" s="590"/>
      <c r="H189" s="590"/>
      <c r="I189" s="590"/>
      <c r="J189" s="590"/>
      <c r="K189" s="590"/>
      <c r="L189" s="590"/>
      <c r="M189" s="590"/>
      <c r="N189" s="590"/>
      <c r="O189" s="590"/>
      <c r="P189" s="590"/>
      <c r="Q189" s="590"/>
      <c r="R189" s="590"/>
      <c r="S189" s="590"/>
      <c r="T189" s="590"/>
      <c r="U189" s="590"/>
      <c r="V189" s="590"/>
      <c r="W189" s="590"/>
      <c r="X189" s="590"/>
      <c r="Y189" s="590"/>
      <c r="Z189" s="590"/>
    </row>
    <row r="190" ht="12.75" customHeight="1">
      <c r="A190" s="590"/>
      <c r="B190" s="590"/>
      <c r="C190" s="590"/>
      <c r="D190" s="590"/>
      <c r="E190" s="590"/>
      <c r="F190" s="590"/>
      <c r="G190" s="590"/>
      <c r="H190" s="590"/>
      <c r="I190" s="590"/>
      <c r="J190" s="590"/>
      <c r="K190" s="590"/>
      <c r="L190" s="590"/>
      <c r="M190" s="590"/>
      <c r="N190" s="590"/>
      <c r="O190" s="590"/>
      <c r="P190" s="590"/>
      <c r="Q190" s="590"/>
      <c r="R190" s="590"/>
      <c r="S190" s="590"/>
      <c r="T190" s="590"/>
      <c r="U190" s="590"/>
      <c r="V190" s="590"/>
      <c r="W190" s="590"/>
      <c r="X190" s="590"/>
      <c r="Y190" s="590"/>
      <c r="Z190" s="590"/>
    </row>
    <row r="191" ht="12.75" customHeight="1">
      <c r="A191" s="590"/>
      <c r="B191" s="590"/>
      <c r="C191" s="590"/>
      <c r="D191" s="590"/>
      <c r="E191" s="590"/>
      <c r="F191" s="590"/>
      <c r="G191" s="590"/>
      <c r="H191" s="590"/>
      <c r="I191" s="590"/>
      <c r="J191" s="590"/>
      <c r="K191" s="590"/>
      <c r="L191" s="590"/>
      <c r="M191" s="590"/>
      <c r="N191" s="590"/>
      <c r="O191" s="590"/>
      <c r="P191" s="590"/>
      <c r="Q191" s="590"/>
      <c r="R191" s="590"/>
      <c r="S191" s="590"/>
      <c r="T191" s="590"/>
      <c r="U191" s="590"/>
      <c r="V191" s="590"/>
      <c r="W191" s="590"/>
      <c r="X191" s="590"/>
      <c r="Y191" s="590"/>
      <c r="Z191" s="590"/>
    </row>
    <row r="192" ht="12.75" customHeight="1">
      <c r="A192" s="590"/>
      <c r="B192" s="590"/>
      <c r="C192" s="590"/>
      <c r="D192" s="590"/>
      <c r="E192" s="590"/>
      <c r="F192" s="590"/>
      <c r="G192" s="590"/>
      <c r="H192" s="590"/>
      <c r="I192" s="590"/>
      <c r="J192" s="590"/>
      <c r="K192" s="590"/>
      <c r="L192" s="590"/>
      <c r="M192" s="590"/>
      <c r="N192" s="590"/>
      <c r="O192" s="590"/>
      <c r="P192" s="590"/>
      <c r="Q192" s="590"/>
      <c r="R192" s="590"/>
      <c r="S192" s="590"/>
      <c r="T192" s="590"/>
      <c r="U192" s="590"/>
      <c r="V192" s="590"/>
      <c r="W192" s="590"/>
      <c r="X192" s="590"/>
      <c r="Y192" s="590"/>
      <c r="Z192" s="590"/>
    </row>
    <row r="193" ht="12.75" customHeight="1">
      <c r="A193" s="590"/>
      <c r="B193" s="590"/>
      <c r="C193" s="590"/>
      <c r="D193" s="590"/>
      <c r="E193" s="590"/>
      <c r="F193" s="590"/>
      <c r="G193" s="590"/>
      <c r="H193" s="590"/>
      <c r="I193" s="590"/>
      <c r="J193" s="590"/>
      <c r="K193" s="590"/>
      <c r="L193" s="590"/>
      <c r="M193" s="590"/>
      <c r="N193" s="590"/>
      <c r="O193" s="590"/>
      <c r="P193" s="590"/>
      <c r="Q193" s="590"/>
      <c r="R193" s="590"/>
      <c r="S193" s="590"/>
      <c r="T193" s="590"/>
      <c r="U193" s="590"/>
      <c r="V193" s="590"/>
      <c r="W193" s="590"/>
      <c r="X193" s="590"/>
      <c r="Y193" s="590"/>
      <c r="Z193" s="590"/>
    </row>
    <row r="194" ht="12.75" customHeight="1">
      <c r="A194" s="590"/>
      <c r="B194" s="590"/>
      <c r="C194" s="590"/>
      <c r="D194" s="590"/>
      <c r="E194" s="590"/>
      <c r="F194" s="590"/>
      <c r="G194" s="590"/>
      <c r="H194" s="590"/>
      <c r="I194" s="590"/>
      <c r="J194" s="590"/>
      <c r="K194" s="590"/>
      <c r="L194" s="590"/>
      <c r="M194" s="590"/>
      <c r="N194" s="590"/>
      <c r="O194" s="590"/>
      <c r="P194" s="590"/>
      <c r="Q194" s="590"/>
      <c r="R194" s="590"/>
      <c r="S194" s="590"/>
      <c r="T194" s="590"/>
      <c r="U194" s="590"/>
      <c r="V194" s="590"/>
      <c r="W194" s="590"/>
      <c r="X194" s="590"/>
      <c r="Y194" s="590"/>
      <c r="Z194" s="590"/>
    </row>
    <row r="195" ht="12.75" customHeight="1">
      <c r="A195" s="590"/>
      <c r="B195" s="590"/>
      <c r="C195" s="590"/>
      <c r="D195" s="590"/>
      <c r="E195" s="590"/>
      <c r="F195" s="590"/>
      <c r="G195" s="590"/>
      <c r="H195" s="590"/>
      <c r="I195" s="590"/>
      <c r="J195" s="590"/>
      <c r="K195" s="590"/>
      <c r="L195" s="590"/>
      <c r="M195" s="590"/>
      <c r="N195" s="590"/>
      <c r="O195" s="590"/>
      <c r="P195" s="590"/>
      <c r="Q195" s="590"/>
      <c r="R195" s="590"/>
      <c r="S195" s="590"/>
      <c r="T195" s="590"/>
      <c r="U195" s="590"/>
      <c r="V195" s="590"/>
      <c r="W195" s="590"/>
      <c r="X195" s="590"/>
      <c r="Y195" s="590"/>
      <c r="Z195" s="590"/>
    </row>
    <row r="196" ht="12.75" customHeight="1">
      <c r="A196" s="590"/>
      <c r="B196" s="590"/>
      <c r="C196" s="590"/>
      <c r="D196" s="590"/>
      <c r="E196" s="590"/>
      <c r="F196" s="590"/>
      <c r="G196" s="590"/>
      <c r="H196" s="590"/>
      <c r="I196" s="590"/>
      <c r="J196" s="590"/>
      <c r="K196" s="590"/>
      <c r="L196" s="590"/>
      <c r="M196" s="590"/>
      <c r="N196" s="590"/>
      <c r="O196" s="590"/>
      <c r="P196" s="590"/>
      <c r="Q196" s="590"/>
      <c r="R196" s="590"/>
      <c r="S196" s="590"/>
      <c r="T196" s="590"/>
      <c r="U196" s="590"/>
      <c r="V196" s="590"/>
      <c r="W196" s="590"/>
      <c r="X196" s="590"/>
      <c r="Y196" s="590"/>
      <c r="Z196" s="590"/>
    </row>
    <row r="197" ht="12.75" customHeight="1">
      <c r="A197" s="590"/>
      <c r="B197" s="590"/>
      <c r="C197" s="590"/>
      <c r="D197" s="590"/>
      <c r="E197" s="590"/>
      <c r="F197" s="590"/>
      <c r="G197" s="590"/>
      <c r="H197" s="590"/>
      <c r="I197" s="590"/>
      <c r="J197" s="590"/>
      <c r="K197" s="590"/>
      <c r="L197" s="590"/>
      <c r="M197" s="590"/>
      <c r="N197" s="590"/>
      <c r="O197" s="590"/>
      <c r="P197" s="590"/>
      <c r="Q197" s="590"/>
      <c r="R197" s="590"/>
      <c r="S197" s="590"/>
      <c r="T197" s="590"/>
      <c r="U197" s="590"/>
      <c r="V197" s="590"/>
      <c r="W197" s="590"/>
      <c r="X197" s="590"/>
      <c r="Y197" s="590"/>
      <c r="Z197" s="590"/>
    </row>
    <row r="198" ht="12.75" customHeight="1">
      <c r="A198" s="590"/>
      <c r="B198" s="590"/>
      <c r="C198" s="590"/>
      <c r="D198" s="590"/>
      <c r="E198" s="590"/>
      <c r="F198" s="590"/>
      <c r="G198" s="590"/>
      <c r="H198" s="590"/>
      <c r="I198" s="590"/>
      <c r="J198" s="590"/>
      <c r="K198" s="590"/>
      <c r="L198" s="590"/>
      <c r="M198" s="590"/>
      <c r="N198" s="590"/>
      <c r="O198" s="590"/>
      <c r="P198" s="590"/>
      <c r="Q198" s="590"/>
      <c r="R198" s="590"/>
      <c r="S198" s="590"/>
      <c r="T198" s="590"/>
      <c r="U198" s="590"/>
      <c r="V198" s="590"/>
      <c r="W198" s="590"/>
      <c r="X198" s="590"/>
      <c r="Y198" s="590"/>
      <c r="Z198" s="590"/>
    </row>
    <row r="199" ht="12.75" customHeight="1">
      <c r="A199" s="590"/>
      <c r="B199" s="590"/>
      <c r="C199" s="590"/>
      <c r="D199" s="590"/>
      <c r="E199" s="590"/>
      <c r="F199" s="590"/>
      <c r="G199" s="590"/>
      <c r="H199" s="590"/>
      <c r="I199" s="590"/>
      <c r="J199" s="590"/>
      <c r="K199" s="590"/>
      <c r="L199" s="590"/>
      <c r="M199" s="590"/>
      <c r="N199" s="590"/>
      <c r="O199" s="590"/>
      <c r="P199" s="590"/>
      <c r="Q199" s="590"/>
      <c r="R199" s="590"/>
      <c r="S199" s="590"/>
      <c r="T199" s="590"/>
      <c r="U199" s="590"/>
      <c r="V199" s="590"/>
      <c r="W199" s="590"/>
      <c r="X199" s="590"/>
      <c r="Y199" s="590"/>
      <c r="Z199" s="590"/>
    </row>
    <row r="200" ht="12.75" customHeight="1">
      <c r="A200" s="590"/>
      <c r="B200" s="590"/>
      <c r="C200" s="590"/>
      <c r="D200" s="590"/>
      <c r="E200" s="590"/>
      <c r="F200" s="590"/>
      <c r="G200" s="590"/>
      <c r="H200" s="590"/>
      <c r="I200" s="590"/>
      <c r="J200" s="590"/>
      <c r="K200" s="590"/>
      <c r="L200" s="590"/>
      <c r="M200" s="590"/>
      <c r="N200" s="590"/>
      <c r="O200" s="590"/>
      <c r="P200" s="590"/>
      <c r="Q200" s="590"/>
      <c r="R200" s="590"/>
      <c r="S200" s="590"/>
      <c r="T200" s="590"/>
      <c r="U200" s="590"/>
      <c r="V200" s="590"/>
      <c r="W200" s="590"/>
      <c r="X200" s="590"/>
      <c r="Y200" s="590"/>
      <c r="Z200" s="590"/>
    </row>
    <row r="201" ht="12.75" customHeight="1">
      <c r="A201" s="590"/>
      <c r="B201" s="590"/>
      <c r="C201" s="590"/>
      <c r="D201" s="590"/>
      <c r="E201" s="590"/>
      <c r="F201" s="590"/>
      <c r="G201" s="590"/>
      <c r="H201" s="590"/>
      <c r="I201" s="590"/>
      <c r="J201" s="590"/>
      <c r="K201" s="590"/>
      <c r="L201" s="590"/>
      <c r="M201" s="590"/>
      <c r="N201" s="590"/>
      <c r="O201" s="590"/>
      <c r="P201" s="590"/>
      <c r="Q201" s="590"/>
      <c r="R201" s="590"/>
      <c r="S201" s="590"/>
      <c r="T201" s="590"/>
      <c r="U201" s="590"/>
      <c r="V201" s="590"/>
      <c r="W201" s="590"/>
      <c r="X201" s="590"/>
      <c r="Y201" s="590"/>
      <c r="Z201" s="590"/>
    </row>
    <row r="202" ht="12.75" customHeight="1">
      <c r="A202" s="590"/>
      <c r="B202" s="590"/>
      <c r="C202" s="590"/>
      <c r="D202" s="590"/>
      <c r="E202" s="590"/>
      <c r="F202" s="590"/>
      <c r="G202" s="590"/>
      <c r="H202" s="590"/>
      <c r="I202" s="590"/>
      <c r="J202" s="590"/>
      <c r="K202" s="590"/>
      <c r="L202" s="590"/>
      <c r="M202" s="590"/>
      <c r="N202" s="590"/>
      <c r="O202" s="590"/>
      <c r="P202" s="590"/>
      <c r="Q202" s="590"/>
      <c r="R202" s="590"/>
      <c r="S202" s="590"/>
      <c r="T202" s="590"/>
      <c r="U202" s="590"/>
      <c r="V202" s="590"/>
      <c r="W202" s="590"/>
      <c r="X202" s="590"/>
      <c r="Y202" s="590"/>
      <c r="Z202" s="590"/>
    </row>
    <row r="203" ht="12.75" customHeight="1">
      <c r="A203" s="590"/>
      <c r="B203" s="590"/>
      <c r="C203" s="590"/>
      <c r="D203" s="590"/>
      <c r="E203" s="590"/>
      <c r="F203" s="590"/>
      <c r="G203" s="590"/>
      <c r="H203" s="590"/>
      <c r="I203" s="590"/>
      <c r="J203" s="590"/>
      <c r="K203" s="590"/>
      <c r="L203" s="590"/>
      <c r="M203" s="590"/>
      <c r="N203" s="590"/>
      <c r="O203" s="590"/>
      <c r="P203" s="590"/>
      <c r="Q203" s="590"/>
      <c r="R203" s="590"/>
      <c r="S203" s="590"/>
      <c r="T203" s="590"/>
      <c r="U203" s="590"/>
      <c r="V203" s="590"/>
      <c r="W203" s="590"/>
      <c r="X203" s="590"/>
      <c r="Y203" s="590"/>
      <c r="Z203" s="590"/>
    </row>
    <row r="204" ht="12.75" customHeight="1">
      <c r="A204" s="590"/>
      <c r="B204" s="590"/>
      <c r="C204" s="590"/>
      <c r="D204" s="590"/>
      <c r="E204" s="590"/>
      <c r="F204" s="590"/>
      <c r="G204" s="590"/>
      <c r="H204" s="590"/>
      <c r="I204" s="590"/>
      <c r="J204" s="590"/>
      <c r="K204" s="590"/>
      <c r="L204" s="590"/>
      <c r="M204" s="590"/>
      <c r="N204" s="590"/>
      <c r="O204" s="590"/>
      <c r="P204" s="590"/>
      <c r="Q204" s="590"/>
      <c r="R204" s="590"/>
      <c r="S204" s="590"/>
      <c r="T204" s="590"/>
      <c r="U204" s="590"/>
      <c r="V204" s="590"/>
      <c r="W204" s="590"/>
      <c r="X204" s="590"/>
      <c r="Y204" s="590"/>
      <c r="Z204" s="590"/>
    </row>
    <row r="205" ht="12.75" customHeight="1">
      <c r="A205" s="590"/>
      <c r="B205" s="590"/>
      <c r="C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ht="12.75" customHeight="1">
      <c r="A206" s="590"/>
      <c r="B206" s="590"/>
      <c r="C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ht="12.75" customHeight="1">
      <c r="A207" s="590"/>
      <c r="B207" s="590"/>
      <c r="C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ht="12.75" customHeight="1">
      <c r="A208" s="590"/>
      <c r="B208" s="590"/>
      <c r="C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ht="12.75" customHeight="1">
      <c r="A209" s="590"/>
      <c r="B209" s="590"/>
      <c r="C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ht="12.75" customHeight="1">
      <c r="A210" s="590"/>
      <c r="B210" s="590"/>
      <c r="C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ht="12.75" customHeight="1">
      <c r="A211" s="590"/>
      <c r="B211" s="590"/>
      <c r="C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ht="12.75" customHeight="1">
      <c r="A212" s="590"/>
      <c r="B212" s="590"/>
      <c r="C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ht="12.75" customHeight="1">
      <c r="A213" s="590"/>
      <c r="B213" s="590"/>
      <c r="C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ht="12.75" customHeight="1">
      <c r="A214" s="590"/>
      <c r="B214" s="590"/>
      <c r="C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ht="12.75" customHeight="1">
      <c r="A215" s="590"/>
      <c r="B215" s="590"/>
      <c r="C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ht="12.75" customHeight="1">
      <c r="A216" s="590"/>
      <c r="B216" s="590"/>
      <c r="C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ht="12.75" customHeight="1">
      <c r="A217" s="590"/>
      <c r="B217" s="590"/>
      <c r="C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ht="12.75" customHeight="1">
      <c r="A218" s="590"/>
      <c r="B218" s="590"/>
      <c r="C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ht="12.75" customHeight="1">
      <c r="A219" s="590"/>
      <c r="B219" s="590"/>
      <c r="C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ht="12.75" customHeight="1">
      <c r="A220" s="590"/>
      <c r="B220" s="590"/>
      <c r="C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E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88"/>
    <col customWidth="1" min="2" max="2" width="29.38"/>
    <col customWidth="1" min="3" max="3" width="10.63"/>
    <col customWidth="1" min="4" max="4" width="14.25"/>
    <col customWidth="1" min="5" max="5" width="13.63"/>
    <col customWidth="1" min="6" max="6" width="7.13"/>
    <col customWidth="1" min="7" max="7" width="18.0"/>
    <col customWidth="1" min="8" max="8" width="11.25"/>
    <col customWidth="1" min="9" max="23" width="11.5"/>
    <col customWidth="1" min="24" max="26" width="10.63"/>
  </cols>
  <sheetData>
    <row r="1" ht="11.25" customHeight="1">
      <c r="A1" s="393"/>
      <c r="B1" s="393"/>
      <c r="C1" s="393"/>
      <c r="D1" s="393"/>
      <c r="E1" s="393"/>
      <c r="F1" s="393"/>
      <c r="G1" s="393"/>
      <c r="H1" s="393"/>
      <c r="I1" s="393"/>
      <c r="J1" s="393"/>
      <c r="K1" s="393"/>
      <c r="L1" s="393"/>
      <c r="M1" s="393"/>
      <c r="N1" s="393"/>
      <c r="O1" s="393"/>
      <c r="P1" s="393"/>
      <c r="Q1" s="393"/>
      <c r="R1" s="393"/>
      <c r="S1" s="393"/>
      <c r="T1" s="393"/>
      <c r="U1" s="393"/>
      <c r="V1" s="393"/>
      <c r="W1" s="393"/>
      <c r="X1" s="393"/>
      <c r="Y1" s="393"/>
      <c r="Z1" s="393"/>
    </row>
    <row r="2" ht="11.25" customHeight="1">
      <c r="A2" s="606" t="s">
        <v>1649</v>
      </c>
      <c r="B2" s="606" t="s">
        <v>1650</v>
      </c>
      <c r="C2" s="607" t="s">
        <v>1651</v>
      </c>
      <c r="D2" s="277"/>
      <c r="E2" s="277"/>
      <c r="F2" s="277"/>
      <c r="G2" s="278"/>
      <c r="H2" s="608" t="s">
        <v>1652</v>
      </c>
      <c r="I2" s="609"/>
      <c r="J2" s="609"/>
      <c r="K2" s="609"/>
      <c r="L2" s="609"/>
      <c r="M2" s="610" t="s">
        <v>1653</v>
      </c>
      <c r="N2" s="611"/>
      <c r="O2" s="611"/>
      <c r="P2" s="611"/>
      <c r="Q2" s="611"/>
      <c r="R2" s="611"/>
      <c r="S2" s="611"/>
      <c r="T2" s="611"/>
      <c r="U2" s="611"/>
      <c r="V2" s="611"/>
      <c r="W2" s="393"/>
      <c r="X2" s="393"/>
      <c r="Y2" s="393"/>
      <c r="Z2" s="393"/>
    </row>
    <row r="3" ht="11.25" customHeight="1">
      <c r="A3" s="612"/>
      <c r="B3" s="612"/>
      <c r="C3" s="613">
        <v>45901.0</v>
      </c>
      <c r="D3" s="277"/>
      <c r="E3" s="277"/>
      <c r="F3" s="277"/>
      <c r="G3" s="278"/>
      <c r="H3" s="614" t="s">
        <v>1654</v>
      </c>
      <c r="I3" s="614" t="s">
        <v>1655</v>
      </c>
      <c r="J3" s="614" t="s">
        <v>1656</v>
      </c>
      <c r="K3" s="614" t="s">
        <v>1657</v>
      </c>
      <c r="L3" s="614" t="s">
        <v>1658</v>
      </c>
      <c r="M3" s="615"/>
      <c r="N3" s="616"/>
      <c r="O3" s="616"/>
      <c r="P3" s="616"/>
      <c r="Q3" s="616"/>
      <c r="R3" s="616"/>
      <c r="S3" s="616"/>
      <c r="T3" s="616"/>
      <c r="U3" s="616"/>
      <c r="V3" s="616"/>
      <c r="W3" s="393"/>
      <c r="X3" s="393"/>
      <c r="Y3" s="393"/>
      <c r="Z3" s="393"/>
    </row>
    <row r="4" ht="33.0" customHeight="1">
      <c r="A4" s="617"/>
      <c r="B4" s="617"/>
      <c r="C4" s="618" t="s">
        <v>1659</v>
      </c>
      <c r="D4" s="619" t="s">
        <v>1660</v>
      </c>
      <c r="E4" s="619" t="s">
        <v>1661</v>
      </c>
      <c r="F4" s="618" t="s">
        <v>1639</v>
      </c>
      <c r="G4" s="618" t="s">
        <v>1662</v>
      </c>
      <c r="H4" s="402">
        <v>45957.0</v>
      </c>
      <c r="I4" s="402">
        <f t="shared" ref="I4:J4" si="1">+H4+30</f>
        <v>45987</v>
      </c>
      <c r="J4" s="402">
        <f t="shared" si="1"/>
        <v>46017</v>
      </c>
      <c r="K4" s="402">
        <v>46023.0</v>
      </c>
      <c r="L4" s="402">
        <v>46054.0</v>
      </c>
      <c r="M4" s="620">
        <v>46112.0</v>
      </c>
      <c r="N4" s="402">
        <v>46142.0</v>
      </c>
      <c r="O4" s="402">
        <v>46172.0</v>
      </c>
      <c r="P4" s="402">
        <v>46202.0</v>
      </c>
      <c r="Q4" s="402">
        <v>46232.0</v>
      </c>
      <c r="R4" s="402">
        <v>46262.0</v>
      </c>
      <c r="S4" s="402">
        <v>46292.0</v>
      </c>
      <c r="T4" s="402">
        <v>46322.0</v>
      </c>
      <c r="U4" s="435">
        <v>46352.0</v>
      </c>
      <c r="V4" s="402">
        <v>46382.0</v>
      </c>
      <c r="W4" s="393"/>
      <c r="X4" s="393"/>
      <c r="Y4" s="393"/>
      <c r="Z4" s="393"/>
    </row>
    <row r="5" ht="11.25" customHeight="1">
      <c r="A5" s="621">
        <v>5041.0</v>
      </c>
      <c r="B5" s="295" t="s">
        <v>1663</v>
      </c>
      <c r="C5" s="622" t="str">
        <f>SUM('[2]Soporte Transaccional'!K2:K4197)</f>
        <v>#REF!</v>
      </c>
      <c r="D5" s="623" t="str">
        <f>SUM('[2]Soporte Transaccional'!N2:N2189)</f>
        <v>#REF!</v>
      </c>
      <c r="E5" s="623" t="str">
        <f>D5/C5</f>
        <v>#REF!</v>
      </c>
      <c r="F5" s="624">
        <v>0.01</v>
      </c>
      <c r="G5" s="625" t="str">
        <f>D5*F5</f>
        <v>#REF!</v>
      </c>
      <c r="H5" s="590"/>
      <c r="I5" s="590"/>
      <c r="J5" s="590"/>
      <c r="K5" s="590"/>
      <c r="L5" s="590"/>
      <c r="M5" s="590"/>
      <c r="N5" s="590"/>
      <c r="O5" s="590"/>
      <c r="P5" s="590"/>
      <c r="Q5" s="590"/>
      <c r="R5" s="590"/>
      <c r="S5" s="590"/>
      <c r="T5" s="590"/>
      <c r="U5" s="590"/>
      <c r="V5" s="590"/>
      <c r="W5" s="393"/>
      <c r="X5" s="393"/>
      <c r="Y5" s="393"/>
      <c r="Z5" s="393"/>
    </row>
    <row r="6" ht="11.25" customHeight="1">
      <c r="A6" s="621">
        <v>5041.0</v>
      </c>
      <c r="B6" s="295" t="s">
        <v>1664</v>
      </c>
      <c r="C6" s="622"/>
      <c r="D6" s="623"/>
      <c r="E6" s="623"/>
      <c r="F6" s="624"/>
      <c r="G6" s="626">
        <v>766721.67</v>
      </c>
      <c r="H6" s="598">
        <f>+G6</f>
        <v>766721.67</v>
      </c>
      <c r="I6" s="598">
        <v>958402.08</v>
      </c>
      <c r="J6" s="598">
        <v>1150082.5</v>
      </c>
      <c r="K6" s="598">
        <v>1341762.92</v>
      </c>
      <c r="L6" s="598">
        <v>1533443.33</v>
      </c>
      <c r="M6" s="598">
        <f t="shared" ref="M6:N6" si="2">+L6</f>
        <v>1533443.33</v>
      </c>
      <c r="N6" s="598">
        <f t="shared" si="2"/>
        <v>1533443.33</v>
      </c>
      <c r="O6" s="627">
        <f>+N6*O9</f>
        <v>1673982.853</v>
      </c>
      <c r="P6" s="598">
        <f t="shared" ref="P6:Q6" si="3">+O6</f>
        <v>1673982.853</v>
      </c>
      <c r="Q6" s="598">
        <f t="shared" si="3"/>
        <v>1673982.853</v>
      </c>
      <c r="R6" s="627">
        <f>+Q6*R9</f>
        <v>1823883.647</v>
      </c>
      <c r="S6" s="598">
        <f t="shared" ref="S6:T6" si="4">+R6</f>
        <v>1823883.647</v>
      </c>
      <c r="T6" s="598">
        <f t="shared" si="4"/>
        <v>1823883.647</v>
      </c>
      <c r="U6" s="627">
        <f>+T6*U9</f>
        <v>1987207.665</v>
      </c>
      <c r="V6" s="598">
        <f>+U6</f>
        <v>1987207.665</v>
      </c>
      <c r="W6" s="628">
        <f>SUM(K6:V6)</f>
        <v>20410107.74</v>
      </c>
      <c r="X6" s="393"/>
      <c r="Y6" s="393"/>
      <c r="Z6" s="393"/>
    </row>
    <row r="7" ht="11.25" customHeight="1">
      <c r="A7" s="629" t="s">
        <v>1665</v>
      </c>
      <c r="B7" s="277"/>
      <c r="C7" s="277"/>
      <c r="D7" s="277"/>
      <c r="E7" s="277"/>
      <c r="F7" s="278"/>
      <c r="G7" s="630">
        <f>G6</f>
        <v>766721.67</v>
      </c>
      <c r="H7" s="590"/>
      <c r="I7" s="590"/>
      <c r="J7" s="590"/>
      <c r="K7" s="590"/>
      <c r="L7" s="590"/>
      <c r="M7" s="631" t="s">
        <v>1666</v>
      </c>
      <c r="N7" s="631" t="s">
        <v>1666</v>
      </c>
      <c r="O7" s="632" t="s">
        <v>1667</v>
      </c>
      <c r="P7" s="590"/>
      <c r="Q7" s="590"/>
      <c r="R7" s="632" t="s">
        <v>1668</v>
      </c>
      <c r="S7" s="590"/>
      <c r="T7" s="590"/>
      <c r="U7" s="632" t="s">
        <v>1668</v>
      </c>
      <c r="V7" s="590"/>
      <c r="W7" s="393"/>
      <c r="X7" s="393"/>
      <c r="Y7" s="393"/>
      <c r="Z7" s="393"/>
    </row>
    <row r="8" ht="11.25" customHeight="1">
      <c r="A8" s="393"/>
      <c r="B8" s="393"/>
      <c r="C8" s="393"/>
      <c r="D8" s="393"/>
      <c r="E8" s="393"/>
      <c r="F8" s="393"/>
      <c r="G8" s="393"/>
      <c r="H8" s="393"/>
      <c r="I8" s="393"/>
      <c r="J8" s="393"/>
      <c r="K8" s="393"/>
      <c r="L8" s="393"/>
      <c r="M8" s="393"/>
      <c r="N8" s="393"/>
      <c r="O8" s="393"/>
      <c r="P8" s="393"/>
      <c r="Q8" s="393"/>
      <c r="R8" s="393"/>
      <c r="S8" s="393"/>
      <c r="T8" s="393"/>
      <c r="U8" s="393"/>
      <c r="V8" s="393"/>
      <c r="W8" s="393"/>
      <c r="X8" s="393"/>
      <c r="Y8" s="393"/>
      <c r="Z8" s="393"/>
    </row>
    <row r="9" ht="11.25" customHeight="1">
      <c r="A9" s="393"/>
      <c r="B9" s="393"/>
      <c r="C9" s="393"/>
      <c r="D9" s="393"/>
      <c r="E9" s="393"/>
      <c r="F9" s="393"/>
      <c r="G9" s="393"/>
      <c r="H9" s="393"/>
      <c r="I9" s="393"/>
      <c r="J9" s="393"/>
      <c r="K9" s="393"/>
      <c r="L9" s="393"/>
      <c r="M9" s="393"/>
      <c r="N9" s="393"/>
      <c r="O9" s="605">
        <f>1*(1+L10)*(1+M10)*(1+N10)</f>
        <v>1.091649636</v>
      </c>
      <c r="P9" s="393"/>
      <c r="Q9" s="393"/>
      <c r="R9" s="605">
        <f>1*(1+O10)*(1+P10)*(1+Q10)</f>
        <v>1.089547389</v>
      </c>
      <c r="S9" s="393"/>
      <c r="T9" s="393"/>
      <c r="U9" s="605">
        <f>1*(1+R10)*(1+S10)*(1+T10)</f>
        <v>1.089547389</v>
      </c>
      <c r="V9" s="393"/>
      <c r="W9" s="393"/>
      <c r="X9" s="393"/>
      <c r="Y9" s="393"/>
      <c r="Z9" s="393"/>
    </row>
    <row r="10" ht="11.25" customHeight="1">
      <c r="A10" s="393"/>
      <c r="B10" s="393"/>
      <c r="C10" s="393"/>
      <c r="D10" s="393"/>
      <c r="E10" s="422"/>
      <c r="F10" s="422"/>
      <c r="G10" s="422" t="s">
        <v>1641</v>
      </c>
      <c r="H10" s="424">
        <f>+Flk!K34</f>
        <v>0.023</v>
      </c>
      <c r="I10" s="424">
        <f>+Flk!L34</f>
        <v>0.02</v>
      </c>
      <c r="J10" s="424">
        <f>+Flk!M34</f>
        <v>0.02</v>
      </c>
      <c r="K10" s="424">
        <f>+Flk!B71</f>
        <v>0.029</v>
      </c>
      <c r="L10" s="424">
        <f>+Flk!C71</f>
        <v>0.029</v>
      </c>
      <c r="M10" s="424">
        <f>+Flk!D71</f>
        <v>0.034</v>
      </c>
      <c r="N10" s="424">
        <f>+Flk!E71</f>
        <v>0.026</v>
      </c>
      <c r="O10" s="424">
        <f>+Flk!F71</f>
        <v>0.029</v>
      </c>
      <c r="P10" s="424">
        <f>+Flk!G71</f>
        <v>0.029</v>
      </c>
      <c r="Q10" s="424">
        <f>+Flk!H71</f>
        <v>0.029</v>
      </c>
      <c r="R10" s="424">
        <f>+Flk!I71</f>
        <v>0.029</v>
      </c>
      <c r="S10" s="424">
        <f>+Flk!J71</f>
        <v>0.029</v>
      </c>
      <c r="T10" s="424">
        <f>+Flk!K71</f>
        <v>0.029</v>
      </c>
      <c r="U10" s="424">
        <f>+Flk!L71</f>
        <v>0.029</v>
      </c>
      <c r="V10" s="424">
        <f>+Flk!M71</f>
        <v>0.029</v>
      </c>
      <c r="W10" s="393"/>
      <c r="X10" s="393"/>
      <c r="Y10" s="393"/>
      <c r="Z10" s="393"/>
    </row>
    <row r="11" ht="11.25" customHeight="1">
      <c r="A11" s="393"/>
      <c r="B11" s="393"/>
      <c r="C11" s="393"/>
      <c r="D11" s="393"/>
      <c r="E11" s="393"/>
      <c r="F11" s="393"/>
      <c r="G11" s="393"/>
      <c r="H11" s="393"/>
      <c r="I11" s="393"/>
      <c r="J11" s="393"/>
      <c r="K11" s="393"/>
      <c r="L11" s="393"/>
      <c r="M11" s="393"/>
      <c r="N11" s="393"/>
      <c r="O11" s="393"/>
      <c r="P11" s="393"/>
      <c r="Q11" s="393"/>
      <c r="R11" s="393"/>
      <c r="S11" s="393"/>
      <c r="T11" s="393"/>
      <c r="U11" s="393"/>
      <c r="V11" s="393"/>
      <c r="W11" s="393"/>
      <c r="X11" s="393"/>
      <c r="Y11" s="393"/>
      <c r="Z11" s="393"/>
    </row>
    <row r="12" ht="11.25" customHeight="1">
      <c r="A12" s="393"/>
      <c r="B12" s="393"/>
      <c r="C12" s="393"/>
      <c r="D12" s="393"/>
      <c r="E12" s="393"/>
      <c r="F12" s="393"/>
      <c r="G12" s="393"/>
      <c r="H12" s="393"/>
      <c r="I12" s="393"/>
      <c r="J12" s="393"/>
      <c r="K12" s="393"/>
      <c r="L12" s="393"/>
      <c r="M12" s="393"/>
      <c r="N12" s="393"/>
      <c r="O12" s="393"/>
      <c r="P12" s="393"/>
      <c r="Q12" s="393"/>
      <c r="R12" s="393"/>
      <c r="S12" s="393"/>
      <c r="T12" s="393"/>
      <c r="U12" s="393"/>
      <c r="V12" s="393"/>
      <c r="W12" s="393"/>
      <c r="X12" s="393"/>
      <c r="Y12" s="393"/>
      <c r="Z12" s="393"/>
    </row>
    <row r="13" ht="15.0" customHeight="1">
      <c r="A13" s="633" t="s">
        <v>1669</v>
      </c>
      <c r="B13" s="634"/>
      <c r="C13" s="634"/>
      <c r="D13" s="634"/>
      <c r="E13" s="393"/>
      <c r="F13" s="393"/>
      <c r="G13" s="393"/>
      <c r="H13" s="393"/>
      <c r="I13" s="393"/>
      <c r="J13" s="393"/>
      <c r="K13" s="393"/>
      <c r="L13" s="393"/>
      <c r="M13" s="393"/>
      <c r="N13" s="393"/>
      <c r="O13" s="393"/>
      <c r="P13" s="393"/>
      <c r="Q13" s="393"/>
      <c r="R13" s="393"/>
      <c r="S13" s="393"/>
      <c r="T13" s="393"/>
      <c r="U13" s="393"/>
      <c r="V13" s="393"/>
      <c r="W13" s="393"/>
      <c r="X13" s="393"/>
      <c r="Y13" s="393"/>
      <c r="Z13" s="393"/>
    </row>
    <row r="14" ht="11.25" customHeight="1">
      <c r="A14" s="393"/>
      <c r="B14" s="393"/>
      <c r="C14" s="393"/>
      <c r="D14" s="393"/>
      <c r="E14" s="393"/>
      <c r="F14" s="393"/>
      <c r="G14" s="393"/>
      <c r="H14" s="393"/>
      <c r="I14" s="393"/>
      <c r="J14" s="393"/>
      <c r="K14" s="393"/>
      <c r="L14" s="393"/>
      <c r="M14" s="393"/>
      <c r="N14" s="393"/>
      <c r="O14" s="393"/>
      <c r="P14" s="393"/>
      <c r="Q14" s="393"/>
      <c r="R14" s="393"/>
      <c r="S14" s="393"/>
      <c r="T14" s="393"/>
      <c r="U14" s="393"/>
      <c r="V14" s="393"/>
      <c r="W14" s="393"/>
      <c r="X14" s="393"/>
      <c r="Y14" s="393"/>
      <c r="Z14" s="393"/>
    </row>
    <row r="15" ht="11.25" customHeight="1">
      <c r="A15" s="393"/>
      <c r="B15" s="393"/>
      <c r="C15" s="393"/>
      <c r="D15" s="393"/>
      <c r="E15" s="393"/>
      <c r="F15" s="393"/>
      <c r="G15" s="393"/>
      <c r="H15" s="393"/>
      <c r="I15" s="393"/>
      <c r="J15" s="393"/>
      <c r="K15" s="393"/>
      <c r="L15" s="393"/>
      <c r="M15" s="393"/>
      <c r="N15" s="393"/>
      <c r="O15" s="393"/>
      <c r="P15" s="393"/>
      <c r="Q15" s="393"/>
      <c r="R15" s="393"/>
      <c r="S15" s="393"/>
      <c r="T15" s="393"/>
      <c r="U15" s="393"/>
      <c r="V15" s="393"/>
      <c r="W15" s="393"/>
      <c r="X15" s="393"/>
      <c r="Y15" s="393"/>
      <c r="Z15" s="393"/>
    </row>
    <row r="16" ht="11.25" customHeight="1">
      <c r="A16" s="393"/>
      <c r="B16" s="393"/>
      <c r="C16" s="393"/>
      <c r="D16" s="393"/>
      <c r="E16" s="393"/>
      <c r="F16" s="393"/>
      <c r="G16" s="393"/>
      <c r="H16" s="393"/>
      <c r="I16" s="393"/>
      <c r="J16" s="393"/>
      <c r="K16" s="393"/>
      <c r="L16" s="393"/>
      <c r="M16" s="393"/>
      <c r="N16" s="393"/>
      <c r="O16" s="393"/>
      <c r="P16" s="393"/>
      <c r="Q16" s="393"/>
      <c r="R16" s="393"/>
      <c r="S16" s="393"/>
      <c r="T16" s="393"/>
      <c r="U16" s="393"/>
      <c r="V16" s="393"/>
      <c r="W16" s="393"/>
      <c r="X16" s="393"/>
      <c r="Y16" s="393"/>
      <c r="Z16" s="393"/>
    </row>
    <row r="17" ht="11.25" customHeight="1">
      <c r="A17" s="393"/>
      <c r="B17" s="393"/>
      <c r="C17" s="393"/>
      <c r="D17" s="393"/>
      <c r="E17" s="393"/>
      <c r="F17" s="393"/>
      <c r="G17" s="393"/>
      <c r="H17" s="393"/>
      <c r="I17" s="393"/>
      <c r="J17" s="393"/>
      <c r="K17" s="393"/>
      <c r="L17" s="393"/>
      <c r="M17" s="393"/>
      <c r="N17" s="393"/>
      <c r="O17" s="393"/>
      <c r="P17" s="393"/>
      <c r="Q17" s="393"/>
      <c r="R17" s="393"/>
      <c r="S17" s="393"/>
      <c r="T17" s="393"/>
      <c r="U17" s="393"/>
      <c r="V17" s="393"/>
      <c r="W17" s="393"/>
      <c r="X17" s="393"/>
      <c r="Y17" s="393"/>
      <c r="Z17" s="393"/>
    </row>
    <row r="18" ht="11.25" customHeight="1">
      <c r="A18" s="393"/>
      <c r="B18" s="393"/>
      <c r="C18" s="393"/>
      <c r="D18" s="393"/>
      <c r="E18" s="393"/>
      <c r="F18" s="393"/>
      <c r="G18" s="393"/>
      <c r="H18" s="393"/>
      <c r="I18" s="393"/>
      <c r="J18" s="393"/>
      <c r="K18" s="393"/>
      <c r="L18" s="393"/>
      <c r="M18" s="393"/>
      <c r="N18" s="393"/>
      <c r="O18" s="393"/>
      <c r="P18" s="393"/>
      <c r="Q18" s="393"/>
      <c r="R18" s="393"/>
      <c r="S18" s="393"/>
      <c r="T18" s="393"/>
      <c r="U18" s="393"/>
      <c r="V18" s="393"/>
      <c r="W18" s="393"/>
      <c r="X18" s="393"/>
      <c r="Y18" s="393"/>
      <c r="Z18" s="393"/>
    </row>
    <row r="19" ht="11.25" customHeight="1">
      <c r="A19" s="393"/>
      <c r="B19" s="393"/>
      <c r="C19" s="393"/>
      <c r="D19" s="393"/>
      <c r="E19" s="393"/>
      <c r="F19" s="393"/>
      <c r="G19" s="393"/>
      <c r="H19" s="393"/>
      <c r="I19" s="393"/>
      <c r="J19" s="393"/>
      <c r="K19" s="393"/>
      <c r="L19" s="393"/>
      <c r="M19" s="393"/>
      <c r="N19" s="393"/>
      <c r="O19" s="393"/>
      <c r="P19" s="393"/>
      <c r="Q19" s="393"/>
      <c r="R19" s="393"/>
      <c r="S19" s="393"/>
      <c r="T19" s="393"/>
      <c r="U19" s="393"/>
      <c r="V19" s="393"/>
      <c r="W19" s="393"/>
      <c r="X19" s="393"/>
      <c r="Y19" s="393"/>
      <c r="Z19" s="393"/>
    </row>
    <row r="20" ht="11.25" customHeight="1">
      <c r="A20" s="393"/>
      <c r="B20" s="393"/>
      <c r="C20" s="393"/>
      <c r="D20" s="393"/>
      <c r="E20" s="393"/>
      <c r="F20" s="393"/>
      <c r="G20" s="393"/>
      <c r="H20" s="393"/>
      <c r="I20" s="393"/>
      <c r="J20" s="393"/>
      <c r="K20" s="393"/>
      <c r="L20" s="393"/>
      <c r="M20" s="393"/>
      <c r="N20" s="393"/>
      <c r="O20" s="393"/>
      <c r="P20" s="393"/>
      <c r="Q20" s="393"/>
      <c r="R20" s="393"/>
      <c r="S20" s="393"/>
      <c r="T20" s="393"/>
      <c r="U20" s="393"/>
      <c r="V20" s="393"/>
      <c r="W20" s="393"/>
      <c r="X20" s="393"/>
      <c r="Y20" s="393"/>
      <c r="Z20" s="393"/>
    </row>
    <row r="21" ht="11.25" customHeight="1">
      <c r="A21" s="393"/>
      <c r="B21" s="393"/>
      <c r="C21" s="393"/>
      <c r="D21" s="393"/>
      <c r="E21" s="393"/>
      <c r="F21" s="393"/>
      <c r="G21" s="393"/>
      <c r="H21" s="393"/>
      <c r="I21" s="393"/>
      <c r="J21" s="393"/>
      <c r="K21" s="393"/>
      <c r="L21" s="393"/>
      <c r="M21" s="393"/>
      <c r="N21" s="393"/>
      <c r="O21" s="393"/>
      <c r="P21" s="393"/>
      <c r="Q21" s="393"/>
      <c r="R21" s="393"/>
      <c r="S21" s="393"/>
      <c r="T21" s="393"/>
      <c r="U21" s="393"/>
      <c r="V21" s="393"/>
      <c r="W21" s="393"/>
      <c r="X21" s="393"/>
      <c r="Y21" s="393"/>
      <c r="Z21" s="393"/>
    </row>
    <row r="22" ht="11.25" customHeight="1">
      <c r="A22" s="393"/>
      <c r="B22" s="393"/>
      <c r="C22" s="393"/>
      <c r="D22" s="393"/>
      <c r="E22" s="393"/>
      <c r="F22" s="393"/>
      <c r="G22" s="393"/>
      <c r="H22" s="393"/>
      <c r="I22" s="393"/>
      <c r="J22" s="393"/>
      <c r="K22" s="393"/>
      <c r="L22" s="393"/>
      <c r="M22" s="393"/>
      <c r="N22" s="393"/>
      <c r="O22" s="393"/>
      <c r="P22" s="393"/>
      <c r="Q22" s="393"/>
      <c r="R22" s="393"/>
      <c r="S22" s="393"/>
      <c r="T22" s="393"/>
      <c r="U22" s="393"/>
      <c r="V22" s="393"/>
      <c r="W22" s="393"/>
      <c r="X22" s="393"/>
      <c r="Y22" s="393"/>
      <c r="Z22" s="393"/>
    </row>
    <row r="23" ht="11.25" customHeight="1">
      <c r="A23" s="393"/>
      <c r="B23" s="393"/>
      <c r="C23" s="393"/>
      <c r="D23" s="393"/>
      <c r="E23" s="393"/>
      <c r="F23" s="393"/>
      <c r="G23" s="393"/>
      <c r="H23" s="393"/>
      <c r="I23" s="393"/>
      <c r="J23" s="393"/>
      <c r="K23" s="393"/>
      <c r="L23" s="393"/>
      <c r="M23" s="393"/>
      <c r="N23" s="393"/>
      <c r="O23" s="393"/>
      <c r="P23" s="393"/>
      <c r="Q23" s="393"/>
      <c r="R23" s="393"/>
      <c r="S23" s="393"/>
      <c r="T23" s="393"/>
      <c r="U23" s="393"/>
      <c r="V23" s="393"/>
      <c r="W23" s="393"/>
      <c r="X23" s="393"/>
      <c r="Y23" s="393"/>
      <c r="Z23" s="393"/>
    </row>
    <row r="24" ht="11.25" customHeight="1">
      <c r="A24" s="393"/>
      <c r="B24" s="393"/>
      <c r="C24" s="393"/>
      <c r="D24" s="393"/>
      <c r="E24" s="393"/>
      <c r="F24" s="393"/>
      <c r="G24" s="393"/>
      <c r="H24" s="393"/>
      <c r="I24" s="393"/>
      <c r="J24" s="393"/>
      <c r="K24" s="393"/>
      <c r="L24" s="393"/>
      <c r="M24" s="393"/>
      <c r="N24" s="393"/>
      <c r="O24" s="393"/>
      <c r="P24" s="393"/>
      <c r="Q24" s="393"/>
      <c r="R24" s="393"/>
      <c r="S24" s="393"/>
      <c r="T24" s="393"/>
      <c r="U24" s="393"/>
      <c r="V24" s="393"/>
      <c r="W24" s="393"/>
      <c r="X24" s="393"/>
      <c r="Y24" s="393"/>
      <c r="Z24" s="393"/>
    </row>
    <row r="25" ht="11.25" customHeight="1">
      <c r="A25" s="393"/>
      <c r="B25" s="393"/>
      <c r="C25" s="393"/>
      <c r="D25" s="393"/>
      <c r="E25" s="393"/>
      <c r="F25" s="393"/>
      <c r="G25" s="393"/>
      <c r="H25" s="393"/>
      <c r="I25" s="393"/>
      <c r="J25" s="393"/>
      <c r="K25" s="393"/>
      <c r="L25" s="393"/>
      <c r="M25" s="393"/>
      <c r="N25" s="393"/>
      <c r="O25" s="393"/>
      <c r="P25" s="393"/>
      <c r="Q25" s="393"/>
      <c r="R25" s="393"/>
      <c r="S25" s="393"/>
      <c r="T25" s="393"/>
      <c r="U25" s="393"/>
      <c r="V25" s="393"/>
      <c r="W25" s="393"/>
      <c r="X25" s="393"/>
      <c r="Y25" s="393"/>
      <c r="Z25" s="393"/>
    </row>
    <row r="26" ht="11.25" customHeight="1">
      <c r="A26" s="393"/>
      <c r="B26" s="393"/>
      <c r="C26" s="393"/>
      <c r="D26" s="393"/>
      <c r="E26" s="393"/>
      <c r="F26" s="393"/>
      <c r="G26" s="393"/>
      <c r="H26" s="393"/>
      <c r="I26" s="393"/>
      <c r="J26" s="393"/>
      <c r="K26" s="393"/>
      <c r="L26" s="393"/>
      <c r="M26" s="393"/>
      <c r="N26" s="393"/>
      <c r="O26" s="393"/>
      <c r="P26" s="393"/>
      <c r="Q26" s="393"/>
      <c r="R26" s="393"/>
      <c r="S26" s="393"/>
      <c r="T26" s="393"/>
      <c r="U26" s="393"/>
      <c r="V26" s="393"/>
      <c r="W26" s="393"/>
      <c r="X26" s="393"/>
      <c r="Y26" s="393"/>
      <c r="Z26" s="393"/>
    </row>
    <row r="27" ht="11.25" customHeight="1">
      <c r="A27" s="393"/>
      <c r="B27" s="393"/>
      <c r="C27" s="393"/>
      <c r="D27" s="393"/>
      <c r="E27" s="393"/>
      <c r="F27" s="393"/>
      <c r="G27" s="393"/>
      <c r="H27" s="393"/>
      <c r="I27" s="393"/>
      <c r="J27" s="393"/>
      <c r="K27" s="393"/>
      <c r="L27" s="393"/>
      <c r="M27" s="393"/>
      <c r="N27" s="393"/>
      <c r="O27" s="393"/>
      <c r="P27" s="393"/>
      <c r="Q27" s="393"/>
      <c r="R27" s="393"/>
      <c r="S27" s="393"/>
      <c r="T27" s="393"/>
      <c r="U27" s="393"/>
      <c r="V27" s="393"/>
      <c r="W27" s="393"/>
      <c r="X27" s="393"/>
      <c r="Y27" s="393"/>
      <c r="Z27" s="393"/>
    </row>
    <row r="28" ht="11.25" customHeight="1">
      <c r="A28" s="393"/>
      <c r="B28" s="393"/>
      <c r="C28" s="393"/>
      <c r="D28" s="393"/>
      <c r="E28" s="393"/>
      <c r="F28" s="393"/>
      <c r="G28" s="393"/>
      <c r="H28" s="393"/>
      <c r="I28" s="393"/>
      <c r="J28" s="393"/>
      <c r="K28" s="393"/>
      <c r="L28" s="393"/>
      <c r="M28" s="393"/>
      <c r="N28" s="393"/>
      <c r="O28" s="393"/>
      <c r="P28" s="393"/>
      <c r="Q28" s="393"/>
      <c r="R28" s="393"/>
      <c r="S28" s="393"/>
      <c r="T28" s="393"/>
      <c r="U28" s="393"/>
      <c r="V28" s="393"/>
      <c r="W28" s="393"/>
      <c r="X28" s="393"/>
      <c r="Y28" s="393"/>
      <c r="Z28" s="393"/>
    </row>
    <row r="29" ht="11.25" customHeight="1">
      <c r="A29" s="393"/>
      <c r="B29" s="393"/>
      <c r="C29" s="393"/>
      <c r="D29" s="393"/>
      <c r="E29" s="393"/>
      <c r="F29" s="393"/>
      <c r="G29" s="393"/>
      <c r="H29" s="393"/>
      <c r="I29" s="393"/>
      <c r="J29" s="393"/>
      <c r="K29" s="393"/>
      <c r="L29" s="393"/>
      <c r="M29" s="393"/>
      <c r="N29" s="393"/>
      <c r="O29" s="393"/>
      <c r="P29" s="393"/>
      <c r="Q29" s="393"/>
      <c r="R29" s="393"/>
      <c r="S29" s="393"/>
      <c r="T29" s="393"/>
      <c r="U29" s="393"/>
      <c r="V29" s="393"/>
      <c r="W29" s="393"/>
      <c r="X29" s="393"/>
      <c r="Y29" s="393"/>
      <c r="Z29" s="393"/>
    </row>
    <row r="30" ht="11.25" customHeight="1">
      <c r="A30" s="393"/>
      <c r="B30" s="393"/>
      <c r="C30" s="393"/>
      <c r="D30" s="393"/>
      <c r="E30" s="393"/>
      <c r="F30" s="393"/>
      <c r="G30" s="393"/>
      <c r="H30" s="393"/>
      <c r="I30" s="393"/>
      <c r="J30" s="393"/>
      <c r="K30" s="393"/>
      <c r="L30" s="393"/>
      <c r="M30" s="393"/>
      <c r="N30" s="393"/>
      <c r="O30" s="393"/>
      <c r="P30" s="393"/>
      <c r="Q30" s="393"/>
      <c r="R30" s="393"/>
      <c r="S30" s="393"/>
      <c r="T30" s="393"/>
      <c r="U30" s="393"/>
      <c r="V30" s="393"/>
      <c r="W30" s="393"/>
      <c r="X30" s="393"/>
      <c r="Y30" s="393"/>
      <c r="Z30" s="393"/>
    </row>
    <row r="31" ht="11.25" customHeight="1">
      <c r="A31" s="393"/>
      <c r="B31" s="393"/>
      <c r="C31" s="393"/>
      <c r="D31" s="393"/>
      <c r="E31" s="393"/>
      <c r="F31" s="393"/>
      <c r="G31" s="393"/>
      <c r="H31" s="393"/>
      <c r="I31" s="393"/>
      <c r="J31" s="393"/>
      <c r="K31" s="393"/>
      <c r="L31" s="393"/>
      <c r="M31" s="393"/>
      <c r="N31" s="393"/>
      <c r="O31" s="393"/>
      <c r="P31" s="393"/>
      <c r="Q31" s="393"/>
      <c r="R31" s="393"/>
      <c r="S31" s="393"/>
      <c r="T31" s="393"/>
      <c r="U31" s="393"/>
      <c r="V31" s="393"/>
      <c r="W31" s="393"/>
      <c r="X31" s="393"/>
      <c r="Y31" s="393"/>
      <c r="Z31" s="393"/>
    </row>
    <row r="32" ht="11.25" customHeight="1">
      <c r="A32" s="393"/>
      <c r="B32" s="393"/>
      <c r="C32" s="393"/>
      <c r="D32" s="393"/>
      <c r="E32" s="393"/>
      <c r="F32" s="393"/>
      <c r="G32" s="393"/>
      <c r="H32" s="393"/>
      <c r="I32" s="393"/>
      <c r="J32" s="393"/>
      <c r="K32" s="393"/>
      <c r="L32" s="393"/>
      <c r="M32" s="393"/>
      <c r="N32" s="393"/>
      <c r="O32" s="393"/>
      <c r="P32" s="393"/>
      <c r="Q32" s="393"/>
      <c r="R32" s="393"/>
      <c r="S32" s="393"/>
      <c r="T32" s="393"/>
      <c r="U32" s="393"/>
      <c r="V32" s="393"/>
      <c r="W32" s="393"/>
      <c r="X32" s="393"/>
      <c r="Y32" s="393"/>
      <c r="Z32" s="393"/>
    </row>
    <row r="33" ht="11.25" customHeight="1">
      <c r="A33" s="393"/>
      <c r="B33" s="393"/>
      <c r="C33" s="393"/>
      <c r="D33" s="393"/>
      <c r="E33" s="393"/>
      <c r="F33" s="393"/>
      <c r="G33" s="393"/>
      <c r="H33" s="393"/>
      <c r="I33" s="393"/>
      <c r="J33" s="393"/>
      <c r="K33" s="393"/>
      <c r="L33" s="393"/>
      <c r="M33" s="393"/>
      <c r="N33" s="393"/>
      <c r="O33" s="393"/>
      <c r="P33" s="393"/>
      <c r="Q33" s="393"/>
      <c r="R33" s="393"/>
      <c r="S33" s="393"/>
      <c r="T33" s="393"/>
      <c r="U33" s="393"/>
      <c r="V33" s="393"/>
      <c r="W33" s="393"/>
      <c r="X33" s="393"/>
      <c r="Y33" s="393"/>
      <c r="Z33" s="393"/>
    </row>
    <row r="34" ht="11.25" customHeight="1">
      <c r="A34" s="393"/>
      <c r="B34" s="393"/>
      <c r="C34" s="393"/>
      <c r="D34" s="393"/>
      <c r="E34" s="393"/>
      <c r="F34" s="393"/>
      <c r="G34" s="393"/>
      <c r="H34" s="393"/>
      <c r="I34" s="393"/>
      <c r="J34" s="393"/>
      <c r="K34" s="393"/>
      <c r="L34" s="393"/>
      <c r="M34" s="393"/>
      <c r="N34" s="393"/>
      <c r="O34" s="393"/>
      <c r="P34" s="393"/>
      <c r="Q34" s="393"/>
      <c r="R34" s="393"/>
      <c r="S34" s="393"/>
      <c r="T34" s="393"/>
      <c r="U34" s="393"/>
      <c r="V34" s="393"/>
      <c r="W34" s="393"/>
      <c r="X34" s="393"/>
      <c r="Y34" s="393"/>
      <c r="Z34" s="393"/>
    </row>
    <row r="35" ht="11.25" customHeight="1">
      <c r="A35" s="393"/>
      <c r="B35" s="393"/>
      <c r="C35" s="393"/>
      <c r="D35" s="393"/>
      <c r="E35" s="393"/>
      <c r="F35" s="393"/>
      <c r="G35" s="393"/>
      <c r="H35" s="393"/>
      <c r="I35" s="393"/>
      <c r="J35" s="393"/>
      <c r="K35" s="393"/>
      <c r="L35" s="393"/>
      <c r="M35" s="393"/>
      <c r="N35" s="393"/>
      <c r="O35" s="393"/>
      <c r="P35" s="393"/>
      <c r="Q35" s="393"/>
      <c r="R35" s="393"/>
      <c r="S35" s="393"/>
      <c r="T35" s="393"/>
      <c r="U35" s="393"/>
      <c r="V35" s="393"/>
      <c r="W35" s="393"/>
      <c r="X35" s="393"/>
      <c r="Y35" s="393"/>
      <c r="Z35" s="393"/>
    </row>
    <row r="36" ht="11.25" customHeight="1">
      <c r="A36" s="393"/>
      <c r="B36" s="393"/>
      <c r="C36" s="393"/>
      <c r="D36" s="393"/>
      <c r="E36" s="393"/>
      <c r="F36" s="393"/>
      <c r="G36" s="393"/>
      <c r="H36" s="393"/>
      <c r="I36" s="393"/>
      <c r="J36" s="393"/>
      <c r="K36" s="393"/>
      <c r="L36" s="393"/>
      <c r="M36" s="393"/>
      <c r="N36" s="393"/>
      <c r="O36" s="393"/>
      <c r="P36" s="393"/>
      <c r="Q36" s="393"/>
      <c r="R36" s="393"/>
      <c r="S36" s="393"/>
      <c r="T36" s="393"/>
      <c r="U36" s="393"/>
      <c r="V36" s="393"/>
      <c r="W36" s="393"/>
      <c r="X36" s="393"/>
      <c r="Y36" s="393"/>
      <c r="Z36" s="393"/>
    </row>
    <row r="37" ht="11.25" customHeight="1">
      <c r="A37" s="393"/>
      <c r="B37" s="393"/>
      <c r="C37" s="393"/>
      <c r="D37" s="393"/>
      <c r="E37" s="393"/>
      <c r="F37" s="393"/>
      <c r="G37" s="393"/>
      <c r="H37" s="393"/>
      <c r="I37" s="393"/>
      <c r="J37" s="393"/>
      <c r="K37" s="393"/>
      <c r="L37" s="393"/>
      <c r="M37" s="393"/>
      <c r="N37" s="393"/>
      <c r="O37" s="393"/>
      <c r="P37" s="393"/>
      <c r="Q37" s="393"/>
      <c r="R37" s="393"/>
      <c r="S37" s="393"/>
      <c r="T37" s="393"/>
      <c r="U37" s="393"/>
      <c r="V37" s="393"/>
      <c r="W37" s="393"/>
      <c r="X37" s="393"/>
      <c r="Y37" s="393"/>
      <c r="Z37" s="393"/>
    </row>
    <row r="38" ht="11.25" customHeight="1">
      <c r="A38" s="393"/>
      <c r="B38" s="393"/>
      <c r="C38" s="393"/>
      <c r="D38" s="393"/>
      <c r="E38" s="393"/>
      <c r="F38" s="393"/>
      <c r="G38" s="393"/>
      <c r="H38" s="393"/>
      <c r="I38" s="393"/>
      <c r="J38" s="393"/>
      <c r="K38" s="393"/>
      <c r="L38" s="393"/>
      <c r="M38" s="393"/>
      <c r="N38" s="393"/>
      <c r="O38" s="393"/>
      <c r="P38" s="393"/>
      <c r="Q38" s="393"/>
      <c r="R38" s="393"/>
      <c r="S38" s="393"/>
      <c r="T38" s="393"/>
      <c r="U38" s="393"/>
      <c r="V38" s="393"/>
      <c r="W38" s="393"/>
      <c r="X38" s="393"/>
      <c r="Y38" s="393"/>
      <c r="Z38" s="393"/>
    </row>
    <row r="39" ht="11.25" customHeight="1">
      <c r="A39" s="393"/>
      <c r="B39" s="393"/>
      <c r="C39" s="393"/>
      <c r="D39" s="393"/>
      <c r="E39" s="393"/>
      <c r="F39" s="393"/>
      <c r="G39" s="393"/>
      <c r="H39" s="393"/>
      <c r="I39" s="393"/>
      <c r="J39" s="393"/>
      <c r="K39" s="393"/>
      <c r="L39" s="393"/>
      <c r="M39" s="393"/>
      <c r="N39" s="393"/>
      <c r="O39" s="393"/>
      <c r="P39" s="393"/>
      <c r="Q39" s="393"/>
      <c r="R39" s="393"/>
      <c r="S39" s="393"/>
      <c r="T39" s="393"/>
      <c r="U39" s="393"/>
      <c r="V39" s="393"/>
      <c r="W39" s="393"/>
      <c r="X39" s="393"/>
      <c r="Y39" s="393"/>
      <c r="Z39" s="393"/>
    </row>
    <row r="40" ht="11.25" customHeight="1">
      <c r="A40" s="393"/>
      <c r="B40" s="393"/>
      <c r="C40" s="393"/>
      <c r="D40" s="393"/>
      <c r="E40" s="393"/>
      <c r="F40" s="393"/>
      <c r="G40" s="393"/>
      <c r="H40" s="393"/>
      <c r="I40" s="393"/>
      <c r="J40" s="393"/>
      <c r="K40" s="393"/>
      <c r="L40" s="393"/>
      <c r="M40" s="393"/>
      <c r="N40" s="393"/>
      <c r="O40" s="393"/>
      <c r="P40" s="393"/>
      <c r="Q40" s="393"/>
      <c r="R40" s="393"/>
      <c r="S40" s="393"/>
      <c r="T40" s="393"/>
      <c r="U40" s="393"/>
      <c r="V40" s="393"/>
      <c r="W40" s="393"/>
      <c r="X40" s="393"/>
      <c r="Y40" s="393"/>
      <c r="Z40" s="393"/>
    </row>
    <row r="41" ht="11.25" customHeight="1">
      <c r="A41" s="393"/>
      <c r="B41" s="393"/>
      <c r="C41" s="393"/>
      <c r="D41" s="393"/>
      <c r="E41" s="393"/>
      <c r="F41" s="393"/>
      <c r="G41" s="393"/>
      <c r="H41" s="393"/>
      <c r="I41" s="393"/>
      <c r="J41" s="393"/>
      <c r="K41" s="393"/>
      <c r="L41" s="393"/>
      <c r="M41" s="393"/>
      <c r="N41" s="393"/>
      <c r="O41" s="393"/>
      <c r="P41" s="393"/>
      <c r="Q41" s="393"/>
      <c r="R41" s="393"/>
      <c r="S41" s="393"/>
      <c r="T41" s="393"/>
      <c r="U41" s="393"/>
      <c r="V41" s="393"/>
      <c r="W41" s="393"/>
      <c r="X41" s="393"/>
      <c r="Y41" s="393"/>
      <c r="Z41" s="393"/>
    </row>
    <row r="42" ht="11.25" customHeight="1">
      <c r="A42" s="393"/>
      <c r="B42" s="393"/>
      <c r="C42" s="393"/>
      <c r="D42" s="393"/>
      <c r="E42" s="393"/>
      <c r="F42" s="393"/>
      <c r="G42" s="393"/>
      <c r="H42" s="393"/>
      <c r="I42" s="393"/>
      <c r="J42" s="393"/>
      <c r="K42" s="393"/>
      <c r="L42" s="393"/>
      <c r="M42" s="393"/>
      <c r="N42" s="393"/>
      <c r="O42" s="393"/>
      <c r="P42" s="393"/>
      <c r="Q42" s="393"/>
      <c r="R42" s="393"/>
      <c r="S42" s="393"/>
      <c r="T42" s="393"/>
      <c r="U42" s="393"/>
      <c r="V42" s="393"/>
      <c r="W42" s="393"/>
      <c r="X42" s="393"/>
      <c r="Y42" s="393"/>
      <c r="Z42" s="393"/>
    </row>
    <row r="43" ht="11.25" customHeight="1">
      <c r="A43" s="393"/>
      <c r="B43" s="393"/>
      <c r="C43" s="393"/>
      <c r="D43" s="393"/>
      <c r="E43" s="393"/>
      <c r="F43" s="393"/>
      <c r="G43" s="393"/>
      <c r="H43" s="393"/>
      <c r="I43" s="393"/>
      <c r="J43" s="393"/>
      <c r="K43" s="393"/>
      <c r="L43" s="393"/>
      <c r="M43" s="393"/>
      <c r="N43" s="393"/>
      <c r="O43" s="393"/>
      <c r="P43" s="393"/>
      <c r="Q43" s="393"/>
      <c r="R43" s="393"/>
      <c r="S43" s="393"/>
      <c r="T43" s="393"/>
      <c r="U43" s="393"/>
      <c r="V43" s="393"/>
      <c r="W43" s="393"/>
      <c r="X43" s="393"/>
      <c r="Y43" s="393"/>
      <c r="Z43" s="393"/>
    </row>
    <row r="44" ht="11.25" customHeight="1">
      <c r="A44" s="393"/>
      <c r="B44" s="393"/>
      <c r="C44" s="393"/>
      <c r="D44" s="393"/>
      <c r="E44" s="393"/>
      <c r="F44" s="393"/>
      <c r="G44" s="393"/>
      <c r="H44" s="393"/>
      <c r="I44" s="393"/>
      <c r="J44" s="393"/>
      <c r="K44" s="393"/>
      <c r="L44" s="393"/>
      <c r="M44" s="393"/>
      <c r="N44" s="393"/>
      <c r="O44" s="393"/>
      <c r="P44" s="393"/>
      <c r="Q44" s="393"/>
      <c r="R44" s="393"/>
      <c r="S44" s="393"/>
      <c r="T44" s="393"/>
      <c r="U44" s="393"/>
      <c r="V44" s="393"/>
      <c r="W44" s="393"/>
      <c r="X44" s="393"/>
      <c r="Y44" s="393"/>
      <c r="Z44" s="393"/>
    </row>
    <row r="45" ht="11.25" customHeight="1">
      <c r="A45" s="393"/>
      <c r="B45" s="393"/>
      <c r="C45" s="393"/>
      <c r="D45" s="393"/>
      <c r="E45" s="393"/>
      <c r="F45" s="393"/>
      <c r="G45" s="393"/>
      <c r="H45" s="393"/>
      <c r="I45" s="393"/>
      <c r="J45" s="393"/>
      <c r="K45" s="393"/>
      <c r="L45" s="393"/>
      <c r="M45" s="393"/>
      <c r="N45" s="393"/>
      <c r="O45" s="393"/>
      <c r="P45" s="393"/>
      <c r="Q45" s="393"/>
      <c r="R45" s="393"/>
      <c r="S45" s="393"/>
      <c r="T45" s="393"/>
      <c r="U45" s="393"/>
      <c r="V45" s="393"/>
      <c r="W45" s="393"/>
      <c r="X45" s="393"/>
      <c r="Y45" s="393"/>
      <c r="Z45" s="393"/>
    </row>
    <row r="46" ht="11.25" customHeight="1">
      <c r="A46" s="393"/>
      <c r="B46" s="393"/>
      <c r="C46" s="393"/>
      <c r="D46" s="393"/>
      <c r="E46" s="393"/>
      <c r="F46" s="393"/>
      <c r="G46" s="393"/>
      <c r="H46" s="393"/>
      <c r="I46" s="393"/>
      <c r="J46" s="393"/>
      <c r="K46" s="393"/>
      <c r="L46" s="393"/>
      <c r="M46" s="393"/>
      <c r="N46" s="393"/>
      <c r="O46" s="393"/>
      <c r="P46" s="393"/>
      <c r="Q46" s="393"/>
      <c r="R46" s="393"/>
      <c r="S46" s="393"/>
      <c r="T46" s="393"/>
      <c r="U46" s="393"/>
      <c r="V46" s="393"/>
      <c r="W46" s="393"/>
      <c r="X46" s="393"/>
      <c r="Y46" s="393"/>
      <c r="Z46" s="393"/>
    </row>
    <row r="47" ht="11.25" customHeight="1">
      <c r="A47" s="393"/>
      <c r="B47" s="393"/>
      <c r="C47" s="393"/>
      <c r="D47" s="393"/>
      <c r="E47" s="393"/>
      <c r="F47" s="393"/>
      <c r="G47" s="393"/>
      <c r="H47" s="393"/>
      <c r="I47" s="393"/>
      <c r="J47" s="393"/>
      <c r="K47" s="393"/>
      <c r="L47" s="393"/>
      <c r="M47" s="393"/>
      <c r="N47" s="393"/>
      <c r="O47" s="393"/>
      <c r="P47" s="393"/>
      <c r="Q47" s="393"/>
      <c r="R47" s="393"/>
      <c r="S47" s="393"/>
      <c r="T47" s="393"/>
      <c r="U47" s="393"/>
      <c r="V47" s="393"/>
      <c r="W47" s="393"/>
      <c r="X47" s="393"/>
      <c r="Y47" s="393"/>
      <c r="Z47" s="393"/>
    </row>
    <row r="48" ht="11.25" customHeight="1">
      <c r="A48" s="393"/>
      <c r="B48" s="393"/>
      <c r="C48" s="393"/>
      <c r="D48" s="393"/>
      <c r="E48" s="393"/>
      <c r="F48" s="393"/>
      <c r="G48" s="393"/>
      <c r="H48" s="393"/>
      <c r="I48" s="393"/>
      <c r="J48" s="393"/>
      <c r="K48" s="393"/>
      <c r="L48" s="393"/>
      <c r="M48" s="393"/>
      <c r="N48" s="393"/>
      <c r="O48" s="393"/>
      <c r="P48" s="393"/>
      <c r="Q48" s="393"/>
      <c r="R48" s="393"/>
      <c r="S48" s="393"/>
      <c r="T48" s="393"/>
      <c r="U48" s="393"/>
      <c r="V48" s="393"/>
      <c r="W48" s="393"/>
      <c r="X48" s="393"/>
      <c r="Y48" s="393"/>
      <c r="Z48" s="393"/>
    </row>
    <row r="49" ht="11.25" customHeight="1">
      <c r="A49" s="393"/>
      <c r="B49" s="393"/>
      <c r="C49" s="393"/>
      <c r="D49" s="393"/>
      <c r="E49" s="393"/>
      <c r="F49" s="393"/>
      <c r="G49" s="393"/>
      <c r="H49" s="393"/>
      <c r="I49" s="393"/>
      <c r="J49" s="393"/>
      <c r="K49" s="393"/>
      <c r="L49" s="393"/>
      <c r="M49" s="393"/>
      <c r="N49" s="393"/>
      <c r="O49" s="393"/>
      <c r="P49" s="393"/>
      <c r="Q49" s="393"/>
      <c r="R49" s="393"/>
      <c r="S49" s="393"/>
      <c r="T49" s="393"/>
      <c r="U49" s="393"/>
      <c r="V49" s="393"/>
      <c r="W49" s="393"/>
      <c r="X49" s="393"/>
      <c r="Y49" s="393"/>
      <c r="Z49" s="393"/>
    </row>
    <row r="50" ht="11.25" customHeight="1">
      <c r="A50" s="393"/>
      <c r="B50" s="393"/>
      <c r="C50" s="393"/>
      <c r="D50" s="393"/>
      <c r="E50" s="393"/>
      <c r="F50" s="393"/>
      <c r="G50" s="393"/>
      <c r="H50" s="393"/>
      <c r="I50" s="393"/>
      <c r="J50" s="393"/>
      <c r="K50" s="393"/>
      <c r="L50" s="393"/>
      <c r="M50" s="393"/>
      <c r="N50" s="393"/>
      <c r="O50" s="393"/>
      <c r="P50" s="393"/>
      <c r="Q50" s="393"/>
      <c r="R50" s="393"/>
      <c r="S50" s="393"/>
      <c r="T50" s="393"/>
      <c r="U50" s="393"/>
      <c r="V50" s="393"/>
      <c r="W50" s="393"/>
      <c r="X50" s="393"/>
      <c r="Y50" s="393"/>
      <c r="Z50" s="393"/>
    </row>
    <row r="51" ht="11.25" customHeight="1">
      <c r="A51" s="393"/>
      <c r="B51" s="393"/>
      <c r="C51" s="393"/>
      <c r="D51" s="393"/>
      <c r="E51" s="393"/>
      <c r="F51" s="393"/>
      <c r="G51" s="393"/>
      <c r="H51" s="393"/>
      <c r="I51" s="393"/>
      <c r="J51" s="393"/>
      <c r="K51" s="393"/>
      <c r="L51" s="393"/>
      <c r="M51" s="393"/>
      <c r="N51" s="393"/>
      <c r="O51" s="393"/>
      <c r="P51" s="393"/>
      <c r="Q51" s="393"/>
      <c r="R51" s="393"/>
      <c r="S51" s="393"/>
      <c r="T51" s="393"/>
      <c r="U51" s="393"/>
      <c r="V51" s="393"/>
      <c r="W51" s="393"/>
      <c r="X51" s="393"/>
      <c r="Y51" s="393"/>
      <c r="Z51" s="393"/>
    </row>
    <row r="52" ht="11.25" customHeight="1">
      <c r="A52" s="393"/>
      <c r="B52" s="393"/>
      <c r="C52" s="393"/>
      <c r="D52" s="393"/>
      <c r="E52" s="393"/>
      <c r="F52" s="393"/>
      <c r="G52" s="393"/>
      <c r="H52" s="393"/>
      <c r="I52" s="393"/>
      <c r="J52" s="393"/>
      <c r="K52" s="393"/>
      <c r="L52" s="393"/>
      <c r="M52" s="393"/>
      <c r="N52" s="393"/>
      <c r="O52" s="393"/>
      <c r="P52" s="393"/>
      <c r="Q52" s="393"/>
      <c r="R52" s="393"/>
      <c r="S52" s="393"/>
      <c r="T52" s="393"/>
      <c r="U52" s="393"/>
      <c r="V52" s="393"/>
      <c r="W52" s="393"/>
      <c r="X52" s="393"/>
      <c r="Y52" s="393"/>
      <c r="Z52" s="393"/>
    </row>
    <row r="53" ht="11.25" customHeight="1">
      <c r="A53" s="393"/>
      <c r="B53" s="393"/>
      <c r="C53" s="393"/>
      <c r="D53" s="393"/>
      <c r="E53" s="393"/>
      <c r="F53" s="393"/>
      <c r="G53" s="393"/>
      <c r="H53" s="393"/>
      <c r="I53" s="393"/>
      <c r="J53" s="393"/>
      <c r="K53" s="393"/>
      <c r="L53" s="393"/>
      <c r="M53" s="393"/>
      <c r="N53" s="393"/>
      <c r="O53" s="393"/>
      <c r="P53" s="393"/>
      <c r="Q53" s="393"/>
      <c r="R53" s="393"/>
      <c r="S53" s="393"/>
      <c r="T53" s="393"/>
      <c r="U53" s="393"/>
      <c r="V53" s="393"/>
      <c r="W53" s="393"/>
      <c r="X53" s="393"/>
      <c r="Y53" s="393"/>
      <c r="Z53" s="393"/>
    </row>
    <row r="54" ht="11.25" customHeight="1">
      <c r="A54" s="393"/>
      <c r="B54" s="393"/>
      <c r="C54" s="393"/>
      <c r="D54" s="393"/>
      <c r="E54" s="393"/>
      <c r="F54" s="393"/>
      <c r="G54" s="393"/>
      <c r="H54" s="393"/>
      <c r="I54" s="393"/>
      <c r="J54" s="393"/>
      <c r="K54" s="393"/>
      <c r="L54" s="393"/>
      <c r="M54" s="393"/>
      <c r="N54" s="393"/>
      <c r="O54" s="393"/>
      <c r="P54" s="393"/>
      <c r="Q54" s="393"/>
      <c r="R54" s="393"/>
      <c r="S54" s="393"/>
      <c r="T54" s="393"/>
      <c r="U54" s="393"/>
      <c r="V54" s="393"/>
      <c r="W54" s="393"/>
      <c r="X54" s="393"/>
      <c r="Y54" s="393"/>
      <c r="Z54" s="393"/>
    </row>
    <row r="55" ht="11.25" customHeight="1">
      <c r="A55" s="393"/>
      <c r="B55" s="393"/>
      <c r="C55" s="393"/>
      <c r="D55" s="393"/>
      <c r="E55" s="393"/>
      <c r="F55" s="393"/>
      <c r="G55" s="393"/>
      <c r="H55" s="393"/>
      <c r="I55" s="393"/>
      <c r="J55" s="393"/>
      <c r="K55" s="393"/>
      <c r="L55" s="393"/>
      <c r="M55" s="393"/>
      <c r="N55" s="393"/>
      <c r="O55" s="393"/>
      <c r="P55" s="393"/>
      <c r="Q55" s="393"/>
      <c r="R55" s="393"/>
      <c r="S55" s="393"/>
      <c r="T55" s="393"/>
      <c r="U55" s="393"/>
      <c r="V55" s="393"/>
      <c r="W55" s="393"/>
      <c r="X55" s="393"/>
      <c r="Y55" s="393"/>
      <c r="Z55" s="393"/>
    </row>
    <row r="56" ht="11.25" customHeight="1">
      <c r="A56" s="393"/>
      <c r="B56" s="393"/>
      <c r="C56" s="393"/>
      <c r="D56" s="393"/>
      <c r="E56" s="393"/>
      <c r="F56" s="393"/>
      <c r="G56" s="393"/>
      <c r="H56" s="393"/>
      <c r="I56" s="393"/>
      <c r="J56" s="393"/>
      <c r="K56" s="393"/>
      <c r="L56" s="393"/>
      <c r="M56" s="393"/>
      <c r="N56" s="393"/>
      <c r="O56" s="393"/>
      <c r="P56" s="393"/>
      <c r="Q56" s="393"/>
      <c r="R56" s="393"/>
      <c r="S56" s="393"/>
      <c r="T56" s="393"/>
      <c r="U56" s="393"/>
      <c r="V56" s="393"/>
      <c r="W56" s="393"/>
      <c r="X56" s="393"/>
      <c r="Y56" s="393"/>
      <c r="Z56" s="393"/>
    </row>
    <row r="57" ht="11.25" customHeight="1">
      <c r="A57" s="393"/>
      <c r="B57" s="393"/>
      <c r="C57" s="393"/>
      <c r="D57" s="393"/>
      <c r="E57" s="393"/>
      <c r="F57" s="393"/>
      <c r="G57" s="393"/>
      <c r="H57" s="393"/>
      <c r="I57" s="393"/>
      <c r="J57" s="393"/>
      <c r="K57" s="393"/>
      <c r="L57" s="393"/>
      <c r="M57" s="393"/>
      <c r="N57" s="393"/>
      <c r="O57" s="393"/>
      <c r="P57" s="393"/>
      <c r="Q57" s="393"/>
      <c r="R57" s="393"/>
      <c r="S57" s="393"/>
      <c r="T57" s="393"/>
      <c r="U57" s="393"/>
      <c r="V57" s="393"/>
      <c r="W57" s="393"/>
      <c r="X57" s="393"/>
      <c r="Y57" s="393"/>
      <c r="Z57" s="393"/>
    </row>
    <row r="58" ht="11.25" customHeight="1">
      <c r="A58" s="393"/>
      <c r="B58" s="393"/>
      <c r="C58" s="393"/>
      <c r="D58" s="393"/>
      <c r="E58" s="393"/>
      <c r="F58" s="393"/>
      <c r="G58" s="393"/>
      <c r="H58" s="393"/>
      <c r="I58" s="393"/>
      <c r="J58" s="393"/>
      <c r="K58" s="393"/>
      <c r="L58" s="393"/>
      <c r="M58" s="393"/>
      <c r="N58" s="393"/>
      <c r="O58" s="393"/>
      <c r="P58" s="393"/>
      <c r="Q58" s="393"/>
      <c r="R58" s="393"/>
      <c r="S58" s="393"/>
      <c r="T58" s="393"/>
      <c r="U58" s="393"/>
      <c r="V58" s="393"/>
      <c r="W58" s="393"/>
      <c r="X58" s="393"/>
      <c r="Y58" s="393"/>
      <c r="Z58" s="393"/>
    </row>
    <row r="59" ht="11.25" customHeight="1">
      <c r="A59" s="393"/>
      <c r="B59" s="393"/>
      <c r="C59" s="393"/>
      <c r="D59" s="393"/>
      <c r="E59" s="393"/>
      <c r="F59" s="393"/>
      <c r="G59" s="393"/>
      <c r="H59" s="393"/>
      <c r="I59" s="393"/>
      <c r="J59" s="393"/>
      <c r="K59" s="393"/>
      <c r="L59" s="393"/>
      <c r="M59" s="393"/>
      <c r="N59" s="393"/>
      <c r="O59" s="393"/>
      <c r="P59" s="393"/>
      <c r="Q59" s="393"/>
      <c r="R59" s="393"/>
      <c r="S59" s="393"/>
      <c r="T59" s="393"/>
      <c r="U59" s="393"/>
      <c r="V59" s="393"/>
      <c r="W59" s="393"/>
      <c r="X59" s="393"/>
      <c r="Y59" s="393"/>
      <c r="Z59" s="393"/>
    </row>
    <row r="60" ht="11.25" customHeight="1">
      <c r="A60" s="393"/>
      <c r="B60" s="393"/>
      <c r="C60" s="393"/>
      <c r="D60" s="393"/>
      <c r="E60" s="393"/>
      <c r="F60" s="393"/>
      <c r="G60" s="393"/>
      <c r="H60" s="393"/>
      <c r="I60" s="393"/>
      <c r="J60" s="393"/>
      <c r="K60" s="393"/>
      <c r="L60" s="393"/>
      <c r="M60" s="393"/>
      <c r="N60" s="393"/>
      <c r="O60" s="393"/>
      <c r="P60" s="393"/>
      <c r="Q60" s="393"/>
      <c r="R60" s="393"/>
      <c r="S60" s="393"/>
      <c r="T60" s="393"/>
      <c r="U60" s="393"/>
      <c r="V60" s="393"/>
      <c r="W60" s="393"/>
      <c r="X60" s="393"/>
      <c r="Y60" s="393"/>
      <c r="Z60" s="393"/>
    </row>
    <row r="61" ht="11.25" customHeight="1">
      <c r="A61" s="393"/>
      <c r="B61" s="393"/>
      <c r="C61" s="393"/>
      <c r="D61" s="393"/>
      <c r="E61" s="393"/>
      <c r="F61" s="393"/>
      <c r="G61" s="393"/>
      <c r="H61" s="393"/>
      <c r="I61" s="393"/>
      <c r="J61" s="393"/>
      <c r="K61" s="393"/>
      <c r="L61" s="393"/>
      <c r="M61" s="393"/>
      <c r="N61" s="393"/>
      <c r="O61" s="393"/>
      <c r="P61" s="393"/>
      <c r="Q61" s="393"/>
      <c r="R61" s="393"/>
      <c r="S61" s="393"/>
      <c r="T61" s="393"/>
      <c r="U61" s="393"/>
      <c r="V61" s="393"/>
      <c r="W61" s="393"/>
      <c r="X61" s="393"/>
      <c r="Y61" s="393"/>
      <c r="Z61" s="393"/>
    </row>
    <row r="62" ht="11.25" customHeight="1">
      <c r="A62" s="393"/>
      <c r="B62" s="393"/>
      <c r="C62" s="393"/>
      <c r="D62" s="393"/>
      <c r="E62" s="393"/>
      <c r="F62" s="393"/>
      <c r="G62" s="393"/>
      <c r="H62" s="393"/>
      <c r="I62" s="393"/>
      <c r="J62" s="393"/>
      <c r="K62" s="393"/>
      <c r="L62" s="393"/>
      <c r="M62" s="393"/>
      <c r="N62" s="393"/>
      <c r="O62" s="393"/>
      <c r="P62" s="393"/>
      <c r="Q62" s="393"/>
      <c r="R62" s="393"/>
      <c r="S62" s="393"/>
      <c r="T62" s="393"/>
      <c r="U62" s="393"/>
      <c r="V62" s="393"/>
      <c r="W62" s="393"/>
      <c r="X62" s="393"/>
      <c r="Y62" s="393"/>
      <c r="Z62" s="393"/>
    </row>
    <row r="63" ht="11.25" customHeight="1">
      <c r="A63" s="393"/>
      <c r="B63" s="393"/>
      <c r="C63" s="393"/>
      <c r="D63" s="393"/>
      <c r="E63" s="393"/>
      <c r="F63" s="393"/>
      <c r="G63" s="393"/>
      <c r="H63" s="393"/>
      <c r="I63" s="393"/>
      <c r="J63" s="393"/>
      <c r="K63" s="393"/>
      <c r="L63" s="393"/>
      <c r="M63" s="393"/>
      <c r="N63" s="393"/>
      <c r="O63" s="393"/>
      <c r="P63" s="393"/>
      <c r="Q63" s="393"/>
      <c r="R63" s="393"/>
      <c r="S63" s="393"/>
      <c r="T63" s="393"/>
      <c r="U63" s="393"/>
      <c r="V63" s="393"/>
      <c r="W63" s="393"/>
      <c r="X63" s="393"/>
      <c r="Y63" s="393"/>
      <c r="Z63" s="393"/>
    </row>
    <row r="64" ht="11.25" customHeight="1">
      <c r="A64" s="393"/>
      <c r="B64" s="393"/>
      <c r="C64" s="393"/>
      <c r="D64" s="393"/>
      <c r="E64" s="393"/>
      <c r="F64" s="393"/>
      <c r="G64" s="393"/>
      <c r="H64" s="393"/>
      <c r="I64" s="393"/>
      <c r="J64" s="393"/>
      <c r="K64" s="393"/>
      <c r="L64" s="393"/>
      <c r="M64" s="393"/>
      <c r="N64" s="393"/>
      <c r="O64" s="393"/>
      <c r="P64" s="393"/>
      <c r="Q64" s="393"/>
      <c r="R64" s="393"/>
      <c r="S64" s="393"/>
      <c r="T64" s="393"/>
      <c r="U64" s="393"/>
      <c r="V64" s="393"/>
      <c r="W64" s="393"/>
      <c r="X64" s="393"/>
      <c r="Y64" s="393"/>
      <c r="Z64" s="393"/>
    </row>
    <row r="65" ht="11.25" customHeight="1">
      <c r="A65" s="393"/>
      <c r="B65" s="393"/>
      <c r="C65" s="393"/>
      <c r="D65" s="393"/>
      <c r="E65" s="393"/>
      <c r="F65" s="393"/>
      <c r="G65" s="393"/>
      <c r="H65" s="393"/>
      <c r="I65" s="393"/>
      <c r="J65" s="393"/>
      <c r="K65" s="393"/>
      <c r="L65" s="393"/>
      <c r="M65" s="393"/>
      <c r="N65" s="393"/>
      <c r="O65" s="393"/>
      <c r="P65" s="393"/>
      <c r="Q65" s="393"/>
      <c r="R65" s="393"/>
      <c r="S65" s="393"/>
      <c r="T65" s="393"/>
      <c r="U65" s="393"/>
      <c r="V65" s="393"/>
      <c r="W65" s="393"/>
      <c r="X65" s="393"/>
      <c r="Y65" s="393"/>
      <c r="Z65" s="393"/>
    </row>
    <row r="66" ht="11.25" customHeight="1">
      <c r="A66" s="393"/>
      <c r="B66" s="393"/>
      <c r="C66" s="393"/>
      <c r="D66" s="393"/>
      <c r="E66" s="393"/>
      <c r="F66" s="393"/>
      <c r="G66" s="393"/>
      <c r="H66" s="393"/>
      <c r="I66" s="393"/>
      <c r="J66" s="393"/>
      <c r="K66" s="393"/>
      <c r="L66" s="393"/>
      <c r="M66" s="393"/>
      <c r="N66" s="393"/>
      <c r="O66" s="393"/>
      <c r="P66" s="393"/>
      <c r="Q66" s="393"/>
      <c r="R66" s="393"/>
      <c r="S66" s="393"/>
      <c r="T66" s="393"/>
      <c r="U66" s="393"/>
      <c r="V66" s="393"/>
      <c r="W66" s="393"/>
      <c r="X66" s="393"/>
      <c r="Y66" s="393"/>
      <c r="Z66" s="393"/>
    </row>
    <row r="67" ht="11.25" customHeight="1">
      <c r="A67" s="393"/>
      <c r="B67" s="393"/>
      <c r="C67" s="393"/>
      <c r="D67" s="393"/>
      <c r="E67" s="393"/>
      <c r="F67" s="393"/>
      <c r="G67" s="393"/>
      <c r="H67" s="393"/>
      <c r="I67" s="393"/>
      <c r="J67" s="393"/>
      <c r="K67" s="393"/>
      <c r="L67" s="393"/>
      <c r="M67" s="393"/>
      <c r="N67" s="393"/>
      <c r="O67" s="393"/>
      <c r="P67" s="393"/>
      <c r="Q67" s="393"/>
      <c r="R67" s="393"/>
      <c r="S67" s="393"/>
      <c r="T67" s="393"/>
      <c r="U67" s="393"/>
      <c r="V67" s="393"/>
      <c r="W67" s="393"/>
      <c r="X67" s="393"/>
      <c r="Y67" s="393"/>
      <c r="Z67" s="393"/>
    </row>
    <row r="68" ht="11.25" customHeight="1">
      <c r="A68" s="393"/>
      <c r="B68" s="393"/>
      <c r="C68" s="393"/>
      <c r="D68" s="393"/>
      <c r="E68" s="393"/>
      <c r="F68" s="393"/>
      <c r="G68" s="393"/>
      <c r="H68" s="393"/>
      <c r="I68" s="393"/>
      <c r="J68" s="393"/>
      <c r="K68" s="393"/>
      <c r="L68" s="393"/>
      <c r="M68" s="393"/>
      <c r="N68" s="393"/>
      <c r="O68" s="393"/>
      <c r="P68" s="393"/>
      <c r="Q68" s="393"/>
      <c r="R68" s="393"/>
      <c r="S68" s="393"/>
      <c r="T68" s="393"/>
      <c r="U68" s="393"/>
      <c r="V68" s="393"/>
      <c r="W68" s="393"/>
      <c r="X68" s="393"/>
      <c r="Y68" s="393"/>
      <c r="Z68" s="393"/>
    </row>
    <row r="69" ht="11.25" customHeight="1">
      <c r="A69" s="393"/>
      <c r="B69" s="393"/>
      <c r="C69" s="393"/>
      <c r="D69" s="393"/>
      <c r="E69" s="393"/>
      <c r="F69" s="393"/>
      <c r="G69" s="393"/>
      <c r="H69" s="393"/>
      <c r="I69" s="393"/>
      <c r="J69" s="393"/>
      <c r="K69" s="393"/>
      <c r="L69" s="393"/>
      <c r="M69" s="393"/>
      <c r="N69" s="393"/>
      <c r="O69" s="393"/>
      <c r="P69" s="393"/>
      <c r="Q69" s="393"/>
      <c r="R69" s="393"/>
      <c r="S69" s="393"/>
      <c r="T69" s="393"/>
      <c r="U69" s="393"/>
      <c r="V69" s="393"/>
      <c r="W69" s="393"/>
      <c r="X69" s="393"/>
      <c r="Y69" s="393"/>
      <c r="Z69" s="393"/>
    </row>
    <row r="70" ht="11.25" customHeight="1">
      <c r="A70" s="393"/>
      <c r="B70" s="393"/>
      <c r="C70" s="393"/>
      <c r="D70" s="393"/>
      <c r="E70" s="393"/>
      <c r="F70" s="393"/>
      <c r="G70" s="393"/>
      <c r="H70" s="393"/>
      <c r="I70" s="393"/>
      <c r="J70" s="393"/>
      <c r="K70" s="393"/>
      <c r="L70" s="393"/>
      <c r="M70" s="393"/>
      <c r="N70" s="393"/>
      <c r="O70" s="393"/>
      <c r="P70" s="393"/>
      <c r="Q70" s="393"/>
      <c r="R70" s="393"/>
      <c r="S70" s="393"/>
      <c r="T70" s="393"/>
      <c r="U70" s="393"/>
      <c r="V70" s="393"/>
      <c r="W70" s="393"/>
      <c r="X70" s="393"/>
      <c r="Y70" s="393"/>
      <c r="Z70" s="393"/>
    </row>
    <row r="71" ht="11.25" customHeight="1">
      <c r="A71" s="393"/>
      <c r="B71" s="393"/>
      <c r="C71" s="393"/>
      <c r="D71" s="393"/>
      <c r="E71" s="393"/>
      <c r="F71" s="393"/>
      <c r="G71" s="393"/>
      <c r="H71" s="393"/>
      <c r="I71" s="393"/>
      <c r="J71" s="393"/>
      <c r="K71" s="393"/>
      <c r="L71" s="393"/>
      <c r="M71" s="393"/>
      <c r="N71" s="393"/>
      <c r="O71" s="393"/>
      <c r="P71" s="393"/>
      <c r="Q71" s="393"/>
      <c r="R71" s="393"/>
      <c r="S71" s="393"/>
      <c r="T71" s="393"/>
      <c r="U71" s="393"/>
      <c r="V71" s="393"/>
      <c r="W71" s="393"/>
      <c r="X71" s="393"/>
      <c r="Y71" s="393"/>
      <c r="Z71" s="393"/>
    </row>
    <row r="72" ht="11.25" customHeight="1">
      <c r="A72" s="393"/>
      <c r="B72" s="393"/>
      <c r="C72" s="393"/>
      <c r="D72" s="393"/>
      <c r="E72" s="393"/>
      <c r="F72" s="393"/>
      <c r="G72" s="393"/>
      <c r="H72" s="393"/>
      <c r="I72" s="393"/>
      <c r="J72" s="393"/>
      <c r="K72" s="393"/>
      <c r="L72" s="393"/>
      <c r="M72" s="393"/>
      <c r="N72" s="393"/>
      <c r="O72" s="393"/>
      <c r="P72" s="393"/>
      <c r="Q72" s="393"/>
      <c r="R72" s="393"/>
      <c r="S72" s="393"/>
      <c r="T72" s="393"/>
      <c r="U72" s="393"/>
      <c r="V72" s="393"/>
      <c r="W72" s="393"/>
      <c r="X72" s="393"/>
      <c r="Y72" s="393"/>
      <c r="Z72" s="393"/>
    </row>
    <row r="73" ht="11.25" customHeight="1">
      <c r="A73" s="393"/>
      <c r="B73" s="393"/>
      <c r="C73" s="393"/>
      <c r="D73" s="393"/>
      <c r="E73" s="393"/>
      <c r="F73" s="393"/>
      <c r="G73" s="393"/>
      <c r="H73" s="393"/>
      <c r="I73" s="393"/>
      <c r="J73" s="393"/>
      <c r="K73" s="393"/>
      <c r="L73" s="393"/>
      <c r="M73" s="393"/>
      <c r="N73" s="393"/>
      <c r="O73" s="393"/>
      <c r="P73" s="393"/>
      <c r="Q73" s="393"/>
      <c r="R73" s="393"/>
      <c r="S73" s="393"/>
      <c r="T73" s="393"/>
      <c r="U73" s="393"/>
      <c r="V73" s="393"/>
      <c r="W73" s="393"/>
      <c r="X73" s="393"/>
      <c r="Y73" s="393"/>
      <c r="Z73" s="393"/>
    </row>
    <row r="74" ht="11.25" customHeight="1">
      <c r="A74" s="393"/>
      <c r="B74" s="393"/>
      <c r="C74" s="393"/>
      <c r="D74" s="393"/>
      <c r="E74" s="393"/>
      <c r="F74" s="393"/>
      <c r="G74" s="393"/>
      <c r="H74" s="393"/>
      <c r="I74" s="393"/>
      <c r="J74" s="393"/>
      <c r="K74" s="393"/>
      <c r="L74" s="393"/>
      <c r="M74" s="393"/>
      <c r="N74" s="393"/>
      <c r="O74" s="393"/>
      <c r="P74" s="393"/>
      <c r="Q74" s="393"/>
      <c r="R74" s="393"/>
      <c r="S74" s="393"/>
      <c r="T74" s="393"/>
      <c r="U74" s="393"/>
      <c r="V74" s="393"/>
      <c r="W74" s="393"/>
      <c r="X74" s="393"/>
      <c r="Y74" s="393"/>
      <c r="Z74" s="393"/>
    </row>
    <row r="75" ht="11.25" customHeight="1">
      <c r="A75" s="393"/>
      <c r="B75" s="393"/>
      <c r="C75" s="393"/>
      <c r="D75" s="393"/>
      <c r="E75" s="393"/>
      <c r="F75" s="393"/>
      <c r="G75" s="393"/>
      <c r="H75" s="393"/>
      <c r="I75" s="393"/>
      <c r="J75" s="393"/>
      <c r="K75" s="393"/>
      <c r="L75" s="393"/>
      <c r="M75" s="393"/>
      <c r="N75" s="393"/>
      <c r="O75" s="393"/>
      <c r="P75" s="393"/>
      <c r="Q75" s="393"/>
      <c r="R75" s="393"/>
      <c r="S75" s="393"/>
      <c r="T75" s="393"/>
      <c r="U75" s="393"/>
      <c r="V75" s="393"/>
      <c r="W75" s="393"/>
      <c r="X75" s="393"/>
      <c r="Y75" s="393"/>
      <c r="Z75" s="393"/>
    </row>
    <row r="76" ht="11.25" customHeight="1">
      <c r="A76" s="393"/>
      <c r="B76" s="393"/>
      <c r="C76" s="393"/>
      <c r="D76" s="393"/>
      <c r="E76" s="393"/>
      <c r="F76" s="393"/>
      <c r="G76" s="393"/>
      <c r="H76" s="393"/>
      <c r="I76" s="393"/>
      <c r="J76" s="393"/>
      <c r="K76" s="393"/>
      <c r="L76" s="393"/>
      <c r="M76" s="393"/>
      <c r="N76" s="393"/>
      <c r="O76" s="393"/>
      <c r="P76" s="393"/>
      <c r="Q76" s="393"/>
      <c r="R76" s="393"/>
      <c r="S76" s="393"/>
      <c r="T76" s="393"/>
      <c r="U76" s="393"/>
      <c r="V76" s="393"/>
      <c r="W76" s="393"/>
      <c r="X76" s="393"/>
      <c r="Y76" s="393"/>
      <c r="Z76" s="393"/>
    </row>
    <row r="77" ht="11.25" customHeight="1">
      <c r="A77" s="393"/>
      <c r="B77" s="393"/>
      <c r="C77" s="393"/>
      <c r="D77" s="393"/>
      <c r="E77" s="393"/>
      <c r="F77" s="393"/>
      <c r="G77" s="393"/>
      <c r="H77" s="393"/>
      <c r="I77" s="393"/>
      <c r="J77" s="393"/>
      <c r="K77" s="393"/>
      <c r="L77" s="393"/>
      <c r="M77" s="393"/>
      <c r="N77" s="393"/>
      <c r="O77" s="393"/>
      <c r="P77" s="393"/>
      <c r="Q77" s="393"/>
      <c r="R77" s="393"/>
      <c r="S77" s="393"/>
      <c r="T77" s="393"/>
      <c r="U77" s="393"/>
      <c r="V77" s="393"/>
      <c r="W77" s="393"/>
      <c r="X77" s="393"/>
      <c r="Y77" s="393"/>
      <c r="Z77" s="393"/>
    </row>
    <row r="78" ht="11.25" customHeight="1">
      <c r="A78" s="393"/>
      <c r="B78" s="393"/>
      <c r="C78" s="393"/>
      <c r="D78" s="393"/>
      <c r="E78" s="393"/>
      <c r="F78" s="393"/>
      <c r="G78" s="393"/>
      <c r="H78" s="393"/>
      <c r="I78" s="393"/>
      <c r="J78" s="393"/>
      <c r="K78" s="393"/>
      <c r="L78" s="393"/>
      <c r="M78" s="393"/>
      <c r="N78" s="393"/>
      <c r="O78" s="393"/>
      <c r="P78" s="393"/>
      <c r="Q78" s="393"/>
      <c r="R78" s="393"/>
      <c r="S78" s="393"/>
      <c r="T78" s="393"/>
      <c r="U78" s="393"/>
      <c r="V78" s="393"/>
      <c r="W78" s="393"/>
      <c r="X78" s="393"/>
      <c r="Y78" s="393"/>
      <c r="Z78" s="393"/>
    </row>
    <row r="79" ht="11.25" customHeight="1">
      <c r="A79" s="393"/>
      <c r="B79" s="393"/>
      <c r="C79" s="393"/>
      <c r="D79" s="393"/>
      <c r="E79" s="393"/>
      <c r="F79" s="393"/>
      <c r="G79" s="393"/>
      <c r="H79" s="393"/>
      <c r="I79" s="393"/>
      <c r="J79" s="393"/>
      <c r="K79" s="393"/>
      <c r="L79" s="393"/>
      <c r="M79" s="393"/>
      <c r="N79" s="393"/>
      <c r="O79" s="393"/>
      <c r="P79" s="393"/>
      <c r="Q79" s="393"/>
      <c r="R79" s="393"/>
      <c r="S79" s="393"/>
      <c r="T79" s="393"/>
      <c r="U79" s="393"/>
      <c r="V79" s="393"/>
      <c r="W79" s="393"/>
      <c r="X79" s="393"/>
      <c r="Y79" s="393"/>
      <c r="Z79" s="393"/>
    </row>
    <row r="80" ht="11.25" customHeight="1">
      <c r="A80" s="393"/>
      <c r="B80" s="393"/>
      <c r="C80" s="393"/>
      <c r="D80" s="393"/>
      <c r="E80" s="393"/>
      <c r="F80" s="393"/>
      <c r="G80" s="393"/>
      <c r="H80" s="393"/>
      <c r="I80" s="393"/>
      <c r="J80" s="393"/>
      <c r="K80" s="393"/>
      <c r="L80" s="393"/>
      <c r="M80" s="393"/>
      <c r="N80" s="393"/>
      <c r="O80" s="393"/>
      <c r="P80" s="393"/>
      <c r="Q80" s="393"/>
      <c r="R80" s="393"/>
      <c r="S80" s="393"/>
      <c r="T80" s="393"/>
      <c r="U80" s="393"/>
      <c r="V80" s="393"/>
      <c r="W80" s="393"/>
      <c r="X80" s="393"/>
      <c r="Y80" s="393"/>
      <c r="Z80" s="393"/>
    </row>
    <row r="81" ht="11.25" customHeight="1">
      <c r="A81" s="393"/>
      <c r="B81" s="393"/>
      <c r="C81" s="393"/>
      <c r="D81" s="393"/>
      <c r="E81" s="393"/>
      <c r="F81" s="393"/>
      <c r="G81" s="393"/>
      <c r="H81" s="393"/>
      <c r="I81" s="393"/>
      <c r="J81" s="393"/>
      <c r="K81" s="393"/>
      <c r="L81" s="393"/>
      <c r="M81" s="393"/>
      <c r="N81" s="393"/>
      <c r="O81" s="393"/>
      <c r="P81" s="393"/>
      <c r="Q81" s="393"/>
      <c r="R81" s="393"/>
      <c r="S81" s="393"/>
      <c r="T81" s="393"/>
      <c r="U81" s="393"/>
      <c r="V81" s="393"/>
      <c r="W81" s="393"/>
      <c r="X81" s="393"/>
      <c r="Y81" s="393"/>
      <c r="Z81" s="393"/>
    </row>
    <row r="82" ht="11.25" customHeight="1">
      <c r="A82" s="393"/>
      <c r="B82" s="393"/>
      <c r="C82" s="393"/>
      <c r="D82" s="393"/>
      <c r="E82" s="393"/>
      <c r="F82" s="393"/>
      <c r="G82" s="393"/>
      <c r="H82" s="393"/>
      <c r="I82" s="393"/>
      <c r="J82" s="393"/>
      <c r="K82" s="393"/>
      <c r="L82" s="393"/>
      <c r="M82" s="393"/>
      <c r="N82" s="393"/>
      <c r="O82" s="393"/>
      <c r="P82" s="393"/>
      <c r="Q82" s="393"/>
      <c r="R82" s="393"/>
      <c r="S82" s="393"/>
      <c r="T82" s="393"/>
      <c r="U82" s="393"/>
      <c r="V82" s="393"/>
      <c r="W82" s="393"/>
      <c r="X82" s="393"/>
      <c r="Y82" s="393"/>
      <c r="Z82" s="393"/>
    </row>
    <row r="83" ht="11.25" customHeight="1">
      <c r="A83" s="393"/>
      <c r="B83" s="393"/>
      <c r="C83" s="393"/>
      <c r="D83" s="393"/>
      <c r="E83" s="393"/>
      <c r="F83" s="393"/>
      <c r="G83" s="393"/>
      <c r="H83" s="393"/>
      <c r="I83" s="393"/>
      <c r="J83" s="393"/>
      <c r="K83" s="393"/>
      <c r="L83" s="393"/>
      <c r="M83" s="393"/>
      <c r="N83" s="393"/>
      <c r="O83" s="393"/>
      <c r="P83" s="393"/>
      <c r="Q83" s="393"/>
      <c r="R83" s="393"/>
      <c r="S83" s="393"/>
      <c r="T83" s="393"/>
      <c r="U83" s="393"/>
      <c r="V83" s="393"/>
      <c r="W83" s="393"/>
      <c r="X83" s="393"/>
      <c r="Y83" s="393"/>
      <c r="Z83" s="393"/>
    </row>
    <row r="84" ht="11.25" customHeight="1">
      <c r="A84" s="393"/>
      <c r="B84" s="393"/>
      <c r="C84" s="393"/>
      <c r="D84" s="393"/>
      <c r="E84" s="393"/>
      <c r="F84" s="393"/>
      <c r="G84" s="393"/>
      <c r="H84" s="393"/>
      <c r="I84" s="393"/>
      <c r="J84" s="393"/>
      <c r="K84" s="393"/>
      <c r="L84" s="393"/>
      <c r="M84" s="393"/>
      <c r="N84" s="393"/>
      <c r="O84" s="393"/>
      <c r="P84" s="393"/>
      <c r="Q84" s="393"/>
      <c r="R84" s="393"/>
      <c r="S84" s="393"/>
      <c r="T84" s="393"/>
      <c r="U84" s="393"/>
      <c r="V84" s="393"/>
      <c r="W84" s="393"/>
      <c r="X84" s="393"/>
      <c r="Y84" s="393"/>
      <c r="Z84" s="393"/>
    </row>
    <row r="85" ht="11.25" customHeight="1">
      <c r="A85" s="393"/>
      <c r="B85" s="393"/>
      <c r="C85" s="393"/>
      <c r="D85" s="393"/>
      <c r="E85" s="393"/>
      <c r="F85" s="393"/>
      <c r="G85" s="393"/>
      <c r="H85" s="393"/>
      <c r="I85" s="393"/>
      <c r="J85" s="393"/>
      <c r="K85" s="393"/>
      <c r="L85" s="393"/>
      <c r="M85" s="393"/>
      <c r="N85" s="393"/>
      <c r="O85" s="393"/>
      <c r="P85" s="393"/>
      <c r="Q85" s="393"/>
      <c r="R85" s="393"/>
      <c r="S85" s="393"/>
      <c r="T85" s="393"/>
      <c r="U85" s="393"/>
      <c r="V85" s="393"/>
      <c r="W85" s="393"/>
      <c r="X85" s="393"/>
      <c r="Y85" s="393"/>
      <c r="Z85" s="393"/>
    </row>
    <row r="86" ht="11.25" customHeight="1">
      <c r="A86" s="393"/>
      <c r="B86" s="393"/>
      <c r="C86" s="393"/>
      <c r="D86" s="393"/>
      <c r="E86" s="393"/>
      <c r="F86" s="393"/>
      <c r="G86" s="393"/>
      <c r="H86" s="393"/>
      <c r="I86" s="393"/>
      <c r="J86" s="393"/>
      <c r="K86" s="393"/>
      <c r="L86" s="393"/>
      <c r="M86" s="393"/>
      <c r="N86" s="393"/>
      <c r="O86" s="393"/>
      <c r="P86" s="393"/>
      <c r="Q86" s="393"/>
      <c r="R86" s="393"/>
      <c r="S86" s="393"/>
      <c r="T86" s="393"/>
      <c r="U86" s="393"/>
      <c r="V86" s="393"/>
      <c r="W86" s="393"/>
      <c r="X86" s="393"/>
      <c r="Y86" s="393"/>
      <c r="Z86" s="393"/>
    </row>
    <row r="87" ht="11.25" customHeight="1">
      <c r="A87" s="393"/>
      <c r="B87" s="393"/>
      <c r="C87" s="393"/>
      <c r="D87" s="393"/>
      <c r="E87" s="393"/>
      <c r="F87" s="393"/>
      <c r="G87" s="393"/>
      <c r="H87" s="393"/>
      <c r="I87" s="393"/>
      <c r="J87" s="393"/>
      <c r="K87" s="393"/>
      <c r="L87" s="393"/>
      <c r="M87" s="393"/>
      <c r="N87" s="393"/>
      <c r="O87" s="393"/>
      <c r="P87" s="393"/>
      <c r="Q87" s="393"/>
      <c r="R87" s="393"/>
      <c r="S87" s="393"/>
      <c r="T87" s="393"/>
      <c r="U87" s="393"/>
      <c r="V87" s="393"/>
      <c r="W87" s="393"/>
      <c r="X87" s="393"/>
      <c r="Y87" s="393"/>
      <c r="Z87" s="393"/>
    </row>
    <row r="88" ht="11.25" customHeight="1">
      <c r="A88" s="393"/>
      <c r="B88" s="393"/>
      <c r="C88" s="393"/>
      <c r="D88" s="393"/>
      <c r="E88" s="393"/>
      <c r="F88" s="393"/>
      <c r="G88" s="393"/>
      <c r="H88" s="393"/>
      <c r="I88" s="393"/>
      <c r="J88" s="393"/>
      <c r="K88" s="393"/>
      <c r="L88" s="393"/>
      <c r="M88" s="393"/>
      <c r="N88" s="393"/>
      <c r="O88" s="393"/>
      <c r="P88" s="393"/>
      <c r="Q88" s="393"/>
      <c r="R88" s="393"/>
      <c r="S88" s="393"/>
      <c r="T88" s="393"/>
      <c r="U88" s="393"/>
      <c r="V88" s="393"/>
      <c r="W88" s="393"/>
      <c r="X88" s="393"/>
      <c r="Y88" s="393"/>
      <c r="Z88" s="393"/>
    </row>
    <row r="89" ht="11.25" customHeight="1">
      <c r="A89" s="393"/>
      <c r="B89" s="393"/>
      <c r="C89" s="393"/>
      <c r="D89" s="393"/>
      <c r="E89" s="393"/>
      <c r="F89" s="393"/>
      <c r="G89" s="393"/>
      <c r="H89" s="393"/>
      <c r="I89" s="393"/>
      <c r="J89" s="393"/>
      <c r="K89" s="393"/>
      <c r="L89" s="393"/>
      <c r="M89" s="393"/>
      <c r="N89" s="393"/>
      <c r="O89" s="393"/>
      <c r="P89" s="393"/>
      <c r="Q89" s="393"/>
      <c r="R89" s="393"/>
      <c r="S89" s="393"/>
      <c r="T89" s="393"/>
      <c r="U89" s="393"/>
      <c r="V89" s="393"/>
      <c r="W89" s="393"/>
      <c r="X89" s="393"/>
      <c r="Y89" s="393"/>
      <c r="Z89" s="393"/>
    </row>
    <row r="90" ht="11.25" customHeight="1">
      <c r="A90" s="393"/>
      <c r="B90" s="393"/>
      <c r="C90" s="393"/>
      <c r="D90" s="393"/>
      <c r="E90" s="393"/>
      <c r="F90" s="393"/>
      <c r="G90" s="393"/>
      <c r="H90" s="393"/>
      <c r="I90" s="393"/>
      <c r="J90" s="393"/>
      <c r="K90" s="393"/>
      <c r="L90" s="393"/>
      <c r="M90" s="393"/>
      <c r="N90" s="393"/>
      <c r="O90" s="393"/>
      <c r="P90" s="393"/>
      <c r="Q90" s="393"/>
      <c r="R90" s="393"/>
      <c r="S90" s="393"/>
      <c r="T90" s="393"/>
      <c r="U90" s="393"/>
      <c r="V90" s="393"/>
      <c r="W90" s="393"/>
      <c r="X90" s="393"/>
      <c r="Y90" s="393"/>
      <c r="Z90" s="393"/>
    </row>
    <row r="91" ht="11.25" customHeight="1">
      <c r="A91" s="393"/>
      <c r="B91" s="393"/>
      <c r="C91" s="393"/>
      <c r="D91" s="393"/>
      <c r="E91" s="393"/>
      <c r="F91" s="393"/>
      <c r="G91" s="393"/>
      <c r="H91" s="393"/>
      <c r="I91" s="393"/>
      <c r="J91" s="393"/>
      <c r="K91" s="393"/>
      <c r="L91" s="393"/>
      <c r="M91" s="393"/>
      <c r="N91" s="393"/>
      <c r="O91" s="393"/>
      <c r="P91" s="393"/>
      <c r="Q91" s="393"/>
      <c r="R91" s="393"/>
      <c r="S91" s="393"/>
      <c r="T91" s="393"/>
      <c r="U91" s="393"/>
      <c r="V91" s="393"/>
      <c r="W91" s="393"/>
      <c r="X91" s="393"/>
      <c r="Y91" s="393"/>
      <c r="Z91" s="393"/>
    </row>
    <row r="92" ht="11.25" customHeight="1">
      <c r="A92" s="393"/>
      <c r="B92" s="393"/>
      <c r="C92" s="393"/>
      <c r="D92" s="393"/>
      <c r="E92" s="393"/>
      <c r="F92" s="393"/>
      <c r="G92" s="393"/>
      <c r="H92" s="393"/>
      <c r="I92" s="393"/>
      <c r="J92" s="393"/>
      <c r="K92" s="393"/>
      <c r="L92" s="393"/>
      <c r="M92" s="393"/>
      <c r="N92" s="393"/>
      <c r="O92" s="393"/>
      <c r="P92" s="393"/>
      <c r="Q92" s="393"/>
      <c r="R92" s="393"/>
      <c r="S92" s="393"/>
      <c r="T92" s="393"/>
      <c r="U92" s="393"/>
      <c r="V92" s="393"/>
      <c r="W92" s="393"/>
      <c r="X92" s="393"/>
      <c r="Y92" s="393"/>
      <c r="Z92" s="393"/>
    </row>
    <row r="93" ht="11.25" customHeight="1">
      <c r="A93" s="393"/>
      <c r="B93" s="393"/>
      <c r="C93" s="393"/>
      <c r="D93" s="393"/>
      <c r="E93" s="393"/>
      <c r="F93" s="393"/>
      <c r="G93" s="393"/>
      <c r="H93" s="393"/>
      <c r="I93" s="393"/>
      <c r="J93" s="393"/>
      <c r="K93" s="393"/>
      <c r="L93" s="393"/>
      <c r="M93" s="393"/>
      <c r="N93" s="393"/>
      <c r="O93" s="393"/>
      <c r="P93" s="393"/>
      <c r="Q93" s="393"/>
      <c r="R93" s="393"/>
      <c r="S93" s="393"/>
      <c r="T93" s="393"/>
      <c r="U93" s="393"/>
      <c r="V93" s="393"/>
      <c r="W93" s="393"/>
      <c r="X93" s="393"/>
      <c r="Y93" s="393"/>
      <c r="Z93" s="393"/>
    </row>
    <row r="94" ht="11.25" customHeight="1">
      <c r="A94" s="393"/>
      <c r="B94" s="393"/>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row>
    <row r="95" ht="11.25" customHeight="1">
      <c r="A95" s="393"/>
      <c r="B95" s="393"/>
      <c r="C95" s="393"/>
      <c r="D95" s="393"/>
      <c r="E95" s="393"/>
      <c r="F95" s="393"/>
      <c r="G95" s="393"/>
      <c r="H95" s="393"/>
      <c r="I95" s="393"/>
      <c r="J95" s="393"/>
      <c r="K95" s="393"/>
      <c r="L95" s="393"/>
      <c r="M95" s="393"/>
      <c r="N95" s="393"/>
      <c r="O95" s="393"/>
      <c r="P95" s="393"/>
      <c r="Q95" s="393"/>
      <c r="R95" s="393"/>
      <c r="S95" s="393"/>
      <c r="T95" s="393"/>
      <c r="U95" s="393"/>
      <c r="V95" s="393"/>
      <c r="W95" s="393"/>
      <c r="X95" s="393"/>
      <c r="Y95" s="393"/>
      <c r="Z95" s="393"/>
    </row>
    <row r="96" ht="11.25" customHeight="1">
      <c r="A96" s="393"/>
      <c r="B96" s="393"/>
      <c r="C96" s="393"/>
      <c r="D96" s="393"/>
      <c r="E96" s="393"/>
      <c r="F96" s="393"/>
      <c r="G96" s="393"/>
      <c r="H96" s="393"/>
      <c r="I96" s="393"/>
      <c r="J96" s="393"/>
      <c r="K96" s="393"/>
      <c r="L96" s="393"/>
      <c r="M96" s="393"/>
      <c r="N96" s="393"/>
      <c r="O96" s="393"/>
      <c r="P96" s="393"/>
      <c r="Q96" s="393"/>
      <c r="R96" s="393"/>
      <c r="S96" s="393"/>
      <c r="T96" s="393"/>
      <c r="U96" s="393"/>
      <c r="V96" s="393"/>
      <c r="W96" s="393"/>
      <c r="X96" s="393"/>
      <c r="Y96" s="393"/>
      <c r="Z96" s="393"/>
    </row>
    <row r="97" ht="11.25" customHeight="1">
      <c r="A97" s="393"/>
      <c r="B97" s="393"/>
      <c r="C97" s="393"/>
      <c r="D97" s="393"/>
      <c r="E97" s="393"/>
      <c r="F97" s="393"/>
      <c r="G97" s="393"/>
      <c r="H97" s="393"/>
      <c r="I97" s="393"/>
      <c r="J97" s="393"/>
      <c r="K97" s="393"/>
      <c r="L97" s="393"/>
      <c r="M97" s="393"/>
      <c r="N97" s="393"/>
      <c r="O97" s="393"/>
      <c r="P97" s="393"/>
      <c r="Q97" s="393"/>
      <c r="R97" s="393"/>
      <c r="S97" s="393"/>
      <c r="T97" s="393"/>
      <c r="U97" s="393"/>
      <c r="V97" s="393"/>
      <c r="W97" s="393"/>
      <c r="X97" s="393"/>
      <c r="Y97" s="393"/>
      <c r="Z97" s="393"/>
    </row>
    <row r="98" ht="11.25" customHeight="1">
      <c r="A98" s="393"/>
      <c r="B98" s="393"/>
      <c r="C98" s="393"/>
      <c r="D98" s="393"/>
      <c r="E98" s="393"/>
      <c r="F98" s="393"/>
      <c r="G98" s="393"/>
      <c r="H98" s="393"/>
      <c r="I98" s="393"/>
      <c r="J98" s="393"/>
      <c r="K98" s="393"/>
      <c r="L98" s="393"/>
      <c r="M98" s="393"/>
      <c r="N98" s="393"/>
      <c r="O98" s="393"/>
      <c r="P98" s="393"/>
      <c r="Q98" s="393"/>
      <c r="R98" s="393"/>
      <c r="S98" s="393"/>
      <c r="T98" s="393"/>
      <c r="U98" s="393"/>
      <c r="V98" s="393"/>
      <c r="W98" s="393"/>
      <c r="X98" s="393"/>
      <c r="Y98" s="393"/>
      <c r="Z98" s="393"/>
    </row>
    <row r="99" ht="11.25" customHeight="1">
      <c r="A99" s="393"/>
      <c r="B99" s="393"/>
      <c r="C99" s="393"/>
      <c r="D99" s="393"/>
      <c r="E99" s="393"/>
      <c r="F99" s="393"/>
      <c r="G99" s="393"/>
      <c r="H99" s="393"/>
      <c r="I99" s="393"/>
      <c r="J99" s="393"/>
      <c r="K99" s="393"/>
      <c r="L99" s="393"/>
      <c r="M99" s="393"/>
      <c r="N99" s="393"/>
      <c r="O99" s="393"/>
      <c r="P99" s="393"/>
      <c r="Q99" s="393"/>
      <c r="R99" s="393"/>
      <c r="S99" s="393"/>
      <c r="T99" s="393"/>
      <c r="U99" s="393"/>
      <c r="V99" s="393"/>
      <c r="W99" s="393"/>
      <c r="X99" s="393"/>
      <c r="Y99" s="393"/>
      <c r="Z99" s="393"/>
    </row>
    <row r="100" ht="11.25" customHeight="1">
      <c r="A100" s="393"/>
      <c r="B100" s="393"/>
      <c r="C100" s="393"/>
      <c r="D100" s="393"/>
      <c r="E100" s="393"/>
      <c r="F100" s="393"/>
      <c r="G100" s="393"/>
      <c r="H100" s="393"/>
      <c r="I100" s="393"/>
      <c r="J100" s="393"/>
      <c r="K100" s="393"/>
      <c r="L100" s="393"/>
      <c r="M100" s="393"/>
      <c r="N100" s="393"/>
      <c r="O100" s="393"/>
      <c r="P100" s="393"/>
      <c r="Q100" s="393"/>
      <c r="R100" s="393"/>
      <c r="S100" s="393"/>
      <c r="T100" s="393"/>
      <c r="U100" s="393"/>
      <c r="V100" s="393"/>
      <c r="W100" s="393"/>
      <c r="X100" s="393"/>
      <c r="Y100" s="393"/>
      <c r="Z100" s="393"/>
    </row>
    <row r="101" ht="11.25" customHeight="1">
      <c r="A101" s="393"/>
      <c r="B101" s="393"/>
      <c r="C101" s="393"/>
      <c r="D101" s="393"/>
      <c r="E101" s="393"/>
      <c r="F101" s="393"/>
      <c r="G101" s="393"/>
      <c r="H101" s="393"/>
      <c r="I101" s="393"/>
      <c r="J101" s="393"/>
      <c r="K101" s="393"/>
      <c r="L101" s="393"/>
      <c r="M101" s="393"/>
      <c r="N101" s="393"/>
      <c r="O101" s="393"/>
      <c r="P101" s="393"/>
      <c r="Q101" s="393"/>
      <c r="R101" s="393"/>
      <c r="S101" s="393"/>
      <c r="T101" s="393"/>
      <c r="U101" s="393"/>
      <c r="V101" s="393"/>
      <c r="W101" s="393"/>
      <c r="X101" s="393"/>
      <c r="Y101" s="393"/>
      <c r="Z101" s="393"/>
    </row>
    <row r="102" ht="11.25" customHeight="1">
      <c r="A102" s="393"/>
      <c r="B102" s="393"/>
      <c r="C102" s="393"/>
      <c r="D102" s="393"/>
      <c r="E102" s="393"/>
      <c r="F102" s="393"/>
      <c r="G102" s="393"/>
      <c r="H102" s="393"/>
      <c r="I102" s="393"/>
      <c r="J102" s="393"/>
      <c r="K102" s="393"/>
      <c r="L102" s="393"/>
      <c r="M102" s="393"/>
      <c r="N102" s="393"/>
      <c r="O102" s="393"/>
      <c r="P102" s="393"/>
      <c r="Q102" s="393"/>
      <c r="R102" s="393"/>
      <c r="S102" s="393"/>
      <c r="T102" s="393"/>
      <c r="U102" s="393"/>
      <c r="V102" s="393"/>
      <c r="W102" s="393"/>
      <c r="X102" s="393"/>
      <c r="Y102" s="393"/>
      <c r="Z102" s="393"/>
    </row>
    <row r="103" ht="11.25" customHeight="1">
      <c r="A103" s="393"/>
      <c r="B103" s="393"/>
      <c r="C103" s="393"/>
      <c r="D103" s="393"/>
      <c r="E103" s="393"/>
      <c r="F103" s="393"/>
      <c r="G103" s="393"/>
      <c r="H103" s="393"/>
      <c r="I103" s="393"/>
      <c r="J103" s="393"/>
      <c r="K103" s="393"/>
      <c r="L103" s="393"/>
      <c r="M103" s="393"/>
      <c r="N103" s="393"/>
      <c r="O103" s="393"/>
      <c r="P103" s="393"/>
      <c r="Q103" s="393"/>
      <c r="R103" s="393"/>
      <c r="S103" s="393"/>
      <c r="T103" s="393"/>
      <c r="U103" s="393"/>
      <c r="V103" s="393"/>
      <c r="W103" s="393"/>
      <c r="X103" s="393"/>
      <c r="Y103" s="393"/>
      <c r="Z103" s="393"/>
    </row>
    <row r="104" ht="11.25" customHeight="1">
      <c r="A104" s="393"/>
      <c r="B104" s="393"/>
      <c r="C104" s="393"/>
      <c r="D104" s="393"/>
      <c r="E104" s="393"/>
      <c r="F104" s="393"/>
      <c r="G104" s="393"/>
      <c r="H104" s="393"/>
      <c r="I104" s="393"/>
      <c r="J104" s="393"/>
      <c r="K104" s="393"/>
      <c r="L104" s="393"/>
      <c r="M104" s="393"/>
      <c r="N104" s="393"/>
      <c r="O104" s="393"/>
      <c r="P104" s="393"/>
      <c r="Q104" s="393"/>
      <c r="R104" s="393"/>
      <c r="S104" s="393"/>
      <c r="T104" s="393"/>
      <c r="U104" s="393"/>
      <c r="V104" s="393"/>
      <c r="W104" s="393"/>
      <c r="X104" s="393"/>
      <c r="Y104" s="393"/>
      <c r="Z104" s="393"/>
    </row>
    <row r="105" ht="11.25" customHeight="1">
      <c r="A105" s="393"/>
      <c r="B105" s="393"/>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row>
    <row r="106" ht="11.25" customHeight="1">
      <c r="A106" s="393"/>
      <c r="B106" s="393"/>
      <c r="C106" s="393"/>
      <c r="D106" s="393"/>
      <c r="E106" s="393"/>
      <c r="F106" s="393"/>
      <c r="G106" s="393"/>
      <c r="H106" s="393"/>
      <c r="I106" s="393"/>
      <c r="J106" s="393"/>
      <c r="K106" s="393"/>
      <c r="L106" s="393"/>
      <c r="M106" s="393"/>
      <c r="N106" s="393"/>
      <c r="O106" s="393"/>
      <c r="P106" s="393"/>
      <c r="Q106" s="393"/>
      <c r="R106" s="393"/>
      <c r="S106" s="393"/>
      <c r="T106" s="393"/>
      <c r="U106" s="393"/>
      <c r="V106" s="393"/>
      <c r="W106" s="393"/>
      <c r="X106" s="393"/>
      <c r="Y106" s="393"/>
      <c r="Z106" s="393"/>
    </row>
    <row r="107" ht="11.25" customHeight="1">
      <c r="A107" s="393"/>
      <c r="B107" s="393"/>
      <c r="C107" s="393"/>
      <c r="D107" s="393"/>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row>
    <row r="108" ht="11.25" customHeight="1">
      <c r="A108" s="393"/>
      <c r="B108" s="393"/>
      <c r="C108" s="393"/>
      <c r="D108" s="393"/>
      <c r="E108" s="393"/>
      <c r="F108" s="393"/>
      <c r="G108" s="393"/>
      <c r="H108" s="393"/>
      <c r="I108" s="393"/>
      <c r="J108" s="393"/>
      <c r="K108" s="393"/>
      <c r="L108" s="393"/>
      <c r="M108" s="393"/>
      <c r="N108" s="393"/>
      <c r="O108" s="393"/>
      <c r="P108" s="393"/>
      <c r="Q108" s="393"/>
      <c r="R108" s="393"/>
      <c r="S108" s="393"/>
      <c r="T108" s="393"/>
      <c r="U108" s="393"/>
      <c r="V108" s="393"/>
      <c r="W108" s="393"/>
      <c r="X108" s="393"/>
      <c r="Y108" s="393"/>
      <c r="Z108" s="393"/>
    </row>
    <row r="109" ht="11.25" customHeight="1">
      <c r="A109" s="393"/>
      <c r="B109" s="393"/>
      <c r="C109" s="393"/>
      <c r="D109" s="393"/>
      <c r="E109" s="393"/>
      <c r="F109" s="393"/>
      <c r="G109" s="393"/>
      <c r="H109" s="393"/>
      <c r="I109" s="393"/>
      <c r="J109" s="393"/>
      <c r="K109" s="393"/>
      <c r="L109" s="393"/>
      <c r="M109" s="393"/>
      <c r="N109" s="393"/>
      <c r="O109" s="393"/>
      <c r="P109" s="393"/>
      <c r="Q109" s="393"/>
      <c r="R109" s="393"/>
      <c r="S109" s="393"/>
      <c r="T109" s="393"/>
      <c r="U109" s="393"/>
      <c r="V109" s="393"/>
      <c r="W109" s="393"/>
      <c r="X109" s="393"/>
      <c r="Y109" s="393"/>
      <c r="Z109" s="393"/>
    </row>
    <row r="110" ht="11.25" customHeight="1">
      <c r="A110" s="393"/>
      <c r="B110" s="393"/>
      <c r="C110" s="393"/>
      <c r="D110" s="393"/>
      <c r="E110" s="393"/>
      <c r="F110" s="393"/>
      <c r="G110" s="393"/>
      <c r="H110" s="393"/>
      <c r="I110" s="393"/>
      <c r="J110" s="393"/>
      <c r="K110" s="393"/>
      <c r="L110" s="393"/>
      <c r="M110" s="393"/>
      <c r="N110" s="393"/>
      <c r="O110" s="393"/>
      <c r="P110" s="393"/>
      <c r="Q110" s="393"/>
      <c r="R110" s="393"/>
      <c r="S110" s="393"/>
      <c r="T110" s="393"/>
      <c r="U110" s="393"/>
      <c r="V110" s="393"/>
      <c r="W110" s="393"/>
      <c r="X110" s="393"/>
      <c r="Y110" s="393"/>
      <c r="Z110" s="393"/>
    </row>
    <row r="111" ht="11.25" customHeight="1">
      <c r="A111" s="393"/>
      <c r="B111" s="393"/>
      <c r="C111" s="393"/>
      <c r="D111" s="393"/>
      <c r="E111" s="393"/>
      <c r="F111" s="393"/>
      <c r="G111" s="393"/>
      <c r="H111" s="393"/>
      <c r="I111" s="393"/>
      <c r="J111" s="393"/>
      <c r="K111" s="393"/>
      <c r="L111" s="393"/>
      <c r="M111" s="393"/>
      <c r="N111" s="393"/>
      <c r="O111" s="393"/>
      <c r="P111" s="393"/>
      <c r="Q111" s="393"/>
      <c r="R111" s="393"/>
      <c r="S111" s="393"/>
      <c r="T111" s="393"/>
      <c r="U111" s="393"/>
      <c r="V111" s="393"/>
      <c r="W111" s="393"/>
      <c r="X111" s="393"/>
      <c r="Y111" s="393"/>
      <c r="Z111" s="393"/>
    </row>
    <row r="112" ht="11.25" customHeight="1">
      <c r="A112" s="393"/>
      <c r="B112" s="393"/>
      <c r="C112" s="393"/>
      <c r="D112" s="393"/>
      <c r="E112" s="393"/>
      <c r="F112" s="393"/>
      <c r="G112" s="393"/>
      <c r="H112" s="393"/>
      <c r="I112" s="393"/>
      <c r="J112" s="393"/>
      <c r="K112" s="393"/>
      <c r="L112" s="393"/>
      <c r="M112" s="393"/>
      <c r="N112" s="393"/>
      <c r="O112" s="393"/>
      <c r="P112" s="393"/>
      <c r="Q112" s="393"/>
      <c r="R112" s="393"/>
      <c r="S112" s="393"/>
      <c r="T112" s="393"/>
      <c r="U112" s="393"/>
      <c r="V112" s="393"/>
      <c r="W112" s="393"/>
      <c r="X112" s="393"/>
      <c r="Y112" s="393"/>
      <c r="Z112" s="393"/>
    </row>
    <row r="113" ht="11.25" customHeight="1">
      <c r="A113" s="393"/>
      <c r="B113" s="393"/>
      <c r="C113" s="393"/>
      <c r="D113" s="393"/>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row>
    <row r="114" ht="11.25" customHeight="1">
      <c r="A114" s="393"/>
      <c r="B114" s="393"/>
      <c r="C114" s="393"/>
      <c r="D114" s="393"/>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row>
    <row r="115" ht="11.25" customHeight="1">
      <c r="A115" s="393"/>
      <c r="B115" s="393"/>
      <c r="C115" s="393"/>
      <c r="D115" s="393"/>
      <c r="E115" s="393"/>
      <c r="F115" s="393"/>
      <c r="G115" s="393"/>
      <c r="H115" s="393"/>
      <c r="I115" s="393"/>
      <c r="J115" s="393"/>
      <c r="K115" s="393"/>
      <c r="L115" s="393"/>
      <c r="M115" s="393"/>
      <c r="N115" s="393"/>
      <c r="O115" s="393"/>
      <c r="P115" s="393"/>
      <c r="Q115" s="393"/>
      <c r="R115" s="393"/>
      <c r="S115" s="393"/>
      <c r="T115" s="393"/>
      <c r="U115" s="393"/>
      <c r="V115" s="393"/>
      <c r="W115" s="393"/>
      <c r="X115" s="393"/>
      <c r="Y115" s="393"/>
      <c r="Z115" s="393"/>
    </row>
    <row r="116" ht="11.25" customHeight="1">
      <c r="A116" s="393"/>
      <c r="B116" s="393"/>
      <c r="C116" s="393"/>
      <c r="D116" s="393"/>
      <c r="E116" s="393"/>
      <c r="F116" s="393"/>
      <c r="G116" s="393"/>
      <c r="H116" s="393"/>
      <c r="I116" s="393"/>
      <c r="J116" s="393"/>
      <c r="K116" s="393"/>
      <c r="L116" s="393"/>
      <c r="M116" s="393"/>
      <c r="N116" s="393"/>
      <c r="O116" s="393"/>
      <c r="P116" s="393"/>
      <c r="Q116" s="393"/>
      <c r="R116" s="393"/>
      <c r="S116" s="393"/>
      <c r="T116" s="393"/>
      <c r="U116" s="393"/>
      <c r="V116" s="393"/>
      <c r="W116" s="393"/>
      <c r="X116" s="393"/>
      <c r="Y116" s="393"/>
      <c r="Z116" s="393"/>
    </row>
    <row r="117" ht="11.25" customHeight="1">
      <c r="A117" s="393"/>
      <c r="B117" s="393"/>
      <c r="C117" s="393"/>
      <c r="D117" s="393"/>
      <c r="E117" s="393"/>
      <c r="F117" s="393"/>
      <c r="G117" s="393"/>
      <c r="H117" s="393"/>
      <c r="I117" s="393"/>
      <c r="J117" s="393"/>
      <c r="K117" s="393"/>
      <c r="L117" s="393"/>
      <c r="M117" s="393"/>
      <c r="N117" s="393"/>
      <c r="O117" s="393"/>
      <c r="P117" s="393"/>
      <c r="Q117" s="393"/>
      <c r="R117" s="393"/>
      <c r="S117" s="393"/>
      <c r="T117" s="393"/>
      <c r="U117" s="393"/>
      <c r="V117" s="393"/>
      <c r="W117" s="393"/>
      <c r="X117" s="393"/>
      <c r="Y117" s="393"/>
      <c r="Z117" s="393"/>
    </row>
    <row r="118" ht="11.25" customHeight="1">
      <c r="A118" s="393"/>
      <c r="B118" s="393"/>
      <c r="C118" s="393"/>
      <c r="D118" s="393"/>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row>
    <row r="119" ht="11.25" customHeight="1">
      <c r="A119" s="393"/>
      <c r="B119" s="393"/>
      <c r="C119" s="393"/>
      <c r="D119" s="393"/>
      <c r="E119" s="393"/>
      <c r="F119" s="393"/>
      <c r="G119" s="393"/>
      <c r="H119" s="393"/>
      <c r="I119" s="393"/>
      <c r="J119" s="393"/>
      <c r="K119" s="393"/>
      <c r="L119" s="393"/>
      <c r="M119" s="393"/>
      <c r="N119" s="393"/>
      <c r="O119" s="393"/>
      <c r="P119" s="393"/>
      <c r="Q119" s="393"/>
      <c r="R119" s="393"/>
      <c r="S119" s="393"/>
      <c r="T119" s="393"/>
      <c r="U119" s="393"/>
      <c r="V119" s="393"/>
      <c r="W119" s="393"/>
      <c r="X119" s="393"/>
      <c r="Y119" s="393"/>
      <c r="Z119" s="393"/>
    </row>
    <row r="120" ht="11.25" customHeight="1">
      <c r="A120" s="393"/>
      <c r="B120" s="393"/>
      <c r="C120" s="393"/>
      <c r="D120" s="393"/>
      <c r="E120" s="393"/>
      <c r="F120" s="393"/>
      <c r="G120" s="393"/>
      <c r="H120" s="393"/>
      <c r="I120" s="393"/>
      <c r="J120" s="393"/>
      <c r="K120" s="393"/>
      <c r="L120" s="393"/>
      <c r="M120" s="393"/>
      <c r="N120" s="393"/>
      <c r="O120" s="393"/>
      <c r="P120" s="393"/>
      <c r="Q120" s="393"/>
      <c r="R120" s="393"/>
      <c r="S120" s="393"/>
      <c r="T120" s="393"/>
      <c r="U120" s="393"/>
      <c r="V120" s="393"/>
      <c r="W120" s="393"/>
      <c r="X120" s="393"/>
      <c r="Y120" s="393"/>
      <c r="Z120" s="393"/>
    </row>
    <row r="121" ht="11.25" customHeight="1">
      <c r="A121" s="393"/>
      <c r="B121" s="393"/>
      <c r="C121" s="393"/>
      <c r="D121" s="393"/>
      <c r="E121" s="393"/>
      <c r="F121" s="393"/>
      <c r="G121" s="393"/>
      <c r="H121" s="393"/>
      <c r="I121" s="393"/>
      <c r="J121" s="393"/>
      <c r="K121" s="393"/>
      <c r="L121" s="393"/>
      <c r="M121" s="393"/>
      <c r="N121" s="393"/>
      <c r="O121" s="393"/>
      <c r="P121" s="393"/>
      <c r="Q121" s="393"/>
      <c r="R121" s="393"/>
      <c r="S121" s="393"/>
      <c r="T121" s="393"/>
      <c r="U121" s="393"/>
      <c r="V121" s="393"/>
      <c r="W121" s="393"/>
      <c r="X121" s="393"/>
      <c r="Y121" s="393"/>
      <c r="Z121" s="393"/>
    </row>
    <row r="122" ht="11.25" customHeight="1">
      <c r="A122" s="393"/>
      <c r="B122" s="393"/>
      <c r="C122" s="393"/>
      <c r="D122" s="393"/>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row>
    <row r="123" ht="11.25" customHeight="1">
      <c r="A123" s="393"/>
      <c r="B123" s="393"/>
      <c r="C123" s="393"/>
      <c r="D123" s="393"/>
      <c r="E123" s="393"/>
      <c r="F123" s="393"/>
      <c r="G123" s="393"/>
      <c r="H123" s="393"/>
      <c r="I123" s="393"/>
      <c r="J123" s="393"/>
      <c r="K123" s="393"/>
      <c r="L123" s="393"/>
      <c r="M123" s="393"/>
      <c r="N123" s="393"/>
      <c r="O123" s="393"/>
      <c r="P123" s="393"/>
      <c r="Q123" s="393"/>
      <c r="R123" s="393"/>
      <c r="S123" s="393"/>
      <c r="T123" s="393"/>
      <c r="U123" s="393"/>
      <c r="V123" s="393"/>
      <c r="W123" s="393"/>
      <c r="X123" s="393"/>
      <c r="Y123" s="393"/>
      <c r="Z123" s="393"/>
    </row>
    <row r="124" ht="11.25" customHeight="1">
      <c r="A124" s="393"/>
      <c r="B124" s="393"/>
      <c r="C124" s="393"/>
      <c r="D124" s="393"/>
      <c r="E124" s="393"/>
      <c r="F124" s="393"/>
      <c r="G124" s="393"/>
      <c r="H124" s="393"/>
      <c r="I124" s="393"/>
      <c r="J124" s="393"/>
      <c r="K124" s="393"/>
      <c r="L124" s="393"/>
      <c r="M124" s="393"/>
      <c r="N124" s="393"/>
      <c r="O124" s="393"/>
      <c r="P124" s="393"/>
      <c r="Q124" s="393"/>
      <c r="R124" s="393"/>
      <c r="S124" s="393"/>
      <c r="T124" s="393"/>
      <c r="U124" s="393"/>
      <c r="V124" s="393"/>
      <c r="W124" s="393"/>
      <c r="X124" s="393"/>
      <c r="Y124" s="393"/>
      <c r="Z124" s="393"/>
    </row>
    <row r="125" ht="11.25" customHeight="1">
      <c r="A125" s="393"/>
      <c r="B125" s="393"/>
      <c r="C125" s="393"/>
      <c r="D125" s="393"/>
      <c r="E125" s="393"/>
      <c r="F125" s="393"/>
      <c r="G125" s="393"/>
      <c r="H125" s="393"/>
      <c r="I125" s="393"/>
      <c r="J125" s="393"/>
      <c r="K125" s="393"/>
      <c r="L125" s="393"/>
      <c r="M125" s="393"/>
      <c r="N125" s="393"/>
      <c r="O125" s="393"/>
      <c r="P125" s="393"/>
      <c r="Q125" s="393"/>
      <c r="R125" s="393"/>
      <c r="S125" s="393"/>
      <c r="T125" s="393"/>
      <c r="U125" s="393"/>
      <c r="V125" s="393"/>
      <c r="W125" s="393"/>
      <c r="X125" s="393"/>
      <c r="Y125" s="393"/>
      <c r="Z125" s="393"/>
    </row>
    <row r="126" ht="11.25" customHeight="1">
      <c r="A126" s="393"/>
      <c r="B126" s="393"/>
      <c r="C126" s="393"/>
      <c r="D126" s="393"/>
      <c r="E126" s="393"/>
      <c r="F126" s="393"/>
      <c r="G126" s="393"/>
      <c r="H126" s="393"/>
      <c r="I126" s="393"/>
      <c r="J126" s="393"/>
      <c r="K126" s="393"/>
      <c r="L126" s="393"/>
      <c r="M126" s="393"/>
      <c r="N126" s="393"/>
      <c r="O126" s="393"/>
      <c r="P126" s="393"/>
      <c r="Q126" s="393"/>
      <c r="R126" s="393"/>
      <c r="S126" s="393"/>
      <c r="T126" s="393"/>
      <c r="U126" s="393"/>
      <c r="V126" s="393"/>
      <c r="W126" s="393"/>
      <c r="X126" s="393"/>
      <c r="Y126" s="393"/>
      <c r="Z126" s="393"/>
    </row>
    <row r="127" ht="11.25" customHeight="1">
      <c r="A127" s="393"/>
      <c r="B127" s="393"/>
      <c r="C127" s="393"/>
      <c r="D127" s="393"/>
      <c r="E127" s="393"/>
      <c r="F127" s="393"/>
      <c r="G127" s="393"/>
      <c r="H127" s="393"/>
      <c r="I127" s="393"/>
      <c r="J127" s="393"/>
      <c r="K127" s="393"/>
      <c r="L127" s="393"/>
      <c r="M127" s="393"/>
      <c r="N127" s="393"/>
      <c r="O127" s="393"/>
      <c r="P127" s="393"/>
      <c r="Q127" s="393"/>
      <c r="R127" s="393"/>
      <c r="S127" s="393"/>
      <c r="T127" s="393"/>
      <c r="U127" s="393"/>
      <c r="V127" s="393"/>
      <c r="W127" s="393"/>
      <c r="X127" s="393"/>
      <c r="Y127" s="393"/>
      <c r="Z127" s="393"/>
    </row>
    <row r="128" ht="11.25" customHeight="1">
      <c r="A128" s="393"/>
      <c r="B128" s="393"/>
      <c r="C128" s="393"/>
      <c r="D128" s="393"/>
      <c r="E128" s="393"/>
      <c r="F128" s="393"/>
      <c r="G128" s="393"/>
      <c r="H128" s="393"/>
      <c r="I128" s="393"/>
      <c r="J128" s="393"/>
      <c r="K128" s="393"/>
      <c r="L128" s="393"/>
      <c r="M128" s="393"/>
      <c r="N128" s="393"/>
      <c r="O128" s="393"/>
      <c r="P128" s="393"/>
      <c r="Q128" s="393"/>
      <c r="R128" s="393"/>
      <c r="S128" s="393"/>
      <c r="T128" s="393"/>
      <c r="U128" s="393"/>
      <c r="V128" s="393"/>
      <c r="W128" s="393"/>
      <c r="X128" s="393"/>
      <c r="Y128" s="393"/>
      <c r="Z128" s="393"/>
    </row>
    <row r="129" ht="11.25" customHeight="1">
      <c r="A129" s="393"/>
      <c r="B129" s="393"/>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row>
    <row r="130" ht="11.25" customHeight="1">
      <c r="A130" s="393"/>
      <c r="B130" s="393"/>
      <c r="C130" s="393"/>
      <c r="D130" s="393"/>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row>
    <row r="131" ht="11.25" customHeight="1">
      <c r="A131" s="393"/>
      <c r="B131" s="393"/>
      <c r="C131" s="393"/>
      <c r="D131" s="393"/>
      <c r="E131" s="393"/>
      <c r="F131" s="393"/>
      <c r="G131" s="393"/>
      <c r="H131" s="393"/>
      <c r="I131" s="393"/>
      <c r="J131" s="393"/>
      <c r="K131" s="393"/>
      <c r="L131" s="393"/>
      <c r="M131" s="393"/>
      <c r="N131" s="393"/>
      <c r="O131" s="393"/>
      <c r="P131" s="393"/>
      <c r="Q131" s="393"/>
      <c r="R131" s="393"/>
      <c r="S131" s="393"/>
      <c r="T131" s="393"/>
      <c r="U131" s="393"/>
      <c r="V131" s="393"/>
      <c r="W131" s="393"/>
      <c r="X131" s="393"/>
      <c r="Y131" s="393"/>
      <c r="Z131" s="393"/>
    </row>
    <row r="132" ht="11.25" customHeight="1">
      <c r="A132" s="393"/>
      <c r="B132" s="393"/>
      <c r="C132" s="393"/>
      <c r="D132" s="393"/>
      <c r="E132" s="393"/>
      <c r="F132" s="393"/>
      <c r="G132" s="393"/>
      <c r="H132" s="393"/>
      <c r="I132" s="393"/>
      <c r="J132" s="393"/>
      <c r="K132" s="393"/>
      <c r="L132" s="393"/>
      <c r="M132" s="393"/>
      <c r="N132" s="393"/>
      <c r="O132" s="393"/>
      <c r="P132" s="393"/>
      <c r="Q132" s="393"/>
      <c r="R132" s="393"/>
      <c r="S132" s="393"/>
      <c r="T132" s="393"/>
      <c r="U132" s="393"/>
      <c r="V132" s="393"/>
      <c r="W132" s="393"/>
      <c r="X132" s="393"/>
      <c r="Y132" s="393"/>
      <c r="Z132" s="393"/>
    </row>
    <row r="133" ht="11.25" customHeight="1">
      <c r="A133" s="393"/>
      <c r="B133" s="393"/>
      <c r="C133" s="393"/>
      <c r="D133" s="393"/>
      <c r="E133" s="393"/>
      <c r="F133" s="393"/>
      <c r="G133" s="393"/>
      <c r="H133" s="393"/>
      <c r="I133" s="393"/>
      <c r="J133" s="393"/>
      <c r="K133" s="393"/>
      <c r="L133" s="393"/>
      <c r="M133" s="393"/>
      <c r="N133" s="393"/>
      <c r="O133" s="393"/>
      <c r="P133" s="393"/>
      <c r="Q133" s="393"/>
      <c r="R133" s="393"/>
      <c r="S133" s="393"/>
      <c r="T133" s="393"/>
      <c r="U133" s="393"/>
      <c r="V133" s="393"/>
      <c r="W133" s="393"/>
      <c r="X133" s="393"/>
      <c r="Y133" s="393"/>
      <c r="Z133" s="393"/>
    </row>
    <row r="134" ht="11.25" customHeight="1">
      <c r="A134" s="393"/>
      <c r="B134" s="393"/>
      <c r="C134" s="393"/>
      <c r="D134" s="393"/>
      <c r="E134" s="393"/>
      <c r="F134" s="393"/>
      <c r="G134" s="393"/>
      <c r="H134" s="393"/>
      <c r="I134" s="393"/>
      <c r="J134" s="393"/>
      <c r="K134" s="393"/>
      <c r="L134" s="393"/>
      <c r="M134" s="393"/>
      <c r="N134" s="393"/>
      <c r="O134" s="393"/>
      <c r="P134" s="393"/>
      <c r="Q134" s="393"/>
      <c r="R134" s="393"/>
      <c r="S134" s="393"/>
      <c r="T134" s="393"/>
      <c r="U134" s="393"/>
      <c r="V134" s="393"/>
      <c r="W134" s="393"/>
      <c r="X134" s="393"/>
      <c r="Y134" s="393"/>
      <c r="Z134" s="393"/>
    </row>
    <row r="135" ht="11.25" customHeight="1">
      <c r="A135" s="393"/>
      <c r="B135" s="393"/>
      <c r="C135" s="393"/>
      <c r="D135" s="393"/>
      <c r="E135" s="393"/>
      <c r="F135" s="393"/>
      <c r="G135" s="393"/>
      <c r="H135" s="393"/>
      <c r="I135" s="393"/>
      <c r="J135" s="393"/>
      <c r="K135" s="393"/>
      <c r="L135" s="393"/>
      <c r="M135" s="393"/>
      <c r="N135" s="393"/>
      <c r="O135" s="393"/>
      <c r="P135" s="393"/>
      <c r="Q135" s="393"/>
      <c r="R135" s="393"/>
      <c r="S135" s="393"/>
      <c r="T135" s="393"/>
      <c r="U135" s="393"/>
      <c r="V135" s="393"/>
      <c r="W135" s="393"/>
      <c r="X135" s="393"/>
      <c r="Y135" s="393"/>
      <c r="Z135" s="393"/>
    </row>
    <row r="136" ht="11.25" customHeight="1">
      <c r="A136" s="393"/>
      <c r="B136" s="393"/>
      <c r="C136" s="393"/>
      <c r="D136" s="393"/>
      <c r="E136" s="393"/>
      <c r="F136" s="393"/>
      <c r="G136" s="393"/>
      <c r="H136" s="393"/>
      <c r="I136" s="393"/>
      <c r="J136" s="393"/>
      <c r="K136" s="393"/>
      <c r="L136" s="393"/>
      <c r="M136" s="393"/>
      <c r="N136" s="393"/>
      <c r="O136" s="393"/>
      <c r="P136" s="393"/>
      <c r="Q136" s="393"/>
      <c r="R136" s="393"/>
      <c r="S136" s="393"/>
      <c r="T136" s="393"/>
      <c r="U136" s="393"/>
      <c r="V136" s="393"/>
      <c r="W136" s="393"/>
      <c r="X136" s="393"/>
      <c r="Y136" s="393"/>
      <c r="Z136" s="393"/>
    </row>
    <row r="137" ht="11.25" customHeight="1">
      <c r="A137" s="393"/>
      <c r="B137" s="393"/>
      <c r="C137" s="393"/>
      <c r="D137" s="393"/>
      <c r="E137" s="393"/>
      <c r="F137" s="393"/>
      <c r="G137" s="393"/>
      <c r="H137" s="393"/>
      <c r="I137" s="393"/>
      <c r="J137" s="393"/>
      <c r="K137" s="393"/>
      <c r="L137" s="393"/>
      <c r="M137" s="393"/>
      <c r="N137" s="393"/>
      <c r="O137" s="393"/>
      <c r="P137" s="393"/>
      <c r="Q137" s="393"/>
      <c r="R137" s="393"/>
      <c r="S137" s="393"/>
      <c r="T137" s="393"/>
      <c r="U137" s="393"/>
      <c r="V137" s="393"/>
      <c r="W137" s="393"/>
      <c r="X137" s="393"/>
      <c r="Y137" s="393"/>
      <c r="Z137" s="393"/>
    </row>
    <row r="138" ht="11.25" customHeight="1">
      <c r="A138" s="393"/>
      <c r="B138" s="393"/>
      <c r="C138" s="393"/>
      <c r="D138" s="393"/>
      <c r="E138" s="393"/>
      <c r="F138" s="393"/>
      <c r="G138" s="393"/>
      <c r="H138" s="393"/>
      <c r="I138" s="393"/>
      <c r="J138" s="393"/>
      <c r="K138" s="393"/>
      <c r="L138" s="393"/>
      <c r="M138" s="393"/>
      <c r="N138" s="393"/>
      <c r="O138" s="393"/>
      <c r="P138" s="393"/>
      <c r="Q138" s="393"/>
      <c r="R138" s="393"/>
      <c r="S138" s="393"/>
      <c r="T138" s="393"/>
      <c r="U138" s="393"/>
      <c r="V138" s="393"/>
      <c r="W138" s="393"/>
      <c r="X138" s="393"/>
      <c r="Y138" s="393"/>
      <c r="Z138" s="393"/>
    </row>
    <row r="139" ht="11.25" customHeight="1">
      <c r="A139" s="393"/>
      <c r="B139" s="393"/>
      <c r="C139" s="393"/>
      <c r="D139" s="393"/>
      <c r="E139" s="393"/>
      <c r="F139" s="393"/>
      <c r="G139" s="393"/>
      <c r="H139" s="393"/>
      <c r="I139" s="393"/>
      <c r="J139" s="393"/>
      <c r="K139" s="393"/>
      <c r="L139" s="393"/>
      <c r="M139" s="393"/>
      <c r="N139" s="393"/>
      <c r="O139" s="393"/>
      <c r="P139" s="393"/>
      <c r="Q139" s="393"/>
      <c r="R139" s="393"/>
      <c r="S139" s="393"/>
      <c r="T139" s="393"/>
      <c r="U139" s="393"/>
      <c r="V139" s="393"/>
      <c r="W139" s="393"/>
      <c r="X139" s="393"/>
      <c r="Y139" s="393"/>
      <c r="Z139" s="393"/>
    </row>
    <row r="140" ht="11.25" customHeight="1">
      <c r="A140" s="393"/>
      <c r="B140" s="393"/>
      <c r="C140" s="393"/>
      <c r="D140" s="393"/>
      <c r="E140" s="393"/>
      <c r="F140" s="393"/>
      <c r="G140" s="393"/>
      <c r="H140" s="393"/>
      <c r="I140" s="393"/>
      <c r="J140" s="393"/>
      <c r="K140" s="393"/>
      <c r="L140" s="393"/>
      <c r="M140" s="393"/>
      <c r="N140" s="393"/>
      <c r="O140" s="393"/>
      <c r="P140" s="393"/>
      <c r="Q140" s="393"/>
      <c r="R140" s="393"/>
      <c r="S140" s="393"/>
      <c r="T140" s="393"/>
      <c r="U140" s="393"/>
      <c r="V140" s="393"/>
      <c r="W140" s="393"/>
      <c r="X140" s="393"/>
      <c r="Y140" s="393"/>
      <c r="Z140" s="393"/>
    </row>
    <row r="141" ht="11.25" customHeight="1">
      <c r="A141" s="393"/>
      <c r="B141" s="393"/>
      <c r="C141" s="393"/>
      <c r="D141" s="393"/>
      <c r="E141" s="393"/>
      <c r="F141" s="393"/>
      <c r="G141" s="393"/>
      <c r="H141" s="393"/>
      <c r="I141" s="393"/>
      <c r="J141" s="393"/>
      <c r="K141" s="393"/>
      <c r="L141" s="393"/>
      <c r="M141" s="393"/>
      <c r="N141" s="393"/>
      <c r="O141" s="393"/>
      <c r="P141" s="393"/>
      <c r="Q141" s="393"/>
      <c r="R141" s="393"/>
      <c r="S141" s="393"/>
      <c r="T141" s="393"/>
      <c r="U141" s="393"/>
      <c r="V141" s="393"/>
      <c r="W141" s="393"/>
      <c r="X141" s="393"/>
      <c r="Y141" s="393"/>
      <c r="Z141" s="393"/>
    </row>
    <row r="142" ht="11.25" customHeight="1">
      <c r="A142" s="393"/>
      <c r="B142" s="393"/>
      <c r="C142" s="393"/>
      <c r="D142" s="393"/>
      <c r="E142" s="393"/>
      <c r="F142" s="393"/>
      <c r="G142" s="393"/>
      <c r="H142" s="393"/>
      <c r="I142" s="393"/>
      <c r="J142" s="393"/>
      <c r="K142" s="393"/>
      <c r="L142" s="393"/>
      <c r="M142" s="393"/>
      <c r="N142" s="393"/>
      <c r="O142" s="393"/>
      <c r="P142" s="393"/>
      <c r="Q142" s="393"/>
      <c r="R142" s="393"/>
      <c r="S142" s="393"/>
      <c r="T142" s="393"/>
      <c r="U142" s="393"/>
      <c r="V142" s="393"/>
      <c r="W142" s="393"/>
      <c r="X142" s="393"/>
      <c r="Y142" s="393"/>
      <c r="Z142" s="393"/>
    </row>
    <row r="143" ht="11.25" customHeight="1">
      <c r="A143" s="393"/>
      <c r="B143" s="393"/>
      <c r="C143" s="393"/>
      <c r="D143" s="393"/>
      <c r="E143" s="393"/>
      <c r="F143" s="393"/>
      <c r="G143" s="393"/>
      <c r="H143" s="393"/>
      <c r="I143" s="393"/>
      <c r="J143" s="393"/>
      <c r="K143" s="393"/>
      <c r="L143" s="393"/>
      <c r="M143" s="393"/>
      <c r="N143" s="393"/>
      <c r="O143" s="393"/>
      <c r="P143" s="393"/>
      <c r="Q143" s="393"/>
      <c r="R143" s="393"/>
      <c r="S143" s="393"/>
      <c r="T143" s="393"/>
      <c r="U143" s="393"/>
      <c r="V143" s="393"/>
      <c r="W143" s="393"/>
      <c r="X143" s="393"/>
      <c r="Y143" s="393"/>
      <c r="Z143" s="393"/>
    </row>
    <row r="144" ht="11.25" customHeight="1">
      <c r="A144" s="393"/>
      <c r="B144" s="393"/>
      <c r="C144" s="393"/>
      <c r="D144" s="393"/>
      <c r="E144" s="393"/>
      <c r="F144" s="393"/>
      <c r="G144" s="393"/>
      <c r="H144" s="393"/>
      <c r="I144" s="393"/>
      <c r="J144" s="393"/>
      <c r="K144" s="393"/>
      <c r="L144" s="393"/>
      <c r="M144" s="393"/>
      <c r="N144" s="393"/>
      <c r="O144" s="393"/>
      <c r="P144" s="393"/>
      <c r="Q144" s="393"/>
      <c r="R144" s="393"/>
      <c r="S144" s="393"/>
      <c r="T144" s="393"/>
      <c r="U144" s="393"/>
      <c r="V144" s="393"/>
      <c r="W144" s="393"/>
      <c r="X144" s="393"/>
      <c r="Y144" s="393"/>
      <c r="Z144" s="393"/>
    </row>
    <row r="145" ht="11.25" customHeight="1">
      <c r="A145" s="393"/>
      <c r="B145" s="393"/>
      <c r="C145" s="393"/>
      <c r="D145" s="393"/>
      <c r="E145" s="393"/>
      <c r="F145" s="393"/>
      <c r="G145" s="393"/>
      <c r="H145" s="393"/>
      <c r="I145" s="393"/>
      <c r="J145" s="393"/>
      <c r="K145" s="393"/>
      <c r="L145" s="393"/>
      <c r="M145" s="393"/>
      <c r="N145" s="393"/>
      <c r="O145" s="393"/>
      <c r="P145" s="393"/>
      <c r="Q145" s="393"/>
      <c r="R145" s="393"/>
      <c r="S145" s="393"/>
      <c r="T145" s="393"/>
      <c r="U145" s="393"/>
      <c r="V145" s="393"/>
      <c r="W145" s="393"/>
      <c r="X145" s="393"/>
      <c r="Y145" s="393"/>
      <c r="Z145" s="393"/>
    </row>
    <row r="146" ht="11.25" customHeight="1">
      <c r="A146" s="393"/>
      <c r="B146" s="393"/>
      <c r="C146" s="393"/>
      <c r="D146" s="393"/>
      <c r="E146" s="393"/>
      <c r="F146" s="393"/>
      <c r="G146" s="393"/>
      <c r="H146" s="393"/>
      <c r="I146" s="393"/>
      <c r="J146" s="393"/>
      <c r="K146" s="393"/>
      <c r="L146" s="393"/>
      <c r="M146" s="393"/>
      <c r="N146" s="393"/>
      <c r="O146" s="393"/>
      <c r="P146" s="393"/>
      <c r="Q146" s="393"/>
      <c r="R146" s="393"/>
      <c r="S146" s="393"/>
      <c r="T146" s="393"/>
      <c r="U146" s="393"/>
      <c r="V146" s="393"/>
      <c r="W146" s="393"/>
      <c r="X146" s="393"/>
      <c r="Y146" s="393"/>
      <c r="Z146" s="393"/>
    </row>
    <row r="147" ht="11.25" customHeight="1">
      <c r="A147" s="393"/>
      <c r="B147" s="393"/>
      <c r="C147" s="393"/>
      <c r="D147" s="393"/>
      <c r="E147" s="393"/>
      <c r="F147" s="393"/>
      <c r="G147" s="393"/>
      <c r="H147" s="393"/>
      <c r="I147" s="393"/>
      <c r="J147" s="393"/>
      <c r="K147" s="393"/>
      <c r="L147" s="393"/>
      <c r="M147" s="393"/>
      <c r="N147" s="393"/>
      <c r="O147" s="393"/>
      <c r="P147" s="393"/>
      <c r="Q147" s="393"/>
      <c r="R147" s="393"/>
      <c r="S147" s="393"/>
      <c r="T147" s="393"/>
      <c r="U147" s="393"/>
      <c r="V147" s="393"/>
      <c r="W147" s="393"/>
      <c r="X147" s="393"/>
      <c r="Y147" s="393"/>
      <c r="Z147" s="393"/>
    </row>
    <row r="148" ht="11.25" customHeight="1">
      <c r="A148" s="393"/>
      <c r="B148" s="393"/>
      <c r="C148" s="393"/>
      <c r="D148" s="393"/>
      <c r="E148" s="393"/>
      <c r="F148" s="393"/>
      <c r="G148" s="393"/>
      <c r="H148" s="393"/>
      <c r="I148" s="393"/>
      <c r="J148" s="393"/>
      <c r="K148" s="393"/>
      <c r="L148" s="393"/>
      <c r="M148" s="393"/>
      <c r="N148" s="393"/>
      <c r="O148" s="393"/>
      <c r="P148" s="393"/>
      <c r="Q148" s="393"/>
      <c r="R148" s="393"/>
      <c r="S148" s="393"/>
      <c r="T148" s="393"/>
      <c r="U148" s="393"/>
      <c r="V148" s="393"/>
      <c r="W148" s="393"/>
      <c r="X148" s="393"/>
      <c r="Y148" s="393"/>
      <c r="Z148" s="393"/>
    </row>
    <row r="149" ht="11.25" customHeight="1">
      <c r="A149" s="393"/>
      <c r="B149" s="393"/>
      <c r="C149" s="393"/>
      <c r="D149" s="393"/>
      <c r="E149" s="393"/>
      <c r="F149" s="393"/>
      <c r="G149" s="393"/>
      <c r="H149" s="393"/>
      <c r="I149" s="393"/>
      <c r="J149" s="393"/>
      <c r="K149" s="393"/>
      <c r="L149" s="393"/>
      <c r="M149" s="393"/>
      <c r="N149" s="393"/>
      <c r="O149" s="393"/>
      <c r="P149" s="393"/>
      <c r="Q149" s="393"/>
      <c r="R149" s="393"/>
      <c r="S149" s="393"/>
      <c r="T149" s="393"/>
      <c r="U149" s="393"/>
      <c r="V149" s="393"/>
      <c r="W149" s="393"/>
      <c r="X149" s="393"/>
      <c r="Y149" s="393"/>
      <c r="Z149" s="393"/>
    </row>
    <row r="150" ht="11.25" customHeight="1">
      <c r="A150" s="393"/>
      <c r="B150" s="393"/>
      <c r="C150" s="393"/>
      <c r="D150" s="393"/>
      <c r="E150" s="393"/>
      <c r="F150" s="393"/>
      <c r="G150" s="393"/>
      <c r="H150" s="393"/>
      <c r="I150" s="393"/>
      <c r="J150" s="393"/>
      <c r="K150" s="393"/>
      <c r="L150" s="393"/>
      <c r="M150" s="393"/>
      <c r="N150" s="393"/>
      <c r="O150" s="393"/>
      <c r="P150" s="393"/>
      <c r="Q150" s="393"/>
      <c r="R150" s="393"/>
      <c r="S150" s="393"/>
      <c r="T150" s="393"/>
      <c r="U150" s="393"/>
      <c r="V150" s="393"/>
      <c r="W150" s="393"/>
      <c r="X150" s="393"/>
      <c r="Y150" s="393"/>
      <c r="Z150" s="393"/>
    </row>
    <row r="151" ht="11.25" customHeight="1">
      <c r="A151" s="393"/>
      <c r="B151" s="393"/>
      <c r="C151" s="393"/>
      <c r="D151" s="393"/>
      <c r="E151" s="393"/>
      <c r="F151" s="393"/>
      <c r="G151" s="393"/>
      <c r="H151" s="393"/>
      <c r="I151" s="393"/>
      <c r="J151" s="393"/>
      <c r="K151" s="393"/>
      <c r="L151" s="393"/>
      <c r="M151" s="393"/>
      <c r="N151" s="393"/>
      <c r="O151" s="393"/>
      <c r="P151" s="393"/>
      <c r="Q151" s="393"/>
      <c r="R151" s="393"/>
      <c r="S151" s="393"/>
      <c r="T151" s="393"/>
      <c r="U151" s="393"/>
      <c r="V151" s="393"/>
      <c r="W151" s="393"/>
      <c r="X151" s="393"/>
      <c r="Y151" s="393"/>
      <c r="Z151" s="393"/>
    </row>
    <row r="152" ht="11.25" customHeight="1">
      <c r="A152" s="393"/>
      <c r="B152" s="393"/>
      <c r="C152" s="393"/>
      <c r="D152" s="393"/>
      <c r="E152" s="393"/>
      <c r="F152" s="393"/>
      <c r="G152" s="393"/>
      <c r="H152" s="393"/>
      <c r="I152" s="393"/>
      <c r="J152" s="393"/>
      <c r="K152" s="393"/>
      <c r="L152" s="393"/>
      <c r="M152" s="393"/>
      <c r="N152" s="393"/>
      <c r="O152" s="393"/>
      <c r="P152" s="393"/>
      <c r="Q152" s="393"/>
      <c r="R152" s="393"/>
      <c r="S152" s="393"/>
      <c r="T152" s="393"/>
      <c r="U152" s="393"/>
      <c r="V152" s="393"/>
      <c r="W152" s="393"/>
      <c r="X152" s="393"/>
      <c r="Y152" s="393"/>
      <c r="Z152" s="393"/>
    </row>
    <row r="153" ht="11.25" customHeight="1">
      <c r="A153" s="393"/>
      <c r="B153" s="393"/>
      <c r="C153" s="393"/>
      <c r="D153" s="393"/>
      <c r="E153" s="393"/>
      <c r="F153" s="393"/>
      <c r="G153" s="393"/>
      <c r="H153" s="393"/>
      <c r="I153" s="393"/>
      <c r="J153" s="393"/>
      <c r="K153" s="393"/>
      <c r="L153" s="393"/>
      <c r="M153" s="393"/>
      <c r="N153" s="393"/>
      <c r="O153" s="393"/>
      <c r="P153" s="393"/>
      <c r="Q153" s="393"/>
      <c r="R153" s="393"/>
      <c r="S153" s="393"/>
      <c r="T153" s="393"/>
      <c r="U153" s="393"/>
      <c r="V153" s="393"/>
      <c r="W153" s="393"/>
      <c r="X153" s="393"/>
      <c r="Y153" s="393"/>
      <c r="Z153" s="393"/>
    </row>
    <row r="154" ht="11.25" customHeight="1">
      <c r="A154" s="393"/>
      <c r="B154" s="393"/>
      <c r="C154" s="393"/>
      <c r="D154" s="393"/>
      <c r="E154" s="393"/>
      <c r="F154" s="393"/>
      <c r="G154" s="393"/>
      <c r="H154" s="393"/>
      <c r="I154" s="393"/>
      <c r="J154" s="393"/>
      <c r="K154" s="393"/>
      <c r="L154" s="393"/>
      <c r="M154" s="393"/>
      <c r="N154" s="393"/>
      <c r="O154" s="393"/>
      <c r="P154" s="393"/>
      <c r="Q154" s="393"/>
      <c r="R154" s="393"/>
      <c r="S154" s="393"/>
      <c r="T154" s="393"/>
      <c r="U154" s="393"/>
      <c r="V154" s="393"/>
      <c r="W154" s="393"/>
      <c r="X154" s="393"/>
      <c r="Y154" s="393"/>
      <c r="Z154" s="393"/>
    </row>
    <row r="155" ht="11.25" customHeight="1">
      <c r="A155" s="393"/>
      <c r="B155" s="393"/>
      <c r="C155" s="393"/>
      <c r="D155" s="393"/>
      <c r="E155" s="393"/>
      <c r="F155" s="393"/>
      <c r="G155" s="393"/>
      <c r="H155" s="393"/>
      <c r="I155" s="393"/>
      <c r="J155" s="393"/>
      <c r="K155" s="393"/>
      <c r="L155" s="393"/>
      <c r="M155" s="393"/>
      <c r="N155" s="393"/>
      <c r="O155" s="393"/>
      <c r="P155" s="393"/>
      <c r="Q155" s="393"/>
      <c r="R155" s="393"/>
      <c r="S155" s="393"/>
      <c r="T155" s="393"/>
      <c r="U155" s="393"/>
      <c r="V155" s="393"/>
      <c r="W155" s="393"/>
      <c r="X155" s="393"/>
      <c r="Y155" s="393"/>
      <c r="Z155" s="393"/>
    </row>
    <row r="156" ht="11.25" customHeight="1">
      <c r="A156" s="393"/>
      <c r="B156" s="393"/>
      <c r="C156" s="393"/>
      <c r="D156" s="393"/>
      <c r="E156" s="393"/>
      <c r="F156" s="393"/>
      <c r="G156" s="393"/>
      <c r="H156" s="393"/>
      <c r="I156" s="393"/>
      <c r="J156" s="393"/>
      <c r="K156" s="393"/>
      <c r="L156" s="393"/>
      <c r="M156" s="393"/>
      <c r="N156" s="393"/>
      <c r="O156" s="393"/>
      <c r="P156" s="393"/>
      <c r="Q156" s="393"/>
      <c r="R156" s="393"/>
      <c r="S156" s="393"/>
      <c r="T156" s="393"/>
      <c r="U156" s="393"/>
      <c r="V156" s="393"/>
      <c r="W156" s="393"/>
      <c r="X156" s="393"/>
      <c r="Y156" s="393"/>
      <c r="Z156" s="393"/>
    </row>
    <row r="157" ht="11.25" customHeight="1">
      <c r="A157" s="393"/>
      <c r="B157" s="393"/>
      <c r="C157" s="393"/>
      <c r="D157" s="393"/>
      <c r="E157" s="393"/>
      <c r="F157" s="393"/>
      <c r="G157" s="393"/>
      <c r="H157" s="393"/>
      <c r="I157" s="393"/>
      <c r="J157" s="393"/>
      <c r="K157" s="393"/>
      <c r="L157" s="393"/>
      <c r="M157" s="393"/>
      <c r="N157" s="393"/>
      <c r="O157" s="393"/>
      <c r="P157" s="393"/>
      <c r="Q157" s="393"/>
      <c r="R157" s="393"/>
      <c r="S157" s="393"/>
      <c r="T157" s="393"/>
      <c r="U157" s="393"/>
      <c r="V157" s="393"/>
      <c r="W157" s="393"/>
      <c r="X157" s="393"/>
      <c r="Y157" s="393"/>
      <c r="Z157" s="393"/>
    </row>
    <row r="158" ht="11.25" customHeight="1">
      <c r="A158" s="393"/>
      <c r="B158" s="393"/>
      <c r="C158" s="393"/>
      <c r="D158" s="393"/>
      <c r="E158" s="393"/>
      <c r="F158" s="393"/>
      <c r="G158" s="393"/>
      <c r="H158" s="393"/>
      <c r="I158" s="393"/>
      <c r="J158" s="393"/>
      <c r="K158" s="393"/>
      <c r="L158" s="393"/>
      <c r="M158" s="393"/>
      <c r="N158" s="393"/>
      <c r="O158" s="393"/>
      <c r="P158" s="393"/>
      <c r="Q158" s="393"/>
      <c r="R158" s="393"/>
      <c r="S158" s="393"/>
      <c r="T158" s="393"/>
      <c r="U158" s="393"/>
      <c r="V158" s="393"/>
      <c r="W158" s="393"/>
      <c r="X158" s="393"/>
      <c r="Y158" s="393"/>
      <c r="Z158" s="393"/>
    </row>
    <row r="159" ht="11.25" customHeight="1">
      <c r="A159" s="393"/>
      <c r="B159" s="393"/>
      <c r="C159" s="393"/>
      <c r="D159" s="393"/>
      <c r="E159" s="393"/>
      <c r="F159" s="393"/>
      <c r="G159" s="393"/>
      <c r="H159" s="393"/>
      <c r="I159" s="393"/>
      <c r="J159" s="393"/>
      <c r="K159" s="393"/>
      <c r="L159" s="393"/>
      <c r="M159" s="393"/>
      <c r="N159" s="393"/>
      <c r="O159" s="393"/>
      <c r="P159" s="393"/>
      <c r="Q159" s="393"/>
      <c r="R159" s="393"/>
      <c r="S159" s="393"/>
      <c r="T159" s="393"/>
      <c r="U159" s="393"/>
      <c r="V159" s="393"/>
      <c r="W159" s="393"/>
      <c r="X159" s="393"/>
      <c r="Y159" s="393"/>
      <c r="Z159" s="393"/>
    </row>
    <row r="160" ht="11.25" customHeight="1">
      <c r="A160" s="393"/>
      <c r="B160" s="393"/>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row>
    <row r="161" ht="11.25" customHeight="1">
      <c r="A161" s="393"/>
      <c r="B161" s="393"/>
      <c r="C161" s="393"/>
      <c r="D161" s="393"/>
      <c r="E161" s="393"/>
      <c r="F161" s="393"/>
      <c r="G161" s="393"/>
      <c r="H161" s="393"/>
      <c r="I161" s="393"/>
      <c r="J161" s="393"/>
      <c r="K161" s="393"/>
      <c r="L161" s="393"/>
      <c r="M161" s="393"/>
      <c r="N161" s="393"/>
      <c r="O161" s="393"/>
      <c r="P161" s="393"/>
      <c r="Q161" s="393"/>
      <c r="R161" s="393"/>
      <c r="S161" s="393"/>
      <c r="T161" s="393"/>
      <c r="U161" s="393"/>
      <c r="V161" s="393"/>
      <c r="W161" s="393"/>
      <c r="X161" s="393"/>
      <c r="Y161" s="393"/>
      <c r="Z161" s="393"/>
    </row>
    <row r="162" ht="11.25" customHeight="1">
      <c r="A162" s="393"/>
      <c r="B162" s="393"/>
      <c r="C162" s="393"/>
      <c r="D162" s="393"/>
      <c r="E162" s="393"/>
      <c r="F162" s="393"/>
      <c r="G162" s="393"/>
      <c r="H162" s="393"/>
      <c r="I162" s="393"/>
      <c r="J162" s="393"/>
      <c r="K162" s="393"/>
      <c r="L162" s="393"/>
      <c r="M162" s="393"/>
      <c r="N162" s="393"/>
      <c r="O162" s="393"/>
      <c r="P162" s="393"/>
      <c r="Q162" s="393"/>
      <c r="R162" s="393"/>
      <c r="S162" s="393"/>
      <c r="T162" s="393"/>
      <c r="U162" s="393"/>
      <c r="V162" s="393"/>
      <c r="W162" s="393"/>
      <c r="X162" s="393"/>
      <c r="Y162" s="393"/>
      <c r="Z162" s="393"/>
    </row>
    <row r="163" ht="11.25" customHeight="1">
      <c r="A163" s="393"/>
      <c r="B163" s="393"/>
      <c r="C163" s="393"/>
      <c r="D163" s="393"/>
      <c r="E163" s="393"/>
      <c r="F163" s="393"/>
      <c r="G163" s="393"/>
      <c r="H163" s="393"/>
      <c r="I163" s="393"/>
      <c r="J163" s="393"/>
      <c r="K163" s="393"/>
      <c r="L163" s="393"/>
      <c r="M163" s="393"/>
      <c r="N163" s="393"/>
      <c r="O163" s="393"/>
      <c r="P163" s="393"/>
      <c r="Q163" s="393"/>
      <c r="R163" s="393"/>
      <c r="S163" s="393"/>
      <c r="T163" s="393"/>
      <c r="U163" s="393"/>
      <c r="V163" s="393"/>
      <c r="W163" s="393"/>
      <c r="X163" s="393"/>
      <c r="Y163" s="393"/>
      <c r="Z163" s="393"/>
    </row>
    <row r="164" ht="11.25" customHeight="1">
      <c r="A164" s="393"/>
      <c r="B164" s="393"/>
      <c r="C164" s="393"/>
      <c r="D164" s="393"/>
      <c r="E164" s="393"/>
      <c r="F164" s="393"/>
      <c r="G164" s="393"/>
      <c r="H164" s="393"/>
      <c r="I164" s="393"/>
      <c r="J164" s="393"/>
      <c r="K164" s="393"/>
      <c r="L164" s="393"/>
      <c r="M164" s="393"/>
      <c r="N164" s="393"/>
      <c r="O164" s="393"/>
      <c r="P164" s="393"/>
      <c r="Q164" s="393"/>
      <c r="R164" s="393"/>
      <c r="S164" s="393"/>
      <c r="T164" s="393"/>
      <c r="U164" s="393"/>
      <c r="V164" s="393"/>
      <c r="W164" s="393"/>
      <c r="X164" s="393"/>
      <c r="Y164" s="393"/>
      <c r="Z164" s="393"/>
    </row>
    <row r="165" ht="11.25" customHeight="1">
      <c r="A165" s="393"/>
      <c r="B165" s="393"/>
      <c r="C165" s="393"/>
      <c r="D165" s="393"/>
      <c r="E165" s="393"/>
      <c r="F165" s="393"/>
      <c r="G165" s="393"/>
      <c r="H165" s="393"/>
      <c r="I165" s="393"/>
      <c r="J165" s="393"/>
      <c r="K165" s="393"/>
      <c r="L165" s="393"/>
      <c r="M165" s="393"/>
      <c r="N165" s="393"/>
      <c r="O165" s="393"/>
      <c r="P165" s="393"/>
      <c r="Q165" s="393"/>
      <c r="R165" s="393"/>
      <c r="S165" s="393"/>
      <c r="T165" s="393"/>
      <c r="U165" s="393"/>
      <c r="V165" s="393"/>
      <c r="W165" s="393"/>
      <c r="X165" s="393"/>
      <c r="Y165" s="393"/>
      <c r="Z165" s="393"/>
    </row>
    <row r="166" ht="11.25" customHeight="1">
      <c r="A166" s="393"/>
      <c r="B166" s="393"/>
      <c r="C166" s="393"/>
      <c r="D166" s="393"/>
      <c r="E166" s="393"/>
      <c r="F166" s="393"/>
      <c r="G166" s="393"/>
      <c r="H166" s="393"/>
      <c r="I166" s="393"/>
      <c r="J166" s="393"/>
      <c r="K166" s="393"/>
      <c r="L166" s="393"/>
      <c r="M166" s="393"/>
      <c r="N166" s="393"/>
      <c r="O166" s="393"/>
      <c r="P166" s="393"/>
      <c r="Q166" s="393"/>
      <c r="R166" s="393"/>
      <c r="S166" s="393"/>
      <c r="T166" s="393"/>
      <c r="U166" s="393"/>
      <c r="V166" s="393"/>
      <c r="W166" s="393"/>
      <c r="X166" s="393"/>
      <c r="Y166" s="393"/>
      <c r="Z166" s="393"/>
    </row>
    <row r="167" ht="11.25" customHeight="1">
      <c r="A167" s="393"/>
      <c r="B167" s="393"/>
      <c r="C167" s="393"/>
      <c r="D167" s="393"/>
      <c r="E167" s="393"/>
      <c r="F167" s="393"/>
      <c r="G167" s="393"/>
      <c r="H167" s="393"/>
      <c r="I167" s="393"/>
      <c r="J167" s="393"/>
      <c r="K167" s="393"/>
      <c r="L167" s="393"/>
      <c r="M167" s="393"/>
      <c r="N167" s="393"/>
      <c r="O167" s="393"/>
      <c r="P167" s="393"/>
      <c r="Q167" s="393"/>
      <c r="R167" s="393"/>
      <c r="S167" s="393"/>
      <c r="T167" s="393"/>
      <c r="U167" s="393"/>
      <c r="V167" s="393"/>
      <c r="W167" s="393"/>
      <c r="X167" s="393"/>
      <c r="Y167" s="393"/>
      <c r="Z167" s="393"/>
    </row>
    <row r="168" ht="11.25" customHeight="1">
      <c r="A168" s="393"/>
      <c r="B168" s="393"/>
      <c r="C168" s="393"/>
      <c r="D168" s="393"/>
      <c r="E168" s="393"/>
      <c r="F168" s="393"/>
      <c r="G168" s="393"/>
      <c r="H168" s="393"/>
      <c r="I168" s="393"/>
      <c r="J168" s="393"/>
      <c r="K168" s="393"/>
      <c r="L168" s="393"/>
      <c r="M168" s="393"/>
      <c r="N168" s="393"/>
      <c r="O168" s="393"/>
      <c r="P168" s="393"/>
      <c r="Q168" s="393"/>
      <c r="R168" s="393"/>
      <c r="S168" s="393"/>
      <c r="T168" s="393"/>
      <c r="U168" s="393"/>
      <c r="V168" s="393"/>
      <c r="W168" s="393"/>
      <c r="X168" s="393"/>
      <c r="Y168" s="393"/>
      <c r="Z168" s="393"/>
    </row>
    <row r="169" ht="11.25" customHeight="1">
      <c r="A169" s="393"/>
      <c r="B169" s="393"/>
      <c r="C169" s="393"/>
      <c r="D169" s="393"/>
      <c r="E169" s="393"/>
      <c r="F169" s="393"/>
      <c r="G169" s="393"/>
      <c r="H169" s="393"/>
      <c r="I169" s="393"/>
      <c r="J169" s="393"/>
      <c r="K169" s="393"/>
      <c r="L169" s="393"/>
      <c r="M169" s="393"/>
      <c r="N169" s="393"/>
      <c r="O169" s="393"/>
      <c r="P169" s="393"/>
      <c r="Q169" s="393"/>
      <c r="R169" s="393"/>
      <c r="S169" s="393"/>
      <c r="T169" s="393"/>
      <c r="U169" s="393"/>
      <c r="V169" s="393"/>
      <c r="W169" s="393"/>
      <c r="X169" s="393"/>
      <c r="Y169" s="393"/>
      <c r="Z169" s="393"/>
    </row>
    <row r="170" ht="11.25" customHeight="1">
      <c r="A170" s="393"/>
      <c r="B170" s="393"/>
      <c r="C170" s="393"/>
      <c r="D170" s="393"/>
      <c r="E170" s="393"/>
      <c r="F170" s="393"/>
      <c r="G170" s="393"/>
      <c r="H170" s="393"/>
      <c r="I170" s="393"/>
      <c r="J170" s="393"/>
      <c r="K170" s="393"/>
      <c r="L170" s="393"/>
      <c r="M170" s="393"/>
      <c r="N170" s="393"/>
      <c r="O170" s="393"/>
      <c r="P170" s="393"/>
      <c r="Q170" s="393"/>
      <c r="R170" s="393"/>
      <c r="S170" s="393"/>
      <c r="T170" s="393"/>
      <c r="U170" s="393"/>
      <c r="V170" s="393"/>
      <c r="W170" s="393"/>
      <c r="X170" s="393"/>
      <c r="Y170" s="393"/>
      <c r="Z170" s="393"/>
    </row>
    <row r="171" ht="11.25" customHeight="1">
      <c r="A171" s="393"/>
      <c r="B171" s="393"/>
      <c r="C171" s="393"/>
      <c r="D171" s="393"/>
      <c r="E171" s="393"/>
      <c r="F171" s="393"/>
      <c r="G171" s="393"/>
      <c r="H171" s="393"/>
      <c r="I171" s="393"/>
      <c r="J171" s="393"/>
      <c r="K171" s="393"/>
      <c r="L171" s="393"/>
      <c r="M171" s="393"/>
      <c r="N171" s="393"/>
      <c r="O171" s="393"/>
      <c r="P171" s="393"/>
      <c r="Q171" s="393"/>
      <c r="R171" s="393"/>
      <c r="S171" s="393"/>
      <c r="T171" s="393"/>
      <c r="U171" s="393"/>
      <c r="V171" s="393"/>
      <c r="W171" s="393"/>
      <c r="X171" s="393"/>
      <c r="Y171" s="393"/>
      <c r="Z171" s="393"/>
    </row>
    <row r="172" ht="11.25" customHeight="1">
      <c r="A172" s="393"/>
      <c r="B172" s="393"/>
      <c r="C172" s="393"/>
      <c r="D172" s="393"/>
      <c r="E172" s="393"/>
      <c r="F172" s="393"/>
      <c r="G172" s="393"/>
      <c r="H172" s="393"/>
      <c r="I172" s="393"/>
      <c r="J172" s="393"/>
      <c r="K172" s="393"/>
      <c r="L172" s="393"/>
      <c r="M172" s="393"/>
      <c r="N172" s="393"/>
      <c r="O172" s="393"/>
      <c r="P172" s="393"/>
      <c r="Q172" s="393"/>
      <c r="R172" s="393"/>
      <c r="S172" s="393"/>
      <c r="T172" s="393"/>
      <c r="U172" s="393"/>
      <c r="V172" s="393"/>
      <c r="W172" s="393"/>
      <c r="X172" s="393"/>
      <c r="Y172" s="393"/>
      <c r="Z172" s="393"/>
    </row>
    <row r="173" ht="11.25" customHeight="1">
      <c r="A173" s="393"/>
      <c r="B173" s="393"/>
      <c r="C173" s="393"/>
      <c r="D173" s="393"/>
      <c r="E173" s="393"/>
      <c r="F173" s="393"/>
      <c r="G173" s="393"/>
      <c r="H173" s="393"/>
      <c r="I173" s="393"/>
      <c r="J173" s="393"/>
      <c r="K173" s="393"/>
      <c r="L173" s="393"/>
      <c r="M173" s="393"/>
      <c r="N173" s="393"/>
      <c r="O173" s="393"/>
      <c r="P173" s="393"/>
      <c r="Q173" s="393"/>
      <c r="R173" s="393"/>
      <c r="S173" s="393"/>
      <c r="T173" s="393"/>
      <c r="U173" s="393"/>
      <c r="V173" s="393"/>
      <c r="W173" s="393"/>
      <c r="X173" s="393"/>
      <c r="Y173" s="393"/>
      <c r="Z173" s="393"/>
    </row>
    <row r="174" ht="11.25" customHeight="1">
      <c r="A174" s="393"/>
      <c r="B174" s="393"/>
      <c r="C174" s="393"/>
      <c r="D174" s="393"/>
      <c r="E174" s="393"/>
      <c r="F174" s="393"/>
      <c r="G174" s="393"/>
      <c r="H174" s="393"/>
      <c r="I174" s="393"/>
      <c r="J174" s="393"/>
      <c r="K174" s="393"/>
      <c r="L174" s="393"/>
      <c r="M174" s="393"/>
      <c r="N174" s="393"/>
      <c r="O174" s="393"/>
      <c r="P174" s="393"/>
      <c r="Q174" s="393"/>
      <c r="R174" s="393"/>
      <c r="S174" s="393"/>
      <c r="T174" s="393"/>
      <c r="U174" s="393"/>
      <c r="V174" s="393"/>
      <c r="W174" s="393"/>
      <c r="X174" s="393"/>
      <c r="Y174" s="393"/>
      <c r="Z174" s="393"/>
    </row>
    <row r="175" ht="11.25" customHeight="1">
      <c r="A175" s="393"/>
      <c r="B175" s="393"/>
      <c r="C175" s="393"/>
      <c r="D175" s="393"/>
      <c r="E175" s="393"/>
      <c r="F175" s="393"/>
      <c r="G175" s="393"/>
      <c r="H175" s="393"/>
      <c r="I175" s="393"/>
      <c r="J175" s="393"/>
      <c r="K175" s="393"/>
      <c r="L175" s="393"/>
      <c r="M175" s="393"/>
      <c r="N175" s="393"/>
      <c r="O175" s="393"/>
      <c r="P175" s="393"/>
      <c r="Q175" s="393"/>
      <c r="R175" s="393"/>
      <c r="S175" s="393"/>
      <c r="T175" s="393"/>
      <c r="U175" s="393"/>
      <c r="V175" s="393"/>
      <c r="W175" s="393"/>
      <c r="X175" s="393"/>
      <c r="Y175" s="393"/>
      <c r="Z175" s="393"/>
    </row>
    <row r="176" ht="11.25" customHeight="1">
      <c r="A176" s="393"/>
      <c r="B176" s="393"/>
      <c r="C176" s="393"/>
      <c r="D176" s="393"/>
      <c r="E176" s="393"/>
      <c r="F176" s="393"/>
      <c r="G176" s="393"/>
      <c r="H176" s="393"/>
      <c r="I176" s="393"/>
      <c r="J176" s="393"/>
      <c r="K176" s="393"/>
      <c r="L176" s="393"/>
      <c r="M176" s="393"/>
      <c r="N176" s="393"/>
      <c r="O176" s="393"/>
      <c r="P176" s="393"/>
      <c r="Q176" s="393"/>
      <c r="R176" s="393"/>
      <c r="S176" s="393"/>
      <c r="T176" s="393"/>
      <c r="U176" s="393"/>
      <c r="V176" s="393"/>
      <c r="W176" s="393"/>
      <c r="X176" s="393"/>
      <c r="Y176" s="393"/>
      <c r="Z176" s="393"/>
    </row>
    <row r="177" ht="11.25" customHeight="1">
      <c r="A177" s="393"/>
      <c r="B177" s="393"/>
      <c r="C177" s="393"/>
      <c r="D177" s="393"/>
      <c r="E177" s="393"/>
      <c r="F177" s="393"/>
      <c r="G177" s="393"/>
      <c r="H177" s="393"/>
      <c r="I177" s="393"/>
      <c r="J177" s="393"/>
      <c r="K177" s="393"/>
      <c r="L177" s="393"/>
      <c r="M177" s="393"/>
      <c r="N177" s="393"/>
      <c r="O177" s="393"/>
      <c r="P177" s="393"/>
      <c r="Q177" s="393"/>
      <c r="R177" s="393"/>
      <c r="S177" s="393"/>
      <c r="T177" s="393"/>
      <c r="U177" s="393"/>
      <c r="V177" s="393"/>
      <c r="W177" s="393"/>
      <c r="X177" s="393"/>
      <c r="Y177" s="393"/>
      <c r="Z177" s="393"/>
    </row>
    <row r="178" ht="11.25" customHeight="1">
      <c r="A178" s="393"/>
      <c r="B178" s="393"/>
      <c r="C178" s="393"/>
      <c r="D178" s="393"/>
      <c r="E178" s="393"/>
      <c r="F178" s="393"/>
      <c r="G178" s="393"/>
      <c r="H178" s="393"/>
      <c r="I178" s="393"/>
      <c r="J178" s="393"/>
      <c r="K178" s="393"/>
      <c r="L178" s="393"/>
      <c r="M178" s="393"/>
      <c r="N178" s="393"/>
      <c r="O178" s="393"/>
      <c r="P178" s="393"/>
      <c r="Q178" s="393"/>
      <c r="R178" s="393"/>
      <c r="S178" s="393"/>
      <c r="T178" s="393"/>
      <c r="U178" s="393"/>
      <c r="V178" s="393"/>
      <c r="W178" s="393"/>
      <c r="X178" s="393"/>
      <c r="Y178" s="393"/>
      <c r="Z178" s="393"/>
    </row>
    <row r="179" ht="11.25" customHeight="1">
      <c r="A179" s="393"/>
      <c r="B179" s="393"/>
      <c r="C179" s="393"/>
      <c r="D179" s="393"/>
      <c r="E179" s="393"/>
      <c r="F179" s="393"/>
      <c r="G179" s="393"/>
      <c r="H179" s="393"/>
      <c r="I179" s="393"/>
      <c r="J179" s="393"/>
      <c r="K179" s="393"/>
      <c r="L179" s="393"/>
      <c r="M179" s="393"/>
      <c r="N179" s="393"/>
      <c r="O179" s="393"/>
      <c r="P179" s="393"/>
      <c r="Q179" s="393"/>
      <c r="R179" s="393"/>
      <c r="S179" s="393"/>
      <c r="T179" s="393"/>
      <c r="U179" s="393"/>
      <c r="V179" s="393"/>
      <c r="W179" s="393"/>
      <c r="X179" s="393"/>
      <c r="Y179" s="393"/>
      <c r="Z179" s="393"/>
    </row>
    <row r="180" ht="11.25" customHeight="1">
      <c r="A180" s="393"/>
      <c r="B180" s="393"/>
      <c r="C180" s="393"/>
      <c r="D180" s="393"/>
      <c r="E180" s="393"/>
      <c r="F180" s="393"/>
      <c r="G180" s="393"/>
      <c r="H180" s="393"/>
      <c r="I180" s="393"/>
      <c r="J180" s="393"/>
      <c r="K180" s="393"/>
      <c r="L180" s="393"/>
      <c r="M180" s="393"/>
      <c r="N180" s="393"/>
      <c r="O180" s="393"/>
      <c r="P180" s="393"/>
      <c r="Q180" s="393"/>
      <c r="R180" s="393"/>
      <c r="S180" s="393"/>
      <c r="T180" s="393"/>
      <c r="U180" s="393"/>
      <c r="V180" s="393"/>
      <c r="W180" s="393"/>
      <c r="X180" s="393"/>
      <c r="Y180" s="393"/>
      <c r="Z180" s="393"/>
    </row>
    <row r="181" ht="11.25" customHeight="1">
      <c r="A181" s="393"/>
      <c r="B181" s="393"/>
      <c r="C181" s="393"/>
      <c r="D181" s="393"/>
      <c r="E181" s="393"/>
      <c r="F181" s="393"/>
      <c r="G181" s="393"/>
      <c r="H181" s="393"/>
      <c r="I181" s="393"/>
      <c r="J181" s="393"/>
      <c r="K181" s="393"/>
      <c r="L181" s="393"/>
      <c r="M181" s="393"/>
      <c r="N181" s="393"/>
      <c r="O181" s="393"/>
      <c r="P181" s="393"/>
      <c r="Q181" s="393"/>
      <c r="R181" s="393"/>
      <c r="S181" s="393"/>
      <c r="T181" s="393"/>
      <c r="U181" s="393"/>
      <c r="V181" s="393"/>
      <c r="W181" s="393"/>
      <c r="X181" s="393"/>
      <c r="Y181" s="393"/>
      <c r="Z181" s="393"/>
    </row>
    <row r="182" ht="11.25" customHeight="1">
      <c r="A182" s="393"/>
      <c r="B182" s="393"/>
      <c r="C182" s="393"/>
      <c r="D182" s="393"/>
      <c r="E182" s="393"/>
      <c r="F182" s="393"/>
      <c r="G182" s="393"/>
      <c r="H182" s="393"/>
      <c r="I182" s="393"/>
      <c r="J182" s="393"/>
      <c r="K182" s="393"/>
      <c r="L182" s="393"/>
      <c r="M182" s="393"/>
      <c r="N182" s="393"/>
      <c r="O182" s="393"/>
      <c r="P182" s="393"/>
      <c r="Q182" s="393"/>
      <c r="R182" s="393"/>
      <c r="S182" s="393"/>
      <c r="T182" s="393"/>
      <c r="U182" s="393"/>
      <c r="V182" s="393"/>
      <c r="W182" s="393"/>
      <c r="X182" s="393"/>
      <c r="Y182" s="393"/>
      <c r="Z182" s="393"/>
    </row>
    <row r="183" ht="11.25" customHeight="1">
      <c r="A183" s="393"/>
      <c r="B183" s="393"/>
      <c r="C183" s="393"/>
      <c r="D183" s="393"/>
      <c r="E183" s="393"/>
      <c r="F183" s="393"/>
      <c r="G183" s="393"/>
      <c r="H183" s="393"/>
      <c r="I183" s="393"/>
      <c r="J183" s="393"/>
      <c r="K183" s="393"/>
      <c r="L183" s="393"/>
      <c r="M183" s="393"/>
      <c r="N183" s="393"/>
      <c r="O183" s="393"/>
      <c r="P183" s="393"/>
      <c r="Q183" s="393"/>
      <c r="R183" s="393"/>
      <c r="S183" s="393"/>
      <c r="T183" s="393"/>
      <c r="U183" s="393"/>
      <c r="V183" s="393"/>
      <c r="W183" s="393"/>
      <c r="X183" s="393"/>
      <c r="Y183" s="393"/>
      <c r="Z183" s="393"/>
    </row>
    <row r="184" ht="11.25" customHeight="1">
      <c r="A184" s="393"/>
      <c r="B184" s="393"/>
      <c r="C184" s="393"/>
      <c r="D184" s="393"/>
      <c r="E184" s="393"/>
      <c r="F184" s="393"/>
      <c r="G184" s="393"/>
      <c r="H184" s="393"/>
      <c r="I184" s="393"/>
      <c r="J184" s="393"/>
      <c r="K184" s="393"/>
      <c r="L184" s="393"/>
      <c r="M184" s="393"/>
      <c r="N184" s="393"/>
      <c r="O184" s="393"/>
      <c r="P184" s="393"/>
      <c r="Q184" s="393"/>
      <c r="R184" s="393"/>
      <c r="S184" s="393"/>
      <c r="T184" s="393"/>
      <c r="U184" s="393"/>
      <c r="V184" s="393"/>
      <c r="W184" s="393"/>
      <c r="X184" s="393"/>
      <c r="Y184" s="393"/>
      <c r="Z184" s="393"/>
    </row>
    <row r="185" ht="11.25" customHeight="1">
      <c r="A185" s="393"/>
      <c r="B185" s="393"/>
      <c r="C185" s="393"/>
      <c r="D185" s="393"/>
      <c r="E185" s="393"/>
      <c r="F185" s="393"/>
      <c r="G185" s="393"/>
      <c r="H185" s="393"/>
      <c r="I185" s="393"/>
      <c r="J185" s="393"/>
      <c r="K185" s="393"/>
      <c r="L185" s="393"/>
      <c r="M185" s="393"/>
      <c r="N185" s="393"/>
      <c r="O185" s="393"/>
      <c r="P185" s="393"/>
      <c r="Q185" s="393"/>
      <c r="R185" s="393"/>
      <c r="S185" s="393"/>
      <c r="T185" s="393"/>
      <c r="U185" s="393"/>
      <c r="V185" s="393"/>
      <c r="W185" s="393"/>
      <c r="X185" s="393"/>
      <c r="Y185" s="393"/>
      <c r="Z185" s="393"/>
    </row>
    <row r="186" ht="11.25" customHeight="1">
      <c r="A186" s="393"/>
      <c r="B186" s="393"/>
      <c r="C186" s="393"/>
      <c r="D186" s="393"/>
      <c r="E186" s="393"/>
      <c r="F186" s="393"/>
      <c r="G186" s="393"/>
      <c r="H186" s="393"/>
      <c r="I186" s="393"/>
      <c r="J186" s="393"/>
      <c r="K186" s="393"/>
      <c r="L186" s="393"/>
      <c r="M186" s="393"/>
      <c r="N186" s="393"/>
      <c r="O186" s="393"/>
      <c r="P186" s="393"/>
      <c r="Q186" s="393"/>
      <c r="R186" s="393"/>
      <c r="S186" s="393"/>
      <c r="T186" s="393"/>
      <c r="U186" s="393"/>
      <c r="V186" s="393"/>
      <c r="W186" s="393"/>
      <c r="X186" s="393"/>
      <c r="Y186" s="393"/>
      <c r="Z186" s="393"/>
    </row>
    <row r="187" ht="11.25" customHeight="1">
      <c r="A187" s="393"/>
      <c r="B187" s="393"/>
      <c r="C187" s="393"/>
      <c r="D187" s="393"/>
      <c r="E187" s="393"/>
      <c r="F187" s="393"/>
      <c r="G187" s="393"/>
      <c r="H187" s="393"/>
      <c r="I187" s="393"/>
      <c r="J187" s="393"/>
      <c r="K187" s="393"/>
      <c r="L187" s="393"/>
      <c r="M187" s="393"/>
      <c r="N187" s="393"/>
      <c r="O187" s="393"/>
      <c r="P187" s="393"/>
      <c r="Q187" s="393"/>
      <c r="R187" s="393"/>
      <c r="S187" s="393"/>
      <c r="T187" s="393"/>
      <c r="U187" s="393"/>
      <c r="V187" s="393"/>
      <c r="W187" s="393"/>
      <c r="X187" s="393"/>
      <c r="Y187" s="393"/>
      <c r="Z187" s="393"/>
    </row>
    <row r="188" ht="11.25" customHeight="1">
      <c r="A188" s="393"/>
      <c r="B188" s="393"/>
      <c r="C188" s="393"/>
      <c r="D188" s="393"/>
      <c r="E188" s="393"/>
      <c r="F188" s="393"/>
      <c r="G188" s="393"/>
      <c r="H188" s="393"/>
      <c r="I188" s="393"/>
      <c r="J188" s="393"/>
      <c r="K188" s="393"/>
      <c r="L188" s="393"/>
      <c r="M188" s="393"/>
      <c r="N188" s="393"/>
      <c r="O188" s="393"/>
      <c r="P188" s="393"/>
      <c r="Q188" s="393"/>
      <c r="R188" s="393"/>
      <c r="S188" s="393"/>
      <c r="T188" s="393"/>
      <c r="U188" s="393"/>
      <c r="V188" s="393"/>
      <c r="W188" s="393"/>
      <c r="X188" s="393"/>
      <c r="Y188" s="393"/>
      <c r="Z188" s="393"/>
    </row>
    <row r="189" ht="11.25" customHeight="1">
      <c r="A189" s="393"/>
      <c r="B189" s="393"/>
      <c r="C189" s="393"/>
      <c r="D189" s="393"/>
      <c r="E189" s="393"/>
      <c r="F189" s="393"/>
      <c r="G189" s="393"/>
      <c r="H189" s="393"/>
      <c r="I189" s="393"/>
      <c r="J189" s="393"/>
      <c r="K189" s="393"/>
      <c r="L189" s="393"/>
      <c r="M189" s="393"/>
      <c r="N189" s="393"/>
      <c r="O189" s="393"/>
      <c r="P189" s="393"/>
      <c r="Q189" s="393"/>
      <c r="R189" s="393"/>
      <c r="S189" s="393"/>
      <c r="T189" s="393"/>
      <c r="U189" s="393"/>
      <c r="V189" s="393"/>
      <c r="W189" s="393"/>
      <c r="X189" s="393"/>
      <c r="Y189" s="393"/>
      <c r="Z189" s="393"/>
    </row>
    <row r="190" ht="11.25" customHeight="1">
      <c r="A190" s="393"/>
      <c r="B190" s="393"/>
      <c r="C190" s="393"/>
      <c r="D190" s="393"/>
      <c r="E190" s="393"/>
      <c r="F190" s="393"/>
      <c r="G190" s="393"/>
      <c r="H190" s="393"/>
      <c r="I190" s="393"/>
      <c r="J190" s="393"/>
      <c r="K190" s="393"/>
      <c r="L190" s="393"/>
      <c r="M190" s="393"/>
      <c r="N190" s="393"/>
      <c r="O190" s="393"/>
      <c r="P190" s="393"/>
      <c r="Q190" s="393"/>
      <c r="R190" s="393"/>
      <c r="S190" s="393"/>
      <c r="T190" s="393"/>
      <c r="U190" s="393"/>
      <c r="V190" s="393"/>
      <c r="W190" s="393"/>
      <c r="X190" s="393"/>
      <c r="Y190" s="393"/>
      <c r="Z190" s="393"/>
    </row>
    <row r="191" ht="11.25" customHeight="1">
      <c r="A191" s="393"/>
      <c r="B191" s="393"/>
      <c r="C191" s="393"/>
      <c r="D191" s="393"/>
      <c r="E191" s="393"/>
      <c r="F191" s="393"/>
      <c r="G191" s="393"/>
      <c r="H191" s="393"/>
      <c r="I191" s="393"/>
      <c r="J191" s="393"/>
      <c r="K191" s="393"/>
      <c r="L191" s="393"/>
      <c r="M191" s="393"/>
      <c r="N191" s="393"/>
      <c r="O191" s="393"/>
      <c r="P191" s="393"/>
      <c r="Q191" s="393"/>
      <c r="R191" s="393"/>
      <c r="S191" s="393"/>
      <c r="T191" s="393"/>
      <c r="U191" s="393"/>
      <c r="V191" s="393"/>
      <c r="W191" s="393"/>
      <c r="X191" s="393"/>
      <c r="Y191" s="393"/>
      <c r="Z191" s="393"/>
    </row>
    <row r="192" ht="11.25" customHeight="1">
      <c r="A192" s="393"/>
      <c r="B192" s="393"/>
      <c r="C192" s="393"/>
      <c r="D192" s="393"/>
      <c r="E192" s="393"/>
      <c r="F192" s="393"/>
      <c r="G192" s="393"/>
      <c r="H192" s="393"/>
      <c r="I192" s="393"/>
      <c r="J192" s="393"/>
      <c r="K192" s="393"/>
      <c r="L192" s="393"/>
      <c r="M192" s="393"/>
      <c r="N192" s="393"/>
      <c r="O192" s="393"/>
      <c r="P192" s="393"/>
      <c r="Q192" s="393"/>
      <c r="R192" s="393"/>
      <c r="S192" s="393"/>
      <c r="T192" s="393"/>
      <c r="U192" s="393"/>
      <c r="V192" s="393"/>
      <c r="W192" s="393"/>
      <c r="X192" s="393"/>
      <c r="Y192" s="393"/>
      <c r="Z192" s="393"/>
    </row>
    <row r="193" ht="11.25" customHeight="1">
      <c r="A193" s="393"/>
      <c r="B193" s="393"/>
      <c r="C193" s="393"/>
      <c r="D193" s="393"/>
      <c r="E193" s="393"/>
      <c r="F193" s="393"/>
      <c r="G193" s="393"/>
      <c r="H193" s="393"/>
      <c r="I193" s="393"/>
      <c r="J193" s="393"/>
      <c r="K193" s="393"/>
      <c r="L193" s="393"/>
      <c r="M193" s="393"/>
      <c r="N193" s="393"/>
      <c r="O193" s="393"/>
      <c r="P193" s="393"/>
      <c r="Q193" s="393"/>
      <c r="R193" s="393"/>
      <c r="S193" s="393"/>
      <c r="T193" s="393"/>
      <c r="U193" s="393"/>
      <c r="V193" s="393"/>
      <c r="W193" s="393"/>
      <c r="X193" s="393"/>
      <c r="Y193" s="393"/>
      <c r="Z193" s="393"/>
    </row>
    <row r="194" ht="11.25" customHeight="1">
      <c r="A194" s="393"/>
      <c r="B194" s="393"/>
      <c r="C194" s="393"/>
      <c r="D194" s="393"/>
      <c r="E194" s="393"/>
      <c r="F194" s="393"/>
      <c r="G194" s="393"/>
      <c r="H194" s="393"/>
      <c r="I194" s="393"/>
      <c r="J194" s="393"/>
      <c r="K194" s="393"/>
      <c r="L194" s="393"/>
      <c r="M194" s="393"/>
      <c r="N194" s="393"/>
      <c r="O194" s="393"/>
      <c r="P194" s="393"/>
      <c r="Q194" s="393"/>
      <c r="R194" s="393"/>
      <c r="S194" s="393"/>
      <c r="T194" s="393"/>
      <c r="U194" s="393"/>
      <c r="V194" s="393"/>
      <c r="W194" s="393"/>
      <c r="X194" s="393"/>
      <c r="Y194" s="393"/>
      <c r="Z194" s="393"/>
    </row>
    <row r="195" ht="11.25" customHeight="1">
      <c r="A195" s="393"/>
      <c r="B195" s="393"/>
      <c r="C195" s="393"/>
      <c r="D195" s="393"/>
      <c r="E195" s="393"/>
      <c r="F195" s="393"/>
      <c r="G195" s="393"/>
      <c r="H195" s="393"/>
      <c r="I195" s="393"/>
      <c r="J195" s="393"/>
      <c r="K195" s="393"/>
      <c r="L195" s="393"/>
      <c r="M195" s="393"/>
      <c r="N195" s="393"/>
      <c r="O195" s="393"/>
      <c r="P195" s="393"/>
      <c r="Q195" s="393"/>
      <c r="R195" s="393"/>
      <c r="S195" s="393"/>
      <c r="T195" s="393"/>
      <c r="U195" s="393"/>
      <c r="V195" s="393"/>
      <c r="W195" s="393"/>
      <c r="X195" s="393"/>
      <c r="Y195" s="393"/>
      <c r="Z195" s="393"/>
    </row>
    <row r="196" ht="11.25" customHeight="1">
      <c r="A196" s="393"/>
      <c r="B196" s="393"/>
      <c r="C196" s="393"/>
      <c r="D196" s="393"/>
      <c r="E196" s="393"/>
      <c r="F196" s="393"/>
      <c r="G196" s="393"/>
      <c r="H196" s="393"/>
      <c r="I196" s="393"/>
      <c r="J196" s="393"/>
      <c r="K196" s="393"/>
      <c r="L196" s="393"/>
      <c r="M196" s="393"/>
      <c r="N196" s="393"/>
      <c r="O196" s="393"/>
      <c r="P196" s="393"/>
      <c r="Q196" s="393"/>
      <c r="R196" s="393"/>
      <c r="S196" s="393"/>
      <c r="T196" s="393"/>
      <c r="U196" s="393"/>
      <c r="V196" s="393"/>
      <c r="W196" s="393"/>
      <c r="X196" s="393"/>
      <c r="Y196" s="393"/>
      <c r="Z196" s="393"/>
    </row>
    <row r="197" ht="11.25" customHeight="1">
      <c r="A197" s="393"/>
      <c r="B197" s="393"/>
      <c r="C197" s="393"/>
      <c r="D197" s="393"/>
      <c r="E197" s="393"/>
      <c r="F197" s="393"/>
      <c r="G197" s="393"/>
      <c r="H197" s="393"/>
      <c r="I197" s="393"/>
      <c r="J197" s="393"/>
      <c r="K197" s="393"/>
      <c r="L197" s="393"/>
      <c r="M197" s="393"/>
      <c r="N197" s="393"/>
      <c r="O197" s="393"/>
      <c r="P197" s="393"/>
      <c r="Q197" s="393"/>
      <c r="R197" s="393"/>
      <c r="S197" s="393"/>
      <c r="T197" s="393"/>
      <c r="U197" s="393"/>
      <c r="V197" s="393"/>
      <c r="W197" s="393"/>
      <c r="X197" s="393"/>
      <c r="Y197" s="393"/>
      <c r="Z197" s="393"/>
    </row>
    <row r="198" ht="11.25" customHeight="1">
      <c r="A198" s="393"/>
      <c r="B198" s="393"/>
      <c r="C198" s="393"/>
      <c r="D198" s="393"/>
      <c r="E198" s="393"/>
      <c r="F198" s="393"/>
      <c r="G198" s="393"/>
      <c r="H198" s="393"/>
      <c r="I198" s="393"/>
      <c r="J198" s="393"/>
      <c r="K198" s="393"/>
      <c r="L198" s="393"/>
      <c r="M198" s="393"/>
      <c r="N198" s="393"/>
      <c r="O198" s="393"/>
      <c r="P198" s="393"/>
      <c r="Q198" s="393"/>
      <c r="R198" s="393"/>
      <c r="S198" s="393"/>
      <c r="T198" s="393"/>
      <c r="U198" s="393"/>
      <c r="V198" s="393"/>
      <c r="W198" s="393"/>
      <c r="X198" s="393"/>
      <c r="Y198" s="393"/>
      <c r="Z198" s="393"/>
    </row>
    <row r="199" ht="11.25" customHeight="1">
      <c r="A199" s="393"/>
      <c r="B199" s="393"/>
      <c r="C199" s="393"/>
      <c r="D199" s="393"/>
      <c r="E199" s="393"/>
      <c r="F199" s="393"/>
      <c r="G199" s="393"/>
      <c r="H199" s="393"/>
      <c r="I199" s="393"/>
      <c r="J199" s="393"/>
      <c r="K199" s="393"/>
      <c r="L199" s="393"/>
      <c r="M199" s="393"/>
      <c r="N199" s="393"/>
      <c r="O199" s="393"/>
      <c r="P199" s="393"/>
      <c r="Q199" s="393"/>
      <c r="R199" s="393"/>
      <c r="S199" s="393"/>
      <c r="T199" s="393"/>
      <c r="U199" s="393"/>
      <c r="V199" s="393"/>
      <c r="W199" s="393"/>
      <c r="X199" s="393"/>
      <c r="Y199" s="393"/>
      <c r="Z199" s="393"/>
    </row>
    <row r="200" ht="11.25" customHeight="1">
      <c r="A200" s="393"/>
      <c r="B200" s="393"/>
      <c r="C200" s="393"/>
      <c r="D200" s="393"/>
      <c r="E200" s="393"/>
      <c r="F200" s="393"/>
      <c r="G200" s="393"/>
      <c r="H200" s="393"/>
      <c r="I200" s="393"/>
      <c r="J200" s="393"/>
      <c r="K200" s="393"/>
      <c r="L200" s="393"/>
      <c r="M200" s="393"/>
      <c r="N200" s="393"/>
      <c r="O200" s="393"/>
      <c r="P200" s="393"/>
      <c r="Q200" s="393"/>
      <c r="R200" s="393"/>
      <c r="S200" s="393"/>
      <c r="T200" s="393"/>
      <c r="U200" s="393"/>
      <c r="V200" s="393"/>
      <c r="W200" s="393"/>
      <c r="X200" s="393"/>
      <c r="Y200" s="393"/>
      <c r="Z200" s="393"/>
    </row>
    <row r="201" ht="11.25" customHeight="1">
      <c r="A201" s="393"/>
      <c r="B201" s="393"/>
      <c r="C201" s="393"/>
      <c r="D201" s="393"/>
      <c r="E201" s="393"/>
      <c r="F201" s="393"/>
      <c r="G201" s="393"/>
      <c r="H201" s="393"/>
      <c r="I201" s="393"/>
      <c r="J201" s="393"/>
      <c r="K201" s="393"/>
      <c r="L201" s="393"/>
      <c r="M201" s="393"/>
      <c r="N201" s="393"/>
      <c r="O201" s="393"/>
      <c r="P201" s="393"/>
      <c r="Q201" s="393"/>
      <c r="R201" s="393"/>
      <c r="S201" s="393"/>
      <c r="T201" s="393"/>
      <c r="U201" s="393"/>
      <c r="V201" s="393"/>
      <c r="W201" s="393"/>
      <c r="X201" s="393"/>
      <c r="Y201" s="393"/>
      <c r="Z201" s="393"/>
    </row>
    <row r="202" ht="11.25" customHeight="1">
      <c r="A202" s="393"/>
      <c r="B202" s="393"/>
      <c r="C202" s="393"/>
      <c r="D202" s="393"/>
      <c r="E202" s="393"/>
      <c r="F202" s="393"/>
      <c r="G202" s="393"/>
      <c r="H202" s="393"/>
      <c r="I202" s="393"/>
      <c r="J202" s="393"/>
      <c r="K202" s="393"/>
      <c r="L202" s="393"/>
      <c r="M202" s="393"/>
      <c r="N202" s="393"/>
      <c r="O202" s="393"/>
      <c r="P202" s="393"/>
      <c r="Q202" s="393"/>
      <c r="R202" s="393"/>
      <c r="S202" s="393"/>
      <c r="T202" s="393"/>
      <c r="U202" s="393"/>
      <c r="V202" s="393"/>
      <c r="W202" s="393"/>
      <c r="X202" s="393"/>
      <c r="Y202" s="393"/>
      <c r="Z202" s="393"/>
    </row>
    <row r="203" ht="11.25" customHeight="1">
      <c r="A203" s="393"/>
      <c r="B203" s="393"/>
      <c r="C203" s="393"/>
      <c r="D203" s="393"/>
      <c r="E203" s="393"/>
      <c r="F203" s="393"/>
      <c r="G203" s="393"/>
      <c r="H203" s="393"/>
      <c r="I203" s="393"/>
      <c r="J203" s="393"/>
      <c r="K203" s="393"/>
      <c r="L203" s="393"/>
      <c r="M203" s="393"/>
      <c r="N203" s="393"/>
      <c r="O203" s="393"/>
      <c r="P203" s="393"/>
      <c r="Q203" s="393"/>
      <c r="R203" s="393"/>
      <c r="S203" s="393"/>
      <c r="T203" s="393"/>
      <c r="U203" s="393"/>
      <c r="V203" s="393"/>
      <c r="W203" s="393"/>
      <c r="X203" s="393"/>
      <c r="Y203" s="393"/>
      <c r="Z203" s="393"/>
    </row>
    <row r="204" ht="11.25" customHeight="1">
      <c r="A204" s="393"/>
      <c r="B204" s="393"/>
      <c r="C204" s="393"/>
      <c r="D204" s="393"/>
      <c r="E204" s="393"/>
      <c r="F204" s="393"/>
      <c r="G204" s="393"/>
      <c r="H204" s="393"/>
      <c r="I204" s="393"/>
      <c r="J204" s="393"/>
      <c r="K204" s="393"/>
      <c r="L204" s="393"/>
      <c r="M204" s="393"/>
      <c r="N204" s="393"/>
      <c r="O204" s="393"/>
      <c r="P204" s="393"/>
      <c r="Q204" s="393"/>
      <c r="R204" s="393"/>
      <c r="S204" s="393"/>
      <c r="T204" s="393"/>
      <c r="U204" s="393"/>
      <c r="V204" s="393"/>
      <c r="W204" s="393"/>
      <c r="X204" s="393"/>
      <c r="Y204" s="393"/>
      <c r="Z204" s="393"/>
    </row>
    <row r="205" ht="11.25" customHeight="1">
      <c r="A205" s="393"/>
      <c r="B205" s="393"/>
      <c r="C205" s="393"/>
      <c r="D205" s="393"/>
      <c r="E205" s="393"/>
      <c r="F205" s="393"/>
      <c r="G205" s="393"/>
      <c r="H205" s="393"/>
      <c r="I205" s="393"/>
      <c r="J205" s="393"/>
      <c r="K205" s="393"/>
      <c r="L205" s="393"/>
      <c r="M205" s="393"/>
      <c r="N205" s="393"/>
      <c r="O205" s="393"/>
      <c r="P205" s="393"/>
      <c r="Q205" s="393"/>
      <c r="R205" s="393"/>
      <c r="S205" s="393"/>
      <c r="T205" s="393"/>
      <c r="U205" s="393"/>
      <c r="V205" s="393"/>
      <c r="W205" s="393"/>
      <c r="X205" s="393"/>
      <c r="Y205" s="393"/>
      <c r="Z205" s="393"/>
    </row>
    <row r="206" ht="11.25" customHeight="1">
      <c r="A206" s="393"/>
      <c r="B206" s="393"/>
      <c r="C206" s="393"/>
      <c r="D206" s="393"/>
      <c r="E206" s="393"/>
      <c r="F206" s="393"/>
      <c r="G206" s="393"/>
      <c r="H206" s="393"/>
      <c r="I206" s="393"/>
      <c r="J206" s="393"/>
      <c r="K206" s="393"/>
      <c r="L206" s="393"/>
      <c r="M206" s="393"/>
      <c r="N206" s="393"/>
      <c r="O206" s="393"/>
      <c r="P206" s="393"/>
      <c r="Q206" s="393"/>
      <c r="R206" s="393"/>
      <c r="S206" s="393"/>
      <c r="T206" s="393"/>
      <c r="U206" s="393"/>
      <c r="V206" s="393"/>
      <c r="W206" s="393"/>
      <c r="X206" s="393"/>
      <c r="Y206" s="393"/>
      <c r="Z206" s="393"/>
    </row>
    <row r="207" ht="11.25" customHeight="1">
      <c r="A207" s="393"/>
      <c r="B207" s="393"/>
      <c r="C207" s="393"/>
      <c r="D207" s="393"/>
      <c r="E207" s="393"/>
      <c r="F207" s="393"/>
      <c r="G207" s="393"/>
      <c r="H207" s="393"/>
      <c r="I207" s="393"/>
      <c r="J207" s="393"/>
      <c r="K207" s="393"/>
      <c r="L207" s="393"/>
      <c r="M207" s="393"/>
      <c r="N207" s="393"/>
      <c r="O207" s="393"/>
      <c r="P207" s="393"/>
      <c r="Q207" s="393"/>
      <c r="R207" s="393"/>
      <c r="S207" s="393"/>
      <c r="T207" s="393"/>
      <c r="U207" s="393"/>
      <c r="V207" s="393"/>
      <c r="W207" s="393"/>
      <c r="X207" s="393"/>
      <c r="Y207" s="393"/>
      <c r="Z207" s="393"/>
    </row>
    <row r="208" ht="11.25" customHeight="1">
      <c r="A208" s="393"/>
      <c r="B208" s="393"/>
      <c r="C208" s="393"/>
      <c r="D208" s="393"/>
      <c r="E208" s="393"/>
      <c r="F208" s="393"/>
      <c r="G208" s="393"/>
      <c r="H208" s="393"/>
      <c r="I208" s="393"/>
      <c r="J208" s="393"/>
      <c r="K208" s="393"/>
      <c r="L208" s="393"/>
      <c r="M208" s="393"/>
      <c r="N208" s="393"/>
      <c r="O208" s="393"/>
      <c r="P208" s="393"/>
      <c r="Q208" s="393"/>
      <c r="R208" s="393"/>
      <c r="S208" s="393"/>
      <c r="T208" s="393"/>
      <c r="U208" s="393"/>
      <c r="V208" s="393"/>
      <c r="W208" s="393"/>
      <c r="X208" s="393"/>
      <c r="Y208" s="393"/>
      <c r="Z208" s="393"/>
    </row>
    <row r="209" ht="11.25" customHeight="1">
      <c r="A209" s="393"/>
      <c r="B209" s="393"/>
      <c r="C209" s="393"/>
      <c r="D209" s="393"/>
      <c r="E209" s="393"/>
      <c r="F209" s="393"/>
      <c r="G209" s="393"/>
      <c r="H209" s="393"/>
      <c r="I209" s="393"/>
      <c r="J209" s="393"/>
      <c r="K209" s="393"/>
      <c r="L209" s="393"/>
      <c r="M209" s="393"/>
      <c r="N209" s="393"/>
      <c r="O209" s="393"/>
      <c r="P209" s="393"/>
      <c r="Q209" s="393"/>
      <c r="R209" s="393"/>
      <c r="S209" s="393"/>
      <c r="T209" s="393"/>
      <c r="U209" s="393"/>
      <c r="V209" s="393"/>
      <c r="W209" s="393"/>
      <c r="X209" s="393"/>
      <c r="Y209" s="393"/>
      <c r="Z209" s="393"/>
    </row>
    <row r="210" ht="11.25" customHeight="1">
      <c r="A210" s="393"/>
      <c r="B210" s="393"/>
      <c r="C210" s="393"/>
      <c r="D210" s="393"/>
      <c r="E210" s="393"/>
      <c r="F210" s="393"/>
      <c r="G210" s="393"/>
      <c r="H210" s="393"/>
      <c r="I210" s="393"/>
      <c r="J210" s="393"/>
      <c r="K210" s="393"/>
      <c r="L210" s="393"/>
      <c r="M210" s="393"/>
      <c r="N210" s="393"/>
      <c r="O210" s="393"/>
      <c r="P210" s="393"/>
      <c r="Q210" s="393"/>
      <c r="R210" s="393"/>
      <c r="S210" s="393"/>
      <c r="T210" s="393"/>
      <c r="U210" s="393"/>
      <c r="V210" s="393"/>
      <c r="W210" s="393"/>
      <c r="X210" s="393"/>
      <c r="Y210" s="393"/>
      <c r="Z210" s="393"/>
    </row>
    <row r="211" ht="11.25" customHeight="1">
      <c r="A211" s="393"/>
      <c r="B211" s="393"/>
      <c r="C211" s="393"/>
      <c r="D211" s="393"/>
      <c r="E211" s="393"/>
      <c r="F211" s="393"/>
      <c r="G211" s="393"/>
      <c r="H211" s="393"/>
      <c r="I211" s="393"/>
      <c r="J211" s="393"/>
      <c r="K211" s="393"/>
      <c r="L211" s="393"/>
      <c r="M211" s="393"/>
      <c r="N211" s="393"/>
      <c r="O211" s="393"/>
      <c r="P211" s="393"/>
      <c r="Q211" s="393"/>
      <c r="R211" s="393"/>
      <c r="S211" s="393"/>
      <c r="T211" s="393"/>
      <c r="U211" s="393"/>
      <c r="V211" s="393"/>
      <c r="W211" s="393"/>
      <c r="X211" s="393"/>
      <c r="Y211" s="393"/>
      <c r="Z211" s="393"/>
    </row>
    <row r="212" ht="11.25" customHeight="1">
      <c r="A212" s="393"/>
      <c r="B212" s="393"/>
      <c r="C212" s="393"/>
      <c r="D212" s="393"/>
      <c r="E212" s="393"/>
      <c r="F212" s="393"/>
      <c r="G212" s="393"/>
      <c r="H212" s="393"/>
      <c r="I212" s="393"/>
      <c r="J212" s="393"/>
      <c r="K212" s="393"/>
      <c r="L212" s="393"/>
      <c r="M212" s="393"/>
      <c r="N212" s="393"/>
      <c r="O212" s="393"/>
      <c r="P212" s="393"/>
      <c r="Q212" s="393"/>
      <c r="R212" s="393"/>
      <c r="S212" s="393"/>
      <c r="T212" s="393"/>
      <c r="U212" s="393"/>
      <c r="V212" s="393"/>
      <c r="W212" s="393"/>
      <c r="X212" s="393"/>
      <c r="Y212" s="393"/>
      <c r="Z212" s="393"/>
    </row>
    <row r="213" ht="11.25" customHeight="1">
      <c r="A213" s="393"/>
      <c r="B213" s="393"/>
      <c r="C213" s="393"/>
      <c r="D213" s="393"/>
      <c r="E213" s="393"/>
      <c r="F213" s="393"/>
      <c r="G213" s="393"/>
      <c r="H213" s="393"/>
      <c r="I213" s="393"/>
      <c r="J213" s="393"/>
      <c r="K213" s="393"/>
      <c r="L213" s="393"/>
      <c r="M213" s="393"/>
      <c r="N213" s="393"/>
      <c r="O213" s="393"/>
      <c r="P213" s="393"/>
      <c r="Q213" s="393"/>
      <c r="R213" s="393"/>
      <c r="S213" s="393"/>
      <c r="T213" s="393"/>
      <c r="U213" s="393"/>
      <c r="V213" s="393"/>
      <c r="W213" s="393"/>
      <c r="X213" s="393"/>
      <c r="Y213" s="393"/>
      <c r="Z213" s="393"/>
    </row>
    <row r="214" ht="11.25" customHeight="1">
      <c r="A214" s="393"/>
      <c r="B214" s="393"/>
      <c r="C214" s="393"/>
      <c r="D214" s="393"/>
      <c r="E214" s="393"/>
      <c r="F214" s="393"/>
      <c r="G214" s="393"/>
      <c r="H214" s="393"/>
      <c r="I214" s="393"/>
      <c r="J214" s="393"/>
      <c r="K214" s="393"/>
      <c r="L214" s="393"/>
      <c r="M214" s="393"/>
      <c r="N214" s="393"/>
      <c r="O214" s="393"/>
      <c r="P214" s="393"/>
      <c r="Q214" s="393"/>
      <c r="R214" s="393"/>
      <c r="S214" s="393"/>
      <c r="T214" s="393"/>
      <c r="U214" s="393"/>
      <c r="V214" s="393"/>
      <c r="W214" s="393"/>
      <c r="X214" s="393"/>
      <c r="Y214" s="393"/>
      <c r="Z214" s="393"/>
    </row>
    <row r="215" ht="11.25" customHeight="1">
      <c r="A215" s="393"/>
      <c r="B215" s="393"/>
      <c r="C215" s="393"/>
      <c r="D215" s="393"/>
      <c r="E215" s="393"/>
      <c r="F215" s="393"/>
      <c r="G215" s="393"/>
      <c r="H215" s="393"/>
      <c r="I215" s="393"/>
      <c r="J215" s="393"/>
      <c r="K215" s="393"/>
      <c r="L215" s="393"/>
      <c r="M215" s="393"/>
      <c r="N215" s="393"/>
      <c r="O215" s="393"/>
      <c r="P215" s="393"/>
      <c r="Q215" s="393"/>
      <c r="R215" s="393"/>
      <c r="S215" s="393"/>
      <c r="T215" s="393"/>
      <c r="U215" s="393"/>
      <c r="V215" s="393"/>
      <c r="W215" s="393"/>
      <c r="X215" s="393"/>
      <c r="Y215" s="393"/>
      <c r="Z215" s="393"/>
    </row>
    <row r="216" ht="11.25" customHeight="1">
      <c r="A216" s="393"/>
      <c r="B216" s="393"/>
      <c r="C216" s="393"/>
      <c r="D216" s="393"/>
      <c r="E216" s="393"/>
      <c r="F216" s="393"/>
      <c r="G216" s="393"/>
      <c r="H216" s="393"/>
      <c r="I216" s="393"/>
      <c r="J216" s="393"/>
      <c r="K216" s="393"/>
      <c r="L216" s="393"/>
      <c r="M216" s="393"/>
      <c r="N216" s="393"/>
      <c r="O216" s="393"/>
      <c r="P216" s="393"/>
      <c r="Q216" s="393"/>
      <c r="R216" s="393"/>
      <c r="S216" s="393"/>
      <c r="T216" s="393"/>
      <c r="U216" s="393"/>
      <c r="V216" s="393"/>
      <c r="W216" s="393"/>
      <c r="X216" s="393"/>
      <c r="Y216" s="393"/>
      <c r="Z216" s="393"/>
    </row>
    <row r="217" ht="11.25" customHeight="1">
      <c r="A217" s="393"/>
      <c r="B217" s="393"/>
      <c r="C217" s="393"/>
      <c r="D217" s="393"/>
      <c r="E217" s="393"/>
      <c r="F217" s="393"/>
      <c r="G217" s="393"/>
      <c r="H217" s="393"/>
      <c r="I217" s="393"/>
      <c r="J217" s="393"/>
      <c r="K217" s="393"/>
      <c r="L217" s="393"/>
      <c r="M217" s="393"/>
      <c r="N217" s="393"/>
      <c r="O217" s="393"/>
      <c r="P217" s="393"/>
      <c r="Q217" s="393"/>
      <c r="R217" s="393"/>
      <c r="S217" s="393"/>
      <c r="T217" s="393"/>
      <c r="U217" s="393"/>
      <c r="V217" s="393"/>
      <c r="W217" s="393"/>
      <c r="X217" s="393"/>
      <c r="Y217" s="393"/>
      <c r="Z217" s="393"/>
    </row>
    <row r="218" ht="11.25" customHeight="1">
      <c r="A218" s="393"/>
      <c r="B218" s="393"/>
      <c r="C218" s="393"/>
      <c r="D218" s="393"/>
      <c r="E218" s="393"/>
      <c r="F218" s="393"/>
      <c r="G218" s="393"/>
      <c r="H218" s="393"/>
      <c r="I218" s="393"/>
      <c r="J218" s="393"/>
      <c r="K218" s="393"/>
      <c r="L218" s="393"/>
      <c r="M218" s="393"/>
      <c r="N218" s="393"/>
      <c r="O218" s="393"/>
      <c r="P218" s="393"/>
      <c r="Q218" s="393"/>
      <c r="R218" s="393"/>
      <c r="S218" s="393"/>
      <c r="T218" s="393"/>
      <c r="U218" s="393"/>
      <c r="V218" s="393"/>
      <c r="W218" s="393"/>
      <c r="X218" s="393"/>
      <c r="Y218" s="393"/>
      <c r="Z218" s="393"/>
    </row>
    <row r="219" ht="11.25" customHeight="1">
      <c r="A219" s="393"/>
      <c r="B219" s="393"/>
      <c r="C219" s="393"/>
      <c r="D219" s="393"/>
      <c r="E219" s="393"/>
      <c r="F219" s="393"/>
      <c r="G219" s="393"/>
      <c r="H219" s="393"/>
      <c r="I219" s="393"/>
      <c r="J219" s="393"/>
      <c r="K219" s="393"/>
      <c r="L219" s="393"/>
      <c r="M219" s="393"/>
      <c r="N219" s="393"/>
      <c r="O219" s="393"/>
      <c r="P219" s="393"/>
      <c r="Q219" s="393"/>
      <c r="R219" s="393"/>
      <c r="S219" s="393"/>
      <c r="T219" s="393"/>
      <c r="U219" s="393"/>
      <c r="V219" s="393"/>
      <c r="W219" s="393"/>
      <c r="X219" s="393"/>
      <c r="Y219" s="393"/>
      <c r="Z219" s="393"/>
    </row>
    <row r="220" ht="11.25" customHeight="1">
      <c r="A220" s="393"/>
      <c r="B220" s="393"/>
      <c r="C220" s="393"/>
      <c r="D220" s="393"/>
      <c r="E220" s="393"/>
      <c r="F220" s="393"/>
      <c r="G220" s="393"/>
      <c r="H220" s="393"/>
      <c r="I220" s="393"/>
      <c r="J220" s="393"/>
      <c r="K220" s="393"/>
      <c r="L220" s="393"/>
      <c r="M220" s="393"/>
      <c r="N220" s="393"/>
      <c r="O220" s="393"/>
      <c r="P220" s="393"/>
      <c r="Q220" s="393"/>
      <c r="R220" s="393"/>
      <c r="S220" s="393"/>
      <c r="T220" s="393"/>
      <c r="U220" s="393"/>
      <c r="V220" s="393"/>
      <c r="W220" s="393"/>
      <c r="X220" s="393"/>
      <c r="Y220" s="393"/>
      <c r="Z220" s="39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A4"/>
    <mergeCell ref="B2:B4"/>
    <mergeCell ref="C2:G2"/>
    <mergeCell ref="C3:G3"/>
    <mergeCell ref="A7:F7"/>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Row="1"/>
  <cols>
    <col customWidth="1" min="1" max="1" width="1.0"/>
    <col customWidth="1" min="2" max="2" width="12.5"/>
    <col customWidth="1" min="3" max="3" width="24.38"/>
    <col customWidth="1" min="4" max="4" width="14.5"/>
    <col customWidth="1" min="5" max="5" width="14.38"/>
    <col customWidth="1" min="6" max="6" width="15.0"/>
    <col customWidth="1" min="7" max="21" width="12.5"/>
    <col customWidth="1" min="22" max="39" width="11.5"/>
  </cols>
  <sheetData>
    <row r="1" ht="14.25" customHeight="1">
      <c r="A1" s="53"/>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row>
    <row r="2" ht="14.25" customHeight="1">
      <c r="A2" s="53"/>
      <c r="B2" s="635" t="s">
        <v>1670</v>
      </c>
      <c r="C2" s="277"/>
      <c r="D2" s="277"/>
      <c r="E2" s="277"/>
      <c r="F2" s="278"/>
      <c r="G2" s="7" t="s">
        <v>1671</v>
      </c>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row>
    <row r="3" ht="14.25" customHeight="1">
      <c r="A3" s="53"/>
      <c r="B3" s="636" t="s">
        <v>1649</v>
      </c>
      <c r="C3" s="637" t="s">
        <v>1650</v>
      </c>
      <c r="D3" s="638">
        <v>45901.0</v>
      </c>
      <c r="E3" s="277"/>
      <c r="F3" s="278"/>
      <c r="G3" s="7"/>
      <c r="H3" s="7"/>
      <c r="I3" s="7"/>
      <c r="J3" s="7"/>
      <c r="K3" s="7"/>
      <c r="L3" s="7"/>
      <c r="M3" s="7"/>
      <c r="N3" s="7"/>
      <c r="O3" s="7"/>
      <c r="P3" s="7"/>
      <c r="Q3" s="7"/>
      <c r="R3" s="7"/>
      <c r="S3" s="7"/>
      <c r="T3" s="7"/>
      <c r="U3" s="7"/>
      <c r="V3" s="7"/>
      <c r="W3" s="265" t="s">
        <v>1672</v>
      </c>
      <c r="X3" s="7"/>
      <c r="Y3" s="7"/>
      <c r="Z3" s="7"/>
      <c r="AA3" s="7"/>
      <c r="AB3" s="7"/>
      <c r="AC3" s="7"/>
      <c r="AD3" s="7"/>
      <c r="AE3" s="7"/>
      <c r="AF3" s="7"/>
      <c r="AG3" s="7"/>
      <c r="AH3" s="7"/>
      <c r="AI3" s="7"/>
      <c r="AJ3" s="7"/>
      <c r="AK3" s="7"/>
      <c r="AL3" s="7"/>
      <c r="AM3" s="7"/>
    </row>
    <row r="4" ht="51.0" customHeight="1">
      <c r="A4" s="53"/>
      <c r="B4" s="639"/>
      <c r="C4" s="617"/>
      <c r="D4" s="640" t="s">
        <v>1673</v>
      </c>
      <c r="E4" s="640" t="s">
        <v>1674</v>
      </c>
      <c r="F4" s="641" t="s">
        <v>1675</v>
      </c>
      <c r="G4" s="642">
        <v>45957.0</v>
      </c>
      <c r="H4" s="642">
        <f t="shared" ref="H4:I4" si="1">+G4+30</f>
        <v>45987</v>
      </c>
      <c r="I4" s="642">
        <f t="shared" si="1"/>
        <v>46017</v>
      </c>
      <c r="J4" s="642">
        <v>46023.0</v>
      </c>
      <c r="K4" s="642">
        <v>46054.0</v>
      </c>
      <c r="L4" s="642">
        <v>46112.0</v>
      </c>
      <c r="M4" s="642">
        <v>46142.0</v>
      </c>
      <c r="N4" s="642">
        <v>46172.0</v>
      </c>
      <c r="O4" s="642">
        <v>46202.0</v>
      </c>
      <c r="P4" s="642">
        <v>46232.0</v>
      </c>
      <c r="Q4" s="642">
        <v>46262.0</v>
      </c>
      <c r="R4" s="642">
        <v>46292.0</v>
      </c>
      <c r="S4" s="642">
        <v>46322.0</v>
      </c>
      <c r="T4" s="643">
        <v>46352.0</v>
      </c>
      <c r="U4" s="642">
        <v>46382.0</v>
      </c>
      <c r="V4" s="7"/>
      <c r="W4" s="644">
        <v>45925.0</v>
      </c>
      <c r="X4" s="644">
        <v>45957.0</v>
      </c>
      <c r="Y4" s="644">
        <v>45987.0</v>
      </c>
      <c r="Z4" s="644">
        <v>46017.0</v>
      </c>
      <c r="AA4" s="644">
        <v>46023.0</v>
      </c>
      <c r="AB4" s="644">
        <v>46054.0</v>
      </c>
      <c r="AC4" s="644">
        <v>46112.0</v>
      </c>
      <c r="AD4" s="644">
        <v>46142.0</v>
      </c>
      <c r="AE4" s="644">
        <v>46172.0</v>
      </c>
      <c r="AF4" s="644">
        <v>46202.0</v>
      </c>
      <c r="AG4" s="644">
        <v>46232.0</v>
      </c>
      <c r="AH4" s="644">
        <v>46262.0</v>
      </c>
      <c r="AI4" s="644">
        <v>46292.0</v>
      </c>
      <c r="AJ4" s="644">
        <v>46322.0</v>
      </c>
      <c r="AK4" s="645">
        <v>46352.0</v>
      </c>
      <c r="AL4" s="644">
        <v>46382.0</v>
      </c>
      <c r="AM4" s="7"/>
    </row>
    <row r="5" ht="14.25" customHeight="1">
      <c r="A5" s="53"/>
      <c r="B5" s="646">
        <v>5040.0</v>
      </c>
      <c r="C5" s="312" t="s">
        <v>1676</v>
      </c>
      <c r="D5" s="647">
        <v>250.473111497921</v>
      </c>
      <c r="E5" s="648">
        <v>4386.0</v>
      </c>
      <c r="F5" s="647">
        <f t="shared" ref="F5:F7" si="4">D5*E5</f>
        <v>1098575.067</v>
      </c>
      <c r="G5" s="649">
        <f t="shared" ref="G5:U5" si="2">+X5*$E$5</f>
        <v>1123842.294</v>
      </c>
      <c r="H5" s="649">
        <f t="shared" si="2"/>
        <v>1146319.139</v>
      </c>
      <c r="I5" s="649">
        <f t="shared" si="2"/>
        <v>1169245.522</v>
      </c>
      <c r="J5" s="649">
        <f t="shared" si="2"/>
        <v>1203153.642</v>
      </c>
      <c r="K5" s="649">
        <f t="shared" si="2"/>
        <v>1238045.098</v>
      </c>
      <c r="L5" s="649">
        <f t="shared" si="2"/>
        <v>1280138.631</v>
      </c>
      <c r="M5" s="649">
        <f t="shared" si="2"/>
        <v>1313422.236</v>
      </c>
      <c r="N5" s="649">
        <f t="shared" si="2"/>
        <v>1351511.481</v>
      </c>
      <c r="O5" s="649">
        <f t="shared" si="2"/>
        <v>1390705.314</v>
      </c>
      <c r="P5" s="649">
        <f t="shared" si="2"/>
        <v>1431035.768</v>
      </c>
      <c r="Q5" s="649">
        <f t="shared" si="2"/>
        <v>1472535.805</v>
      </c>
      <c r="R5" s="649">
        <f t="shared" si="2"/>
        <v>1515239.343</v>
      </c>
      <c r="S5" s="649">
        <f t="shared" si="2"/>
        <v>1559181.284</v>
      </c>
      <c r="T5" s="649">
        <f t="shared" si="2"/>
        <v>1604397.541</v>
      </c>
      <c r="U5" s="649">
        <f t="shared" si="2"/>
        <v>1650925.07</v>
      </c>
      <c r="V5" s="40">
        <f t="shared" ref="V5:V7" si="6">+U5/J5</f>
        <v>1.372164794</v>
      </c>
      <c r="W5" s="650">
        <v>250.473111497921</v>
      </c>
      <c r="X5" s="650">
        <f t="shared" ref="X5:AL5" si="3">(W5*(1+G19))</f>
        <v>256.2339931</v>
      </c>
      <c r="Y5" s="650">
        <f t="shared" si="3"/>
        <v>261.3586729</v>
      </c>
      <c r="Z5" s="650">
        <f t="shared" si="3"/>
        <v>266.5858464</v>
      </c>
      <c r="AA5" s="650">
        <f t="shared" si="3"/>
        <v>274.3168359</v>
      </c>
      <c r="AB5" s="650">
        <f t="shared" si="3"/>
        <v>282.2720242</v>
      </c>
      <c r="AC5" s="650">
        <f t="shared" si="3"/>
        <v>291.869273</v>
      </c>
      <c r="AD5" s="650">
        <f t="shared" si="3"/>
        <v>299.4578741</v>
      </c>
      <c r="AE5" s="650">
        <f t="shared" si="3"/>
        <v>308.1421524</v>
      </c>
      <c r="AF5" s="650">
        <f t="shared" si="3"/>
        <v>317.0782749</v>
      </c>
      <c r="AG5" s="650">
        <f t="shared" si="3"/>
        <v>326.2735448</v>
      </c>
      <c r="AH5" s="650">
        <f t="shared" si="3"/>
        <v>335.7354776</v>
      </c>
      <c r="AI5" s="650">
        <f t="shared" si="3"/>
        <v>345.4718065</v>
      </c>
      <c r="AJ5" s="650">
        <f t="shared" si="3"/>
        <v>355.4904889</v>
      </c>
      <c r="AK5" s="650">
        <f t="shared" si="3"/>
        <v>365.799713</v>
      </c>
      <c r="AL5" s="650">
        <f t="shared" si="3"/>
        <v>376.4079047</v>
      </c>
      <c r="AM5" s="38">
        <f t="shared" ref="AM5:AM7" si="8">+AL5/W5</f>
        <v>1.502787674</v>
      </c>
    </row>
    <row r="6" ht="14.25" customHeight="1">
      <c r="A6" s="53"/>
      <c r="B6" s="646">
        <v>5040.0</v>
      </c>
      <c r="C6" s="312" t="s">
        <v>1677</v>
      </c>
      <c r="D6" s="647">
        <v>167.828804505772</v>
      </c>
      <c r="E6" s="648">
        <v>3895.0</v>
      </c>
      <c r="F6" s="647">
        <f t="shared" si="4"/>
        <v>653693.1935</v>
      </c>
      <c r="G6" s="649">
        <f t="shared" ref="G6:U6" si="5">+X6*$E$6</f>
        <v>668728.137</v>
      </c>
      <c r="H6" s="649">
        <f t="shared" si="5"/>
        <v>682102.6997</v>
      </c>
      <c r="I6" s="649">
        <f t="shared" si="5"/>
        <v>695744.7537</v>
      </c>
      <c r="J6" s="649">
        <f t="shared" si="5"/>
        <v>715921.3516</v>
      </c>
      <c r="K6" s="649">
        <f t="shared" si="5"/>
        <v>736683.0708</v>
      </c>
      <c r="L6" s="649">
        <f t="shared" si="5"/>
        <v>761730.2952</v>
      </c>
      <c r="M6" s="649">
        <f t="shared" si="5"/>
        <v>781535.2829</v>
      </c>
      <c r="N6" s="649">
        <f t="shared" si="5"/>
        <v>804199.8061</v>
      </c>
      <c r="O6" s="649">
        <f t="shared" si="5"/>
        <v>827521.6005</v>
      </c>
      <c r="P6" s="649">
        <f t="shared" si="5"/>
        <v>851519.7269</v>
      </c>
      <c r="Q6" s="649">
        <f t="shared" si="5"/>
        <v>876213.7989</v>
      </c>
      <c r="R6" s="649">
        <f t="shared" si="5"/>
        <v>901623.9991</v>
      </c>
      <c r="S6" s="649">
        <f t="shared" si="5"/>
        <v>927771.0951</v>
      </c>
      <c r="T6" s="649">
        <f t="shared" si="5"/>
        <v>954676.4568</v>
      </c>
      <c r="U6" s="649">
        <f t="shared" si="5"/>
        <v>982362.0741</v>
      </c>
      <c r="V6" s="40">
        <f t="shared" si="6"/>
        <v>1.372164794</v>
      </c>
      <c r="W6" s="650">
        <v>167.828804505772</v>
      </c>
      <c r="X6" s="650">
        <f t="shared" ref="X6:AL6" si="7">(W6*(1+G19))</f>
        <v>171.688867</v>
      </c>
      <c r="Y6" s="650">
        <f t="shared" si="7"/>
        <v>175.1226443</v>
      </c>
      <c r="Z6" s="650">
        <f t="shared" si="7"/>
        <v>178.6250972</v>
      </c>
      <c r="AA6" s="650">
        <f t="shared" si="7"/>
        <v>183.8052251</v>
      </c>
      <c r="AB6" s="650">
        <f t="shared" si="7"/>
        <v>189.1355766</v>
      </c>
      <c r="AC6" s="650">
        <f t="shared" si="7"/>
        <v>195.5661862</v>
      </c>
      <c r="AD6" s="650">
        <f t="shared" si="7"/>
        <v>200.650907</v>
      </c>
      <c r="AE6" s="650">
        <f t="shared" si="7"/>
        <v>206.4697833</v>
      </c>
      <c r="AF6" s="650">
        <f t="shared" si="7"/>
        <v>212.457407</v>
      </c>
      <c r="AG6" s="650">
        <f t="shared" si="7"/>
        <v>218.6186719</v>
      </c>
      <c r="AH6" s="650">
        <f t="shared" si="7"/>
        <v>224.9586133</v>
      </c>
      <c r="AI6" s="650">
        <f t="shared" si="7"/>
        <v>231.4824131</v>
      </c>
      <c r="AJ6" s="650">
        <f t="shared" si="7"/>
        <v>238.1954031</v>
      </c>
      <c r="AK6" s="650">
        <f t="shared" si="7"/>
        <v>245.1030698</v>
      </c>
      <c r="AL6" s="650">
        <f t="shared" si="7"/>
        <v>252.2110588</v>
      </c>
      <c r="AM6" s="38">
        <f t="shared" si="8"/>
        <v>1.502787674</v>
      </c>
    </row>
    <row r="7" ht="14.25" customHeight="1">
      <c r="A7" s="53"/>
      <c r="B7" s="646">
        <v>5040.0</v>
      </c>
      <c r="C7" s="312" t="s">
        <v>1678</v>
      </c>
      <c r="D7" s="647">
        <v>1569.84027078752</v>
      </c>
      <c r="E7" s="651">
        <v>394.0</v>
      </c>
      <c r="F7" s="647">
        <f t="shared" si="4"/>
        <v>618517.0667</v>
      </c>
      <c r="G7" s="649">
        <f t="shared" ref="G7:U7" si="9">+X7*$E$7</f>
        <v>632742.9592</v>
      </c>
      <c r="H7" s="649">
        <f t="shared" si="9"/>
        <v>645397.8184</v>
      </c>
      <c r="I7" s="649">
        <f t="shared" si="9"/>
        <v>658305.7748</v>
      </c>
      <c r="J7" s="649">
        <f t="shared" si="9"/>
        <v>677396.6422</v>
      </c>
      <c r="K7" s="649">
        <f t="shared" si="9"/>
        <v>697041.1449</v>
      </c>
      <c r="L7" s="649">
        <f t="shared" si="9"/>
        <v>720740.5438</v>
      </c>
      <c r="M7" s="649">
        <f t="shared" si="9"/>
        <v>739479.7979</v>
      </c>
      <c r="N7" s="649">
        <f t="shared" si="9"/>
        <v>760924.7121</v>
      </c>
      <c r="O7" s="649">
        <f t="shared" si="9"/>
        <v>782991.5287</v>
      </c>
      <c r="P7" s="649">
        <f t="shared" si="9"/>
        <v>805698.2831</v>
      </c>
      <c r="Q7" s="649">
        <f t="shared" si="9"/>
        <v>829063.5333</v>
      </c>
      <c r="R7" s="649">
        <f t="shared" si="9"/>
        <v>853106.3757</v>
      </c>
      <c r="S7" s="649">
        <f t="shared" si="9"/>
        <v>877846.4606</v>
      </c>
      <c r="T7" s="649">
        <f t="shared" si="9"/>
        <v>903304.008</v>
      </c>
      <c r="U7" s="649">
        <f t="shared" si="9"/>
        <v>929499.8242</v>
      </c>
      <c r="V7" s="40">
        <f t="shared" si="6"/>
        <v>1.372164794</v>
      </c>
      <c r="W7" s="650">
        <v>1569.84027078752</v>
      </c>
      <c r="X7" s="650">
        <f t="shared" ref="X7:AL7" si="10">(W7*(1+G19))</f>
        <v>1605.946597</v>
      </c>
      <c r="Y7" s="650">
        <f t="shared" si="10"/>
        <v>1638.065529</v>
      </c>
      <c r="Z7" s="650">
        <f t="shared" si="10"/>
        <v>1670.82684</v>
      </c>
      <c r="AA7" s="650">
        <f t="shared" si="10"/>
        <v>1719.280818</v>
      </c>
      <c r="AB7" s="650">
        <f t="shared" si="10"/>
        <v>1769.139962</v>
      </c>
      <c r="AC7" s="650">
        <f t="shared" si="10"/>
        <v>1829.29072</v>
      </c>
      <c r="AD7" s="650">
        <f t="shared" si="10"/>
        <v>1876.852279</v>
      </c>
      <c r="AE7" s="650">
        <f t="shared" si="10"/>
        <v>1931.280995</v>
      </c>
      <c r="AF7" s="650">
        <f t="shared" si="10"/>
        <v>1987.288144</v>
      </c>
      <c r="AG7" s="650">
        <f t="shared" si="10"/>
        <v>2044.9195</v>
      </c>
      <c r="AH7" s="650">
        <f t="shared" si="10"/>
        <v>2104.222166</v>
      </c>
      <c r="AI7" s="650">
        <f t="shared" si="10"/>
        <v>2165.244608</v>
      </c>
      <c r="AJ7" s="650">
        <f t="shared" si="10"/>
        <v>2228.036702</v>
      </c>
      <c r="AK7" s="650">
        <f t="shared" si="10"/>
        <v>2292.649766</v>
      </c>
      <c r="AL7" s="650">
        <f t="shared" si="10"/>
        <v>2359.13661</v>
      </c>
      <c r="AM7" s="38">
        <f t="shared" si="8"/>
        <v>1.502787674</v>
      </c>
    </row>
    <row r="8" ht="14.25" customHeight="1">
      <c r="A8" s="53"/>
      <c r="B8" s="652" t="s">
        <v>320</v>
      </c>
      <c r="C8" s="652"/>
      <c r="D8" s="652"/>
      <c r="E8" s="652"/>
      <c r="F8" s="653">
        <f>F6+F7+F5</f>
        <v>2370785.327</v>
      </c>
      <c r="G8" s="654">
        <f t="shared" ref="G8:U8" si="11">SUM(G5:G7)</f>
        <v>2425313.39</v>
      </c>
      <c r="H8" s="654">
        <f t="shared" si="11"/>
        <v>2473819.658</v>
      </c>
      <c r="I8" s="654">
        <f t="shared" si="11"/>
        <v>2523296.051</v>
      </c>
      <c r="J8" s="654">
        <f t="shared" si="11"/>
        <v>2596471.636</v>
      </c>
      <c r="K8" s="654">
        <f t="shared" si="11"/>
        <v>2671769.314</v>
      </c>
      <c r="L8" s="654">
        <f t="shared" si="11"/>
        <v>2762609.47</v>
      </c>
      <c r="M8" s="654">
        <f t="shared" si="11"/>
        <v>2834437.317</v>
      </c>
      <c r="N8" s="654">
        <f t="shared" si="11"/>
        <v>2916635.999</v>
      </c>
      <c r="O8" s="654">
        <f t="shared" si="11"/>
        <v>3001218.443</v>
      </c>
      <c r="P8" s="654">
        <f t="shared" si="11"/>
        <v>3088253.778</v>
      </c>
      <c r="Q8" s="654">
        <f t="shared" si="11"/>
        <v>3177813.137</v>
      </c>
      <c r="R8" s="654">
        <f t="shared" si="11"/>
        <v>3269969.718</v>
      </c>
      <c r="S8" s="654">
        <f t="shared" si="11"/>
        <v>3364798.84</v>
      </c>
      <c r="T8" s="654">
        <f t="shared" si="11"/>
        <v>3462378.006</v>
      </c>
      <c r="U8" s="654">
        <f t="shared" si="11"/>
        <v>3562786.968</v>
      </c>
      <c r="V8" s="7"/>
      <c r="W8" s="7"/>
      <c r="X8" s="7"/>
      <c r="Y8" s="7"/>
      <c r="Z8" s="7"/>
      <c r="AA8" s="7"/>
      <c r="AB8" s="7"/>
      <c r="AC8" s="7"/>
      <c r="AD8" s="7"/>
      <c r="AE8" s="7"/>
      <c r="AF8" s="7"/>
      <c r="AG8" s="7"/>
      <c r="AH8" s="7"/>
      <c r="AI8" s="7"/>
      <c r="AJ8" s="7"/>
      <c r="AK8" s="7"/>
      <c r="AL8" s="7"/>
      <c r="AM8" s="7"/>
    </row>
    <row r="9" ht="9.75" customHeight="1">
      <c r="A9" s="53"/>
      <c r="B9" s="7"/>
      <c r="C9" s="7"/>
      <c r="D9" s="7"/>
      <c r="E9" s="7"/>
      <c r="F9" s="7"/>
      <c r="G9" s="649"/>
      <c r="H9" s="649"/>
      <c r="I9" s="649"/>
      <c r="J9" s="649"/>
      <c r="K9" s="649"/>
      <c r="L9" s="649"/>
      <c r="M9" s="649"/>
      <c r="N9" s="649"/>
      <c r="O9" s="649"/>
      <c r="P9" s="649"/>
      <c r="Q9" s="649"/>
      <c r="R9" s="649"/>
      <c r="S9" s="649"/>
      <c r="T9" s="649"/>
      <c r="U9" s="649"/>
      <c r="V9" s="7"/>
      <c r="W9" s="7"/>
      <c r="X9" s="7"/>
      <c r="Y9" s="7"/>
      <c r="Z9" s="7"/>
      <c r="AA9" s="7"/>
      <c r="AB9" s="7"/>
      <c r="AC9" s="7"/>
      <c r="AD9" s="7"/>
      <c r="AE9" s="7"/>
      <c r="AF9" s="7"/>
      <c r="AG9" s="7"/>
      <c r="AH9" s="7"/>
      <c r="AI9" s="7"/>
      <c r="AJ9" s="7"/>
      <c r="AK9" s="7"/>
      <c r="AL9" s="7"/>
      <c r="AM9" s="7"/>
    </row>
    <row r="10" ht="14.25" customHeight="1">
      <c r="A10" s="53"/>
      <c r="B10" s="655" t="s">
        <v>1679</v>
      </c>
      <c r="C10" s="277"/>
      <c r="D10" s="277"/>
      <c r="E10" s="277"/>
      <c r="F10" s="278"/>
      <c r="G10" s="656" t="s">
        <v>1680</v>
      </c>
      <c r="H10" s="649"/>
      <c r="I10" s="649"/>
      <c r="J10" s="649"/>
      <c r="K10" s="649"/>
      <c r="L10" s="649"/>
      <c r="M10" s="649"/>
      <c r="N10" s="649"/>
      <c r="O10" s="649"/>
      <c r="P10" s="649"/>
      <c r="Q10" s="649"/>
      <c r="R10" s="649"/>
      <c r="S10" s="649"/>
      <c r="T10" s="649"/>
      <c r="U10" s="649"/>
      <c r="V10" s="7"/>
      <c r="W10" s="7"/>
      <c r="X10" s="7"/>
      <c r="Y10" s="7"/>
      <c r="Z10" s="7"/>
      <c r="AA10" s="7"/>
      <c r="AB10" s="7"/>
      <c r="AC10" s="7"/>
      <c r="AD10" s="7"/>
      <c r="AE10" s="7"/>
      <c r="AF10" s="7"/>
      <c r="AG10" s="7"/>
      <c r="AH10" s="7"/>
      <c r="AI10" s="7"/>
      <c r="AJ10" s="7"/>
      <c r="AK10" s="7"/>
      <c r="AL10" s="7"/>
      <c r="AM10" s="7"/>
    </row>
    <row r="11" ht="14.25" customHeight="1">
      <c r="A11" s="53"/>
      <c r="B11" s="636" t="s">
        <v>1649</v>
      </c>
      <c r="C11" s="637" t="s">
        <v>1650</v>
      </c>
      <c r="D11" s="638">
        <v>45901.0</v>
      </c>
      <c r="E11" s="277"/>
      <c r="F11" s="278"/>
      <c r="G11" s="649"/>
      <c r="H11" s="657"/>
      <c r="I11" s="649"/>
      <c r="J11" s="649"/>
      <c r="K11" s="649"/>
      <c r="L11" s="649"/>
      <c r="M11" s="649"/>
      <c r="N11" s="649"/>
      <c r="O11" s="649"/>
      <c r="P11" s="649"/>
      <c r="Q11" s="649"/>
      <c r="R11" s="649"/>
      <c r="S11" s="649"/>
      <c r="T11" s="649"/>
      <c r="U11" s="649"/>
      <c r="V11" s="7"/>
      <c r="W11" s="7"/>
      <c r="X11" s="7"/>
      <c r="Y11" s="7"/>
      <c r="Z11" s="7"/>
      <c r="AA11" s="7"/>
      <c r="AB11" s="7"/>
      <c r="AC11" s="7"/>
      <c r="AD11" s="7"/>
      <c r="AE11" s="7"/>
      <c r="AF11" s="7"/>
      <c r="AG11" s="7"/>
      <c r="AH11" s="7"/>
      <c r="AI11" s="7"/>
      <c r="AJ11" s="7"/>
      <c r="AK11" s="7"/>
      <c r="AL11" s="7"/>
      <c r="AM11" s="7"/>
    </row>
    <row r="12" ht="14.25" customHeight="1">
      <c r="A12" s="53"/>
      <c r="B12" s="639"/>
      <c r="C12" s="617"/>
      <c r="D12" s="640" t="s">
        <v>1524</v>
      </c>
      <c r="E12" s="641" t="s">
        <v>1520</v>
      </c>
      <c r="F12" s="641" t="s">
        <v>1675</v>
      </c>
      <c r="G12" s="642">
        <f t="shared" ref="G12:U12" si="12">+G4</f>
        <v>45957</v>
      </c>
      <c r="H12" s="642">
        <f t="shared" si="12"/>
        <v>45987</v>
      </c>
      <c r="I12" s="642">
        <f t="shared" si="12"/>
        <v>46017</v>
      </c>
      <c r="J12" s="642">
        <f t="shared" si="12"/>
        <v>46023</v>
      </c>
      <c r="K12" s="642">
        <f t="shared" si="12"/>
        <v>46054</v>
      </c>
      <c r="L12" s="642">
        <f t="shared" si="12"/>
        <v>46112</v>
      </c>
      <c r="M12" s="642">
        <f t="shared" si="12"/>
        <v>46142</v>
      </c>
      <c r="N12" s="642">
        <f t="shared" si="12"/>
        <v>46172</v>
      </c>
      <c r="O12" s="642">
        <f t="shared" si="12"/>
        <v>46202</v>
      </c>
      <c r="P12" s="642">
        <f t="shared" si="12"/>
        <v>46232</v>
      </c>
      <c r="Q12" s="642">
        <f t="shared" si="12"/>
        <v>46262</v>
      </c>
      <c r="R12" s="642">
        <f t="shared" si="12"/>
        <v>46292</v>
      </c>
      <c r="S12" s="642">
        <f t="shared" si="12"/>
        <v>46322</v>
      </c>
      <c r="T12" s="643">
        <f t="shared" si="12"/>
        <v>46352</v>
      </c>
      <c r="U12" s="642">
        <f t="shared" si="12"/>
        <v>46382</v>
      </c>
      <c r="V12" s="7"/>
      <c r="W12" s="7"/>
      <c r="X12" s="7"/>
      <c r="Y12" s="7"/>
      <c r="Z12" s="7"/>
      <c r="AA12" s="7"/>
      <c r="AB12" s="7"/>
      <c r="AC12" s="7"/>
      <c r="AD12" s="7"/>
      <c r="AE12" s="7"/>
      <c r="AF12" s="7"/>
      <c r="AG12" s="7"/>
      <c r="AH12" s="7"/>
      <c r="AI12" s="7"/>
      <c r="AJ12" s="7"/>
      <c r="AK12" s="7"/>
      <c r="AL12" s="7"/>
      <c r="AM12" s="7"/>
    </row>
    <row r="13" ht="14.25" customHeight="1">
      <c r="A13" s="53"/>
      <c r="B13" s="646">
        <v>5040.0</v>
      </c>
      <c r="C13" s="312" t="s">
        <v>1681</v>
      </c>
      <c r="D13" s="647">
        <f>C45</f>
        <v>1123863.153</v>
      </c>
      <c r="E13" s="651">
        <v>1.0</v>
      </c>
      <c r="F13" s="658">
        <f>D13*E13</f>
        <v>1123863.153</v>
      </c>
      <c r="G13" s="649">
        <f>+C48</f>
        <v>1194989.954</v>
      </c>
      <c r="H13" s="649">
        <f t="shared" ref="H13:I13" si="13">+G13</f>
        <v>1194989.954</v>
      </c>
      <c r="I13" s="649">
        <f t="shared" si="13"/>
        <v>1194989.954</v>
      </c>
      <c r="J13" s="659">
        <f>+I13*J18</f>
        <v>1271862.702</v>
      </c>
      <c r="K13" s="649">
        <f t="shared" ref="K13:L13" si="14">+J13</f>
        <v>1271862.702</v>
      </c>
      <c r="L13" s="649">
        <f t="shared" si="14"/>
        <v>1271862.702</v>
      </c>
      <c r="M13" s="659">
        <f>+L13*M18</f>
        <v>1392488.188</v>
      </c>
      <c r="N13" s="649">
        <f t="shared" ref="N13:O13" si="15">+M13</f>
        <v>1392488.188</v>
      </c>
      <c r="O13" s="649">
        <f t="shared" si="15"/>
        <v>1392488.188</v>
      </c>
      <c r="P13" s="659">
        <f>+O13*P18</f>
        <v>1512758.599</v>
      </c>
      <c r="Q13" s="649">
        <f t="shared" ref="Q13:R13" si="16">+P13</f>
        <v>1512758.599</v>
      </c>
      <c r="R13" s="649">
        <f t="shared" si="16"/>
        <v>1512758.599</v>
      </c>
      <c r="S13" s="659">
        <f>+R13*S18</f>
        <v>1648222.182</v>
      </c>
      <c r="T13" s="649">
        <f t="shared" ref="T13:U13" si="17">+S13</f>
        <v>1648222.182</v>
      </c>
      <c r="U13" s="649">
        <f t="shared" si="17"/>
        <v>1648222.182</v>
      </c>
      <c r="V13" s="40">
        <f t="shared" ref="V13:V14" si="19">+U13/J13</f>
        <v>1.295912034</v>
      </c>
      <c r="W13" s="7"/>
      <c r="X13" s="7"/>
      <c r="Y13" s="7"/>
      <c r="Z13" s="7"/>
      <c r="AA13" s="7"/>
      <c r="AB13" s="7"/>
      <c r="AC13" s="7"/>
      <c r="AD13" s="7"/>
      <c r="AE13" s="7"/>
      <c r="AF13" s="7"/>
      <c r="AG13" s="7"/>
      <c r="AH13" s="7"/>
      <c r="AI13" s="7"/>
      <c r="AJ13" s="7"/>
      <c r="AK13" s="7"/>
      <c r="AL13" s="7"/>
      <c r="AM13" s="7"/>
    </row>
    <row r="14" ht="14.25" customHeight="1">
      <c r="A14" s="53"/>
      <c r="B14" s="646">
        <v>5040.0</v>
      </c>
      <c r="C14" s="312" t="s">
        <v>1682</v>
      </c>
      <c r="D14" s="660">
        <v>0.13</v>
      </c>
      <c r="E14" s="661">
        <v>2254.0</v>
      </c>
      <c r="F14" s="658">
        <f>(D14*E14)*$C$17</f>
        <v>414623.3</v>
      </c>
      <c r="G14" s="649">
        <f t="shared" ref="G14:U14" si="18">+$D$14*$E$14*G17</f>
        <v>439530</v>
      </c>
      <c r="H14" s="649">
        <f t="shared" si="18"/>
        <v>447441.54</v>
      </c>
      <c r="I14" s="649">
        <f t="shared" si="18"/>
        <v>455495.4877</v>
      </c>
      <c r="J14" s="649">
        <f t="shared" si="18"/>
        <v>414623.3</v>
      </c>
      <c r="K14" s="649">
        <f t="shared" si="18"/>
        <v>401437.4</v>
      </c>
      <c r="L14" s="649">
        <f t="shared" si="18"/>
        <v>397042.1</v>
      </c>
      <c r="M14" s="649">
        <f t="shared" si="18"/>
        <v>399972.3</v>
      </c>
      <c r="N14" s="649">
        <f t="shared" si="18"/>
        <v>405971.8845</v>
      </c>
      <c r="O14" s="649">
        <f t="shared" si="18"/>
        <v>412061.4628</v>
      </c>
      <c r="P14" s="649">
        <f t="shared" si="18"/>
        <v>418242.3847</v>
      </c>
      <c r="Q14" s="649">
        <f t="shared" si="18"/>
        <v>424516.0205</v>
      </c>
      <c r="R14" s="649">
        <f t="shared" si="18"/>
        <v>430883.7608</v>
      </c>
      <c r="S14" s="649">
        <f t="shared" si="18"/>
        <v>437347.0172</v>
      </c>
      <c r="T14" s="649">
        <f t="shared" si="18"/>
        <v>443907.2225</v>
      </c>
      <c r="U14" s="649">
        <f t="shared" si="18"/>
        <v>450565.8308</v>
      </c>
      <c r="V14" s="40">
        <f t="shared" si="19"/>
        <v>1.086687195</v>
      </c>
      <c r="W14" s="7"/>
      <c r="X14" s="7"/>
      <c r="Y14" s="7"/>
      <c r="Z14" s="7"/>
      <c r="AA14" s="7"/>
      <c r="AB14" s="7"/>
      <c r="AC14" s="7"/>
      <c r="AD14" s="7"/>
      <c r="AE14" s="7"/>
      <c r="AF14" s="7"/>
      <c r="AG14" s="7"/>
      <c r="AH14" s="7"/>
      <c r="AI14" s="7"/>
      <c r="AJ14" s="7"/>
      <c r="AK14" s="7"/>
      <c r="AL14" s="7"/>
      <c r="AM14" s="7"/>
    </row>
    <row r="15" ht="14.25" customHeight="1">
      <c r="A15" s="53"/>
      <c r="B15" s="662" t="s">
        <v>320</v>
      </c>
      <c r="C15" s="277"/>
      <c r="D15" s="277"/>
      <c r="E15" s="278"/>
      <c r="F15" s="653">
        <f t="shared" ref="F15:U15" si="20">F13+F14</f>
        <v>1538486.453</v>
      </c>
      <c r="G15" s="663">
        <f t="shared" si="20"/>
        <v>1634519.954</v>
      </c>
      <c r="H15" s="663">
        <f t="shared" si="20"/>
        <v>1642431.494</v>
      </c>
      <c r="I15" s="663">
        <f t="shared" si="20"/>
        <v>1650485.442</v>
      </c>
      <c r="J15" s="663">
        <f t="shared" si="20"/>
        <v>1686486.002</v>
      </c>
      <c r="K15" s="663">
        <f t="shared" si="20"/>
        <v>1673300.102</v>
      </c>
      <c r="L15" s="663">
        <f t="shared" si="20"/>
        <v>1668904.802</v>
      </c>
      <c r="M15" s="663">
        <f t="shared" si="20"/>
        <v>1792460.488</v>
      </c>
      <c r="N15" s="663">
        <f t="shared" si="20"/>
        <v>1798460.073</v>
      </c>
      <c r="O15" s="663">
        <f t="shared" si="20"/>
        <v>1804549.651</v>
      </c>
      <c r="P15" s="663">
        <f t="shared" si="20"/>
        <v>1931000.984</v>
      </c>
      <c r="Q15" s="663">
        <f t="shared" si="20"/>
        <v>1937274.619</v>
      </c>
      <c r="R15" s="663">
        <f t="shared" si="20"/>
        <v>1943642.36</v>
      </c>
      <c r="S15" s="663">
        <f t="shared" si="20"/>
        <v>2085569.199</v>
      </c>
      <c r="T15" s="663">
        <f t="shared" si="20"/>
        <v>2092129.404</v>
      </c>
      <c r="U15" s="663">
        <f t="shared" si="20"/>
        <v>2098788.012</v>
      </c>
      <c r="V15" s="7"/>
      <c r="W15" s="7"/>
      <c r="X15" s="7"/>
      <c r="Y15" s="7"/>
      <c r="Z15" s="7"/>
      <c r="AA15" s="7"/>
      <c r="AB15" s="7"/>
      <c r="AC15" s="7"/>
      <c r="AD15" s="7"/>
      <c r="AE15" s="7"/>
      <c r="AF15" s="7"/>
      <c r="AG15" s="7"/>
      <c r="AH15" s="7"/>
      <c r="AI15" s="7"/>
      <c r="AJ15" s="7"/>
      <c r="AK15" s="7"/>
      <c r="AL15" s="7"/>
      <c r="AM15" s="7"/>
    </row>
    <row r="16" ht="9.75" customHeight="1">
      <c r="A16" s="53"/>
      <c r="B16" s="7"/>
      <c r="C16" s="7"/>
      <c r="D16" s="7"/>
      <c r="E16" s="7"/>
      <c r="F16" s="7"/>
      <c r="G16" s="649"/>
      <c r="H16" s="649"/>
      <c r="I16" s="649"/>
      <c r="J16" s="649"/>
      <c r="K16" s="649"/>
      <c r="L16" s="649"/>
      <c r="M16" s="649"/>
      <c r="N16" s="649"/>
      <c r="O16" s="649"/>
      <c r="P16" s="649"/>
      <c r="Q16" s="649"/>
      <c r="R16" s="649"/>
      <c r="S16" s="649"/>
      <c r="T16" s="649"/>
      <c r="U16" s="649"/>
      <c r="V16" s="7"/>
      <c r="W16" s="7"/>
      <c r="X16" s="7"/>
      <c r="Y16" s="7"/>
      <c r="Z16" s="7"/>
      <c r="AA16" s="7"/>
      <c r="AB16" s="7"/>
      <c r="AC16" s="7"/>
      <c r="AD16" s="7"/>
      <c r="AE16" s="7"/>
      <c r="AF16" s="7"/>
      <c r="AG16" s="7"/>
      <c r="AH16" s="7"/>
      <c r="AI16" s="7"/>
      <c r="AJ16" s="7"/>
      <c r="AK16" s="7"/>
      <c r="AL16" s="7"/>
      <c r="AM16" s="7"/>
    </row>
    <row r="17" ht="14.25" customHeight="1">
      <c r="A17" s="53"/>
      <c r="B17" s="664" t="s">
        <v>1683</v>
      </c>
      <c r="C17" s="665">
        <v>1415.0</v>
      </c>
      <c r="D17" s="7"/>
      <c r="E17" s="666"/>
      <c r="F17" s="667" t="s">
        <v>1684</v>
      </c>
      <c r="G17" s="649">
        <v>1500.0</v>
      </c>
      <c r="H17" s="649">
        <f t="shared" ref="H17:I17" si="21">+G17*1.018</f>
        <v>1527</v>
      </c>
      <c r="I17" s="649">
        <f t="shared" si="21"/>
        <v>1554.486</v>
      </c>
      <c r="J17" s="649">
        <f>+'REAL-BDGT2026'!I201</f>
        <v>1415</v>
      </c>
      <c r="K17" s="649">
        <f>+'REAL-BDGT2026'!J201</f>
        <v>1370</v>
      </c>
      <c r="L17" s="649">
        <f>+'REAL-BDGT2026'!K201</f>
        <v>1355</v>
      </c>
      <c r="M17" s="649">
        <f>+'REAL-BDGT2026'!L201</f>
        <v>1365</v>
      </c>
      <c r="N17" s="649">
        <f>+'REAL-BDGT2026'!M201</f>
        <v>1385.475</v>
      </c>
      <c r="O17" s="649">
        <f>+'REAL-BDGT2026'!N201</f>
        <v>1406.257125</v>
      </c>
      <c r="P17" s="649">
        <f>+'REAL-BDGT2026'!O201</f>
        <v>1427.350982</v>
      </c>
      <c r="Q17" s="649">
        <f>+'REAL-BDGT2026'!P201</f>
        <v>1448.761247</v>
      </c>
      <c r="R17" s="649">
        <f>+'REAL-BDGT2026'!Q201</f>
        <v>1470.492665</v>
      </c>
      <c r="S17" s="649">
        <f>+'REAL-BDGT2026'!R201</f>
        <v>1492.550055</v>
      </c>
      <c r="T17" s="649">
        <f>+'REAL-BDGT2026'!S201</f>
        <v>1514.938306</v>
      </c>
      <c r="U17" s="649">
        <f>+'REAL-BDGT2026'!T201</f>
        <v>1537.662381</v>
      </c>
      <c r="V17" s="7"/>
      <c r="W17" s="7"/>
      <c r="X17" s="7"/>
      <c r="Y17" s="7"/>
      <c r="Z17" s="7"/>
      <c r="AA17" s="7"/>
      <c r="AB17" s="7"/>
      <c r="AC17" s="7"/>
      <c r="AD17" s="7"/>
      <c r="AE17" s="7"/>
      <c r="AF17" s="7"/>
      <c r="AG17" s="7"/>
      <c r="AH17" s="7"/>
      <c r="AI17" s="7"/>
      <c r="AJ17" s="7"/>
      <c r="AK17" s="7"/>
      <c r="AL17" s="7"/>
      <c r="AM17" s="7"/>
    </row>
    <row r="18" ht="15.0" customHeight="1">
      <c r="A18" s="53"/>
      <c r="B18" s="7"/>
      <c r="C18" s="7"/>
      <c r="D18" s="7"/>
      <c r="E18" s="7"/>
      <c r="F18" s="7"/>
      <c r="G18" s="649"/>
      <c r="H18" s="649"/>
      <c r="I18" s="649"/>
      <c r="J18" s="605">
        <f>1*(1+G19)*(1+H19)*(1+I19)</f>
        <v>1.0643292</v>
      </c>
      <c r="K18" s="649"/>
      <c r="L18" s="649"/>
      <c r="M18" s="605">
        <f>1*(1+J19)*(1+K19)*(1+L19)</f>
        <v>1.094841594</v>
      </c>
      <c r="N18" s="649"/>
      <c r="O18" s="649"/>
      <c r="P18" s="605">
        <f>1*(1+M19)*(1+N19)*(1+O19)</f>
        <v>1.086370866</v>
      </c>
      <c r="Q18" s="649"/>
      <c r="R18" s="649"/>
      <c r="S18" s="605">
        <f>1*(1+P19)*(1+Q19)*(1+R19)</f>
        <v>1.089547389</v>
      </c>
      <c r="T18" s="649"/>
      <c r="U18" s="649"/>
      <c r="V18" s="7"/>
      <c r="W18" s="7"/>
      <c r="X18" s="7"/>
      <c r="Y18" s="7"/>
      <c r="Z18" s="7"/>
      <c r="AA18" s="7"/>
      <c r="AB18" s="7"/>
      <c r="AC18" s="7"/>
      <c r="AD18" s="7"/>
      <c r="AE18" s="7"/>
      <c r="AF18" s="7"/>
      <c r="AG18" s="7"/>
      <c r="AH18" s="7"/>
      <c r="AI18" s="7"/>
      <c r="AJ18" s="7"/>
      <c r="AK18" s="7"/>
      <c r="AL18" s="7"/>
      <c r="AM18" s="7"/>
    </row>
    <row r="19" ht="14.25" customHeight="1">
      <c r="A19" s="53"/>
      <c r="B19" s="7"/>
      <c r="C19" s="7"/>
      <c r="D19" s="422"/>
      <c r="E19" s="422"/>
      <c r="F19" s="422" t="s">
        <v>1641</v>
      </c>
      <c r="G19" s="424">
        <f>+Flk!K34</f>
        <v>0.023</v>
      </c>
      <c r="H19" s="424">
        <f>+Flk!L34</f>
        <v>0.02</v>
      </c>
      <c r="I19" s="424">
        <f>+Flk!M34</f>
        <v>0.02</v>
      </c>
      <c r="J19" s="424">
        <f>+Flk!B71</f>
        <v>0.029</v>
      </c>
      <c r="K19" s="424">
        <f>+Flk!C71</f>
        <v>0.029</v>
      </c>
      <c r="L19" s="424">
        <f>+Flk!D71</f>
        <v>0.034</v>
      </c>
      <c r="M19" s="424">
        <f>+Flk!E71</f>
        <v>0.026</v>
      </c>
      <c r="N19" s="424">
        <f>+Flk!F71</f>
        <v>0.029</v>
      </c>
      <c r="O19" s="424">
        <f>+Flk!G71</f>
        <v>0.029</v>
      </c>
      <c r="P19" s="424">
        <f>+Flk!H71</f>
        <v>0.029</v>
      </c>
      <c r="Q19" s="424">
        <f>+Flk!I71</f>
        <v>0.029</v>
      </c>
      <c r="R19" s="424">
        <f>+Flk!J71</f>
        <v>0.029</v>
      </c>
      <c r="S19" s="424">
        <f>+Flk!K71</f>
        <v>0.029</v>
      </c>
      <c r="T19" s="424">
        <f>+Flk!L71</f>
        <v>0.029</v>
      </c>
      <c r="U19" s="424">
        <f>+Flk!M71</f>
        <v>0.029</v>
      </c>
      <c r="V19" s="7"/>
      <c r="W19" s="7"/>
      <c r="X19" s="7"/>
      <c r="Y19" s="7"/>
      <c r="Z19" s="7"/>
      <c r="AA19" s="7"/>
      <c r="AB19" s="7"/>
      <c r="AC19" s="7"/>
      <c r="AD19" s="7"/>
      <c r="AE19" s="7"/>
      <c r="AF19" s="7"/>
      <c r="AG19" s="7"/>
      <c r="AH19" s="7"/>
      <c r="AI19" s="7"/>
      <c r="AJ19" s="7"/>
      <c r="AK19" s="7"/>
      <c r="AL19" s="7"/>
      <c r="AM19" s="7"/>
    </row>
    <row r="20" ht="14.25" customHeight="1">
      <c r="A20" s="53"/>
      <c r="B20" s="7"/>
      <c r="C20" s="7"/>
      <c r="D20" s="7"/>
      <c r="E20" s="7"/>
      <c r="F20" s="7"/>
      <c r="G20" s="649"/>
      <c r="H20" s="649"/>
      <c r="I20" s="649"/>
      <c r="J20" s="649"/>
      <c r="K20" s="649"/>
      <c r="L20" s="649"/>
      <c r="M20" s="649"/>
      <c r="N20" s="649"/>
      <c r="O20" s="649"/>
      <c r="P20" s="649"/>
      <c r="Q20" s="649"/>
      <c r="R20" s="649"/>
      <c r="S20" s="649"/>
      <c r="T20" s="649"/>
      <c r="U20" s="649"/>
      <c r="V20" s="7"/>
      <c r="W20" s="7"/>
      <c r="X20" s="7"/>
      <c r="Y20" s="7"/>
      <c r="Z20" s="7"/>
      <c r="AA20" s="7"/>
      <c r="AB20" s="7"/>
      <c r="AC20" s="7"/>
      <c r="AD20" s="7"/>
      <c r="AE20" s="7"/>
      <c r="AF20" s="7"/>
      <c r="AG20" s="7"/>
      <c r="AH20" s="7"/>
      <c r="AI20" s="7"/>
      <c r="AJ20" s="7"/>
      <c r="AK20" s="7"/>
      <c r="AL20" s="7"/>
      <c r="AM20" s="7"/>
    </row>
    <row r="21" ht="14.25" customHeight="1">
      <c r="A21" s="668"/>
      <c r="B21" s="669" t="s">
        <v>1685</v>
      </c>
      <c r="C21" s="669"/>
      <c r="D21" s="669"/>
      <c r="E21" s="670"/>
      <c r="F21" s="671">
        <v>45925.0</v>
      </c>
      <c r="G21" s="642">
        <f t="shared" ref="G21:U21" si="22">+G12</f>
        <v>45957</v>
      </c>
      <c r="H21" s="642">
        <f t="shared" si="22"/>
        <v>45987</v>
      </c>
      <c r="I21" s="642">
        <f t="shared" si="22"/>
        <v>46017</v>
      </c>
      <c r="J21" s="642">
        <f t="shared" si="22"/>
        <v>46023</v>
      </c>
      <c r="K21" s="642">
        <f t="shared" si="22"/>
        <v>46054</v>
      </c>
      <c r="L21" s="642">
        <f t="shared" si="22"/>
        <v>46112</v>
      </c>
      <c r="M21" s="642">
        <f t="shared" si="22"/>
        <v>46142</v>
      </c>
      <c r="N21" s="642">
        <f t="shared" si="22"/>
        <v>46172</v>
      </c>
      <c r="O21" s="642">
        <f t="shared" si="22"/>
        <v>46202</v>
      </c>
      <c r="P21" s="642">
        <f t="shared" si="22"/>
        <v>46232</v>
      </c>
      <c r="Q21" s="642">
        <f t="shared" si="22"/>
        <v>46262</v>
      </c>
      <c r="R21" s="642">
        <f t="shared" si="22"/>
        <v>46292</v>
      </c>
      <c r="S21" s="642">
        <f t="shared" si="22"/>
        <v>46322</v>
      </c>
      <c r="T21" s="642">
        <f t="shared" si="22"/>
        <v>46352</v>
      </c>
      <c r="U21" s="642">
        <f t="shared" si="22"/>
        <v>46382</v>
      </c>
      <c r="V21" s="7"/>
      <c r="W21" s="7"/>
      <c r="X21" s="7"/>
      <c r="Y21" s="7"/>
      <c r="Z21" s="7"/>
      <c r="AA21" s="7"/>
      <c r="AB21" s="7"/>
      <c r="AC21" s="7"/>
      <c r="AD21" s="7"/>
      <c r="AE21" s="7"/>
      <c r="AF21" s="7"/>
      <c r="AG21" s="7"/>
      <c r="AH21" s="7"/>
      <c r="AI21" s="7"/>
      <c r="AJ21" s="7"/>
      <c r="AK21" s="7"/>
      <c r="AL21" s="7"/>
      <c r="AM21" s="7"/>
    </row>
    <row r="22" ht="14.25" customHeight="1">
      <c r="A22" s="668"/>
      <c r="B22" s="669" t="s">
        <v>1686</v>
      </c>
      <c r="C22" s="669"/>
      <c r="D22" s="669"/>
      <c r="E22" s="670"/>
      <c r="F22" s="653">
        <f t="shared" ref="F22:U22" si="23">+F15+F8</f>
        <v>3909271.78</v>
      </c>
      <c r="G22" s="663">
        <f t="shared" si="23"/>
        <v>4059833.344</v>
      </c>
      <c r="H22" s="663">
        <f t="shared" si="23"/>
        <v>4116251.152</v>
      </c>
      <c r="I22" s="663">
        <f t="shared" si="23"/>
        <v>4173781.493</v>
      </c>
      <c r="J22" s="663">
        <f t="shared" si="23"/>
        <v>4282957.638</v>
      </c>
      <c r="K22" s="663">
        <f t="shared" si="23"/>
        <v>4345069.416</v>
      </c>
      <c r="L22" s="663">
        <f t="shared" si="23"/>
        <v>4431514.273</v>
      </c>
      <c r="M22" s="663">
        <f t="shared" si="23"/>
        <v>4626897.805</v>
      </c>
      <c r="N22" s="663">
        <f t="shared" si="23"/>
        <v>4715096.071</v>
      </c>
      <c r="O22" s="663">
        <f t="shared" si="23"/>
        <v>4805768.094</v>
      </c>
      <c r="P22" s="663">
        <f t="shared" si="23"/>
        <v>5019254.761</v>
      </c>
      <c r="Q22" s="663">
        <f t="shared" si="23"/>
        <v>5115087.757</v>
      </c>
      <c r="R22" s="663">
        <f t="shared" si="23"/>
        <v>5213612.078</v>
      </c>
      <c r="S22" s="663">
        <f t="shared" si="23"/>
        <v>5450368.039</v>
      </c>
      <c r="T22" s="663">
        <f t="shared" si="23"/>
        <v>5554507.41</v>
      </c>
      <c r="U22" s="663">
        <f t="shared" si="23"/>
        <v>5661574.981</v>
      </c>
      <c r="V22" s="672">
        <f>SUM(J22:U22)</f>
        <v>59221708.32</v>
      </c>
      <c r="W22" s="7"/>
      <c r="X22" s="7"/>
      <c r="Y22" s="7"/>
      <c r="Z22" s="7"/>
      <c r="AA22" s="7"/>
      <c r="AB22" s="7"/>
      <c r="AC22" s="7"/>
      <c r="AD22" s="7"/>
      <c r="AE22" s="7"/>
      <c r="AF22" s="7"/>
      <c r="AG22" s="7"/>
      <c r="AH22" s="7"/>
      <c r="AI22" s="7"/>
      <c r="AJ22" s="7"/>
      <c r="AK22" s="7"/>
      <c r="AL22" s="7"/>
      <c r="AM22" s="7"/>
    </row>
    <row r="23" ht="14.25" hidden="1" customHeight="1" outlineLevel="1">
      <c r="A23" s="53"/>
      <c r="B23" s="673" t="s">
        <v>1687</v>
      </c>
      <c r="C23" s="674" t="s">
        <v>1688</v>
      </c>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row>
    <row r="24" ht="14.25" hidden="1" customHeight="1" outlineLevel="1">
      <c r="A24" s="322" t="s">
        <v>1689</v>
      </c>
      <c r="B24" s="675">
        <v>298674.25</v>
      </c>
      <c r="C24" s="647">
        <v>298674.25</v>
      </c>
      <c r="D24" s="676"/>
      <c r="E24" s="676"/>
      <c r="F24" s="676"/>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row>
    <row r="25" ht="14.25" hidden="1" customHeight="1" outlineLevel="1">
      <c r="A25" s="677">
        <v>0.119</v>
      </c>
      <c r="B25" s="675">
        <f t="shared" ref="B25:B36" si="24">B24*A25+B24</f>
        <v>334216.4858</v>
      </c>
      <c r="C25" s="647">
        <v>298674.25</v>
      </c>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row>
    <row r="26" ht="14.25" hidden="1" customHeight="1" outlineLevel="1">
      <c r="A26" s="677">
        <v>0.211</v>
      </c>
      <c r="B26" s="675">
        <f t="shared" si="24"/>
        <v>404736.1642</v>
      </c>
      <c r="C26" s="647">
        <v>298674.25</v>
      </c>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row>
    <row r="27" ht="14.25" hidden="1" customHeight="1" outlineLevel="1">
      <c r="A27" s="677">
        <v>0.217</v>
      </c>
      <c r="B27" s="675">
        <f t="shared" si="24"/>
        <v>492563.9119</v>
      </c>
      <c r="C27" s="647">
        <v>492563.92</v>
      </c>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row>
    <row r="28" ht="14.25" hidden="1" customHeight="1" outlineLevel="1">
      <c r="A28" s="677">
        <v>0.141</v>
      </c>
      <c r="B28" s="675">
        <f t="shared" si="24"/>
        <v>562015.4235</v>
      </c>
      <c r="C28" s="647">
        <v>492563.92</v>
      </c>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row>
    <row r="29" ht="14.25" hidden="1" customHeight="1" outlineLevel="1">
      <c r="A29" s="677">
        <v>0.132</v>
      </c>
      <c r="B29" s="675">
        <f t="shared" si="24"/>
        <v>636201.4594</v>
      </c>
      <c r="C29" s="647">
        <v>492563.92</v>
      </c>
      <c r="D29" s="7"/>
      <c r="E29" s="678"/>
      <c r="I29" s="679"/>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row>
    <row r="30" ht="14.25" hidden="1" customHeight="1" outlineLevel="1">
      <c r="A30" s="677">
        <v>0.098</v>
      </c>
      <c r="B30" s="675">
        <f t="shared" si="24"/>
        <v>698549.2024</v>
      </c>
      <c r="C30" s="647">
        <v>698549.2</v>
      </c>
      <c r="D30" s="7"/>
      <c r="E30" s="678"/>
      <c r="F30" s="678"/>
      <c r="G30" s="678"/>
      <c r="H30" s="678"/>
      <c r="I30" s="679"/>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row>
    <row r="31" ht="14.25" hidden="1" customHeight="1" outlineLevel="1">
      <c r="A31" s="677">
        <v>0.044</v>
      </c>
      <c r="B31" s="675">
        <f t="shared" si="24"/>
        <v>729285.3673</v>
      </c>
      <c r="C31" s="647">
        <v>698549.2</v>
      </c>
      <c r="D31" s="7"/>
      <c r="E31" s="678"/>
      <c r="F31" s="678"/>
      <c r="G31" s="678"/>
      <c r="H31" s="678"/>
      <c r="I31" s="679"/>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row>
    <row r="32" ht="14.25" hidden="1" customHeight="1" outlineLevel="1">
      <c r="A32" s="677">
        <v>0.048</v>
      </c>
      <c r="B32" s="675">
        <f t="shared" si="24"/>
        <v>764291.0649</v>
      </c>
      <c r="C32" s="647">
        <v>698549.2</v>
      </c>
      <c r="D32" s="7"/>
      <c r="E32" s="678"/>
      <c r="F32" s="678"/>
      <c r="G32" s="678"/>
      <c r="H32" s="678"/>
      <c r="I32" s="679"/>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row>
    <row r="33" ht="14.25" hidden="1" customHeight="1" outlineLevel="1">
      <c r="A33" s="677">
        <v>0.051</v>
      </c>
      <c r="B33" s="675">
        <f t="shared" si="24"/>
        <v>803269.9092</v>
      </c>
      <c r="C33" s="647">
        <f>B33</f>
        <v>803269.9092</v>
      </c>
      <c r="D33" s="7"/>
      <c r="E33" s="678"/>
      <c r="F33" s="678"/>
      <c r="G33" s="678"/>
      <c r="H33" s="678"/>
      <c r="I33" s="679"/>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row>
    <row r="34" ht="14.25" hidden="1" customHeight="1" outlineLevel="1">
      <c r="A34" s="677">
        <v>0.042</v>
      </c>
      <c r="B34" s="675">
        <f t="shared" si="24"/>
        <v>837007.2454</v>
      </c>
      <c r="C34" s="647">
        <v>803269.9092172998</v>
      </c>
      <c r="D34" s="7"/>
      <c r="E34" s="678"/>
      <c r="F34" s="678"/>
      <c r="G34" s="678"/>
      <c r="H34" s="678"/>
      <c r="I34" s="679"/>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row>
    <row r="35" ht="14.25" hidden="1" customHeight="1" outlineLevel="1">
      <c r="A35" s="677">
        <v>0.04</v>
      </c>
      <c r="B35" s="675">
        <f t="shared" si="24"/>
        <v>870487.5352</v>
      </c>
      <c r="C35" s="647">
        <v>803269.9092172998</v>
      </c>
      <c r="D35" s="7"/>
      <c r="E35" s="678"/>
      <c r="F35" s="678"/>
      <c r="G35" s="678"/>
      <c r="H35" s="678"/>
      <c r="I35" s="679"/>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row>
    <row r="36" ht="14.25" hidden="1" customHeight="1" outlineLevel="1">
      <c r="A36" s="677">
        <v>0.032</v>
      </c>
      <c r="B36" s="675">
        <f t="shared" si="24"/>
        <v>898343.1363</v>
      </c>
      <c r="C36" s="647">
        <f>B36</f>
        <v>898343.1363</v>
      </c>
      <c r="D36" s="7"/>
      <c r="E36" s="678"/>
      <c r="F36" s="678"/>
      <c r="G36" s="678"/>
      <c r="H36" s="678"/>
      <c r="I36" s="679"/>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row>
    <row r="37" ht="14.25" hidden="1" customHeight="1" outlineLevel="1">
      <c r="A37" s="677">
        <v>0.032</v>
      </c>
      <c r="B37" s="675">
        <v>927090.13</v>
      </c>
      <c r="C37" s="647">
        <v>898343.1363476628</v>
      </c>
      <c r="D37" s="7"/>
      <c r="E37" s="678"/>
      <c r="F37" s="678"/>
      <c r="G37" s="678"/>
      <c r="H37" s="678"/>
      <c r="I37" s="679"/>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row>
    <row r="38" ht="14.25" hidden="1" customHeight="1" outlineLevel="1">
      <c r="A38" s="677">
        <v>0.033</v>
      </c>
      <c r="B38" s="675">
        <f t="shared" ref="B38:B48" si="25">B37*A38+B37</f>
        <v>957684.1043</v>
      </c>
      <c r="C38" s="647">
        <v>898343.1363476628</v>
      </c>
      <c r="D38" s="7"/>
      <c r="E38" s="678"/>
      <c r="F38" s="678"/>
      <c r="G38" s="678"/>
      <c r="H38" s="678"/>
      <c r="I38" s="679"/>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row>
    <row r="39" ht="14.25" hidden="1" customHeight="1" outlineLevel="1">
      <c r="A39" s="677">
        <v>0.031</v>
      </c>
      <c r="B39" s="675">
        <f t="shared" si="25"/>
        <v>987372.3115</v>
      </c>
      <c r="C39" s="647">
        <v>987372.3</v>
      </c>
      <c r="D39" s="7"/>
      <c r="E39" s="678"/>
      <c r="F39" s="678"/>
      <c r="G39" s="678"/>
      <c r="H39" s="678"/>
      <c r="I39" s="679"/>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row>
    <row r="40" ht="14.25" hidden="1" customHeight="1" outlineLevel="1">
      <c r="A40" s="677">
        <v>0.021</v>
      </c>
      <c r="B40" s="675">
        <f t="shared" si="25"/>
        <v>1008107.13</v>
      </c>
      <c r="C40" s="647">
        <v>987372.3</v>
      </c>
      <c r="D40" s="7"/>
      <c r="E40" s="678"/>
      <c r="F40" s="678"/>
      <c r="G40" s="678"/>
      <c r="H40" s="678"/>
      <c r="I40" s="679"/>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row>
    <row r="41" ht="14.25" hidden="1" customHeight="1" outlineLevel="1">
      <c r="A41" s="677">
        <v>0.032</v>
      </c>
      <c r="B41" s="675">
        <f t="shared" si="25"/>
        <v>1040366.558</v>
      </c>
      <c r="C41" s="647">
        <v>987372.3</v>
      </c>
      <c r="D41" s="7"/>
      <c r="E41" s="678"/>
      <c r="F41" s="678"/>
      <c r="G41" s="678"/>
      <c r="H41" s="678"/>
      <c r="I41" s="679"/>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row>
    <row r="42" ht="14.25" hidden="1" customHeight="1" outlineLevel="1">
      <c r="A42" s="677">
        <v>0.028</v>
      </c>
      <c r="B42" s="675">
        <f t="shared" si="25"/>
        <v>1069496.822</v>
      </c>
      <c r="C42" s="647">
        <f>B42</f>
        <v>1069496.822</v>
      </c>
      <c r="D42" s="7"/>
      <c r="E42" s="678"/>
      <c r="F42" s="678"/>
      <c r="G42" s="678"/>
      <c r="H42" s="678"/>
      <c r="I42" s="679"/>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row>
    <row r="43" ht="14.25" hidden="1" customHeight="1" outlineLevel="1">
      <c r="A43" s="677">
        <v>0.015</v>
      </c>
      <c r="B43" s="675">
        <f t="shared" si="25"/>
        <v>1085539.274</v>
      </c>
      <c r="C43" s="647">
        <v>1069496.82185741</v>
      </c>
      <c r="D43" s="7"/>
      <c r="E43" s="678"/>
      <c r="F43" s="678"/>
      <c r="G43" s="678"/>
      <c r="H43" s="678"/>
      <c r="I43" s="679"/>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row>
    <row r="44" ht="14.25" hidden="1" customHeight="1" outlineLevel="1">
      <c r="A44" s="677">
        <v>0.016</v>
      </c>
      <c r="B44" s="675">
        <f t="shared" si="25"/>
        <v>1102907.903</v>
      </c>
      <c r="C44" s="647">
        <v>1069496.82185741</v>
      </c>
      <c r="D44" s="7"/>
      <c r="E44" s="678"/>
      <c r="F44" s="678"/>
      <c r="G44" s="678"/>
      <c r="H44" s="678"/>
      <c r="I44" s="679"/>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row>
    <row r="45" ht="14.25" hidden="1" customHeight="1" outlineLevel="1">
      <c r="A45" s="677">
        <v>0.019</v>
      </c>
      <c r="B45" s="680">
        <f t="shared" si="25"/>
        <v>1123863.153</v>
      </c>
      <c r="C45" s="681">
        <f>B45</f>
        <v>1123863.153</v>
      </c>
      <c r="D45" s="7"/>
      <c r="E45" s="678"/>
      <c r="F45" s="678"/>
      <c r="G45" s="678"/>
      <c r="H45" s="678"/>
      <c r="I45" s="679"/>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row>
    <row r="46" ht="14.25" hidden="1" customHeight="1" outlineLevel="1">
      <c r="A46" s="677">
        <v>0.019</v>
      </c>
      <c r="B46" s="680">
        <f t="shared" si="25"/>
        <v>1145216.553</v>
      </c>
      <c r="C46" s="681">
        <v>1123863.152721107</v>
      </c>
      <c r="D46" s="7"/>
      <c r="E46" s="678"/>
      <c r="F46" s="678"/>
      <c r="G46" s="678"/>
      <c r="H46" s="678"/>
      <c r="I46" s="679"/>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row>
    <row r="47" ht="14.25" hidden="1" customHeight="1" outlineLevel="1">
      <c r="A47" s="677">
        <v>0.021</v>
      </c>
      <c r="B47" s="680">
        <f t="shared" si="25"/>
        <v>1169266.1</v>
      </c>
      <c r="C47" s="681">
        <v>1123863.152721107</v>
      </c>
      <c r="D47" s="7"/>
      <c r="E47" s="678"/>
      <c r="F47" s="678"/>
      <c r="G47" s="678"/>
      <c r="H47" s="678"/>
      <c r="I47" s="679"/>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row>
    <row r="48" ht="14.25" hidden="1" customHeight="1" outlineLevel="1">
      <c r="A48" s="677">
        <v>0.022</v>
      </c>
      <c r="B48" s="682">
        <f t="shared" si="25"/>
        <v>1194989.954</v>
      </c>
      <c r="C48" s="683">
        <f>+B48</f>
        <v>1194989.954</v>
      </c>
      <c r="D48" s="7" t="s">
        <v>1690</v>
      </c>
      <c r="E48" s="678"/>
      <c r="F48" s="678"/>
      <c r="G48" s="678"/>
      <c r="H48" s="678"/>
      <c r="I48" s="679"/>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row>
    <row r="49" ht="14.25" hidden="1" customHeight="1" outlineLevel="1">
      <c r="A49" s="53"/>
      <c r="B49" s="7"/>
      <c r="C49" s="7"/>
      <c r="D49" s="7"/>
      <c r="E49" s="678"/>
      <c r="F49" s="678"/>
      <c r="G49" s="684"/>
      <c r="H49" s="685"/>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row>
    <row r="50" ht="14.25" hidden="1" customHeight="1" outlineLevel="1">
      <c r="A50" s="686"/>
      <c r="B50" s="278"/>
      <c r="C50" s="687"/>
      <c r="D50" s="687"/>
      <c r="E50" s="678"/>
      <c r="F50" s="678"/>
      <c r="G50" s="688"/>
      <c r="H50" s="688"/>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row>
    <row r="51" ht="14.25" hidden="1" customHeight="1" outlineLevel="1">
      <c r="A51" s="689" t="s">
        <v>1650</v>
      </c>
      <c r="B51" s="690" t="s">
        <v>1691</v>
      </c>
      <c r="C51" s="687"/>
      <c r="D51" s="687"/>
      <c r="E51" s="691"/>
      <c r="F51" s="691"/>
      <c r="G51" s="691"/>
      <c r="H51" s="691"/>
      <c r="I51" s="678"/>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row>
    <row r="52" ht="14.25" hidden="1" customHeight="1" outlineLevel="1">
      <c r="A52" s="692"/>
      <c r="B52" s="693">
        <v>45901.0</v>
      </c>
      <c r="C52" s="694"/>
      <c r="D52" s="694"/>
      <c r="E52" s="200"/>
      <c r="F52" s="200"/>
      <c r="G52" s="695"/>
      <c r="H52" s="696"/>
      <c r="I52" s="697"/>
      <c r="J52" s="676"/>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row>
    <row r="53" ht="14.25" hidden="1" customHeight="1" outlineLevel="1">
      <c r="A53" s="698"/>
      <c r="B53" s="699" t="s">
        <v>1524</v>
      </c>
      <c r="C53" s="700"/>
      <c r="D53" s="700"/>
      <c r="E53" s="200"/>
      <c r="F53" s="200"/>
      <c r="G53" s="695"/>
      <c r="H53" s="696"/>
      <c r="I53" s="701"/>
      <c r="J53" s="676"/>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row>
    <row r="54" ht="14.25" hidden="1" customHeight="1" outlineLevel="1">
      <c r="A54" s="53" t="s">
        <v>1692</v>
      </c>
      <c r="B54" s="675">
        <f>H8</f>
        <v>2473819.658</v>
      </c>
      <c r="C54" s="200"/>
      <c r="D54" s="200"/>
      <c r="E54" s="200"/>
      <c r="F54" s="200"/>
      <c r="G54" s="695"/>
      <c r="H54" s="696"/>
      <c r="I54" s="701"/>
      <c r="J54" s="676"/>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row>
    <row r="55" ht="14.25" hidden="1" customHeight="1" outlineLevel="1">
      <c r="A55" s="53" t="s">
        <v>1693</v>
      </c>
      <c r="B55" s="675">
        <f>F15</f>
        <v>1538486.453</v>
      </c>
      <c r="C55" s="200"/>
      <c r="D55" s="200"/>
      <c r="E55" s="200"/>
      <c r="F55" s="200"/>
      <c r="G55" s="696"/>
      <c r="H55" s="678"/>
      <c r="I55" s="702"/>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row>
    <row r="56" ht="14.25" hidden="1" customHeight="1" outlineLevel="1">
      <c r="A56" s="220"/>
      <c r="B56" s="703">
        <f>B54+B55</f>
        <v>4012306.11</v>
      </c>
      <c r="C56" s="200"/>
      <c r="D56" s="200"/>
      <c r="E56" s="200"/>
      <c r="F56" s="200"/>
      <c r="G56" s="200"/>
      <c r="H56" s="7"/>
      <c r="I56" s="701"/>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row>
    <row r="57" ht="14.25" hidden="1" customHeight="1" outlineLevel="1">
      <c r="A57" s="53"/>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row>
    <row r="58" ht="14.25" customHeight="1" collapsed="1">
      <c r="A58" s="53"/>
      <c r="B58" s="7"/>
      <c r="C58" s="7"/>
      <c r="D58" s="7"/>
      <c r="E58" s="678"/>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row>
    <row r="59" ht="20.25" customHeight="1">
      <c r="A59" s="704"/>
      <c r="B59" s="705" t="s">
        <v>1694</v>
      </c>
      <c r="C59" s="706"/>
      <c r="D59" s="707" t="s">
        <v>1539</v>
      </c>
      <c r="E59" s="277"/>
      <c r="F59" s="278"/>
      <c r="G59" s="642">
        <f t="shared" ref="G59:U59" si="26">+G21</f>
        <v>45957</v>
      </c>
      <c r="H59" s="642">
        <f t="shared" si="26"/>
        <v>45987</v>
      </c>
      <c r="I59" s="642">
        <f t="shared" si="26"/>
        <v>46017</v>
      </c>
      <c r="J59" s="642">
        <f t="shared" si="26"/>
        <v>46023</v>
      </c>
      <c r="K59" s="642">
        <f t="shared" si="26"/>
        <v>46054</v>
      </c>
      <c r="L59" s="642">
        <f t="shared" si="26"/>
        <v>46112</v>
      </c>
      <c r="M59" s="642">
        <f t="shared" si="26"/>
        <v>46142</v>
      </c>
      <c r="N59" s="642">
        <f t="shared" si="26"/>
        <v>46172</v>
      </c>
      <c r="O59" s="642">
        <f t="shared" si="26"/>
        <v>46202</v>
      </c>
      <c r="P59" s="642">
        <f t="shared" si="26"/>
        <v>46232</v>
      </c>
      <c r="Q59" s="642">
        <f t="shared" si="26"/>
        <v>46262</v>
      </c>
      <c r="R59" s="642">
        <f t="shared" si="26"/>
        <v>46292</v>
      </c>
      <c r="S59" s="642">
        <f t="shared" si="26"/>
        <v>46322</v>
      </c>
      <c r="T59" s="642">
        <f t="shared" si="26"/>
        <v>46352</v>
      </c>
      <c r="U59" s="642">
        <f t="shared" si="26"/>
        <v>46382</v>
      </c>
      <c r="V59" s="7"/>
      <c r="W59" s="7"/>
      <c r="X59" s="7"/>
      <c r="Y59" s="7"/>
      <c r="Z59" s="7"/>
      <c r="AA59" s="7"/>
      <c r="AB59" s="7"/>
      <c r="AC59" s="7"/>
      <c r="AD59" s="7"/>
      <c r="AE59" s="7"/>
      <c r="AF59" s="7"/>
      <c r="AG59" s="7"/>
      <c r="AH59" s="7"/>
      <c r="AI59" s="7"/>
      <c r="AJ59" s="7"/>
      <c r="AK59" s="7"/>
      <c r="AL59" s="7"/>
      <c r="AM59" s="7"/>
    </row>
    <row r="60" ht="27.75" customHeight="1">
      <c r="A60" s="53"/>
      <c r="B60" s="708"/>
      <c r="C60" s="709"/>
      <c r="D60" s="710" t="s">
        <v>1520</v>
      </c>
      <c r="E60" s="711" t="s">
        <v>1522</v>
      </c>
      <c r="F60" s="712" t="s">
        <v>1523</v>
      </c>
      <c r="G60" s="688"/>
      <c r="H60" s="688"/>
      <c r="I60" s="701"/>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row>
    <row r="61" ht="14.25" customHeight="1">
      <c r="A61" s="53"/>
      <c r="B61" s="713" t="s">
        <v>1681</v>
      </c>
      <c r="C61" s="278"/>
      <c r="D61" s="651">
        <v>1.0</v>
      </c>
      <c r="E61" s="658">
        <v>732919.71</v>
      </c>
      <c r="F61" s="714">
        <f>+E61*D61</f>
        <v>732919.71</v>
      </c>
      <c r="G61" s="715">
        <v>777016.979950719</v>
      </c>
      <c r="H61" s="716">
        <f t="shared" ref="H61:I61" si="27">+G61</f>
        <v>777016.98</v>
      </c>
      <c r="I61" s="716">
        <f t="shared" si="27"/>
        <v>777016.98</v>
      </c>
      <c r="J61" s="715">
        <f>+I61*J18</f>
        <v>827001.8607</v>
      </c>
      <c r="K61" s="716">
        <f t="shared" ref="K61:L61" si="28">+J61</f>
        <v>827001.8607</v>
      </c>
      <c r="L61" s="716">
        <f t="shared" si="28"/>
        <v>827001.8607</v>
      </c>
      <c r="M61" s="715">
        <f>+L61*M18</f>
        <v>905436.0354</v>
      </c>
      <c r="N61" s="716">
        <f t="shared" ref="N61:O61" si="29">+M61</f>
        <v>905436.0354</v>
      </c>
      <c r="O61" s="716">
        <f t="shared" si="29"/>
        <v>905436.0354</v>
      </c>
      <c r="P61" s="715">
        <f>+O61*P18</f>
        <v>983639.3298</v>
      </c>
      <c r="Q61" s="716">
        <f t="shared" ref="Q61:R61" si="30">+P61</f>
        <v>983639.3298</v>
      </c>
      <c r="R61" s="716">
        <f t="shared" si="30"/>
        <v>983639.3298</v>
      </c>
      <c r="S61" s="715">
        <f>+R61*S18</f>
        <v>1071721.664</v>
      </c>
      <c r="T61" s="716">
        <f t="shared" ref="T61:U61" si="31">+S61</f>
        <v>1071721.664</v>
      </c>
      <c r="U61" s="716">
        <f t="shared" si="31"/>
        <v>1071721.664</v>
      </c>
      <c r="V61" s="40">
        <f t="shared" ref="V61:V65" si="33">+U61/J61</f>
        <v>1.295912034</v>
      </c>
      <c r="W61" s="265" t="s">
        <v>1695</v>
      </c>
      <c r="X61" s="7"/>
      <c r="Y61" s="7"/>
      <c r="Z61" s="7"/>
      <c r="AA61" s="7"/>
      <c r="AB61" s="7"/>
      <c r="AC61" s="7"/>
      <c r="AD61" s="7"/>
      <c r="AE61" s="7"/>
      <c r="AF61" s="7"/>
      <c r="AG61" s="7"/>
      <c r="AH61" s="7"/>
      <c r="AI61" s="7"/>
      <c r="AJ61" s="7"/>
      <c r="AK61" s="7"/>
      <c r="AL61" s="7"/>
      <c r="AM61" s="7"/>
    </row>
    <row r="62" ht="14.25" customHeight="1">
      <c r="A62" s="53"/>
      <c r="B62" s="713" t="s">
        <v>1682</v>
      </c>
      <c r="C62" s="278"/>
      <c r="D62" s="646">
        <v>2255.0</v>
      </c>
      <c r="E62" s="717">
        <v>0.1</v>
      </c>
      <c r="F62" s="714">
        <f>(D62*E62)*$C$17</f>
        <v>319082.5</v>
      </c>
      <c r="G62" s="716">
        <f t="shared" ref="G62:U62" si="32">+$E$62*$D$62*G17</f>
        <v>338250</v>
      </c>
      <c r="H62" s="716">
        <f t="shared" si="32"/>
        <v>344338.5</v>
      </c>
      <c r="I62" s="716">
        <f t="shared" si="32"/>
        <v>350536.593</v>
      </c>
      <c r="J62" s="716">
        <f t="shared" si="32"/>
        <v>319082.5</v>
      </c>
      <c r="K62" s="716">
        <f t="shared" si="32"/>
        <v>308935</v>
      </c>
      <c r="L62" s="716">
        <f t="shared" si="32"/>
        <v>305552.5</v>
      </c>
      <c r="M62" s="716">
        <f t="shared" si="32"/>
        <v>307807.5</v>
      </c>
      <c r="N62" s="716">
        <f t="shared" si="32"/>
        <v>312424.6125</v>
      </c>
      <c r="O62" s="716">
        <f t="shared" si="32"/>
        <v>317110.9817</v>
      </c>
      <c r="P62" s="716">
        <f t="shared" si="32"/>
        <v>321867.6464</v>
      </c>
      <c r="Q62" s="716">
        <f t="shared" si="32"/>
        <v>326695.6611</v>
      </c>
      <c r="R62" s="716">
        <f t="shared" si="32"/>
        <v>331596.096</v>
      </c>
      <c r="S62" s="716">
        <f t="shared" si="32"/>
        <v>336570.0375</v>
      </c>
      <c r="T62" s="716">
        <f t="shared" si="32"/>
        <v>341618.588</v>
      </c>
      <c r="U62" s="716">
        <f t="shared" si="32"/>
        <v>346742.8668</v>
      </c>
      <c r="V62" s="40">
        <f t="shared" si="33"/>
        <v>1.086687195</v>
      </c>
      <c r="W62" s="644">
        <v>45925.0</v>
      </c>
      <c r="X62" s="644">
        <v>45957.0</v>
      </c>
      <c r="Y62" s="644">
        <v>45987.0</v>
      </c>
      <c r="Z62" s="644">
        <v>46017.0</v>
      </c>
      <c r="AA62" s="644">
        <v>46023.0</v>
      </c>
      <c r="AB62" s="644">
        <v>46054.0</v>
      </c>
      <c r="AC62" s="644">
        <v>46112.0</v>
      </c>
      <c r="AD62" s="644">
        <v>46142.0</v>
      </c>
      <c r="AE62" s="644">
        <v>46172.0</v>
      </c>
      <c r="AF62" s="644">
        <v>46202.0</v>
      </c>
      <c r="AG62" s="644">
        <v>46232.0</v>
      </c>
      <c r="AH62" s="644">
        <v>46262.0</v>
      </c>
      <c r="AI62" s="644">
        <v>46292.0</v>
      </c>
      <c r="AJ62" s="644">
        <v>46322.0</v>
      </c>
      <c r="AK62" s="645">
        <v>46352.0</v>
      </c>
      <c r="AL62" s="644">
        <v>46382.0</v>
      </c>
      <c r="AM62" s="7"/>
    </row>
    <row r="63" ht="14.25" customHeight="1">
      <c r="A63" s="53"/>
      <c r="B63" s="713" t="s">
        <v>1696</v>
      </c>
      <c r="C63" s="278"/>
      <c r="D63" s="651">
        <v>4386.0</v>
      </c>
      <c r="E63" s="658">
        <v>74.81</v>
      </c>
      <c r="F63" s="714">
        <f t="shared" ref="F63:F65" si="36">+E63*D63</f>
        <v>328116.66</v>
      </c>
      <c r="G63" s="716">
        <f t="shared" ref="G63:U63" si="34">+$D$63*X63</f>
        <v>335663.3432</v>
      </c>
      <c r="H63" s="716">
        <f t="shared" si="34"/>
        <v>342376.61</v>
      </c>
      <c r="I63" s="716">
        <f t="shared" si="34"/>
        <v>349224.1422</v>
      </c>
      <c r="J63" s="716">
        <f t="shared" si="34"/>
        <v>359351.6424</v>
      </c>
      <c r="K63" s="716">
        <f t="shared" si="34"/>
        <v>369772.84</v>
      </c>
      <c r="L63" s="716">
        <f t="shared" si="34"/>
        <v>382345.1166</v>
      </c>
      <c r="M63" s="716">
        <f t="shared" si="34"/>
        <v>392286.0896</v>
      </c>
      <c r="N63" s="716">
        <f t="shared" si="34"/>
        <v>403662.3862</v>
      </c>
      <c r="O63" s="716">
        <f t="shared" si="34"/>
        <v>415368.5954</v>
      </c>
      <c r="P63" s="716">
        <f t="shared" si="34"/>
        <v>427414.2847</v>
      </c>
      <c r="Q63" s="716">
        <f t="shared" si="34"/>
        <v>439809.2989</v>
      </c>
      <c r="R63" s="716">
        <f t="shared" si="34"/>
        <v>452563.7686</v>
      </c>
      <c r="S63" s="716">
        <f t="shared" si="34"/>
        <v>465688.1179</v>
      </c>
      <c r="T63" s="716">
        <f t="shared" si="34"/>
        <v>479193.0733</v>
      </c>
      <c r="U63" s="716">
        <f t="shared" si="34"/>
        <v>493089.6724</v>
      </c>
      <c r="V63" s="40">
        <f t="shared" si="33"/>
        <v>1.372164794</v>
      </c>
      <c r="W63" s="718">
        <f t="shared" ref="W63:W65" si="38">+E63</f>
        <v>74.81</v>
      </c>
      <c r="X63" s="718">
        <f>+W63*(1+$G$19)</f>
        <v>76.53063</v>
      </c>
      <c r="Y63" s="718">
        <f t="shared" ref="Y63:AL63" si="35">+X63*(1+H19)</f>
        <v>78.0612426</v>
      </c>
      <c r="Z63" s="718">
        <f t="shared" si="35"/>
        <v>79.62246745</v>
      </c>
      <c r="AA63" s="718">
        <f t="shared" si="35"/>
        <v>81.93151901</v>
      </c>
      <c r="AB63" s="718">
        <f t="shared" si="35"/>
        <v>84.30753306</v>
      </c>
      <c r="AC63" s="718">
        <f t="shared" si="35"/>
        <v>87.17398918</v>
      </c>
      <c r="AD63" s="718">
        <f t="shared" si="35"/>
        <v>89.4405129</v>
      </c>
      <c r="AE63" s="718">
        <f t="shared" si="35"/>
        <v>92.03428778</v>
      </c>
      <c r="AF63" s="718">
        <f t="shared" si="35"/>
        <v>94.70328212</v>
      </c>
      <c r="AG63" s="718">
        <f t="shared" si="35"/>
        <v>97.4496773</v>
      </c>
      <c r="AH63" s="718">
        <f t="shared" si="35"/>
        <v>100.2757179</v>
      </c>
      <c r="AI63" s="718">
        <f t="shared" si="35"/>
        <v>103.1837138</v>
      </c>
      <c r="AJ63" s="718">
        <f t="shared" si="35"/>
        <v>106.1760415</v>
      </c>
      <c r="AK63" s="718">
        <f t="shared" si="35"/>
        <v>109.2551467</v>
      </c>
      <c r="AL63" s="718">
        <f t="shared" si="35"/>
        <v>112.4235459</v>
      </c>
      <c r="AM63" s="7"/>
    </row>
    <row r="64" ht="14.25" customHeight="1">
      <c r="A64" s="53"/>
      <c r="B64" s="713" t="s">
        <v>1697</v>
      </c>
      <c r="C64" s="278"/>
      <c r="D64" s="651">
        <v>3895.0</v>
      </c>
      <c r="E64" s="658">
        <v>47.09</v>
      </c>
      <c r="F64" s="714">
        <f t="shared" si="36"/>
        <v>183415.55</v>
      </c>
      <c r="G64" s="716">
        <f t="shared" ref="G64:U64" si="37">+$D$64*X64</f>
        <v>187634.1077</v>
      </c>
      <c r="H64" s="716">
        <f t="shared" si="37"/>
        <v>191386.7898</v>
      </c>
      <c r="I64" s="716">
        <f t="shared" si="37"/>
        <v>195214.5256</v>
      </c>
      <c r="J64" s="716">
        <f t="shared" si="37"/>
        <v>200875.7468</v>
      </c>
      <c r="K64" s="716">
        <f t="shared" si="37"/>
        <v>206701.1435</v>
      </c>
      <c r="L64" s="716">
        <f t="shared" si="37"/>
        <v>213728.9824</v>
      </c>
      <c r="M64" s="716">
        <f t="shared" si="37"/>
        <v>219285.9359</v>
      </c>
      <c r="N64" s="716">
        <f t="shared" si="37"/>
        <v>225645.2281</v>
      </c>
      <c r="O64" s="716">
        <f t="shared" si="37"/>
        <v>232188.9397</v>
      </c>
      <c r="P64" s="716">
        <f t="shared" si="37"/>
        <v>238922.4189</v>
      </c>
      <c r="Q64" s="716">
        <f t="shared" si="37"/>
        <v>245851.1691</v>
      </c>
      <c r="R64" s="716">
        <f t="shared" si="37"/>
        <v>252980.853</v>
      </c>
      <c r="S64" s="716">
        <f t="shared" si="37"/>
        <v>260317.2977</v>
      </c>
      <c r="T64" s="716">
        <f t="shared" si="37"/>
        <v>267866.4993</v>
      </c>
      <c r="U64" s="716">
        <f t="shared" si="37"/>
        <v>275634.6278</v>
      </c>
      <c r="V64" s="40">
        <f t="shared" si="33"/>
        <v>1.372164794</v>
      </c>
      <c r="W64" s="718">
        <f t="shared" si="38"/>
        <v>47.09</v>
      </c>
      <c r="X64" s="718">
        <f t="shared" ref="X64:AL64" si="39">+W64*(1+G19)</f>
        <v>48.17307</v>
      </c>
      <c r="Y64" s="718">
        <f t="shared" si="39"/>
        <v>49.1365314</v>
      </c>
      <c r="Z64" s="718">
        <f t="shared" si="39"/>
        <v>50.11926203</v>
      </c>
      <c r="AA64" s="718">
        <f t="shared" si="39"/>
        <v>51.57272063</v>
      </c>
      <c r="AB64" s="718">
        <f t="shared" si="39"/>
        <v>53.06832952</v>
      </c>
      <c r="AC64" s="718">
        <f t="shared" si="39"/>
        <v>54.87265273</v>
      </c>
      <c r="AD64" s="718">
        <f t="shared" si="39"/>
        <v>56.2993417</v>
      </c>
      <c r="AE64" s="718">
        <f t="shared" si="39"/>
        <v>57.93202261</v>
      </c>
      <c r="AF64" s="718">
        <f t="shared" si="39"/>
        <v>59.61205126</v>
      </c>
      <c r="AG64" s="718">
        <f t="shared" si="39"/>
        <v>61.34080075</v>
      </c>
      <c r="AH64" s="718">
        <f t="shared" si="39"/>
        <v>63.11968397</v>
      </c>
      <c r="AI64" s="718">
        <f t="shared" si="39"/>
        <v>64.95015481</v>
      </c>
      <c r="AJ64" s="718">
        <f t="shared" si="39"/>
        <v>66.8337093</v>
      </c>
      <c r="AK64" s="718">
        <f t="shared" si="39"/>
        <v>68.77188687</v>
      </c>
      <c r="AL64" s="718">
        <f t="shared" si="39"/>
        <v>70.76627159</v>
      </c>
      <c r="AM64" s="7"/>
    </row>
    <row r="65" ht="14.25" customHeight="1">
      <c r="A65" s="53"/>
      <c r="B65" s="713" t="s">
        <v>1698</v>
      </c>
      <c r="C65" s="278"/>
      <c r="D65" s="651">
        <v>394.0</v>
      </c>
      <c r="E65" s="719">
        <v>994.37</v>
      </c>
      <c r="F65" s="714">
        <f t="shared" si="36"/>
        <v>391781.78</v>
      </c>
      <c r="G65" s="716">
        <f t="shared" ref="G65:U65" si="40">+$D$65*X65</f>
        <v>400792.7609</v>
      </c>
      <c r="H65" s="716">
        <f t="shared" si="40"/>
        <v>408808.6162</v>
      </c>
      <c r="I65" s="716">
        <f t="shared" si="40"/>
        <v>416984.7885</v>
      </c>
      <c r="J65" s="716">
        <f t="shared" si="40"/>
        <v>429077.3473</v>
      </c>
      <c r="K65" s="716">
        <f t="shared" si="40"/>
        <v>441520.5904</v>
      </c>
      <c r="L65" s="716">
        <f t="shared" si="40"/>
        <v>456532.2905</v>
      </c>
      <c r="M65" s="716">
        <f t="shared" si="40"/>
        <v>468402.13</v>
      </c>
      <c r="N65" s="716">
        <f t="shared" si="40"/>
        <v>481985.7918</v>
      </c>
      <c r="O65" s="716">
        <f t="shared" si="40"/>
        <v>495963.3798</v>
      </c>
      <c r="P65" s="716">
        <f t="shared" si="40"/>
        <v>510346.3178</v>
      </c>
      <c r="Q65" s="716">
        <f t="shared" si="40"/>
        <v>525146.361</v>
      </c>
      <c r="R65" s="716">
        <f t="shared" si="40"/>
        <v>540375.6055</v>
      </c>
      <c r="S65" s="716">
        <f t="shared" si="40"/>
        <v>556046.498</v>
      </c>
      <c r="T65" s="716">
        <f t="shared" si="40"/>
        <v>572171.8465</v>
      </c>
      <c r="U65" s="716">
        <f t="shared" si="40"/>
        <v>588764.83</v>
      </c>
      <c r="V65" s="40">
        <f t="shared" si="33"/>
        <v>1.372164794</v>
      </c>
      <c r="W65" s="718">
        <f t="shared" si="38"/>
        <v>994.37</v>
      </c>
      <c r="X65" s="718">
        <f t="shared" ref="X65:AL65" si="41">+W65*(1+G19)</f>
        <v>1017.24051</v>
      </c>
      <c r="Y65" s="718">
        <f t="shared" si="41"/>
        <v>1037.58532</v>
      </c>
      <c r="Z65" s="718">
        <f t="shared" si="41"/>
        <v>1058.337027</v>
      </c>
      <c r="AA65" s="718">
        <f t="shared" si="41"/>
        <v>1089.0288</v>
      </c>
      <c r="AB65" s="718">
        <f t="shared" si="41"/>
        <v>1120.610636</v>
      </c>
      <c r="AC65" s="718">
        <f t="shared" si="41"/>
        <v>1158.711397</v>
      </c>
      <c r="AD65" s="718">
        <f t="shared" si="41"/>
        <v>1188.837894</v>
      </c>
      <c r="AE65" s="718">
        <f t="shared" si="41"/>
        <v>1223.314192</v>
      </c>
      <c r="AF65" s="718">
        <f t="shared" si="41"/>
        <v>1258.790304</v>
      </c>
      <c r="AG65" s="718">
        <f t="shared" si="41"/>
        <v>1295.295223</v>
      </c>
      <c r="AH65" s="718">
        <f t="shared" si="41"/>
        <v>1332.858784</v>
      </c>
      <c r="AI65" s="718">
        <f t="shared" si="41"/>
        <v>1371.511689</v>
      </c>
      <c r="AJ65" s="718">
        <f t="shared" si="41"/>
        <v>1411.285528</v>
      </c>
      <c r="AK65" s="718">
        <f t="shared" si="41"/>
        <v>1452.212808</v>
      </c>
      <c r="AL65" s="718">
        <f t="shared" si="41"/>
        <v>1494.32698</v>
      </c>
      <c r="AM65" s="7"/>
    </row>
    <row r="66" ht="14.25" customHeight="1">
      <c r="A66" s="53"/>
      <c r="B66" s="720" t="s">
        <v>1699</v>
      </c>
      <c r="C66" s="277"/>
      <c r="D66" s="277"/>
      <c r="E66" s="278"/>
      <c r="F66" s="653">
        <f t="shared" ref="F66:U66" si="42">SUM(F61:F65)</f>
        <v>1955316.2</v>
      </c>
      <c r="G66" s="721">
        <f t="shared" si="42"/>
        <v>2039357.192</v>
      </c>
      <c r="H66" s="721">
        <f t="shared" si="42"/>
        <v>2063927.496</v>
      </c>
      <c r="I66" s="721">
        <f t="shared" si="42"/>
        <v>2088977.029</v>
      </c>
      <c r="J66" s="721">
        <f t="shared" si="42"/>
        <v>2135389.097</v>
      </c>
      <c r="K66" s="721">
        <f t="shared" si="42"/>
        <v>2153931.435</v>
      </c>
      <c r="L66" s="721">
        <f t="shared" si="42"/>
        <v>2185160.75</v>
      </c>
      <c r="M66" s="721">
        <f t="shared" si="42"/>
        <v>2293217.691</v>
      </c>
      <c r="N66" s="721">
        <f t="shared" si="42"/>
        <v>2329154.054</v>
      </c>
      <c r="O66" s="721">
        <f t="shared" si="42"/>
        <v>2366067.932</v>
      </c>
      <c r="P66" s="721">
        <f t="shared" si="42"/>
        <v>2482189.998</v>
      </c>
      <c r="Q66" s="721">
        <f t="shared" si="42"/>
        <v>2521141.82</v>
      </c>
      <c r="R66" s="721">
        <f t="shared" si="42"/>
        <v>2561155.653</v>
      </c>
      <c r="S66" s="721">
        <f t="shared" si="42"/>
        <v>2690343.615</v>
      </c>
      <c r="T66" s="721">
        <f t="shared" si="42"/>
        <v>2732571.671</v>
      </c>
      <c r="U66" s="721">
        <f t="shared" si="42"/>
        <v>2775953.661</v>
      </c>
      <c r="V66" s="672">
        <f>SUM(J66:U66)</f>
        <v>29226277.38</v>
      </c>
      <c r="W66" s="7"/>
      <c r="X66" s="7"/>
      <c r="Y66" s="7"/>
      <c r="Z66" s="7"/>
      <c r="AA66" s="7"/>
      <c r="AB66" s="7"/>
      <c r="AC66" s="7"/>
      <c r="AD66" s="7"/>
      <c r="AE66" s="7"/>
      <c r="AF66" s="7"/>
      <c r="AG66" s="7"/>
      <c r="AH66" s="7"/>
      <c r="AI66" s="7"/>
      <c r="AJ66" s="7"/>
      <c r="AK66" s="7"/>
      <c r="AL66" s="7"/>
      <c r="AM66" s="7"/>
    </row>
    <row r="67" ht="14.25" customHeight="1">
      <c r="A67" s="53"/>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row>
    <row r="68" ht="14.25" customHeight="1">
      <c r="A68" s="53"/>
      <c r="B68" s="7"/>
      <c r="C68" s="7"/>
      <c r="D68" s="722"/>
      <c r="E68" s="722"/>
      <c r="F68" s="722"/>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row>
    <row r="69" ht="14.25" customHeight="1">
      <c r="A69" s="53"/>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row>
    <row r="70" ht="14.25" customHeight="1">
      <c r="A70" s="53"/>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row>
    <row r="71" ht="14.25" customHeight="1">
      <c r="A71" s="53"/>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row>
    <row r="72" ht="14.25" customHeight="1">
      <c r="A72" s="53"/>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row>
    <row r="73" ht="14.25" customHeight="1">
      <c r="A73" s="53"/>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row>
    <row r="74" ht="14.25" customHeight="1">
      <c r="A74" s="53"/>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row>
    <row r="75" ht="14.25" customHeight="1">
      <c r="A75" s="53"/>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row>
    <row r="76" ht="14.25" customHeight="1">
      <c r="A76" s="53"/>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row>
    <row r="77" ht="14.25" customHeight="1">
      <c r="A77" s="53"/>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row>
    <row r="78" ht="14.25" customHeight="1">
      <c r="A78" s="53"/>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row>
    <row r="79" ht="14.25" customHeight="1">
      <c r="A79" s="53"/>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ht="14.25" customHeight="1">
      <c r="A80" s="53"/>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ht="14.25" customHeight="1">
      <c r="A81" s="53"/>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row>
    <row r="82" ht="14.25" customHeight="1">
      <c r="A82" s="53"/>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row>
    <row r="83" ht="14.25" customHeight="1">
      <c r="A83" s="53"/>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row>
    <row r="84" ht="14.25" customHeight="1">
      <c r="A84" s="53"/>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row>
    <row r="85" ht="14.25" customHeight="1">
      <c r="A85" s="53"/>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row>
    <row r="86" ht="14.25" customHeight="1">
      <c r="A86" s="53"/>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row>
    <row r="87" ht="14.25" customHeight="1">
      <c r="A87" s="53"/>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row>
    <row r="88" ht="14.25" customHeight="1">
      <c r="A88" s="53"/>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row>
    <row r="89" ht="14.25" customHeight="1">
      <c r="A89" s="53"/>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row>
    <row r="90" ht="14.25" customHeight="1">
      <c r="A90" s="53"/>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row>
    <row r="91" ht="14.25" customHeight="1">
      <c r="A91" s="53"/>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row>
    <row r="92" ht="14.25" customHeight="1">
      <c r="A92" s="53"/>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row>
    <row r="93" ht="14.25" customHeight="1">
      <c r="A93" s="53"/>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row>
    <row r="94" ht="14.25" customHeight="1">
      <c r="A94" s="53"/>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row>
    <row r="95" ht="14.25" customHeight="1">
      <c r="A95" s="53"/>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row>
    <row r="96" ht="14.25" customHeight="1">
      <c r="A96" s="53"/>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row>
    <row r="97" ht="14.25" customHeight="1">
      <c r="A97" s="53"/>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row>
    <row r="98" ht="14.25" customHeight="1">
      <c r="A98" s="53"/>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row>
    <row r="99" ht="14.25" customHeight="1">
      <c r="A99" s="53"/>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row>
    <row r="100" ht="14.25" customHeight="1">
      <c r="A100" s="53"/>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row>
    <row r="101" ht="14.25" customHeight="1">
      <c r="A101" s="53"/>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row>
    <row r="102" ht="14.25" customHeight="1">
      <c r="A102" s="53"/>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row>
    <row r="103" ht="14.25" customHeight="1">
      <c r="A103" s="53"/>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row>
    <row r="104" ht="14.25" customHeight="1">
      <c r="A104" s="53"/>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row>
    <row r="105" ht="14.25" customHeight="1">
      <c r="A105" s="53"/>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row>
    <row r="106" ht="14.25" customHeight="1">
      <c r="A106" s="53"/>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row>
    <row r="107" ht="14.25" customHeight="1">
      <c r="A107" s="53"/>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row>
    <row r="108" ht="14.25" customHeight="1">
      <c r="A108" s="53"/>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row>
    <row r="109" ht="14.25" customHeight="1">
      <c r="A109" s="53"/>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row>
    <row r="110" ht="14.25" customHeight="1">
      <c r="A110" s="53"/>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row>
    <row r="111" ht="14.25" customHeight="1">
      <c r="A111" s="53"/>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row>
    <row r="112" ht="14.25" customHeight="1">
      <c r="A112" s="53"/>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row>
    <row r="113" ht="14.25" customHeight="1">
      <c r="A113" s="53"/>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row>
    <row r="114" ht="14.25" customHeight="1">
      <c r="A114" s="53"/>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row>
    <row r="115" ht="14.25" customHeight="1">
      <c r="A115" s="53"/>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row>
    <row r="116" ht="14.25" customHeight="1">
      <c r="A116" s="53"/>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row>
    <row r="117" ht="14.25" customHeight="1">
      <c r="A117" s="53"/>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row>
    <row r="118" ht="14.25" customHeight="1">
      <c r="A118" s="53"/>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row>
    <row r="119" ht="14.25" customHeight="1">
      <c r="A119" s="53"/>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row>
    <row r="120" ht="14.25" customHeight="1">
      <c r="A120" s="53"/>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row>
    <row r="121" ht="14.25" customHeight="1">
      <c r="A121" s="53"/>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row>
    <row r="122" ht="14.25" customHeight="1">
      <c r="A122" s="53"/>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row>
    <row r="123" ht="14.25" customHeight="1">
      <c r="A123" s="53"/>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row>
    <row r="124" ht="14.25" customHeight="1">
      <c r="A124" s="53"/>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row>
    <row r="125" ht="14.25" customHeight="1">
      <c r="A125" s="53"/>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row>
    <row r="126" ht="14.25" customHeight="1">
      <c r="A126" s="53"/>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row>
    <row r="127" ht="14.25" customHeight="1">
      <c r="A127" s="53"/>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row>
    <row r="128" ht="14.25" customHeight="1">
      <c r="A128" s="53"/>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row>
    <row r="129" ht="14.25" customHeight="1">
      <c r="A129" s="53"/>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row>
    <row r="130" ht="14.25" customHeight="1">
      <c r="A130" s="53"/>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row>
    <row r="131" ht="14.25" customHeight="1">
      <c r="A131" s="53"/>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row>
    <row r="132" ht="14.25" customHeight="1">
      <c r="A132" s="53"/>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row>
    <row r="133" ht="14.25" customHeight="1">
      <c r="A133" s="53"/>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row>
    <row r="134" ht="14.25" customHeight="1">
      <c r="A134" s="53"/>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row>
    <row r="135" ht="14.25" customHeight="1">
      <c r="A135" s="53"/>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row>
    <row r="136" ht="14.25" customHeight="1">
      <c r="A136" s="53"/>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row>
    <row r="137" ht="14.25" customHeight="1">
      <c r="A137" s="53"/>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row>
    <row r="138" ht="14.25" customHeight="1">
      <c r="A138" s="53"/>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row>
    <row r="139" ht="14.25" customHeight="1">
      <c r="A139" s="53"/>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row>
    <row r="140" ht="14.25" customHeight="1">
      <c r="A140" s="53"/>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row>
    <row r="141" ht="14.25" customHeight="1">
      <c r="A141" s="53"/>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row>
    <row r="142" ht="14.25" customHeight="1">
      <c r="A142" s="53"/>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row>
    <row r="143" ht="14.25" customHeight="1">
      <c r="A143" s="53"/>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row>
    <row r="144" ht="14.25" customHeight="1">
      <c r="A144" s="53"/>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row>
    <row r="145" ht="14.25" customHeight="1">
      <c r="A145" s="53"/>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row>
    <row r="146" ht="14.25" customHeight="1">
      <c r="A146" s="53"/>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row>
    <row r="147" ht="14.25" customHeight="1">
      <c r="A147" s="53"/>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row>
    <row r="148" ht="14.25" customHeight="1">
      <c r="A148" s="53"/>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row>
    <row r="149" ht="14.25" customHeight="1">
      <c r="A149" s="53"/>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row>
    <row r="150" ht="14.25" customHeight="1">
      <c r="A150" s="53"/>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row>
    <row r="151" ht="14.25" customHeight="1">
      <c r="A151" s="53"/>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row>
    <row r="152" ht="14.25" customHeight="1">
      <c r="A152" s="53"/>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row>
    <row r="153" ht="14.25" customHeight="1">
      <c r="A153" s="53"/>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row>
    <row r="154" ht="14.25" customHeight="1">
      <c r="A154" s="53"/>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row>
    <row r="155" ht="14.25" customHeight="1">
      <c r="A155" s="53"/>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row>
    <row r="156" ht="14.25" customHeight="1">
      <c r="A156" s="53"/>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row>
    <row r="157" ht="14.25" customHeight="1">
      <c r="A157" s="53"/>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row>
    <row r="158" ht="14.25" customHeight="1">
      <c r="A158" s="53"/>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row>
    <row r="159" ht="14.25" customHeight="1">
      <c r="A159" s="53"/>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row>
    <row r="160" ht="14.25" customHeight="1">
      <c r="A160" s="53"/>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row>
    <row r="161" ht="14.25" customHeight="1">
      <c r="A161" s="53"/>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row>
    <row r="162" ht="14.25" customHeight="1">
      <c r="A162" s="53"/>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row>
    <row r="163" ht="14.25" customHeight="1">
      <c r="A163" s="53"/>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row>
    <row r="164" ht="14.25" customHeight="1">
      <c r="A164" s="53"/>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row>
    <row r="165" ht="14.25" customHeight="1">
      <c r="A165" s="53"/>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row>
    <row r="166" ht="14.25" customHeight="1">
      <c r="A166" s="53"/>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row>
    <row r="167" ht="14.25" customHeight="1">
      <c r="A167" s="53"/>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row>
    <row r="168" ht="14.25" customHeight="1">
      <c r="A168" s="53"/>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row>
    <row r="169" ht="14.25" customHeight="1">
      <c r="A169" s="53"/>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ht="14.25" customHeight="1">
      <c r="A170" s="53"/>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ht="14.25" customHeight="1">
      <c r="A171" s="53"/>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row>
    <row r="172" ht="14.25" customHeight="1">
      <c r="A172" s="53"/>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row>
    <row r="173" ht="14.25" customHeight="1">
      <c r="A173" s="53"/>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row>
    <row r="174" ht="14.25" customHeight="1">
      <c r="A174" s="53"/>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row>
    <row r="175" ht="14.25" customHeight="1">
      <c r="A175" s="53"/>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row>
    <row r="176" ht="14.25" customHeight="1">
      <c r="A176" s="53"/>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row>
    <row r="177" ht="14.25" customHeight="1">
      <c r="A177" s="53"/>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row>
    <row r="178" ht="14.25" customHeight="1">
      <c r="A178" s="53"/>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row>
    <row r="179" ht="14.25" customHeight="1">
      <c r="A179" s="53"/>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row>
    <row r="180" ht="14.25" customHeight="1">
      <c r="A180" s="53"/>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row>
    <row r="181" ht="14.25" customHeight="1">
      <c r="A181" s="53"/>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row>
    <row r="182" ht="14.25" customHeight="1">
      <c r="A182" s="53"/>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row>
    <row r="183" ht="14.25" customHeight="1">
      <c r="A183" s="53"/>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row>
    <row r="184" ht="14.25" customHeight="1">
      <c r="A184" s="53"/>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row>
    <row r="185" ht="14.25" customHeight="1">
      <c r="A185" s="53"/>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row>
    <row r="186" ht="14.25" customHeight="1">
      <c r="A186" s="53"/>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row>
    <row r="187" ht="14.25" customHeight="1">
      <c r="A187" s="53"/>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row>
    <row r="188" ht="14.25" customHeight="1">
      <c r="A188" s="53"/>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row>
    <row r="189" ht="14.25" customHeight="1">
      <c r="A189" s="53"/>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row>
    <row r="190" ht="14.25" customHeight="1">
      <c r="A190" s="53"/>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row>
    <row r="191" ht="14.25" customHeight="1">
      <c r="A191" s="53"/>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row>
    <row r="192" ht="14.25" customHeight="1">
      <c r="A192" s="53"/>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row>
    <row r="193" ht="14.25" customHeight="1">
      <c r="A193" s="53"/>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row>
    <row r="194" ht="14.25" customHeight="1">
      <c r="A194" s="53"/>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row>
    <row r="195" ht="14.25" customHeight="1">
      <c r="A195" s="53"/>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row>
    <row r="196" ht="14.25" customHeight="1">
      <c r="A196" s="53"/>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row>
    <row r="197" ht="14.25" customHeight="1">
      <c r="A197" s="53"/>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row>
    <row r="198" ht="14.25" customHeight="1">
      <c r="A198" s="53"/>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row>
    <row r="199" ht="14.25" customHeight="1">
      <c r="A199" s="53"/>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row>
    <row r="200" ht="14.25" customHeight="1">
      <c r="A200" s="53"/>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row>
    <row r="201" ht="14.25" customHeight="1">
      <c r="A201" s="53"/>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row>
    <row r="202" ht="14.25" customHeight="1">
      <c r="A202" s="53"/>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ht="14.25" customHeight="1">
      <c r="A203" s="53"/>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row>
    <row r="204" ht="14.25" customHeight="1">
      <c r="A204" s="53"/>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row>
    <row r="205" ht="14.25" customHeight="1">
      <c r="A205" s="53"/>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row>
    <row r="206" ht="14.25" customHeight="1">
      <c r="A206" s="53"/>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row>
    <row r="207" ht="14.25" customHeight="1">
      <c r="A207" s="53"/>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row>
    <row r="208" ht="14.25" customHeight="1">
      <c r="A208" s="53"/>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row>
    <row r="209" ht="14.25" customHeight="1">
      <c r="A209" s="53"/>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row>
    <row r="210" ht="14.25" customHeight="1">
      <c r="A210" s="53"/>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row>
    <row r="211" ht="14.25" customHeight="1">
      <c r="A211" s="53"/>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row>
    <row r="212" ht="14.25" customHeight="1">
      <c r="A212" s="53"/>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ht="14.25" customHeight="1">
      <c r="A213" s="53"/>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row>
    <row r="214" ht="14.25" customHeight="1">
      <c r="A214" s="53"/>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row>
    <row r="215" ht="14.25" customHeight="1">
      <c r="A215" s="53"/>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row>
    <row r="216" ht="14.25" customHeight="1">
      <c r="A216" s="53"/>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row>
    <row r="217" ht="14.25" customHeight="1">
      <c r="A217" s="53"/>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row>
    <row r="218" ht="14.25" customHeight="1">
      <c r="A218" s="53"/>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row>
    <row r="219" ht="14.25" customHeight="1">
      <c r="A219" s="53"/>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row>
    <row r="220" ht="14.25" customHeight="1">
      <c r="A220" s="53"/>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row>
    <row r="221" ht="14.25" customHeight="1">
      <c r="A221" s="53"/>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row>
    <row r="222" ht="14.25" customHeight="1">
      <c r="A222" s="53"/>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ht="14.25" customHeight="1">
      <c r="A223" s="53"/>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row>
    <row r="224" ht="14.25" customHeight="1">
      <c r="A224" s="53"/>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row>
    <row r="225" ht="14.25" customHeight="1">
      <c r="A225" s="53"/>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row>
    <row r="226" ht="14.25" customHeight="1">
      <c r="A226" s="53"/>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row>
    <row r="227" ht="14.25" customHeight="1">
      <c r="A227" s="53"/>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row>
    <row r="228" ht="14.25" customHeight="1">
      <c r="A228" s="53"/>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row>
    <row r="229" ht="14.25" customHeight="1">
      <c r="A229" s="53"/>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row>
    <row r="230" ht="14.25" customHeight="1">
      <c r="A230" s="53"/>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row>
    <row r="231" ht="14.25" customHeight="1">
      <c r="A231" s="53"/>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row>
    <row r="232" ht="14.25" customHeight="1">
      <c r="A232" s="53"/>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row>
    <row r="233" ht="14.25" customHeight="1">
      <c r="A233" s="53"/>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row>
    <row r="234" ht="14.25" customHeight="1">
      <c r="A234" s="53"/>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row>
    <row r="235" ht="14.25" customHeight="1">
      <c r="A235" s="53"/>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row>
    <row r="236" ht="14.25" customHeight="1">
      <c r="A236" s="53"/>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row>
    <row r="237" ht="14.25" customHeight="1">
      <c r="A237" s="53"/>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row>
    <row r="238" ht="14.25" customHeight="1">
      <c r="A238" s="53"/>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row>
    <row r="239" ht="14.25" customHeight="1">
      <c r="A239" s="53"/>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row>
    <row r="240" ht="14.25" customHeight="1">
      <c r="A240" s="53"/>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row>
    <row r="241" ht="14.25" customHeight="1">
      <c r="A241" s="53"/>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row>
    <row r="242" ht="14.25" customHeight="1">
      <c r="A242" s="53"/>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row>
    <row r="243" ht="14.25" customHeight="1">
      <c r="A243" s="53"/>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row>
    <row r="244" ht="14.25" customHeight="1">
      <c r="A244" s="53"/>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row>
    <row r="245" ht="14.25" customHeight="1">
      <c r="A245" s="53"/>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row>
    <row r="246" ht="14.25" customHeight="1">
      <c r="A246" s="53"/>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ht="14.25" customHeight="1">
      <c r="A247" s="53"/>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row>
    <row r="248" ht="14.25" customHeight="1">
      <c r="A248" s="53"/>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row>
    <row r="249" ht="14.25" customHeight="1">
      <c r="A249" s="53"/>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row>
    <row r="250" ht="14.25" customHeight="1">
      <c r="A250" s="53"/>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row>
    <row r="251" ht="14.25" customHeight="1">
      <c r="A251" s="53"/>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row>
    <row r="252" ht="14.25" customHeight="1">
      <c r="A252" s="53"/>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row>
    <row r="253" ht="14.25" customHeight="1">
      <c r="A253" s="53"/>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row>
    <row r="254" ht="14.25" customHeight="1">
      <c r="A254" s="53"/>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ht="14.25" customHeight="1">
      <c r="A255" s="53"/>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ht="14.25" customHeight="1">
      <c r="A256" s="53"/>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row>
    <row r="257" ht="14.25" customHeight="1">
      <c r="A257" s="53"/>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row>
    <row r="258" ht="14.25" customHeight="1">
      <c r="A258" s="53"/>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row>
    <row r="259" ht="14.25" customHeight="1">
      <c r="A259" s="53"/>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row>
    <row r="260" ht="14.25" customHeight="1">
      <c r="A260" s="53"/>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row>
    <row r="261" ht="14.25" customHeight="1">
      <c r="A261" s="53"/>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row>
    <row r="262" ht="14.25" customHeight="1">
      <c r="A262" s="53"/>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row>
    <row r="263" ht="14.25" customHeight="1">
      <c r="A263" s="53"/>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row>
    <row r="264" ht="14.25" customHeight="1">
      <c r="A264" s="53"/>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row>
    <row r="265" ht="14.25" customHeight="1">
      <c r="A265" s="53"/>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row>
    <row r="266" ht="14.25" customHeight="1">
      <c r="A266" s="53"/>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2:F2"/>
    <mergeCell ref="B3:B4"/>
    <mergeCell ref="C3:C4"/>
    <mergeCell ref="D3:F3"/>
    <mergeCell ref="B10:F10"/>
    <mergeCell ref="B11:B12"/>
    <mergeCell ref="D11:F11"/>
    <mergeCell ref="B59:C60"/>
    <mergeCell ref="B61:C61"/>
    <mergeCell ref="B62:C62"/>
    <mergeCell ref="B63:C63"/>
    <mergeCell ref="B64:C64"/>
    <mergeCell ref="B65:C65"/>
    <mergeCell ref="B66:E66"/>
    <mergeCell ref="C11:C12"/>
    <mergeCell ref="B15:E15"/>
    <mergeCell ref="E29:H29"/>
    <mergeCell ref="A50:B50"/>
    <mergeCell ref="A51:A53"/>
    <mergeCell ref="E58:I58"/>
    <mergeCell ref="D59:F59"/>
  </mergeCells>
  <printOptions/>
  <pageMargins bottom="0.75" footer="0.0" header="0.0" left="0.7" right="0.7" top="0.75"/>
  <pageSetup paperSize="9" orientation="portrait"/>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63"/>
    <col customWidth="1" min="2" max="2" width="11.5"/>
    <col customWidth="1" min="3" max="3" width="15.63"/>
    <col customWidth="1" min="4" max="4" width="15.88"/>
    <col customWidth="1" min="5" max="5" width="17.38"/>
    <col customWidth="1" min="6" max="6" width="14.5"/>
    <col customWidth="1" min="7" max="7" width="17.75"/>
    <col customWidth="1" min="8" max="8" width="14.13"/>
    <col customWidth="1" min="9" max="10" width="11.5"/>
    <col customWidth="1" min="11" max="26" width="10.63"/>
  </cols>
  <sheetData>
    <row r="1" ht="14.25" customHeight="1">
      <c r="A1" s="723" t="s">
        <v>1700</v>
      </c>
      <c r="B1" s="724"/>
      <c r="C1" s="725" t="s">
        <v>1701</v>
      </c>
      <c r="D1" s="726" t="s">
        <v>1702</v>
      </c>
      <c r="E1" s="724"/>
      <c r="F1" s="724"/>
      <c r="G1" s="727" t="s">
        <v>1703</v>
      </c>
      <c r="H1" s="278"/>
      <c r="I1" s="724"/>
      <c r="J1" s="724"/>
      <c r="K1" s="724"/>
      <c r="L1" s="724"/>
      <c r="M1" s="724"/>
      <c r="N1" s="724"/>
      <c r="O1" s="724"/>
      <c r="P1" s="724"/>
      <c r="Q1" s="724"/>
      <c r="R1" s="724"/>
      <c r="S1" s="724"/>
      <c r="T1" s="724"/>
      <c r="U1" s="724"/>
      <c r="V1" s="724"/>
      <c r="W1" s="724"/>
      <c r="X1" s="724"/>
      <c r="Y1" s="724"/>
      <c r="Z1" s="724"/>
    </row>
    <row r="2" ht="14.25" customHeight="1">
      <c r="A2" s="724"/>
      <c r="B2" s="724"/>
      <c r="C2" s="728">
        <v>0.39</v>
      </c>
      <c r="D2" s="729">
        <v>0.61</v>
      </c>
      <c r="E2" s="724"/>
      <c r="F2" s="724"/>
      <c r="G2" s="724"/>
      <c r="H2" s="724"/>
      <c r="I2" s="724"/>
      <c r="J2" s="724"/>
      <c r="K2" s="724"/>
      <c r="L2" s="724"/>
      <c r="M2" s="724"/>
      <c r="N2" s="724"/>
      <c r="O2" s="724"/>
      <c r="P2" s="724"/>
      <c r="Q2" s="724"/>
      <c r="R2" s="724"/>
      <c r="S2" s="724"/>
      <c r="T2" s="724"/>
      <c r="U2" s="724"/>
      <c r="V2" s="724"/>
      <c r="W2" s="724"/>
      <c r="X2" s="724"/>
      <c r="Y2" s="724"/>
      <c r="Z2" s="724"/>
    </row>
    <row r="3" ht="14.25" customHeight="1">
      <c r="A3" s="730" t="s">
        <v>1704</v>
      </c>
      <c r="B3" s="731">
        <v>2.8E7</v>
      </c>
      <c r="C3" s="732">
        <f>B3*C2</f>
        <v>10920000</v>
      </c>
      <c r="D3" s="733">
        <f>B3*D2</f>
        <v>17080000</v>
      </c>
      <c r="E3" s="724"/>
      <c r="F3" s="724"/>
      <c r="G3" s="724"/>
      <c r="H3" s="724"/>
      <c r="I3" s="724"/>
      <c r="J3" s="724"/>
      <c r="K3" s="724"/>
      <c r="L3" s="724"/>
      <c r="M3" s="724"/>
      <c r="N3" s="724"/>
      <c r="O3" s="724"/>
      <c r="P3" s="724"/>
      <c r="Q3" s="724"/>
      <c r="R3" s="724"/>
      <c r="S3" s="724"/>
      <c r="T3" s="724"/>
      <c r="U3" s="724"/>
      <c r="V3" s="724"/>
      <c r="W3" s="724"/>
      <c r="X3" s="724"/>
      <c r="Y3" s="724"/>
      <c r="Z3" s="724"/>
    </row>
    <row r="4" ht="14.25" customHeight="1">
      <c r="A4" s="724"/>
      <c r="B4" s="724"/>
      <c r="C4" s="724"/>
      <c r="D4" s="724"/>
      <c r="E4" s="724"/>
      <c r="F4" s="724"/>
      <c r="G4" s="724"/>
      <c r="H4" s="724"/>
      <c r="I4" s="724"/>
      <c r="J4" s="724"/>
      <c r="K4" s="724"/>
      <c r="L4" s="724"/>
      <c r="M4" s="724"/>
      <c r="N4" s="724"/>
      <c r="O4" s="724"/>
      <c r="P4" s="724"/>
      <c r="Q4" s="724"/>
      <c r="R4" s="724"/>
      <c r="S4" s="724"/>
      <c r="T4" s="724"/>
      <c r="U4" s="724"/>
      <c r="V4" s="724"/>
      <c r="W4" s="724"/>
      <c r="X4" s="724"/>
      <c r="Y4" s="724"/>
      <c r="Z4" s="724"/>
    </row>
    <row r="5" ht="14.25" customHeight="1">
      <c r="A5" s="734" t="s">
        <v>1705</v>
      </c>
      <c r="B5" s="735">
        <v>4.081</v>
      </c>
      <c r="C5" s="736">
        <f>C3*0.7*B5</f>
        <v>31195164</v>
      </c>
      <c r="D5" s="724"/>
      <c r="E5" s="737" t="s">
        <v>1706</v>
      </c>
      <c r="F5" s="735"/>
      <c r="G5" s="735"/>
      <c r="H5" s="735"/>
      <c r="I5" s="724"/>
      <c r="J5" s="724"/>
      <c r="K5" s="724"/>
      <c r="L5" s="724"/>
      <c r="M5" s="724"/>
      <c r="N5" s="724"/>
      <c r="O5" s="724"/>
      <c r="P5" s="724"/>
      <c r="Q5" s="724"/>
      <c r="R5" s="724"/>
      <c r="S5" s="724"/>
      <c r="T5" s="724"/>
      <c r="U5" s="724"/>
      <c r="V5" s="724"/>
      <c r="W5" s="724"/>
      <c r="X5" s="724"/>
      <c r="Y5" s="724"/>
      <c r="Z5" s="724"/>
    </row>
    <row r="6" ht="14.25" customHeight="1">
      <c r="A6" s="724"/>
      <c r="B6" s="735">
        <v>5.703</v>
      </c>
      <c r="C6" s="736">
        <f>C3*0.3*B6</f>
        <v>18683028</v>
      </c>
      <c r="D6" s="724"/>
      <c r="E6" s="735" t="s">
        <v>1707</v>
      </c>
      <c r="F6" s="735"/>
      <c r="G6" s="735"/>
      <c r="H6" s="735"/>
      <c r="I6" s="724"/>
      <c r="J6" s="724"/>
      <c r="K6" s="724"/>
      <c r="L6" s="724"/>
      <c r="M6" s="724"/>
      <c r="N6" s="724"/>
      <c r="O6" s="724"/>
      <c r="P6" s="724"/>
      <c r="Q6" s="724"/>
      <c r="R6" s="724"/>
      <c r="S6" s="724"/>
      <c r="T6" s="724"/>
      <c r="U6" s="724"/>
      <c r="V6" s="724"/>
      <c r="W6" s="724"/>
      <c r="X6" s="724"/>
      <c r="Y6" s="724"/>
      <c r="Z6" s="724"/>
    </row>
    <row r="7" ht="14.25" customHeight="1">
      <c r="A7" s="724"/>
      <c r="B7" s="724"/>
      <c r="C7" s="738"/>
      <c r="D7" s="738"/>
      <c r="E7" s="724"/>
      <c r="F7" s="724"/>
      <c r="G7" s="724"/>
      <c r="H7" s="724"/>
      <c r="I7" s="724"/>
      <c r="J7" s="724"/>
      <c r="K7" s="724"/>
      <c r="L7" s="724"/>
      <c r="M7" s="724"/>
      <c r="N7" s="724"/>
      <c r="O7" s="724"/>
      <c r="P7" s="724"/>
      <c r="Q7" s="724"/>
      <c r="R7" s="724"/>
      <c r="S7" s="724"/>
      <c r="T7" s="724"/>
      <c r="U7" s="724"/>
      <c r="V7" s="724"/>
      <c r="W7" s="724"/>
      <c r="X7" s="724"/>
      <c r="Y7" s="724"/>
      <c r="Z7" s="724"/>
    </row>
    <row r="8" ht="14.25" customHeight="1">
      <c r="A8" s="734" t="s">
        <v>1708</v>
      </c>
      <c r="B8" s="735">
        <v>5.101</v>
      </c>
      <c r="C8" s="738"/>
      <c r="D8" s="736">
        <f>D3*0.7*B8</f>
        <v>60987556</v>
      </c>
      <c r="E8" s="735" t="s">
        <v>1709</v>
      </c>
      <c r="F8" s="735"/>
      <c r="G8" s="735"/>
      <c r="H8" s="735"/>
      <c r="I8" s="724"/>
      <c r="J8" s="724"/>
      <c r="K8" s="724"/>
      <c r="L8" s="724"/>
      <c r="M8" s="724"/>
      <c r="N8" s="724"/>
      <c r="O8" s="724"/>
      <c r="P8" s="724"/>
      <c r="Q8" s="724"/>
      <c r="R8" s="724"/>
      <c r="S8" s="724"/>
      <c r="T8" s="724"/>
      <c r="U8" s="724"/>
      <c r="V8" s="724"/>
      <c r="W8" s="724"/>
      <c r="X8" s="724"/>
      <c r="Y8" s="724"/>
      <c r="Z8" s="724"/>
    </row>
    <row r="9" ht="14.25" customHeight="1">
      <c r="A9" s="724"/>
      <c r="B9" s="735">
        <v>7.185</v>
      </c>
      <c r="C9" s="738"/>
      <c r="D9" s="736">
        <f>D3*0.3*B9</f>
        <v>36815940</v>
      </c>
      <c r="E9" s="735" t="s">
        <v>1710</v>
      </c>
      <c r="F9" s="735"/>
      <c r="G9" s="735"/>
      <c r="H9" s="735"/>
      <c r="I9" s="724"/>
      <c r="J9" s="724"/>
      <c r="K9" s="724"/>
      <c r="L9" s="724"/>
      <c r="M9" s="724"/>
      <c r="N9" s="724"/>
      <c r="O9" s="724"/>
      <c r="P9" s="724"/>
      <c r="Q9" s="724"/>
      <c r="R9" s="724"/>
      <c r="S9" s="724"/>
      <c r="T9" s="724"/>
      <c r="U9" s="724"/>
      <c r="V9" s="724"/>
      <c r="W9" s="724"/>
      <c r="X9" s="724"/>
      <c r="Y9" s="724"/>
      <c r="Z9" s="724"/>
    </row>
    <row r="10" ht="14.25" customHeight="1">
      <c r="A10" s="724"/>
      <c r="B10" s="724"/>
      <c r="C10" s="724"/>
      <c r="D10" s="724"/>
      <c r="E10" s="724"/>
      <c r="F10" s="724"/>
      <c r="G10" s="724"/>
      <c r="H10" s="724"/>
      <c r="I10" s="724"/>
      <c r="J10" s="724"/>
      <c r="K10" s="724"/>
      <c r="L10" s="724"/>
      <c r="M10" s="724"/>
      <c r="N10" s="724"/>
      <c r="O10" s="724"/>
      <c r="P10" s="724"/>
      <c r="Q10" s="724"/>
      <c r="R10" s="724"/>
      <c r="S10" s="724"/>
      <c r="T10" s="724"/>
      <c r="U10" s="724"/>
      <c r="V10" s="724"/>
      <c r="W10" s="724"/>
      <c r="X10" s="724"/>
      <c r="Y10" s="724"/>
      <c r="Z10" s="724"/>
    </row>
    <row r="11" ht="14.25" customHeight="1">
      <c r="A11" s="724"/>
      <c r="B11" s="724"/>
      <c r="C11" s="724"/>
      <c r="D11" s="724"/>
      <c r="E11" s="724"/>
      <c r="F11" s="724"/>
      <c r="G11" s="724"/>
      <c r="H11" s="724"/>
      <c r="I11" s="724"/>
      <c r="J11" s="724"/>
      <c r="K11" s="724"/>
      <c r="L11" s="724"/>
      <c r="M11" s="724"/>
      <c r="N11" s="724"/>
      <c r="O11" s="724"/>
      <c r="P11" s="724"/>
      <c r="Q11" s="724"/>
      <c r="R11" s="724"/>
      <c r="S11" s="724"/>
      <c r="T11" s="724"/>
      <c r="U11" s="724"/>
      <c r="V11" s="724"/>
      <c r="W11" s="724"/>
      <c r="X11" s="724"/>
      <c r="Y11" s="724"/>
      <c r="Z11" s="724"/>
    </row>
    <row r="12" ht="14.25" customHeight="1">
      <c r="A12" s="724"/>
      <c r="B12" s="724"/>
      <c r="C12" s="724"/>
      <c r="D12" s="724"/>
      <c r="E12" s="724"/>
      <c r="F12" s="724"/>
      <c r="G12" s="724"/>
      <c r="H12" s="724"/>
      <c r="I12" s="724"/>
      <c r="J12" s="724"/>
      <c r="K12" s="724"/>
      <c r="L12" s="724"/>
      <c r="M12" s="724"/>
      <c r="N12" s="724"/>
      <c r="O12" s="724"/>
      <c r="P12" s="724"/>
      <c r="Q12" s="724"/>
      <c r="R12" s="724"/>
      <c r="S12" s="724"/>
      <c r="T12" s="724"/>
      <c r="U12" s="724"/>
      <c r="V12" s="724"/>
      <c r="W12" s="724"/>
      <c r="X12" s="724"/>
      <c r="Y12" s="724"/>
      <c r="Z12" s="724"/>
    </row>
    <row r="13" ht="14.25" customHeight="1">
      <c r="A13" s="739" t="s">
        <v>1711</v>
      </c>
      <c r="B13" s="724"/>
      <c r="C13" s="724"/>
      <c r="D13" s="724"/>
      <c r="E13" s="740" t="s">
        <v>1712</v>
      </c>
      <c r="F13" s="724"/>
      <c r="G13" s="741" t="s">
        <v>1713</v>
      </c>
      <c r="H13" s="724"/>
      <c r="I13" s="742" t="s">
        <v>1714</v>
      </c>
      <c r="J13" s="724"/>
      <c r="K13" s="724"/>
      <c r="L13" s="724"/>
      <c r="M13" s="724"/>
      <c r="N13" s="724"/>
      <c r="O13" s="724"/>
      <c r="P13" s="724"/>
      <c r="Q13" s="724"/>
      <c r="R13" s="724"/>
      <c r="S13" s="724"/>
      <c r="T13" s="724"/>
      <c r="U13" s="724"/>
      <c r="V13" s="724"/>
      <c r="W13" s="724"/>
      <c r="X13" s="724"/>
      <c r="Y13" s="724"/>
      <c r="Z13" s="724"/>
    </row>
    <row r="14" ht="14.25" customHeight="1">
      <c r="A14" s="724"/>
      <c r="B14" s="724"/>
      <c r="C14" s="724"/>
      <c r="D14" s="724"/>
      <c r="E14" s="724"/>
      <c r="F14" s="724"/>
      <c r="G14" s="724"/>
      <c r="H14" s="724"/>
      <c r="I14" s="724"/>
      <c r="J14" s="724"/>
      <c r="K14" s="724"/>
      <c r="L14" s="724"/>
      <c r="M14" s="724"/>
      <c r="N14" s="724"/>
      <c r="O14" s="724"/>
      <c r="P14" s="724"/>
      <c r="Q14" s="724"/>
      <c r="R14" s="724"/>
      <c r="S14" s="724"/>
      <c r="T14" s="724"/>
      <c r="U14" s="724"/>
      <c r="V14" s="724"/>
      <c r="W14" s="724"/>
      <c r="X14" s="724"/>
      <c r="Y14" s="724"/>
      <c r="Z14" s="724"/>
    </row>
    <row r="15" ht="14.25" customHeight="1">
      <c r="A15" s="743" t="s">
        <v>1715</v>
      </c>
      <c r="B15" s="724"/>
      <c r="C15" s="744">
        <f t="shared" ref="C15:D15" si="1">SUM(C5:C9)</f>
        <v>49878192</v>
      </c>
      <c r="D15" s="744">
        <f t="shared" si="1"/>
        <v>97803496</v>
      </c>
      <c r="E15" s="745">
        <f>SUM(C15:D15)</f>
        <v>147681688</v>
      </c>
      <c r="F15" s="736"/>
      <c r="G15" s="746">
        <f>+E15*1.3</f>
        <v>191986194.4</v>
      </c>
      <c r="H15" s="724" t="str">
        <f>+A15</f>
        <v>Registros Farmacias</v>
      </c>
      <c r="I15" s="724"/>
      <c r="J15" s="724"/>
      <c r="K15" s="724"/>
      <c r="L15" s="724"/>
      <c r="M15" s="724"/>
      <c r="N15" s="724"/>
      <c r="O15" s="724"/>
      <c r="P15" s="724"/>
      <c r="Q15" s="724"/>
      <c r="R15" s="724"/>
      <c r="S15" s="724"/>
      <c r="T15" s="724"/>
      <c r="U15" s="724"/>
      <c r="V15" s="724"/>
      <c r="W15" s="724"/>
      <c r="X15" s="724"/>
      <c r="Y15" s="724"/>
      <c r="Z15" s="724"/>
    </row>
    <row r="16" ht="14.25" customHeight="1">
      <c r="A16" s="724"/>
      <c r="B16" s="724"/>
      <c r="C16" s="736"/>
      <c r="D16" s="736"/>
      <c r="E16" s="736"/>
      <c r="F16" s="736"/>
      <c r="G16" s="736"/>
      <c r="H16" s="724"/>
      <c r="I16" s="724"/>
      <c r="J16" s="724"/>
      <c r="K16" s="724"/>
      <c r="L16" s="724"/>
      <c r="M16" s="724"/>
      <c r="N16" s="724"/>
      <c r="O16" s="724"/>
      <c r="P16" s="724"/>
      <c r="Q16" s="724"/>
      <c r="R16" s="724"/>
      <c r="S16" s="724"/>
      <c r="T16" s="724"/>
      <c r="U16" s="724"/>
      <c r="V16" s="724"/>
      <c r="W16" s="724"/>
      <c r="X16" s="724"/>
      <c r="Y16" s="724"/>
      <c r="Z16" s="724"/>
    </row>
    <row r="17" ht="14.25" customHeight="1">
      <c r="A17" s="743" t="s">
        <v>1716</v>
      </c>
      <c r="B17" s="724">
        <v>12.0</v>
      </c>
      <c r="C17" s="736">
        <v>4044535.75</v>
      </c>
      <c r="D17" s="736"/>
      <c r="E17" s="745">
        <f>C17*B17</f>
        <v>48534429</v>
      </c>
      <c r="F17" s="736"/>
      <c r="G17" s="746">
        <f>+E17*1.3</f>
        <v>63094757.7</v>
      </c>
      <c r="H17" s="724" t="str">
        <f>+A17</f>
        <v>Precio fijo Operación</v>
      </c>
      <c r="I17" s="724"/>
      <c r="J17" s="724"/>
      <c r="K17" s="724"/>
      <c r="L17" s="724"/>
      <c r="M17" s="724"/>
      <c r="N17" s="724"/>
      <c r="O17" s="724"/>
      <c r="P17" s="724"/>
      <c r="Q17" s="724"/>
      <c r="R17" s="724"/>
      <c r="S17" s="724"/>
      <c r="T17" s="724"/>
      <c r="U17" s="724"/>
      <c r="V17" s="724"/>
      <c r="W17" s="724"/>
      <c r="X17" s="724"/>
      <c r="Y17" s="724"/>
      <c r="Z17" s="724"/>
    </row>
    <row r="18" ht="8.25" customHeight="1">
      <c r="A18" s="743"/>
      <c r="B18" s="724"/>
      <c r="C18" s="736"/>
      <c r="D18" s="736"/>
      <c r="E18" s="736"/>
      <c r="F18" s="736"/>
      <c r="G18" s="736"/>
      <c r="H18" s="724"/>
      <c r="I18" s="724"/>
      <c r="J18" s="724"/>
      <c r="K18" s="724"/>
      <c r="L18" s="724"/>
      <c r="M18" s="724"/>
      <c r="N18" s="724"/>
      <c r="O18" s="724"/>
      <c r="P18" s="724"/>
      <c r="Q18" s="724"/>
      <c r="R18" s="724"/>
      <c r="S18" s="724"/>
      <c r="T18" s="724"/>
      <c r="U18" s="724"/>
      <c r="V18" s="724"/>
      <c r="W18" s="724"/>
      <c r="X18" s="724"/>
      <c r="Y18" s="724"/>
      <c r="Z18" s="724"/>
    </row>
    <row r="19" ht="14.25" customHeight="1">
      <c r="A19" s="743" t="s">
        <v>1717</v>
      </c>
      <c r="B19" s="738" t="s">
        <v>1718</v>
      </c>
      <c r="C19" s="736">
        <v>23835.29</v>
      </c>
      <c r="D19" s="736"/>
      <c r="E19" s="736"/>
      <c r="F19" s="736"/>
      <c r="G19" s="736"/>
      <c r="H19" s="724"/>
      <c r="I19" s="724"/>
      <c r="J19" s="724"/>
      <c r="K19" s="724"/>
      <c r="L19" s="724"/>
      <c r="M19" s="724"/>
      <c r="N19" s="724"/>
      <c r="O19" s="724"/>
      <c r="P19" s="724"/>
      <c r="Q19" s="724"/>
      <c r="R19" s="724"/>
      <c r="S19" s="724"/>
      <c r="T19" s="724"/>
      <c r="U19" s="724"/>
      <c r="V19" s="724"/>
      <c r="W19" s="724"/>
      <c r="X19" s="724"/>
      <c r="Y19" s="724"/>
      <c r="Z19" s="724"/>
    </row>
    <row r="20" ht="8.25" customHeight="1">
      <c r="A20" s="743"/>
      <c r="B20" s="738"/>
      <c r="C20" s="736"/>
      <c r="D20" s="736"/>
      <c r="E20" s="736"/>
      <c r="F20" s="736"/>
      <c r="G20" s="736"/>
      <c r="H20" s="724"/>
      <c r="I20" s="724"/>
      <c r="J20" s="724"/>
      <c r="K20" s="724"/>
      <c r="L20" s="724"/>
      <c r="M20" s="724"/>
      <c r="N20" s="724"/>
      <c r="O20" s="724"/>
      <c r="P20" s="724"/>
      <c r="Q20" s="724"/>
      <c r="R20" s="724"/>
      <c r="S20" s="724"/>
      <c r="T20" s="724"/>
      <c r="U20" s="724"/>
      <c r="V20" s="724"/>
      <c r="W20" s="724"/>
      <c r="X20" s="724"/>
      <c r="Y20" s="724"/>
      <c r="Z20" s="724"/>
    </row>
    <row r="21" ht="14.25" customHeight="1">
      <c r="A21" s="747" t="s">
        <v>1719</v>
      </c>
      <c r="B21" s="724"/>
      <c r="C21" s="736"/>
      <c r="D21" s="736"/>
      <c r="E21" s="748">
        <f>SUM(E15:E19)</f>
        <v>196216117</v>
      </c>
      <c r="F21" s="736"/>
      <c r="G21" s="749">
        <f>SUM(G15:G17)</f>
        <v>255080952.1</v>
      </c>
      <c r="H21" s="724"/>
      <c r="I21" s="750" t="s">
        <v>1720</v>
      </c>
      <c r="J21" s="751"/>
      <c r="K21" s="724"/>
      <c r="L21" s="724"/>
      <c r="M21" s="724"/>
      <c r="N21" s="724"/>
      <c r="O21" s="724"/>
      <c r="P21" s="724"/>
      <c r="Q21" s="724"/>
      <c r="R21" s="724"/>
      <c r="S21" s="724"/>
      <c r="T21" s="724"/>
      <c r="U21" s="724"/>
      <c r="V21" s="724"/>
      <c r="W21" s="724"/>
      <c r="X21" s="724"/>
      <c r="Y21" s="724"/>
      <c r="Z21" s="724"/>
    </row>
    <row r="22" ht="14.25" customHeight="1">
      <c r="A22" s="724"/>
      <c r="B22" s="724"/>
      <c r="C22" s="736"/>
      <c r="D22" s="736"/>
      <c r="E22" s="736"/>
      <c r="F22" s="736"/>
      <c r="G22" s="736"/>
      <c r="H22" s="724"/>
      <c r="I22" s="724"/>
      <c r="J22" s="724"/>
      <c r="K22" s="724"/>
      <c r="L22" s="724"/>
      <c r="M22" s="724"/>
      <c r="N22" s="724"/>
      <c r="O22" s="724"/>
      <c r="P22" s="724"/>
      <c r="Q22" s="724"/>
      <c r="R22" s="724"/>
      <c r="S22" s="724"/>
      <c r="T22" s="724"/>
      <c r="U22" s="724"/>
      <c r="V22" s="724"/>
      <c r="W22" s="724"/>
      <c r="X22" s="724"/>
      <c r="Y22" s="724"/>
      <c r="Z22" s="724"/>
    </row>
    <row r="23" ht="14.25" customHeight="1">
      <c r="A23" s="724"/>
      <c r="B23" s="724"/>
      <c r="C23" s="736"/>
      <c r="D23" s="736"/>
      <c r="E23" s="736">
        <f>+E21*5%*-1</f>
        <v>-9810805.85</v>
      </c>
      <c r="F23" s="736"/>
      <c r="G23" s="736">
        <f>+G21*5%*-1</f>
        <v>-12754047.61</v>
      </c>
      <c r="H23" s="724" t="s">
        <v>1721</v>
      </c>
      <c r="I23" s="724"/>
      <c r="J23" s="724"/>
      <c r="K23" s="724"/>
      <c r="L23" s="724"/>
      <c r="M23" s="724"/>
      <c r="N23" s="724"/>
      <c r="O23" s="724"/>
      <c r="P23" s="724"/>
      <c r="Q23" s="724"/>
      <c r="R23" s="724"/>
      <c r="S23" s="724"/>
      <c r="T23" s="724"/>
      <c r="U23" s="724"/>
      <c r="V23" s="724"/>
      <c r="W23" s="724"/>
      <c r="X23" s="724"/>
      <c r="Y23" s="724"/>
      <c r="Z23" s="724"/>
    </row>
    <row r="24" ht="14.25" customHeight="1">
      <c r="A24" s="724"/>
      <c r="B24" s="724"/>
      <c r="C24" s="736"/>
      <c r="D24" s="736"/>
      <c r="E24" s="736"/>
      <c r="F24" s="736"/>
      <c r="G24" s="736"/>
      <c r="H24" s="724"/>
      <c r="I24" s="724"/>
      <c r="J24" s="724"/>
      <c r="K24" s="724"/>
      <c r="L24" s="724"/>
      <c r="M24" s="724"/>
      <c r="N24" s="724"/>
      <c r="O24" s="724"/>
      <c r="P24" s="724"/>
      <c r="Q24" s="724"/>
      <c r="R24" s="724"/>
      <c r="S24" s="724"/>
      <c r="T24" s="724"/>
      <c r="U24" s="724"/>
      <c r="V24" s="724"/>
      <c r="W24" s="724"/>
      <c r="X24" s="724"/>
      <c r="Y24" s="724"/>
      <c r="Z24" s="724"/>
    </row>
    <row r="25" ht="14.25" customHeight="1">
      <c r="A25" s="752" t="s">
        <v>1722</v>
      </c>
      <c r="B25" s="724"/>
      <c r="C25" s="736"/>
      <c r="D25" s="736"/>
      <c r="E25" s="753">
        <f>+E21+E23</f>
        <v>186405311.2</v>
      </c>
      <c r="F25" s="736"/>
      <c r="G25" s="754">
        <f>+G21+G23</f>
        <v>242326904.5</v>
      </c>
      <c r="H25" s="724" t="str">
        <f>+A25</f>
        <v>Ventas netas de IIBB</v>
      </c>
      <c r="I25" s="724"/>
      <c r="J25" s="724"/>
      <c r="K25" s="724"/>
      <c r="L25" s="724"/>
      <c r="M25" s="724"/>
      <c r="N25" s="724"/>
      <c r="O25" s="724"/>
      <c r="P25" s="724"/>
      <c r="Q25" s="724"/>
      <c r="R25" s="724"/>
      <c r="S25" s="724"/>
      <c r="T25" s="724"/>
      <c r="U25" s="724"/>
      <c r="V25" s="724"/>
      <c r="W25" s="724"/>
      <c r="X25" s="724"/>
      <c r="Y25" s="724"/>
      <c r="Z25" s="724"/>
    </row>
    <row r="26" ht="14.25" customHeight="1">
      <c r="A26" s="724"/>
      <c r="B26" s="724"/>
      <c r="C26" s="724"/>
      <c r="D26" s="724"/>
      <c r="E26" s="724"/>
      <c r="F26" s="724"/>
      <c r="G26" s="724"/>
      <c r="H26" s="724"/>
      <c r="I26" s="724"/>
      <c r="J26" s="724"/>
      <c r="K26" s="724"/>
      <c r="L26" s="724"/>
      <c r="M26" s="724"/>
      <c r="N26" s="724"/>
      <c r="O26" s="724"/>
      <c r="P26" s="724"/>
      <c r="Q26" s="724"/>
      <c r="R26" s="724"/>
      <c r="S26" s="724"/>
      <c r="T26" s="724"/>
      <c r="U26" s="724"/>
      <c r="V26" s="724"/>
      <c r="W26" s="724"/>
      <c r="X26" s="724"/>
      <c r="Y26" s="724"/>
      <c r="Z26" s="724"/>
    </row>
    <row r="27" ht="14.25" customHeight="1">
      <c r="A27" s="755" t="s">
        <v>1723</v>
      </c>
      <c r="B27" s="724"/>
      <c r="C27" s="756" t="s">
        <v>1724</v>
      </c>
      <c r="D27" s="756" t="s">
        <v>1725</v>
      </c>
      <c r="E27" s="724"/>
      <c r="F27" s="724"/>
      <c r="G27" s="724"/>
      <c r="H27" s="724"/>
      <c r="I27" s="724"/>
      <c r="J27" s="724"/>
      <c r="K27" s="724"/>
      <c r="L27" s="724"/>
      <c r="M27" s="724"/>
      <c r="N27" s="724"/>
      <c r="O27" s="724"/>
      <c r="P27" s="724"/>
      <c r="Q27" s="724"/>
      <c r="R27" s="724"/>
      <c r="S27" s="724"/>
      <c r="T27" s="724"/>
      <c r="U27" s="724"/>
      <c r="V27" s="724"/>
      <c r="W27" s="724"/>
      <c r="X27" s="724"/>
      <c r="Y27" s="724"/>
      <c r="Z27" s="724"/>
    </row>
    <row r="28" ht="14.25" customHeight="1">
      <c r="A28" s="724"/>
      <c r="B28" s="724"/>
      <c r="C28" s="724"/>
      <c r="D28" s="724"/>
      <c r="E28" s="724"/>
      <c r="F28" s="724"/>
      <c r="G28" s="724"/>
      <c r="H28" s="724"/>
      <c r="I28" s="724"/>
      <c r="J28" s="724"/>
      <c r="K28" s="724"/>
      <c r="L28" s="724"/>
      <c r="M28" s="724"/>
      <c r="N28" s="724"/>
      <c r="O28" s="724"/>
      <c r="P28" s="724"/>
      <c r="Q28" s="724"/>
      <c r="R28" s="724"/>
      <c r="S28" s="724"/>
      <c r="T28" s="724"/>
      <c r="U28" s="724"/>
      <c r="V28" s="724"/>
      <c r="W28" s="724"/>
      <c r="X28" s="724"/>
      <c r="Y28" s="724"/>
      <c r="Z28" s="724"/>
    </row>
    <row r="29" ht="14.25" customHeight="1">
      <c r="A29" s="724" t="s">
        <v>1726</v>
      </c>
      <c r="B29" s="724"/>
      <c r="C29" s="736">
        <f>SUM(Reporte_Registros_IQVIA_Serie_T!C26:K26)</f>
        <v>19242638</v>
      </c>
      <c r="D29" s="736">
        <f>SUM(Reporte_Registros_IQVIA_Serie_T!L26:N26)</f>
        <v>6987954</v>
      </c>
      <c r="E29" s="736">
        <f t="shared" ref="E29:E30" si="2">SUM(C29:D29)</f>
        <v>26230592</v>
      </c>
      <c r="F29" s="736"/>
      <c r="G29" s="736"/>
      <c r="H29" s="724"/>
      <c r="I29" s="742" t="s">
        <v>1714</v>
      </c>
      <c r="J29" s="724"/>
      <c r="K29" s="724"/>
      <c r="L29" s="724"/>
      <c r="M29" s="724"/>
      <c r="N29" s="724"/>
      <c r="O29" s="724"/>
      <c r="P29" s="724"/>
      <c r="Q29" s="724"/>
      <c r="R29" s="724"/>
      <c r="S29" s="724"/>
      <c r="T29" s="724"/>
      <c r="U29" s="724"/>
      <c r="V29" s="724"/>
      <c r="W29" s="724"/>
      <c r="X29" s="724"/>
      <c r="Y29" s="724"/>
      <c r="Z29" s="724"/>
    </row>
    <row r="30" ht="14.25" customHeight="1">
      <c r="A30" s="724" t="s">
        <v>9</v>
      </c>
      <c r="B30" s="724"/>
      <c r="C30" s="736">
        <f>SUM(Reporte_Registros_IQVIA_Serie_T!C27:K27)</f>
        <v>6560334</v>
      </c>
      <c r="D30" s="736">
        <f>SUM(Reporte_Registros_IQVIA_Serie_T!L27:N27)</f>
        <v>2119440</v>
      </c>
      <c r="E30" s="736">
        <f t="shared" si="2"/>
        <v>8679774</v>
      </c>
      <c r="F30" s="736"/>
      <c r="G30" s="736"/>
      <c r="H30" s="724"/>
      <c r="I30" s="724"/>
      <c r="J30" s="724"/>
      <c r="K30" s="724"/>
      <c r="L30" s="724"/>
      <c r="M30" s="724"/>
      <c r="N30" s="724"/>
      <c r="O30" s="724"/>
      <c r="P30" s="724"/>
      <c r="Q30" s="724"/>
      <c r="R30" s="724"/>
      <c r="S30" s="724"/>
      <c r="T30" s="724"/>
      <c r="U30" s="724"/>
      <c r="V30" s="724"/>
      <c r="W30" s="724"/>
      <c r="X30" s="724"/>
      <c r="Y30" s="724"/>
      <c r="Z30" s="724"/>
    </row>
    <row r="31" ht="14.25" customHeight="1">
      <c r="A31" s="724"/>
      <c r="B31" s="724"/>
      <c r="C31" s="736"/>
      <c r="D31" s="736"/>
      <c r="E31" s="736"/>
      <c r="F31" s="736"/>
      <c r="G31" s="736"/>
      <c r="H31" s="724"/>
      <c r="I31" s="724"/>
      <c r="J31" s="724"/>
      <c r="K31" s="724"/>
      <c r="L31" s="724"/>
      <c r="M31" s="724"/>
      <c r="N31" s="724"/>
      <c r="O31" s="724"/>
      <c r="P31" s="724"/>
      <c r="Q31" s="724"/>
      <c r="R31" s="724"/>
      <c r="S31" s="724"/>
      <c r="T31" s="724"/>
      <c r="U31" s="724"/>
      <c r="V31" s="724"/>
      <c r="W31" s="724"/>
      <c r="X31" s="724"/>
      <c r="Y31" s="724"/>
      <c r="Z31" s="724"/>
    </row>
    <row r="32" ht="14.25" customHeight="1">
      <c r="A32" s="752" t="s">
        <v>1363</v>
      </c>
      <c r="B32" s="724"/>
      <c r="C32" s="736"/>
      <c r="D32" s="736"/>
      <c r="E32" s="753">
        <f>SUM(E29:E30)</f>
        <v>34910366</v>
      </c>
      <c r="F32" s="736"/>
      <c r="G32" s="754">
        <f>E32*1.3</f>
        <v>45383475.8</v>
      </c>
      <c r="H32" s="724"/>
      <c r="I32" s="743" t="s">
        <v>1720</v>
      </c>
      <c r="J32" s="724"/>
      <c r="K32" s="724"/>
      <c r="L32" s="724"/>
      <c r="M32" s="724"/>
      <c r="N32" s="724"/>
      <c r="O32" s="724"/>
      <c r="P32" s="724"/>
      <c r="Q32" s="724"/>
      <c r="R32" s="724"/>
      <c r="S32" s="724"/>
      <c r="T32" s="724"/>
      <c r="U32" s="724"/>
      <c r="V32" s="724"/>
      <c r="W32" s="724"/>
      <c r="X32" s="724"/>
      <c r="Y32" s="724"/>
      <c r="Z32" s="724"/>
    </row>
    <row r="33" ht="14.25" customHeight="1">
      <c r="A33" s="724"/>
      <c r="B33" s="724"/>
      <c r="C33" s="736"/>
      <c r="D33" s="736"/>
      <c r="E33" s="736"/>
      <c r="F33" s="736"/>
      <c r="G33" s="736"/>
      <c r="H33" s="724"/>
      <c r="I33" s="724"/>
      <c r="J33" s="724"/>
      <c r="K33" s="724"/>
      <c r="L33" s="724"/>
      <c r="M33" s="724"/>
      <c r="N33" s="724"/>
      <c r="O33" s="724"/>
      <c r="P33" s="724"/>
      <c r="Q33" s="724"/>
      <c r="R33" s="724"/>
      <c r="S33" s="724"/>
      <c r="T33" s="724"/>
      <c r="U33" s="724"/>
      <c r="V33" s="724"/>
      <c r="W33" s="724"/>
      <c r="X33" s="724"/>
      <c r="Y33" s="724"/>
      <c r="Z33" s="724"/>
    </row>
    <row r="34" ht="14.25" customHeight="1">
      <c r="A34" s="752" t="s">
        <v>1727</v>
      </c>
      <c r="B34" s="724"/>
      <c r="C34" s="736"/>
      <c r="D34" s="736"/>
      <c r="E34" s="753">
        <f>E25-E32</f>
        <v>151494945.2</v>
      </c>
      <c r="F34" s="736"/>
      <c r="G34" s="749">
        <f>G25-G32</f>
        <v>196943428.7</v>
      </c>
      <c r="H34" s="724"/>
      <c r="I34" s="724"/>
      <c r="J34" s="724"/>
      <c r="K34" s="724"/>
      <c r="L34" s="724"/>
      <c r="M34" s="724"/>
      <c r="N34" s="724"/>
      <c r="O34" s="724"/>
      <c r="P34" s="724"/>
      <c r="Q34" s="724"/>
      <c r="R34" s="724"/>
      <c r="S34" s="724"/>
      <c r="T34" s="724"/>
      <c r="U34" s="724"/>
      <c r="V34" s="724"/>
      <c r="W34" s="724"/>
      <c r="X34" s="724"/>
      <c r="Y34" s="724"/>
      <c r="Z34" s="724"/>
    </row>
    <row r="35" ht="14.25" customHeight="1">
      <c r="A35" s="724"/>
      <c r="B35" s="724"/>
      <c r="C35" s="724"/>
      <c r="D35" s="724"/>
      <c r="E35" s="757">
        <f>E34/E25</f>
        <v>0.812717965</v>
      </c>
      <c r="F35" s="724"/>
      <c r="G35" s="757">
        <f>G34/G25</f>
        <v>0.812717965</v>
      </c>
      <c r="H35" s="724"/>
      <c r="I35" s="724"/>
      <c r="J35" s="724"/>
      <c r="K35" s="724"/>
      <c r="L35" s="724"/>
      <c r="M35" s="724"/>
      <c r="N35" s="724"/>
      <c r="O35" s="724"/>
      <c r="P35" s="724"/>
      <c r="Q35" s="724"/>
      <c r="R35" s="724"/>
      <c r="S35" s="724"/>
      <c r="T35" s="724"/>
      <c r="U35" s="724"/>
      <c r="V35" s="724"/>
      <c r="W35" s="724"/>
      <c r="X35" s="724"/>
      <c r="Y35" s="724"/>
      <c r="Z35" s="724"/>
    </row>
    <row r="36" ht="14.25" customHeight="1">
      <c r="A36" s="724"/>
      <c r="B36" s="724"/>
      <c r="C36" s="724"/>
      <c r="D36" s="724"/>
      <c r="E36" s="724"/>
      <c r="F36" s="724"/>
      <c r="G36" s="724"/>
      <c r="H36" s="724"/>
      <c r="I36" s="724"/>
      <c r="J36" s="724"/>
      <c r="K36" s="724"/>
      <c r="L36" s="724"/>
      <c r="M36" s="724"/>
      <c r="N36" s="724"/>
      <c r="O36" s="724"/>
      <c r="P36" s="724"/>
      <c r="Q36" s="724"/>
      <c r="R36" s="724"/>
      <c r="S36" s="724"/>
      <c r="T36" s="724"/>
      <c r="U36" s="724"/>
      <c r="V36" s="724"/>
      <c r="W36" s="724"/>
      <c r="X36" s="724"/>
      <c r="Y36" s="724"/>
      <c r="Z36" s="724"/>
    </row>
    <row r="37" ht="14.25" customHeight="1">
      <c r="A37" s="758" t="s">
        <v>1728</v>
      </c>
      <c r="B37" s="706"/>
      <c r="C37" s="724"/>
      <c r="D37" s="724"/>
      <c r="E37" s="724"/>
      <c r="F37" s="724"/>
      <c r="G37" s="724"/>
      <c r="H37" s="724"/>
      <c r="I37" s="724"/>
      <c r="J37" s="724"/>
      <c r="K37" s="724"/>
      <c r="L37" s="724"/>
      <c r="M37" s="724"/>
      <c r="N37" s="724"/>
      <c r="O37" s="724"/>
      <c r="P37" s="724"/>
      <c r="Q37" s="724"/>
      <c r="R37" s="724"/>
      <c r="S37" s="724"/>
      <c r="T37" s="724"/>
      <c r="U37" s="724"/>
      <c r="V37" s="724"/>
      <c r="W37" s="724"/>
      <c r="X37" s="724"/>
      <c r="Y37" s="724"/>
      <c r="Z37" s="724"/>
    </row>
    <row r="38" ht="14.25" customHeight="1">
      <c r="A38" s="759">
        <v>1.0</v>
      </c>
      <c r="B38" s="760" t="s">
        <v>1729</v>
      </c>
      <c r="C38" s="724"/>
      <c r="D38" s="724"/>
      <c r="E38" s="724"/>
      <c r="F38" s="724"/>
      <c r="G38" s="761" t="s">
        <v>1730</v>
      </c>
      <c r="H38" s="724"/>
      <c r="I38" s="724"/>
      <c r="J38" s="724"/>
      <c r="K38" s="724"/>
      <c r="L38" s="724"/>
      <c r="M38" s="724"/>
      <c r="N38" s="724"/>
      <c r="O38" s="724"/>
      <c r="P38" s="724"/>
      <c r="Q38" s="724"/>
      <c r="R38" s="724"/>
      <c r="S38" s="724"/>
      <c r="T38" s="724"/>
      <c r="U38" s="724"/>
      <c r="V38" s="724"/>
      <c r="W38" s="724"/>
      <c r="X38" s="724"/>
      <c r="Y38" s="724"/>
      <c r="Z38" s="724"/>
    </row>
    <row r="39" ht="14.25" customHeight="1">
      <c r="A39" s="724"/>
      <c r="B39" s="724"/>
      <c r="C39" s="724"/>
      <c r="D39" s="724"/>
      <c r="E39" s="724"/>
      <c r="F39" s="724"/>
      <c r="G39" s="724"/>
      <c r="H39" s="724"/>
      <c r="I39" s="724"/>
      <c r="J39" s="724"/>
      <c r="K39" s="724"/>
      <c r="L39" s="724"/>
      <c r="M39" s="724"/>
      <c r="N39" s="724"/>
      <c r="O39" s="724"/>
      <c r="P39" s="724"/>
      <c r="Q39" s="724"/>
      <c r="R39" s="724"/>
      <c r="S39" s="724"/>
      <c r="T39" s="724"/>
      <c r="U39" s="724"/>
      <c r="V39" s="724"/>
      <c r="W39" s="724"/>
      <c r="X39" s="724"/>
      <c r="Y39" s="724"/>
      <c r="Z39" s="724"/>
    </row>
    <row r="40" ht="14.25" customHeight="1">
      <c r="A40" s="724"/>
      <c r="B40" s="724"/>
      <c r="C40" s="724"/>
      <c r="D40" s="724"/>
      <c r="E40" s="724"/>
      <c r="F40" s="724"/>
      <c r="G40" s="724"/>
      <c r="H40" s="724"/>
      <c r="I40" s="724"/>
      <c r="J40" s="724"/>
      <c r="K40" s="724"/>
      <c r="L40" s="724"/>
      <c r="M40" s="724"/>
      <c r="N40" s="724"/>
      <c r="O40" s="724"/>
      <c r="P40" s="724"/>
      <c r="Q40" s="724"/>
      <c r="R40" s="724"/>
      <c r="S40" s="724"/>
      <c r="T40" s="724"/>
      <c r="U40" s="724"/>
      <c r="V40" s="724"/>
      <c r="W40" s="724"/>
      <c r="X40" s="724"/>
      <c r="Y40" s="724"/>
      <c r="Z40" s="724"/>
    </row>
    <row r="41" ht="14.25" customHeight="1">
      <c r="A41" s="724"/>
      <c r="B41" s="724"/>
      <c r="C41" s="724"/>
      <c r="D41" s="724"/>
      <c r="E41" s="724"/>
      <c r="F41" s="724"/>
      <c r="G41" s="724"/>
      <c r="H41" s="724"/>
      <c r="I41" s="724"/>
      <c r="J41" s="724"/>
      <c r="K41" s="724"/>
      <c r="L41" s="724"/>
      <c r="M41" s="724"/>
      <c r="N41" s="724"/>
      <c r="O41" s="724"/>
      <c r="P41" s="724"/>
      <c r="Q41" s="724"/>
      <c r="R41" s="724"/>
      <c r="S41" s="724"/>
      <c r="T41" s="724"/>
      <c r="U41" s="724"/>
      <c r="V41" s="724"/>
      <c r="W41" s="724"/>
      <c r="X41" s="724"/>
      <c r="Y41" s="724"/>
      <c r="Z41" s="724"/>
    </row>
    <row r="42" ht="14.25" customHeight="1">
      <c r="A42" s="724"/>
      <c r="B42" s="724"/>
      <c r="C42" s="724"/>
      <c r="D42" s="724"/>
      <c r="E42" s="724"/>
      <c r="F42" s="724"/>
      <c r="G42" s="724"/>
      <c r="H42" s="724"/>
      <c r="I42" s="724"/>
      <c r="J42" s="724"/>
      <c r="K42" s="724"/>
      <c r="L42" s="724"/>
      <c r="M42" s="724"/>
      <c r="N42" s="724"/>
      <c r="O42" s="724"/>
      <c r="P42" s="724"/>
      <c r="Q42" s="724"/>
      <c r="R42" s="724"/>
      <c r="S42" s="724"/>
      <c r="T42" s="724"/>
      <c r="U42" s="724"/>
      <c r="V42" s="724"/>
      <c r="W42" s="724"/>
      <c r="X42" s="724"/>
      <c r="Y42" s="724"/>
      <c r="Z42" s="724"/>
    </row>
    <row r="43" ht="14.25" customHeight="1">
      <c r="A43" s="724"/>
      <c r="B43" s="724"/>
      <c r="C43" s="724"/>
      <c r="D43" s="724"/>
      <c r="E43" s="724"/>
      <c r="F43" s="724"/>
      <c r="G43" s="724"/>
      <c r="H43" s="724"/>
      <c r="I43" s="724"/>
      <c r="J43" s="724"/>
      <c r="K43" s="724"/>
      <c r="L43" s="724"/>
      <c r="M43" s="724"/>
      <c r="N43" s="724"/>
      <c r="O43" s="724"/>
      <c r="P43" s="724"/>
      <c r="Q43" s="724"/>
      <c r="R43" s="724"/>
      <c r="S43" s="724"/>
      <c r="T43" s="724"/>
      <c r="U43" s="724"/>
      <c r="V43" s="724"/>
      <c r="W43" s="724"/>
      <c r="X43" s="724"/>
      <c r="Y43" s="724"/>
      <c r="Z43" s="724"/>
    </row>
    <row r="44" ht="14.25" customHeight="1">
      <c r="A44" s="724"/>
      <c r="B44" s="724"/>
      <c r="C44" s="724"/>
      <c r="D44" s="724"/>
      <c r="E44" s="724"/>
      <c r="F44" s="724"/>
      <c r="G44" s="724"/>
      <c r="H44" s="724"/>
      <c r="I44" s="724"/>
      <c r="J44" s="724"/>
      <c r="K44" s="724"/>
      <c r="L44" s="724"/>
      <c r="M44" s="724"/>
      <c r="N44" s="724"/>
      <c r="O44" s="724"/>
      <c r="P44" s="724"/>
      <c r="Q44" s="724"/>
      <c r="R44" s="724"/>
      <c r="S44" s="724"/>
      <c r="T44" s="724"/>
      <c r="U44" s="724"/>
      <c r="V44" s="724"/>
      <c r="W44" s="724"/>
      <c r="X44" s="724"/>
      <c r="Y44" s="724"/>
      <c r="Z44" s="724"/>
    </row>
    <row r="45" ht="14.25" customHeight="1">
      <c r="A45" s="724"/>
      <c r="B45" s="724"/>
      <c r="C45" s="724"/>
      <c r="D45" s="724"/>
      <c r="E45" s="724"/>
      <c r="F45" s="724"/>
      <c r="G45" s="724"/>
      <c r="H45" s="724"/>
      <c r="I45" s="724"/>
      <c r="J45" s="724"/>
      <c r="K45" s="724"/>
      <c r="L45" s="724"/>
      <c r="M45" s="724"/>
      <c r="N45" s="724"/>
      <c r="O45" s="724"/>
      <c r="P45" s="724"/>
      <c r="Q45" s="724"/>
      <c r="R45" s="724"/>
      <c r="S45" s="724"/>
      <c r="T45" s="724"/>
      <c r="U45" s="724"/>
      <c r="V45" s="724"/>
      <c r="W45" s="724"/>
      <c r="X45" s="724"/>
      <c r="Y45" s="724"/>
      <c r="Z45" s="724"/>
    </row>
    <row r="46" ht="14.25" customHeight="1">
      <c r="A46" s="724"/>
      <c r="B46" s="724"/>
      <c r="C46" s="724"/>
      <c r="D46" s="724"/>
      <c r="E46" s="724"/>
      <c r="F46" s="724"/>
      <c r="G46" s="724"/>
      <c r="H46" s="724"/>
      <c r="I46" s="724"/>
      <c r="J46" s="724"/>
      <c r="K46" s="724"/>
      <c r="L46" s="724"/>
      <c r="M46" s="724"/>
      <c r="N46" s="724"/>
      <c r="O46" s="724"/>
      <c r="P46" s="724"/>
      <c r="Q46" s="724"/>
      <c r="R46" s="724"/>
      <c r="S46" s="724"/>
      <c r="T46" s="724"/>
      <c r="U46" s="724"/>
      <c r="V46" s="724"/>
      <c r="W46" s="724"/>
      <c r="X46" s="724"/>
      <c r="Y46" s="724"/>
      <c r="Z46" s="724"/>
    </row>
    <row r="47" ht="14.25" customHeight="1">
      <c r="A47" s="724"/>
      <c r="B47" s="724"/>
      <c r="C47" s="724"/>
      <c r="D47" s="724"/>
      <c r="E47" s="724"/>
      <c r="F47" s="724"/>
      <c r="G47" s="724"/>
      <c r="H47" s="724"/>
      <c r="I47" s="724"/>
      <c r="J47" s="724"/>
      <c r="K47" s="724"/>
      <c r="L47" s="724"/>
      <c r="M47" s="724"/>
      <c r="N47" s="724"/>
      <c r="O47" s="724"/>
      <c r="P47" s="724"/>
      <c r="Q47" s="724"/>
      <c r="R47" s="724"/>
      <c r="S47" s="724"/>
      <c r="T47" s="724"/>
      <c r="U47" s="724"/>
      <c r="V47" s="724"/>
      <c r="W47" s="724"/>
      <c r="X47" s="724"/>
      <c r="Y47" s="724"/>
      <c r="Z47" s="724"/>
    </row>
    <row r="48" ht="14.25" customHeight="1">
      <c r="A48" s="724"/>
      <c r="B48" s="724"/>
      <c r="C48" s="724"/>
      <c r="D48" s="724"/>
      <c r="E48" s="724"/>
      <c r="F48" s="724"/>
      <c r="G48" s="724"/>
      <c r="H48" s="724"/>
      <c r="I48" s="724"/>
      <c r="J48" s="724"/>
      <c r="K48" s="724"/>
      <c r="L48" s="724"/>
      <c r="M48" s="724"/>
      <c r="N48" s="724"/>
      <c r="O48" s="724"/>
      <c r="P48" s="724"/>
      <c r="Q48" s="724"/>
      <c r="R48" s="724"/>
      <c r="S48" s="724"/>
      <c r="T48" s="724"/>
      <c r="U48" s="724"/>
      <c r="V48" s="724"/>
      <c r="W48" s="724"/>
      <c r="X48" s="724"/>
      <c r="Y48" s="724"/>
      <c r="Z48" s="724"/>
    </row>
    <row r="49" ht="14.25" customHeight="1">
      <c r="A49" s="724"/>
      <c r="B49" s="724"/>
      <c r="C49" s="724"/>
      <c r="D49" s="724"/>
      <c r="E49" s="724"/>
      <c r="F49" s="724"/>
      <c r="G49" s="724"/>
      <c r="H49" s="724"/>
      <c r="I49" s="724"/>
      <c r="J49" s="724"/>
      <c r="K49" s="724"/>
      <c r="L49" s="724"/>
      <c r="M49" s="724"/>
      <c r="N49" s="724"/>
      <c r="O49" s="724"/>
      <c r="P49" s="724"/>
      <c r="Q49" s="724"/>
      <c r="R49" s="724"/>
      <c r="S49" s="724"/>
      <c r="T49" s="724"/>
      <c r="U49" s="724"/>
      <c r="V49" s="724"/>
      <c r="W49" s="724"/>
      <c r="X49" s="724"/>
      <c r="Y49" s="724"/>
      <c r="Z49" s="724"/>
    </row>
    <row r="50" ht="14.25" customHeight="1">
      <c r="A50" s="724"/>
      <c r="B50" s="724"/>
      <c r="C50" s="724"/>
      <c r="D50" s="724"/>
      <c r="E50" s="724"/>
      <c r="F50" s="724"/>
      <c r="G50" s="724"/>
      <c r="H50" s="724"/>
      <c r="I50" s="724"/>
      <c r="J50" s="724"/>
      <c r="K50" s="724"/>
      <c r="L50" s="724"/>
      <c r="M50" s="724"/>
      <c r="N50" s="724"/>
      <c r="O50" s="724"/>
      <c r="P50" s="724"/>
      <c r="Q50" s="724"/>
      <c r="R50" s="724"/>
      <c r="S50" s="724"/>
      <c r="T50" s="724"/>
      <c r="U50" s="724"/>
      <c r="V50" s="724"/>
      <c r="W50" s="724"/>
      <c r="X50" s="724"/>
      <c r="Y50" s="724"/>
      <c r="Z50" s="724"/>
    </row>
    <row r="51" ht="14.25" customHeight="1">
      <c r="A51" s="724"/>
      <c r="B51" s="724"/>
      <c r="C51" s="724"/>
      <c r="D51" s="724"/>
      <c r="E51" s="724"/>
      <c r="F51" s="724"/>
      <c r="G51" s="724"/>
      <c r="H51" s="724"/>
      <c r="I51" s="724"/>
      <c r="J51" s="724"/>
      <c r="K51" s="724"/>
      <c r="L51" s="724"/>
      <c r="M51" s="724"/>
      <c r="N51" s="724"/>
      <c r="O51" s="724"/>
      <c r="P51" s="724"/>
      <c r="Q51" s="724"/>
      <c r="R51" s="724"/>
      <c r="S51" s="724"/>
      <c r="T51" s="724"/>
      <c r="U51" s="724"/>
      <c r="V51" s="724"/>
      <c r="W51" s="724"/>
      <c r="X51" s="724"/>
      <c r="Y51" s="724"/>
      <c r="Z51" s="724"/>
    </row>
    <row r="52" ht="14.25" customHeight="1">
      <c r="A52" s="724"/>
      <c r="B52" s="724"/>
      <c r="C52" s="724"/>
      <c r="D52" s="724"/>
      <c r="E52" s="724"/>
      <c r="F52" s="724"/>
      <c r="G52" s="724"/>
      <c r="H52" s="724"/>
      <c r="I52" s="724"/>
      <c r="J52" s="724"/>
      <c r="K52" s="724"/>
      <c r="L52" s="724"/>
      <c r="M52" s="724"/>
      <c r="N52" s="724"/>
      <c r="O52" s="724"/>
      <c r="P52" s="724"/>
      <c r="Q52" s="724"/>
      <c r="R52" s="724"/>
      <c r="S52" s="724"/>
      <c r="T52" s="724"/>
      <c r="U52" s="724"/>
      <c r="V52" s="724"/>
      <c r="W52" s="724"/>
      <c r="X52" s="724"/>
      <c r="Y52" s="724"/>
      <c r="Z52" s="724"/>
    </row>
    <row r="53" ht="14.25" customHeight="1">
      <c r="A53" s="724"/>
      <c r="B53" s="724"/>
      <c r="C53" s="724"/>
      <c r="D53" s="724"/>
      <c r="E53" s="724"/>
      <c r="F53" s="724"/>
      <c r="G53" s="724"/>
      <c r="H53" s="724"/>
      <c r="I53" s="724"/>
      <c r="J53" s="724"/>
      <c r="K53" s="724"/>
      <c r="L53" s="724"/>
      <c r="M53" s="724"/>
      <c r="N53" s="724"/>
      <c r="O53" s="724"/>
      <c r="P53" s="724"/>
      <c r="Q53" s="724"/>
      <c r="R53" s="724"/>
      <c r="S53" s="724"/>
      <c r="T53" s="724"/>
      <c r="U53" s="724"/>
      <c r="V53" s="724"/>
      <c r="W53" s="724"/>
      <c r="X53" s="724"/>
      <c r="Y53" s="724"/>
      <c r="Z53" s="724"/>
    </row>
    <row r="54" ht="14.25" customHeight="1">
      <c r="A54" s="724"/>
      <c r="B54" s="724"/>
      <c r="C54" s="724"/>
      <c r="D54" s="724"/>
      <c r="E54" s="724"/>
      <c r="F54" s="724"/>
      <c r="G54" s="724"/>
      <c r="H54" s="724"/>
      <c r="I54" s="724"/>
      <c r="J54" s="724"/>
      <c r="K54" s="724"/>
      <c r="L54" s="724"/>
      <c r="M54" s="724"/>
      <c r="N54" s="724"/>
      <c r="O54" s="724"/>
      <c r="P54" s="724"/>
      <c r="Q54" s="724"/>
      <c r="R54" s="724"/>
      <c r="S54" s="724"/>
      <c r="T54" s="724"/>
      <c r="U54" s="724"/>
      <c r="V54" s="724"/>
      <c r="W54" s="724"/>
      <c r="X54" s="724"/>
      <c r="Y54" s="724"/>
      <c r="Z54" s="724"/>
    </row>
    <row r="55" ht="14.25" customHeight="1">
      <c r="A55" s="724"/>
      <c r="B55" s="724"/>
      <c r="C55" s="724"/>
      <c r="D55" s="724"/>
      <c r="E55" s="724"/>
      <c r="F55" s="724"/>
      <c r="G55" s="724"/>
      <c r="H55" s="724"/>
      <c r="I55" s="724"/>
      <c r="J55" s="724"/>
      <c r="K55" s="724"/>
      <c r="L55" s="724"/>
      <c r="M55" s="724"/>
      <c r="N55" s="724"/>
      <c r="O55" s="724"/>
      <c r="P55" s="724"/>
      <c r="Q55" s="724"/>
      <c r="R55" s="724"/>
      <c r="S55" s="724"/>
      <c r="T55" s="724"/>
      <c r="U55" s="724"/>
      <c r="V55" s="724"/>
      <c r="W55" s="724"/>
      <c r="X55" s="724"/>
      <c r="Y55" s="724"/>
      <c r="Z55" s="724"/>
    </row>
    <row r="56" ht="14.25" customHeight="1">
      <c r="A56" s="724"/>
      <c r="B56" s="724"/>
      <c r="C56" s="724"/>
      <c r="D56" s="724"/>
      <c r="E56" s="724"/>
      <c r="F56" s="724"/>
      <c r="G56" s="724"/>
      <c r="H56" s="724"/>
      <c r="I56" s="724"/>
      <c r="J56" s="724"/>
      <c r="K56" s="724"/>
      <c r="L56" s="724"/>
      <c r="M56" s="724"/>
      <c r="N56" s="724"/>
      <c r="O56" s="724"/>
      <c r="P56" s="724"/>
      <c r="Q56" s="724"/>
      <c r="R56" s="724"/>
      <c r="S56" s="724"/>
      <c r="T56" s="724"/>
      <c r="U56" s="724"/>
      <c r="V56" s="724"/>
      <c r="W56" s="724"/>
      <c r="X56" s="724"/>
      <c r="Y56" s="724"/>
      <c r="Z56" s="724"/>
    </row>
    <row r="57" ht="14.25" customHeight="1">
      <c r="A57" s="724"/>
      <c r="B57" s="724"/>
      <c r="C57" s="724"/>
      <c r="D57" s="724"/>
      <c r="E57" s="724"/>
      <c r="F57" s="724"/>
      <c r="G57" s="724"/>
      <c r="H57" s="724"/>
      <c r="I57" s="724"/>
      <c r="J57" s="724"/>
      <c r="K57" s="724"/>
      <c r="L57" s="724"/>
      <c r="M57" s="724"/>
      <c r="N57" s="724"/>
      <c r="O57" s="724"/>
      <c r="P57" s="724"/>
      <c r="Q57" s="724"/>
      <c r="R57" s="724"/>
      <c r="S57" s="724"/>
      <c r="T57" s="724"/>
      <c r="U57" s="724"/>
      <c r="V57" s="724"/>
      <c r="W57" s="724"/>
      <c r="X57" s="724"/>
      <c r="Y57" s="724"/>
      <c r="Z57" s="724"/>
    </row>
    <row r="58" ht="14.25" customHeight="1">
      <c r="A58" s="724"/>
      <c r="B58" s="724"/>
      <c r="C58" s="724"/>
      <c r="D58" s="724"/>
      <c r="E58" s="724"/>
      <c r="F58" s="724"/>
      <c r="G58" s="724"/>
      <c r="H58" s="724"/>
      <c r="I58" s="724"/>
      <c r="J58" s="724"/>
      <c r="K58" s="724"/>
      <c r="L58" s="724"/>
      <c r="M58" s="724"/>
      <c r="N58" s="724"/>
      <c r="O58" s="724"/>
      <c r="P58" s="724"/>
      <c r="Q58" s="724"/>
      <c r="R58" s="724"/>
      <c r="S58" s="724"/>
      <c r="T58" s="724"/>
      <c r="U58" s="724"/>
      <c r="V58" s="724"/>
      <c r="W58" s="724"/>
      <c r="X58" s="724"/>
      <c r="Y58" s="724"/>
      <c r="Z58" s="724"/>
    </row>
    <row r="59" ht="14.25" customHeight="1">
      <c r="A59" s="724"/>
      <c r="B59" s="724"/>
      <c r="C59" s="724"/>
      <c r="D59" s="724"/>
      <c r="E59" s="724"/>
      <c r="F59" s="724"/>
      <c r="G59" s="724"/>
      <c r="H59" s="724"/>
      <c r="I59" s="724"/>
      <c r="J59" s="724"/>
      <c r="K59" s="724"/>
      <c r="L59" s="724"/>
      <c r="M59" s="724"/>
      <c r="N59" s="724"/>
      <c r="O59" s="724"/>
      <c r="P59" s="724"/>
      <c r="Q59" s="724"/>
      <c r="R59" s="724"/>
      <c r="S59" s="724"/>
      <c r="T59" s="724"/>
      <c r="U59" s="724"/>
      <c r="V59" s="724"/>
      <c r="W59" s="724"/>
      <c r="X59" s="724"/>
      <c r="Y59" s="724"/>
      <c r="Z59" s="724"/>
    </row>
    <row r="60" ht="14.25" customHeight="1">
      <c r="A60" s="724"/>
      <c r="B60" s="724"/>
      <c r="C60" s="724"/>
      <c r="D60" s="724"/>
      <c r="E60" s="724"/>
      <c r="F60" s="724"/>
      <c r="G60" s="724"/>
      <c r="H60" s="724"/>
      <c r="I60" s="724"/>
      <c r="J60" s="724"/>
      <c r="K60" s="724"/>
      <c r="L60" s="724"/>
      <c r="M60" s="724"/>
      <c r="N60" s="724"/>
      <c r="O60" s="724"/>
      <c r="P60" s="724"/>
      <c r="Q60" s="724"/>
      <c r="R60" s="724"/>
      <c r="S60" s="724"/>
      <c r="T60" s="724"/>
      <c r="U60" s="724"/>
      <c r="V60" s="724"/>
      <c r="W60" s="724"/>
      <c r="X60" s="724"/>
      <c r="Y60" s="724"/>
      <c r="Z60" s="724"/>
    </row>
    <row r="61" ht="14.25" customHeight="1">
      <c r="A61" s="724"/>
      <c r="B61" s="724"/>
      <c r="C61" s="724"/>
      <c r="D61" s="724"/>
      <c r="E61" s="724"/>
      <c r="F61" s="724"/>
      <c r="G61" s="724"/>
      <c r="H61" s="724"/>
      <c r="I61" s="724"/>
      <c r="J61" s="724"/>
      <c r="K61" s="724"/>
      <c r="L61" s="724"/>
      <c r="M61" s="724"/>
      <c r="N61" s="724"/>
      <c r="O61" s="724"/>
      <c r="P61" s="724"/>
      <c r="Q61" s="724"/>
      <c r="R61" s="724"/>
      <c r="S61" s="724"/>
      <c r="T61" s="724"/>
      <c r="U61" s="724"/>
      <c r="V61" s="724"/>
      <c r="W61" s="724"/>
      <c r="X61" s="724"/>
      <c r="Y61" s="724"/>
      <c r="Z61" s="724"/>
    </row>
    <row r="62" ht="14.25" customHeight="1">
      <c r="A62" s="724"/>
      <c r="B62" s="724"/>
      <c r="C62" s="724"/>
      <c r="D62" s="724"/>
      <c r="E62" s="724"/>
      <c r="F62" s="724"/>
      <c r="G62" s="724"/>
      <c r="H62" s="724"/>
      <c r="I62" s="724"/>
      <c r="J62" s="724"/>
      <c r="K62" s="724"/>
      <c r="L62" s="724"/>
      <c r="M62" s="724"/>
      <c r="N62" s="724"/>
      <c r="O62" s="724"/>
      <c r="P62" s="724"/>
      <c r="Q62" s="724"/>
      <c r="R62" s="724"/>
      <c r="S62" s="724"/>
      <c r="T62" s="724"/>
      <c r="U62" s="724"/>
      <c r="V62" s="724"/>
      <c r="W62" s="724"/>
      <c r="X62" s="724"/>
      <c r="Y62" s="724"/>
      <c r="Z62" s="724"/>
    </row>
    <row r="63" ht="14.25" customHeight="1">
      <c r="A63" s="724"/>
      <c r="B63" s="724"/>
      <c r="C63" s="724"/>
      <c r="D63" s="724"/>
      <c r="E63" s="724"/>
      <c r="F63" s="724"/>
      <c r="G63" s="724"/>
      <c r="H63" s="724"/>
      <c r="I63" s="724"/>
      <c r="J63" s="724"/>
      <c r="K63" s="724"/>
      <c r="L63" s="724"/>
      <c r="M63" s="724"/>
      <c r="N63" s="724"/>
      <c r="O63" s="724"/>
      <c r="P63" s="724"/>
      <c r="Q63" s="724"/>
      <c r="R63" s="724"/>
      <c r="S63" s="724"/>
      <c r="T63" s="724"/>
      <c r="U63" s="724"/>
      <c r="V63" s="724"/>
      <c r="W63" s="724"/>
      <c r="X63" s="724"/>
      <c r="Y63" s="724"/>
      <c r="Z63" s="724"/>
    </row>
    <row r="64" ht="14.25" customHeight="1">
      <c r="A64" s="724"/>
      <c r="B64" s="724"/>
      <c r="C64" s="724"/>
      <c r="D64" s="724"/>
      <c r="E64" s="724"/>
      <c r="F64" s="724"/>
      <c r="G64" s="724"/>
      <c r="H64" s="724"/>
      <c r="I64" s="724"/>
      <c r="J64" s="724"/>
      <c r="K64" s="724"/>
      <c r="L64" s="724"/>
      <c r="M64" s="724"/>
      <c r="N64" s="724"/>
      <c r="O64" s="724"/>
      <c r="P64" s="724"/>
      <c r="Q64" s="724"/>
      <c r="R64" s="724"/>
      <c r="S64" s="724"/>
      <c r="T64" s="724"/>
      <c r="U64" s="724"/>
      <c r="V64" s="724"/>
      <c r="W64" s="724"/>
      <c r="X64" s="724"/>
      <c r="Y64" s="724"/>
      <c r="Z64" s="724"/>
    </row>
    <row r="65" ht="14.25" customHeight="1">
      <c r="A65" s="724"/>
      <c r="B65" s="724"/>
      <c r="C65" s="724"/>
      <c r="D65" s="724"/>
      <c r="E65" s="724"/>
      <c r="F65" s="724"/>
      <c r="G65" s="724"/>
      <c r="H65" s="724"/>
      <c r="I65" s="724"/>
      <c r="J65" s="724"/>
      <c r="K65" s="724"/>
      <c r="L65" s="724"/>
      <c r="M65" s="724"/>
      <c r="N65" s="724"/>
      <c r="O65" s="724"/>
      <c r="P65" s="724"/>
      <c r="Q65" s="724"/>
      <c r="R65" s="724"/>
      <c r="S65" s="724"/>
      <c r="T65" s="724"/>
      <c r="U65" s="724"/>
      <c r="V65" s="724"/>
      <c r="W65" s="724"/>
      <c r="X65" s="724"/>
      <c r="Y65" s="724"/>
      <c r="Z65" s="724"/>
    </row>
    <row r="66" ht="14.25" customHeight="1">
      <c r="A66" s="724"/>
      <c r="B66" s="724"/>
      <c r="C66" s="724"/>
      <c r="D66" s="724"/>
      <c r="E66" s="724"/>
      <c r="F66" s="724"/>
      <c r="G66" s="724"/>
      <c r="H66" s="724"/>
      <c r="I66" s="724"/>
      <c r="J66" s="724"/>
      <c r="K66" s="724"/>
      <c r="L66" s="724"/>
      <c r="M66" s="724"/>
      <c r="N66" s="724"/>
      <c r="O66" s="724"/>
      <c r="P66" s="724"/>
      <c r="Q66" s="724"/>
      <c r="R66" s="724"/>
      <c r="S66" s="724"/>
      <c r="T66" s="724"/>
      <c r="U66" s="724"/>
      <c r="V66" s="724"/>
      <c r="W66" s="724"/>
      <c r="X66" s="724"/>
      <c r="Y66" s="724"/>
      <c r="Z66" s="724"/>
    </row>
    <row r="67" ht="14.25" customHeight="1">
      <c r="A67" s="724"/>
      <c r="B67" s="724"/>
      <c r="C67" s="724"/>
      <c r="D67" s="724"/>
      <c r="E67" s="724"/>
      <c r="F67" s="724"/>
      <c r="G67" s="724"/>
      <c r="H67" s="724"/>
      <c r="I67" s="724"/>
      <c r="J67" s="724"/>
      <c r="K67" s="724"/>
      <c r="L67" s="724"/>
      <c r="M67" s="724"/>
      <c r="N67" s="724"/>
      <c r="O67" s="724"/>
      <c r="P67" s="724"/>
      <c r="Q67" s="724"/>
      <c r="R67" s="724"/>
      <c r="S67" s="724"/>
      <c r="T67" s="724"/>
      <c r="U67" s="724"/>
      <c r="V67" s="724"/>
      <c r="W67" s="724"/>
      <c r="X67" s="724"/>
      <c r="Y67" s="724"/>
      <c r="Z67" s="724"/>
    </row>
    <row r="68" ht="14.25" customHeight="1">
      <c r="A68" s="724"/>
      <c r="B68" s="724"/>
      <c r="C68" s="724"/>
      <c r="D68" s="724"/>
      <c r="E68" s="724"/>
      <c r="F68" s="724"/>
      <c r="G68" s="724"/>
      <c r="H68" s="724"/>
      <c r="I68" s="724"/>
      <c r="J68" s="724"/>
      <c r="K68" s="724"/>
      <c r="L68" s="724"/>
      <c r="M68" s="724"/>
      <c r="N68" s="724"/>
      <c r="O68" s="724"/>
      <c r="P68" s="724"/>
      <c r="Q68" s="724"/>
      <c r="R68" s="724"/>
      <c r="S68" s="724"/>
      <c r="T68" s="724"/>
      <c r="U68" s="724"/>
      <c r="V68" s="724"/>
      <c r="W68" s="724"/>
      <c r="X68" s="724"/>
      <c r="Y68" s="724"/>
      <c r="Z68" s="724"/>
    </row>
    <row r="69" ht="14.25" customHeight="1">
      <c r="A69" s="724"/>
      <c r="B69" s="724"/>
      <c r="C69" s="724"/>
      <c r="D69" s="724"/>
      <c r="E69" s="724"/>
      <c r="F69" s="724"/>
      <c r="G69" s="724"/>
      <c r="H69" s="724"/>
      <c r="I69" s="724"/>
      <c r="J69" s="724"/>
      <c r="K69" s="724"/>
      <c r="L69" s="724"/>
      <c r="M69" s="724"/>
      <c r="N69" s="724"/>
      <c r="O69" s="724"/>
      <c r="P69" s="724"/>
      <c r="Q69" s="724"/>
      <c r="R69" s="724"/>
      <c r="S69" s="724"/>
      <c r="T69" s="724"/>
      <c r="U69" s="724"/>
      <c r="V69" s="724"/>
      <c r="W69" s="724"/>
      <c r="X69" s="724"/>
      <c r="Y69" s="724"/>
      <c r="Z69" s="724"/>
    </row>
    <row r="70" ht="14.25" customHeight="1">
      <c r="A70" s="724"/>
      <c r="B70" s="724"/>
      <c r="C70" s="724"/>
      <c r="D70" s="724"/>
      <c r="E70" s="724"/>
      <c r="F70" s="724"/>
      <c r="G70" s="724"/>
      <c r="H70" s="724"/>
      <c r="I70" s="724"/>
      <c r="J70" s="724"/>
      <c r="K70" s="724"/>
      <c r="L70" s="724"/>
      <c r="M70" s="724"/>
      <c r="N70" s="724"/>
      <c r="O70" s="724"/>
      <c r="P70" s="724"/>
      <c r="Q70" s="724"/>
      <c r="R70" s="724"/>
      <c r="S70" s="724"/>
      <c r="T70" s="724"/>
      <c r="U70" s="724"/>
      <c r="V70" s="724"/>
      <c r="W70" s="724"/>
      <c r="X70" s="724"/>
      <c r="Y70" s="724"/>
      <c r="Z70" s="724"/>
    </row>
    <row r="71" ht="14.25" customHeight="1">
      <c r="A71" s="724"/>
      <c r="B71" s="724"/>
      <c r="C71" s="724"/>
      <c r="D71" s="724"/>
      <c r="E71" s="724"/>
      <c r="F71" s="724"/>
      <c r="G71" s="724"/>
      <c r="H71" s="724"/>
      <c r="I71" s="724"/>
      <c r="J71" s="724"/>
      <c r="K71" s="724"/>
      <c r="L71" s="724"/>
      <c r="M71" s="724"/>
      <c r="N71" s="724"/>
      <c r="O71" s="724"/>
      <c r="P71" s="724"/>
      <c r="Q71" s="724"/>
      <c r="R71" s="724"/>
      <c r="S71" s="724"/>
      <c r="T71" s="724"/>
      <c r="U71" s="724"/>
      <c r="V71" s="724"/>
      <c r="W71" s="724"/>
      <c r="X71" s="724"/>
      <c r="Y71" s="724"/>
      <c r="Z71" s="724"/>
    </row>
    <row r="72" ht="14.25" customHeight="1">
      <c r="A72" s="724"/>
      <c r="B72" s="724"/>
      <c r="C72" s="724"/>
      <c r="D72" s="724"/>
      <c r="E72" s="724"/>
      <c r="F72" s="724"/>
      <c r="G72" s="724"/>
      <c r="H72" s="724"/>
      <c r="I72" s="724"/>
      <c r="J72" s="724"/>
      <c r="K72" s="724"/>
      <c r="L72" s="724"/>
      <c r="M72" s="724"/>
      <c r="N72" s="724"/>
      <c r="O72" s="724"/>
      <c r="P72" s="724"/>
      <c r="Q72" s="724"/>
      <c r="R72" s="724"/>
      <c r="S72" s="724"/>
      <c r="T72" s="724"/>
      <c r="U72" s="724"/>
      <c r="V72" s="724"/>
      <c r="W72" s="724"/>
      <c r="X72" s="724"/>
      <c r="Y72" s="724"/>
      <c r="Z72" s="724"/>
    </row>
    <row r="73" ht="14.25" customHeight="1">
      <c r="A73" s="724"/>
      <c r="B73" s="724"/>
      <c r="C73" s="724"/>
      <c r="D73" s="724"/>
      <c r="E73" s="724"/>
      <c r="F73" s="724"/>
      <c r="G73" s="724"/>
      <c r="H73" s="724"/>
      <c r="I73" s="724"/>
      <c r="J73" s="724"/>
      <c r="K73" s="724"/>
      <c r="L73" s="724"/>
      <c r="M73" s="724"/>
      <c r="N73" s="724"/>
      <c r="O73" s="724"/>
      <c r="P73" s="724"/>
      <c r="Q73" s="724"/>
      <c r="R73" s="724"/>
      <c r="S73" s="724"/>
      <c r="T73" s="724"/>
      <c r="U73" s="724"/>
      <c r="V73" s="724"/>
      <c r="W73" s="724"/>
      <c r="X73" s="724"/>
      <c r="Y73" s="724"/>
      <c r="Z73" s="724"/>
    </row>
    <row r="74" ht="14.25" customHeight="1">
      <c r="A74" s="724"/>
      <c r="B74" s="724"/>
      <c r="C74" s="724"/>
      <c r="D74" s="724"/>
      <c r="E74" s="724"/>
      <c r="F74" s="724"/>
      <c r="G74" s="724"/>
      <c r="H74" s="724"/>
      <c r="I74" s="724"/>
      <c r="J74" s="724"/>
      <c r="K74" s="724"/>
      <c r="L74" s="724"/>
      <c r="M74" s="724"/>
      <c r="N74" s="724"/>
      <c r="O74" s="724"/>
      <c r="P74" s="724"/>
      <c r="Q74" s="724"/>
      <c r="R74" s="724"/>
      <c r="S74" s="724"/>
      <c r="T74" s="724"/>
      <c r="U74" s="724"/>
      <c r="V74" s="724"/>
      <c r="W74" s="724"/>
      <c r="X74" s="724"/>
      <c r="Y74" s="724"/>
      <c r="Z74" s="724"/>
    </row>
    <row r="75" ht="14.25" customHeight="1">
      <c r="A75" s="724"/>
      <c r="B75" s="724"/>
      <c r="C75" s="724"/>
      <c r="D75" s="724"/>
      <c r="E75" s="724"/>
      <c r="F75" s="724"/>
      <c r="G75" s="724"/>
      <c r="H75" s="724"/>
      <c r="I75" s="724"/>
      <c r="J75" s="724"/>
      <c r="K75" s="724"/>
      <c r="L75" s="724"/>
      <c r="M75" s="724"/>
      <c r="N75" s="724"/>
      <c r="O75" s="724"/>
      <c r="P75" s="724"/>
      <c r="Q75" s="724"/>
      <c r="R75" s="724"/>
      <c r="S75" s="724"/>
      <c r="T75" s="724"/>
      <c r="U75" s="724"/>
      <c r="V75" s="724"/>
      <c r="W75" s="724"/>
      <c r="X75" s="724"/>
      <c r="Y75" s="724"/>
      <c r="Z75" s="724"/>
    </row>
    <row r="76" ht="14.25" customHeight="1">
      <c r="A76" s="724"/>
      <c r="B76" s="724"/>
      <c r="C76" s="724"/>
      <c r="D76" s="724"/>
      <c r="E76" s="724"/>
      <c r="F76" s="724"/>
      <c r="G76" s="724"/>
      <c r="H76" s="724"/>
      <c r="I76" s="724"/>
      <c r="J76" s="724"/>
      <c r="K76" s="724"/>
      <c r="L76" s="724"/>
      <c r="M76" s="724"/>
      <c r="N76" s="724"/>
      <c r="O76" s="724"/>
      <c r="P76" s="724"/>
      <c r="Q76" s="724"/>
      <c r="R76" s="724"/>
      <c r="S76" s="724"/>
      <c r="T76" s="724"/>
      <c r="U76" s="724"/>
      <c r="V76" s="724"/>
      <c r="W76" s="724"/>
      <c r="X76" s="724"/>
      <c r="Y76" s="724"/>
      <c r="Z76" s="724"/>
    </row>
    <row r="77" ht="14.25" customHeight="1">
      <c r="A77" s="724"/>
      <c r="B77" s="724"/>
      <c r="C77" s="724"/>
      <c r="D77" s="724"/>
      <c r="E77" s="724"/>
      <c r="F77" s="724"/>
      <c r="G77" s="724"/>
      <c r="H77" s="724"/>
      <c r="I77" s="724"/>
      <c r="J77" s="724"/>
      <c r="K77" s="724"/>
      <c r="L77" s="724"/>
      <c r="M77" s="724"/>
      <c r="N77" s="724"/>
      <c r="O77" s="724"/>
      <c r="P77" s="724"/>
      <c r="Q77" s="724"/>
      <c r="R77" s="724"/>
      <c r="S77" s="724"/>
      <c r="T77" s="724"/>
      <c r="U77" s="724"/>
      <c r="V77" s="724"/>
      <c r="W77" s="724"/>
      <c r="X77" s="724"/>
      <c r="Y77" s="724"/>
      <c r="Z77" s="724"/>
    </row>
    <row r="78" ht="14.25" customHeight="1">
      <c r="A78" s="724"/>
      <c r="B78" s="724"/>
      <c r="C78" s="724"/>
      <c r="D78" s="724"/>
      <c r="E78" s="724"/>
      <c r="F78" s="724"/>
      <c r="G78" s="724"/>
      <c r="H78" s="724"/>
      <c r="I78" s="724"/>
      <c r="J78" s="724"/>
      <c r="K78" s="724"/>
      <c r="L78" s="724"/>
      <c r="M78" s="724"/>
      <c r="N78" s="724"/>
      <c r="O78" s="724"/>
      <c r="P78" s="724"/>
      <c r="Q78" s="724"/>
      <c r="R78" s="724"/>
      <c r="S78" s="724"/>
      <c r="T78" s="724"/>
      <c r="U78" s="724"/>
      <c r="V78" s="724"/>
      <c r="W78" s="724"/>
      <c r="X78" s="724"/>
      <c r="Y78" s="724"/>
      <c r="Z78" s="724"/>
    </row>
    <row r="79" ht="14.25" customHeight="1">
      <c r="A79" s="724"/>
      <c r="B79" s="724"/>
      <c r="C79" s="724"/>
      <c r="D79" s="724"/>
      <c r="E79" s="724"/>
      <c r="F79" s="724"/>
      <c r="G79" s="724"/>
      <c r="H79" s="724"/>
      <c r="I79" s="724"/>
      <c r="J79" s="724"/>
      <c r="K79" s="724"/>
      <c r="L79" s="724"/>
      <c r="M79" s="724"/>
      <c r="N79" s="724"/>
      <c r="O79" s="724"/>
      <c r="P79" s="724"/>
      <c r="Q79" s="724"/>
      <c r="R79" s="724"/>
      <c r="S79" s="724"/>
      <c r="T79" s="724"/>
      <c r="U79" s="724"/>
      <c r="V79" s="724"/>
      <c r="W79" s="724"/>
      <c r="X79" s="724"/>
      <c r="Y79" s="724"/>
      <c r="Z79" s="724"/>
    </row>
    <row r="80" ht="14.25" customHeight="1">
      <c r="A80" s="724"/>
      <c r="B80" s="724"/>
      <c r="C80" s="724"/>
      <c r="D80" s="724"/>
      <c r="E80" s="724"/>
      <c r="F80" s="724"/>
      <c r="G80" s="724"/>
      <c r="H80" s="724"/>
      <c r="I80" s="724"/>
      <c r="J80" s="724"/>
      <c r="K80" s="724"/>
      <c r="L80" s="724"/>
      <c r="M80" s="724"/>
      <c r="N80" s="724"/>
      <c r="O80" s="724"/>
      <c r="P80" s="724"/>
      <c r="Q80" s="724"/>
      <c r="R80" s="724"/>
      <c r="S80" s="724"/>
      <c r="T80" s="724"/>
      <c r="U80" s="724"/>
      <c r="V80" s="724"/>
      <c r="W80" s="724"/>
      <c r="X80" s="724"/>
      <c r="Y80" s="724"/>
      <c r="Z80" s="724"/>
    </row>
    <row r="81" ht="14.25" customHeight="1">
      <c r="A81" s="724"/>
      <c r="B81" s="724"/>
      <c r="C81" s="724"/>
      <c r="D81" s="724"/>
      <c r="E81" s="724"/>
      <c r="F81" s="724"/>
      <c r="G81" s="724"/>
      <c r="H81" s="724"/>
      <c r="I81" s="724"/>
      <c r="J81" s="724"/>
      <c r="K81" s="724"/>
      <c r="L81" s="724"/>
      <c r="M81" s="724"/>
      <c r="N81" s="724"/>
      <c r="O81" s="724"/>
      <c r="P81" s="724"/>
      <c r="Q81" s="724"/>
      <c r="R81" s="724"/>
      <c r="S81" s="724"/>
      <c r="T81" s="724"/>
      <c r="U81" s="724"/>
      <c r="V81" s="724"/>
      <c r="W81" s="724"/>
      <c r="X81" s="724"/>
      <c r="Y81" s="724"/>
      <c r="Z81" s="724"/>
    </row>
    <row r="82" ht="14.25" customHeight="1">
      <c r="A82" s="724"/>
      <c r="B82" s="724"/>
      <c r="C82" s="724"/>
      <c r="D82" s="724"/>
      <c r="E82" s="724"/>
      <c r="F82" s="724"/>
      <c r="G82" s="724"/>
      <c r="H82" s="724"/>
      <c r="I82" s="724"/>
      <c r="J82" s="724"/>
      <c r="K82" s="724"/>
      <c r="L82" s="724"/>
      <c r="M82" s="724"/>
      <c r="N82" s="724"/>
      <c r="O82" s="724"/>
      <c r="P82" s="724"/>
      <c r="Q82" s="724"/>
      <c r="R82" s="724"/>
      <c r="S82" s="724"/>
      <c r="T82" s="724"/>
      <c r="U82" s="724"/>
      <c r="V82" s="724"/>
      <c r="W82" s="724"/>
      <c r="X82" s="724"/>
      <c r="Y82" s="724"/>
      <c r="Z82" s="724"/>
    </row>
    <row r="83" ht="14.25" customHeight="1">
      <c r="A83" s="724"/>
      <c r="B83" s="724"/>
      <c r="C83" s="724"/>
      <c r="D83" s="724"/>
      <c r="E83" s="724"/>
      <c r="F83" s="724"/>
      <c r="G83" s="724"/>
      <c r="H83" s="724"/>
      <c r="I83" s="724"/>
      <c r="J83" s="724"/>
      <c r="K83" s="724"/>
      <c r="L83" s="724"/>
      <c r="M83" s="724"/>
      <c r="N83" s="724"/>
      <c r="O83" s="724"/>
      <c r="P83" s="724"/>
      <c r="Q83" s="724"/>
      <c r="R83" s="724"/>
      <c r="S83" s="724"/>
      <c r="T83" s="724"/>
      <c r="U83" s="724"/>
      <c r="V83" s="724"/>
      <c r="W83" s="724"/>
      <c r="X83" s="724"/>
      <c r="Y83" s="724"/>
      <c r="Z83" s="724"/>
    </row>
    <row r="84" ht="14.25" customHeight="1">
      <c r="A84" s="724"/>
      <c r="B84" s="724"/>
      <c r="C84" s="724"/>
      <c r="D84" s="724"/>
      <c r="E84" s="724"/>
      <c r="F84" s="724"/>
      <c r="G84" s="724"/>
      <c r="H84" s="724"/>
      <c r="I84" s="724"/>
      <c r="J84" s="724"/>
      <c r="K84" s="724"/>
      <c r="L84" s="724"/>
      <c r="M84" s="724"/>
      <c r="N84" s="724"/>
      <c r="O84" s="724"/>
      <c r="P84" s="724"/>
      <c r="Q84" s="724"/>
      <c r="R84" s="724"/>
      <c r="S84" s="724"/>
      <c r="T84" s="724"/>
      <c r="U84" s="724"/>
      <c r="V84" s="724"/>
      <c r="W84" s="724"/>
      <c r="X84" s="724"/>
      <c r="Y84" s="724"/>
      <c r="Z84" s="724"/>
    </row>
    <row r="85" ht="14.25" customHeight="1">
      <c r="A85" s="724"/>
      <c r="B85" s="724"/>
      <c r="C85" s="724"/>
      <c r="D85" s="724"/>
      <c r="E85" s="724"/>
      <c r="F85" s="724"/>
      <c r="G85" s="724"/>
      <c r="H85" s="724"/>
      <c r="I85" s="724"/>
      <c r="J85" s="724"/>
      <c r="K85" s="724"/>
      <c r="L85" s="724"/>
      <c r="M85" s="724"/>
      <c r="N85" s="724"/>
      <c r="O85" s="724"/>
      <c r="P85" s="724"/>
      <c r="Q85" s="724"/>
      <c r="R85" s="724"/>
      <c r="S85" s="724"/>
      <c r="T85" s="724"/>
      <c r="U85" s="724"/>
      <c r="V85" s="724"/>
      <c r="W85" s="724"/>
      <c r="X85" s="724"/>
      <c r="Y85" s="724"/>
      <c r="Z85" s="724"/>
    </row>
    <row r="86" ht="14.25" customHeight="1">
      <c r="A86" s="724"/>
      <c r="B86" s="724"/>
      <c r="C86" s="724"/>
      <c r="D86" s="724"/>
      <c r="E86" s="724"/>
      <c r="F86" s="724"/>
      <c r="G86" s="724"/>
      <c r="H86" s="724"/>
      <c r="I86" s="724"/>
      <c r="J86" s="724"/>
      <c r="K86" s="724"/>
      <c r="L86" s="724"/>
      <c r="M86" s="724"/>
      <c r="N86" s="724"/>
      <c r="O86" s="724"/>
      <c r="P86" s="724"/>
      <c r="Q86" s="724"/>
      <c r="R86" s="724"/>
      <c r="S86" s="724"/>
      <c r="T86" s="724"/>
      <c r="U86" s="724"/>
      <c r="V86" s="724"/>
      <c r="W86" s="724"/>
      <c r="X86" s="724"/>
      <c r="Y86" s="724"/>
      <c r="Z86" s="724"/>
    </row>
    <row r="87" ht="14.25" customHeight="1">
      <c r="A87" s="724"/>
      <c r="B87" s="724"/>
      <c r="C87" s="724"/>
      <c r="D87" s="724"/>
      <c r="E87" s="724"/>
      <c r="F87" s="724"/>
      <c r="G87" s="724"/>
      <c r="H87" s="724"/>
      <c r="I87" s="724"/>
      <c r="J87" s="724"/>
      <c r="K87" s="724"/>
      <c r="L87" s="724"/>
      <c r="M87" s="724"/>
      <c r="N87" s="724"/>
      <c r="O87" s="724"/>
      <c r="P87" s="724"/>
      <c r="Q87" s="724"/>
      <c r="R87" s="724"/>
      <c r="S87" s="724"/>
      <c r="T87" s="724"/>
      <c r="U87" s="724"/>
      <c r="V87" s="724"/>
      <c r="W87" s="724"/>
      <c r="X87" s="724"/>
      <c r="Y87" s="724"/>
      <c r="Z87" s="724"/>
    </row>
    <row r="88" ht="14.25" customHeight="1">
      <c r="A88" s="724"/>
      <c r="B88" s="724"/>
      <c r="C88" s="724"/>
      <c r="D88" s="724"/>
      <c r="E88" s="724"/>
      <c r="F88" s="724"/>
      <c r="G88" s="724"/>
      <c r="H88" s="724"/>
      <c r="I88" s="724"/>
      <c r="J88" s="724"/>
      <c r="K88" s="724"/>
      <c r="L88" s="724"/>
      <c r="M88" s="724"/>
      <c r="N88" s="724"/>
      <c r="O88" s="724"/>
      <c r="P88" s="724"/>
      <c r="Q88" s="724"/>
      <c r="R88" s="724"/>
      <c r="S88" s="724"/>
      <c r="T88" s="724"/>
      <c r="U88" s="724"/>
      <c r="V88" s="724"/>
      <c r="W88" s="724"/>
      <c r="X88" s="724"/>
      <c r="Y88" s="724"/>
      <c r="Z88" s="724"/>
    </row>
    <row r="89" ht="14.25" customHeight="1">
      <c r="A89" s="724"/>
      <c r="B89" s="724"/>
      <c r="C89" s="724"/>
      <c r="D89" s="724"/>
      <c r="E89" s="724"/>
      <c r="F89" s="724"/>
      <c r="G89" s="724"/>
      <c r="H89" s="724"/>
      <c r="I89" s="724"/>
      <c r="J89" s="724"/>
      <c r="K89" s="724"/>
      <c r="L89" s="724"/>
      <c r="M89" s="724"/>
      <c r="N89" s="724"/>
      <c r="O89" s="724"/>
      <c r="P89" s="724"/>
      <c r="Q89" s="724"/>
      <c r="R89" s="724"/>
      <c r="S89" s="724"/>
      <c r="T89" s="724"/>
      <c r="U89" s="724"/>
      <c r="V89" s="724"/>
      <c r="W89" s="724"/>
      <c r="X89" s="724"/>
      <c r="Y89" s="724"/>
      <c r="Z89" s="724"/>
    </row>
    <row r="90" ht="14.25" customHeight="1">
      <c r="A90" s="724"/>
      <c r="B90" s="724"/>
      <c r="C90" s="724"/>
      <c r="D90" s="724"/>
      <c r="E90" s="724"/>
      <c r="F90" s="724"/>
      <c r="G90" s="724"/>
      <c r="H90" s="724"/>
      <c r="I90" s="724"/>
      <c r="J90" s="724"/>
      <c r="K90" s="724"/>
      <c r="L90" s="724"/>
      <c r="M90" s="724"/>
      <c r="N90" s="724"/>
      <c r="O90" s="724"/>
      <c r="P90" s="724"/>
      <c r="Q90" s="724"/>
      <c r="R90" s="724"/>
      <c r="S90" s="724"/>
      <c r="T90" s="724"/>
      <c r="U90" s="724"/>
      <c r="V90" s="724"/>
      <c r="W90" s="724"/>
      <c r="X90" s="724"/>
      <c r="Y90" s="724"/>
      <c r="Z90" s="724"/>
    </row>
    <row r="91" ht="14.25" customHeight="1">
      <c r="A91" s="724"/>
      <c r="B91" s="724"/>
      <c r="C91" s="724"/>
      <c r="D91" s="724"/>
      <c r="E91" s="724"/>
      <c r="F91" s="724"/>
      <c r="G91" s="724"/>
      <c r="H91" s="724"/>
      <c r="I91" s="724"/>
      <c r="J91" s="724"/>
      <c r="K91" s="724"/>
      <c r="L91" s="724"/>
      <c r="M91" s="724"/>
      <c r="N91" s="724"/>
      <c r="O91" s="724"/>
      <c r="P91" s="724"/>
      <c r="Q91" s="724"/>
      <c r="R91" s="724"/>
      <c r="S91" s="724"/>
      <c r="T91" s="724"/>
      <c r="U91" s="724"/>
      <c r="V91" s="724"/>
      <c r="W91" s="724"/>
      <c r="X91" s="724"/>
      <c r="Y91" s="724"/>
      <c r="Z91" s="724"/>
    </row>
    <row r="92" ht="14.25" customHeight="1">
      <c r="A92" s="724"/>
      <c r="B92" s="724"/>
      <c r="C92" s="724"/>
      <c r="D92" s="724"/>
      <c r="E92" s="724"/>
      <c r="F92" s="724"/>
      <c r="G92" s="724"/>
      <c r="H92" s="724"/>
      <c r="I92" s="724"/>
      <c r="J92" s="724"/>
      <c r="K92" s="724"/>
      <c r="L92" s="724"/>
      <c r="M92" s="724"/>
      <c r="N92" s="724"/>
      <c r="O92" s="724"/>
      <c r="P92" s="724"/>
      <c r="Q92" s="724"/>
      <c r="R92" s="724"/>
      <c r="S92" s="724"/>
      <c r="T92" s="724"/>
      <c r="U92" s="724"/>
      <c r="V92" s="724"/>
      <c r="W92" s="724"/>
      <c r="X92" s="724"/>
      <c r="Y92" s="724"/>
      <c r="Z92" s="724"/>
    </row>
    <row r="93" ht="14.25" customHeight="1">
      <c r="A93" s="724"/>
      <c r="B93" s="724"/>
      <c r="C93" s="724"/>
      <c r="D93" s="724"/>
      <c r="E93" s="724"/>
      <c r="F93" s="724"/>
      <c r="G93" s="724"/>
      <c r="H93" s="724"/>
      <c r="I93" s="724"/>
      <c r="J93" s="724"/>
      <c r="K93" s="724"/>
      <c r="L93" s="724"/>
      <c r="M93" s="724"/>
      <c r="N93" s="724"/>
      <c r="O93" s="724"/>
      <c r="P93" s="724"/>
      <c r="Q93" s="724"/>
      <c r="R93" s="724"/>
      <c r="S93" s="724"/>
      <c r="T93" s="724"/>
      <c r="U93" s="724"/>
      <c r="V93" s="724"/>
      <c r="W93" s="724"/>
      <c r="X93" s="724"/>
      <c r="Y93" s="724"/>
      <c r="Z93" s="724"/>
    </row>
    <row r="94" ht="14.25" customHeight="1">
      <c r="A94" s="724"/>
      <c r="B94" s="724"/>
      <c r="C94" s="724"/>
      <c r="D94" s="724"/>
      <c r="E94" s="724"/>
      <c r="F94" s="724"/>
      <c r="G94" s="724"/>
      <c r="H94" s="724"/>
      <c r="I94" s="724"/>
      <c r="J94" s="724"/>
      <c r="K94" s="724"/>
      <c r="L94" s="724"/>
      <c r="M94" s="724"/>
      <c r="N94" s="724"/>
      <c r="O94" s="724"/>
      <c r="P94" s="724"/>
      <c r="Q94" s="724"/>
      <c r="R94" s="724"/>
      <c r="S94" s="724"/>
      <c r="T94" s="724"/>
      <c r="U94" s="724"/>
      <c r="V94" s="724"/>
      <c r="W94" s="724"/>
      <c r="X94" s="724"/>
      <c r="Y94" s="724"/>
      <c r="Z94" s="724"/>
    </row>
    <row r="95" ht="14.25" customHeight="1">
      <c r="A95" s="724"/>
      <c r="B95" s="724"/>
      <c r="C95" s="724"/>
      <c r="D95" s="724"/>
      <c r="E95" s="724"/>
      <c r="F95" s="724"/>
      <c r="G95" s="724"/>
      <c r="H95" s="724"/>
      <c r="I95" s="724"/>
      <c r="J95" s="724"/>
      <c r="K95" s="724"/>
      <c r="L95" s="724"/>
      <c r="M95" s="724"/>
      <c r="N95" s="724"/>
      <c r="O95" s="724"/>
      <c r="P95" s="724"/>
      <c r="Q95" s="724"/>
      <c r="R95" s="724"/>
      <c r="S95" s="724"/>
      <c r="T95" s="724"/>
      <c r="U95" s="724"/>
      <c r="V95" s="724"/>
      <c r="W95" s="724"/>
      <c r="X95" s="724"/>
      <c r="Y95" s="724"/>
      <c r="Z95" s="724"/>
    </row>
    <row r="96" ht="14.25" customHeight="1">
      <c r="A96" s="724"/>
      <c r="B96" s="724"/>
      <c r="C96" s="724"/>
      <c r="D96" s="724"/>
      <c r="E96" s="724"/>
      <c r="F96" s="724"/>
      <c r="G96" s="724"/>
      <c r="H96" s="724"/>
      <c r="I96" s="724"/>
      <c r="J96" s="724"/>
      <c r="K96" s="724"/>
      <c r="L96" s="724"/>
      <c r="M96" s="724"/>
      <c r="N96" s="724"/>
      <c r="O96" s="724"/>
      <c r="P96" s="724"/>
      <c r="Q96" s="724"/>
      <c r="R96" s="724"/>
      <c r="S96" s="724"/>
      <c r="T96" s="724"/>
      <c r="U96" s="724"/>
      <c r="V96" s="724"/>
      <c r="W96" s="724"/>
      <c r="X96" s="724"/>
      <c r="Y96" s="724"/>
      <c r="Z96" s="724"/>
    </row>
    <row r="97" ht="14.25" customHeight="1">
      <c r="A97" s="724"/>
      <c r="B97" s="724"/>
      <c r="C97" s="724"/>
      <c r="D97" s="724"/>
      <c r="E97" s="724"/>
      <c r="F97" s="724"/>
      <c r="G97" s="724"/>
      <c r="H97" s="724"/>
      <c r="I97" s="724"/>
      <c r="J97" s="724"/>
      <c r="K97" s="724"/>
      <c r="L97" s="724"/>
      <c r="M97" s="724"/>
      <c r="N97" s="724"/>
      <c r="O97" s="724"/>
      <c r="P97" s="724"/>
      <c r="Q97" s="724"/>
      <c r="R97" s="724"/>
      <c r="S97" s="724"/>
      <c r="T97" s="724"/>
      <c r="U97" s="724"/>
      <c r="V97" s="724"/>
      <c r="W97" s="724"/>
      <c r="X97" s="724"/>
      <c r="Y97" s="724"/>
      <c r="Z97" s="724"/>
    </row>
    <row r="98" ht="14.25" customHeight="1">
      <c r="A98" s="724"/>
      <c r="B98" s="724"/>
      <c r="C98" s="724"/>
      <c r="D98" s="724"/>
      <c r="E98" s="724"/>
      <c r="F98" s="724"/>
      <c r="G98" s="724"/>
      <c r="H98" s="724"/>
      <c r="I98" s="724"/>
      <c r="J98" s="724"/>
      <c r="K98" s="724"/>
      <c r="L98" s="724"/>
      <c r="M98" s="724"/>
      <c r="N98" s="724"/>
      <c r="O98" s="724"/>
      <c r="P98" s="724"/>
      <c r="Q98" s="724"/>
      <c r="R98" s="724"/>
      <c r="S98" s="724"/>
      <c r="T98" s="724"/>
      <c r="U98" s="724"/>
      <c r="V98" s="724"/>
      <c r="W98" s="724"/>
      <c r="X98" s="724"/>
      <c r="Y98" s="724"/>
      <c r="Z98" s="724"/>
    </row>
    <row r="99" ht="14.25" customHeight="1">
      <c r="A99" s="724"/>
      <c r="B99" s="724"/>
      <c r="C99" s="724"/>
      <c r="D99" s="724"/>
      <c r="E99" s="724"/>
      <c r="F99" s="724"/>
      <c r="G99" s="724"/>
      <c r="H99" s="724"/>
      <c r="I99" s="724"/>
      <c r="J99" s="724"/>
      <c r="K99" s="724"/>
      <c r="L99" s="724"/>
      <c r="M99" s="724"/>
      <c r="N99" s="724"/>
      <c r="O99" s="724"/>
      <c r="P99" s="724"/>
      <c r="Q99" s="724"/>
      <c r="R99" s="724"/>
      <c r="S99" s="724"/>
      <c r="T99" s="724"/>
      <c r="U99" s="724"/>
      <c r="V99" s="724"/>
      <c r="W99" s="724"/>
      <c r="X99" s="724"/>
      <c r="Y99" s="724"/>
      <c r="Z99" s="724"/>
    </row>
    <row r="100" ht="14.25" customHeight="1">
      <c r="A100" s="724"/>
      <c r="B100" s="724"/>
      <c r="C100" s="724"/>
      <c r="D100" s="724"/>
      <c r="E100" s="724"/>
      <c r="F100" s="724"/>
      <c r="G100" s="724"/>
      <c r="H100" s="724"/>
      <c r="I100" s="724"/>
      <c r="J100" s="724"/>
      <c r="K100" s="724"/>
      <c r="L100" s="724"/>
      <c r="M100" s="724"/>
      <c r="N100" s="724"/>
      <c r="O100" s="724"/>
      <c r="P100" s="724"/>
      <c r="Q100" s="724"/>
      <c r="R100" s="724"/>
      <c r="S100" s="724"/>
      <c r="T100" s="724"/>
      <c r="U100" s="724"/>
      <c r="V100" s="724"/>
      <c r="W100" s="724"/>
      <c r="X100" s="724"/>
      <c r="Y100" s="724"/>
      <c r="Z100" s="724"/>
    </row>
    <row r="101" ht="14.25" customHeight="1">
      <c r="A101" s="724"/>
      <c r="B101" s="724"/>
      <c r="C101" s="724"/>
      <c r="D101" s="724"/>
      <c r="E101" s="724"/>
      <c r="F101" s="724"/>
      <c r="G101" s="724"/>
      <c r="H101" s="724"/>
      <c r="I101" s="724"/>
      <c r="J101" s="724"/>
      <c r="K101" s="724"/>
      <c r="L101" s="724"/>
      <c r="M101" s="724"/>
      <c r="N101" s="724"/>
      <c r="O101" s="724"/>
      <c r="P101" s="724"/>
      <c r="Q101" s="724"/>
      <c r="R101" s="724"/>
      <c r="S101" s="724"/>
      <c r="T101" s="724"/>
      <c r="U101" s="724"/>
      <c r="V101" s="724"/>
      <c r="W101" s="724"/>
      <c r="X101" s="724"/>
      <c r="Y101" s="724"/>
      <c r="Z101" s="724"/>
    </row>
    <row r="102" ht="14.25" customHeight="1">
      <c r="A102" s="724"/>
      <c r="B102" s="724"/>
      <c r="C102" s="724"/>
      <c r="D102" s="724"/>
      <c r="E102" s="724"/>
      <c r="F102" s="724"/>
      <c r="G102" s="724"/>
      <c r="H102" s="724"/>
      <c r="I102" s="724"/>
      <c r="J102" s="724"/>
      <c r="K102" s="724"/>
      <c r="L102" s="724"/>
      <c r="M102" s="724"/>
      <c r="N102" s="724"/>
      <c r="O102" s="724"/>
      <c r="P102" s="724"/>
      <c r="Q102" s="724"/>
      <c r="R102" s="724"/>
      <c r="S102" s="724"/>
      <c r="T102" s="724"/>
      <c r="U102" s="724"/>
      <c r="V102" s="724"/>
      <c r="W102" s="724"/>
      <c r="X102" s="724"/>
      <c r="Y102" s="724"/>
      <c r="Z102" s="724"/>
    </row>
    <row r="103" ht="14.25" customHeight="1">
      <c r="A103" s="724"/>
      <c r="B103" s="724"/>
      <c r="C103" s="724"/>
      <c r="D103" s="724"/>
      <c r="E103" s="724"/>
      <c r="F103" s="724"/>
      <c r="G103" s="724"/>
      <c r="H103" s="724"/>
      <c r="I103" s="724"/>
      <c r="J103" s="724"/>
      <c r="K103" s="724"/>
      <c r="L103" s="724"/>
      <c r="M103" s="724"/>
      <c r="N103" s="724"/>
      <c r="O103" s="724"/>
      <c r="P103" s="724"/>
      <c r="Q103" s="724"/>
      <c r="R103" s="724"/>
      <c r="S103" s="724"/>
      <c r="T103" s="724"/>
      <c r="U103" s="724"/>
      <c r="V103" s="724"/>
      <c r="W103" s="724"/>
      <c r="X103" s="724"/>
      <c r="Y103" s="724"/>
      <c r="Z103" s="724"/>
    </row>
    <row r="104" ht="14.25" customHeight="1">
      <c r="A104" s="724"/>
      <c r="B104" s="724"/>
      <c r="C104" s="724"/>
      <c r="D104" s="724"/>
      <c r="E104" s="724"/>
      <c r="F104" s="724"/>
      <c r="G104" s="724"/>
      <c r="H104" s="724"/>
      <c r="I104" s="724"/>
      <c r="J104" s="724"/>
      <c r="K104" s="724"/>
      <c r="L104" s="724"/>
      <c r="M104" s="724"/>
      <c r="N104" s="724"/>
      <c r="O104" s="724"/>
      <c r="P104" s="724"/>
      <c r="Q104" s="724"/>
      <c r="R104" s="724"/>
      <c r="S104" s="724"/>
      <c r="T104" s="724"/>
      <c r="U104" s="724"/>
      <c r="V104" s="724"/>
      <c r="W104" s="724"/>
      <c r="X104" s="724"/>
      <c r="Y104" s="724"/>
      <c r="Z104" s="724"/>
    </row>
    <row r="105" ht="14.25" customHeight="1">
      <c r="A105" s="724"/>
      <c r="B105" s="724"/>
      <c r="C105" s="724"/>
      <c r="D105" s="724"/>
      <c r="E105" s="724"/>
      <c r="F105" s="724"/>
      <c r="G105" s="724"/>
      <c r="H105" s="724"/>
      <c r="I105" s="724"/>
      <c r="J105" s="724"/>
      <c r="K105" s="724"/>
      <c r="L105" s="724"/>
      <c r="M105" s="724"/>
      <c r="N105" s="724"/>
      <c r="O105" s="724"/>
      <c r="P105" s="724"/>
      <c r="Q105" s="724"/>
      <c r="R105" s="724"/>
      <c r="S105" s="724"/>
      <c r="T105" s="724"/>
      <c r="U105" s="724"/>
      <c r="V105" s="724"/>
      <c r="W105" s="724"/>
      <c r="X105" s="724"/>
      <c r="Y105" s="724"/>
      <c r="Z105" s="724"/>
    </row>
    <row r="106" ht="14.25" customHeight="1">
      <c r="A106" s="724"/>
      <c r="B106" s="724"/>
      <c r="C106" s="724"/>
      <c r="D106" s="724"/>
      <c r="E106" s="724"/>
      <c r="F106" s="724"/>
      <c r="G106" s="724"/>
      <c r="H106" s="724"/>
      <c r="I106" s="724"/>
      <c r="J106" s="724"/>
      <c r="K106" s="724"/>
      <c r="L106" s="724"/>
      <c r="M106" s="724"/>
      <c r="N106" s="724"/>
      <c r="O106" s="724"/>
      <c r="P106" s="724"/>
      <c r="Q106" s="724"/>
      <c r="R106" s="724"/>
      <c r="S106" s="724"/>
      <c r="T106" s="724"/>
      <c r="U106" s="724"/>
      <c r="V106" s="724"/>
      <c r="W106" s="724"/>
      <c r="X106" s="724"/>
      <c r="Y106" s="724"/>
      <c r="Z106" s="724"/>
    </row>
    <row r="107" ht="14.25" customHeight="1">
      <c r="A107" s="724"/>
      <c r="B107" s="724"/>
      <c r="C107" s="724"/>
      <c r="D107" s="724"/>
      <c r="E107" s="724"/>
      <c r="F107" s="724"/>
      <c r="G107" s="724"/>
      <c r="H107" s="724"/>
      <c r="I107" s="724"/>
      <c r="J107" s="724"/>
      <c r="K107" s="724"/>
      <c r="L107" s="724"/>
      <c r="M107" s="724"/>
      <c r="N107" s="724"/>
      <c r="O107" s="724"/>
      <c r="P107" s="724"/>
      <c r="Q107" s="724"/>
      <c r="R107" s="724"/>
      <c r="S107" s="724"/>
      <c r="T107" s="724"/>
      <c r="U107" s="724"/>
      <c r="V107" s="724"/>
      <c r="W107" s="724"/>
      <c r="X107" s="724"/>
      <c r="Y107" s="724"/>
      <c r="Z107" s="724"/>
    </row>
    <row r="108" ht="14.25" customHeight="1">
      <c r="A108" s="724"/>
      <c r="B108" s="724"/>
      <c r="C108" s="724"/>
      <c r="D108" s="724"/>
      <c r="E108" s="724"/>
      <c r="F108" s="724"/>
      <c r="G108" s="724"/>
      <c r="H108" s="724"/>
      <c r="I108" s="724"/>
      <c r="J108" s="724"/>
      <c r="K108" s="724"/>
      <c r="L108" s="724"/>
      <c r="M108" s="724"/>
      <c r="N108" s="724"/>
      <c r="O108" s="724"/>
      <c r="P108" s="724"/>
      <c r="Q108" s="724"/>
      <c r="R108" s="724"/>
      <c r="S108" s="724"/>
      <c r="T108" s="724"/>
      <c r="U108" s="724"/>
      <c r="V108" s="724"/>
      <c r="W108" s="724"/>
      <c r="X108" s="724"/>
      <c r="Y108" s="724"/>
      <c r="Z108" s="724"/>
    </row>
    <row r="109" ht="14.25" customHeight="1">
      <c r="A109" s="724"/>
      <c r="B109" s="724"/>
      <c r="C109" s="724"/>
      <c r="D109" s="724"/>
      <c r="E109" s="724"/>
      <c r="F109" s="724"/>
      <c r="G109" s="724"/>
      <c r="H109" s="724"/>
      <c r="I109" s="724"/>
      <c r="J109" s="724"/>
      <c r="K109" s="724"/>
      <c r="L109" s="724"/>
      <c r="M109" s="724"/>
      <c r="N109" s="724"/>
      <c r="O109" s="724"/>
      <c r="P109" s="724"/>
      <c r="Q109" s="724"/>
      <c r="R109" s="724"/>
      <c r="S109" s="724"/>
      <c r="T109" s="724"/>
      <c r="U109" s="724"/>
      <c r="V109" s="724"/>
      <c r="W109" s="724"/>
      <c r="X109" s="724"/>
      <c r="Y109" s="724"/>
      <c r="Z109" s="724"/>
    </row>
    <row r="110" ht="14.25" customHeight="1">
      <c r="A110" s="724"/>
      <c r="B110" s="724"/>
      <c r="C110" s="724"/>
      <c r="D110" s="724"/>
      <c r="E110" s="724"/>
      <c r="F110" s="724"/>
      <c r="G110" s="724"/>
      <c r="H110" s="724"/>
      <c r="I110" s="724"/>
      <c r="J110" s="724"/>
      <c r="K110" s="724"/>
      <c r="L110" s="724"/>
      <c r="M110" s="724"/>
      <c r="N110" s="724"/>
      <c r="O110" s="724"/>
      <c r="P110" s="724"/>
      <c r="Q110" s="724"/>
      <c r="R110" s="724"/>
      <c r="S110" s="724"/>
      <c r="T110" s="724"/>
      <c r="U110" s="724"/>
      <c r="V110" s="724"/>
      <c r="W110" s="724"/>
      <c r="X110" s="724"/>
      <c r="Y110" s="724"/>
      <c r="Z110" s="724"/>
    </row>
    <row r="111" ht="14.25" customHeight="1">
      <c r="A111" s="724"/>
      <c r="B111" s="724"/>
      <c r="C111" s="724"/>
      <c r="D111" s="724"/>
      <c r="E111" s="724"/>
      <c r="F111" s="724"/>
      <c r="G111" s="724"/>
      <c r="H111" s="724"/>
      <c r="I111" s="724"/>
      <c r="J111" s="724"/>
      <c r="K111" s="724"/>
      <c r="L111" s="724"/>
      <c r="M111" s="724"/>
      <c r="N111" s="724"/>
      <c r="O111" s="724"/>
      <c r="P111" s="724"/>
      <c r="Q111" s="724"/>
      <c r="R111" s="724"/>
      <c r="S111" s="724"/>
      <c r="T111" s="724"/>
      <c r="U111" s="724"/>
      <c r="V111" s="724"/>
      <c r="W111" s="724"/>
      <c r="X111" s="724"/>
      <c r="Y111" s="724"/>
      <c r="Z111" s="724"/>
    </row>
    <row r="112" ht="14.25" customHeight="1">
      <c r="A112" s="724"/>
      <c r="B112" s="724"/>
      <c r="C112" s="724"/>
      <c r="D112" s="724"/>
      <c r="E112" s="724"/>
      <c r="F112" s="724"/>
      <c r="G112" s="724"/>
      <c r="H112" s="724"/>
      <c r="I112" s="724"/>
      <c r="J112" s="724"/>
      <c r="K112" s="724"/>
      <c r="L112" s="724"/>
      <c r="M112" s="724"/>
      <c r="N112" s="724"/>
      <c r="O112" s="724"/>
      <c r="P112" s="724"/>
      <c r="Q112" s="724"/>
      <c r="R112" s="724"/>
      <c r="S112" s="724"/>
      <c r="T112" s="724"/>
      <c r="U112" s="724"/>
      <c r="V112" s="724"/>
      <c r="W112" s="724"/>
      <c r="X112" s="724"/>
      <c r="Y112" s="724"/>
      <c r="Z112" s="724"/>
    </row>
    <row r="113" ht="14.25" customHeight="1">
      <c r="A113" s="724"/>
      <c r="B113" s="724"/>
      <c r="C113" s="724"/>
      <c r="D113" s="724"/>
      <c r="E113" s="724"/>
      <c r="F113" s="724"/>
      <c r="G113" s="724"/>
      <c r="H113" s="724"/>
      <c r="I113" s="724"/>
      <c r="J113" s="724"/>
      <c r="K113" s="724"/>
      <c r="L113" s="724"/>
      <c r="M113" s="724"/>
      <c r="N113" s="724"/>
      <c r="O113" s="724"/>
      <c r="P113" s="724"/>
      <c r="Q113" s="724"/>
      <c r="R113" s="724"/>
      <c r="S113" s="724"/>
      <c r="T113" s="724"/>
      <c r="U113" s="724"/>
      <c r="V113" s="724"/>
      <c r="W113" s="724"/>
      <c r="X113" s="724"/>
      <c r="Y113" s="724"/>
      <c r="Z113" s="724"/>
    </row>
    <row r="114" ht="14.25" customHeight="1">
      <c r="A114" s="724"/>
      <c r="B114" s="724"/>
      <c r="C114" s="724"/>
      <c r="D114" s="724"/>
      <c r="E114" s="724"/>
      <c r="F114" s="724"/>
      <c r="G114" s="724"/>
      <c r="H114" s="724"/>
      <c r="I114" s="724"/>
      <c r="J114" s="724"/>
      <c r="K114" s="724"/>
      <c r="L114" s="724"/>
      <c r="M114" s="724"/>
      <c r="N114" s="724"/>
      <c r="O114" s="724"/>
      <c r="P114" s="724"/>
      <c r="Q114" s="724"/>
      <c r="R114" s="724"/>
      <c r="S114" s="724"/>
      <c r="T114" s="724"/>
      <c r="U114" s="724"/>
      <c r="V114" s="724"/>
      <c r="W114" s="724"/>
      <c r="X114" s="724"/>
      <c r="Y114" s="724"/>
      <c r="Z114" s="724"/>
    </row>
    <row r="115" ht="14.25" customHeight="1">
      <c r="A115" s="724"/>
      <c r="B115" s="724"/>
      <c r="C115" s="724"/>
      <c r="D115" s="724"/>
      <c r="E115" s="724"/>
      <c r="F115" s="724"/>
      <c r="G115" s="724"/>
      <c r="H115" s="724"/>
      <c r="I115" s="724"/>
      <c r="J115" s="724"/>
      <c r="K115" s="724"/>
      <c r="L115" s="724"/>
      <c r="M115" s="724"/>
      <c r="N115" s="724"/>
      <c r="O115" s="724"/>
      <c r="P115" s="724"/>
      <c r="Q115" s="724"/>
      <c r="R115" s="724"/>
      <c r="S115" s="724"/>
      <c r="T115" s="724"/>
      <c r="U115" s="724"/>
      <c r="V115" s="724"/>
      <c r="W115" s="724"/>
      <c r="X115" s="724"/>
      <c r="Y115" s="724"/>
      <c r="Z115" s="724"/>
    </row>
    <row r="116" ht="14.25" customHeight="1">
      <c r="A116" s="724"/>
      <c r="B116" s="724"/>
      <c r="C116" s="724"/>
      <c r="D116" s="724"/>
      <c r="E116" s="724"/>
      <c r="F116" s="724"/>
      <c r="G116" s="724"/>
      <c r="H116" s="724"/>
      <c r="I116" s="724"/>
      <c r="J116" s="724"/>
      <c r="K116" s="724"/>
      <c r="L116" s="724"/>
      <c r="M116" s="724"/>
      <c r="N116" s="724"/>
      <c r="O116" s="724"/>
      <c r="P116" s="724"/>
      <c r="Q116" s="724"/>
      <c r="R116" s="724"/>
      <c r="S116" s="724"/>
      <c r="T116" s="724"/>
      <c r="U116" s="724"/>
      <c r="V116" s="724"/>
      <c r="W116" s="724"/>
      <c r="X116" s="724"/>
      <c r="Y116" s="724"/>
      <c r="Z116" s="724"/>
    </row>
    <row r="117" ht="14.25" customHeight="1">
      <c r="A117" s="724"/>
      <c r="B117" s="724"/>
      <c r="C117" s="724"/>
      <c r="D117" s="724"/>
      <c r="E117" s="724"/>
      <c r="F117" s="724"/>
      <c r="G117" s="724"/>
      <c r="H117" s="724"/>
      <c r="I117" s="724"/>
      <c r="J117" s="724"/>
      <c r="K117" s="724"/>
      <c r="L117" s="724"/>
      <c r="M117" s="724"/>
      <c r="N117" s="724"/>
      <c r="O117" s="724"/>
      <c r="P117" s="724"/>
      <c r="Q117" s="724"/>
      <c r="R117" s="724"/>
      <c r="S117" s="724"/>
      <c r="T117" s="724"/>
      <c r="U117" s="724"/>
      <c r="V117" s="724"/>
      <c r="W117" s="724"/>
      <c r="X117" s="724"/>
      <c r="Y117" s="724"/>
      <c r="Z117" s="724"/>
    </row>
    <row r="118" ht="14.25" customHeight="1">
      <c r="A118" s="724"/>
      <c r="B118" s="724"/>
      <c r="C118" s="724"/>
      <c r="D118" s="724"/>
      <c r="E118" s="724"/>
      <c r="F118" s="724"/>
      <c r="G118" s="724"/>
      <c r="H118" s="724"/>
      <c r="I118" s="724"/>
      <c r="J118" s="724"/>
      <c r="K118" s="724"/>
      <c r="L118" s="724"/>
      <c r="M118" s="724"/>
      <c r="N118" s="724"/>
      <c r="O118" s="724"/>
      <c r="P118" s="724"/>
      <c r="Q118" s="724"/>
      <c r="R118" s="724"/>
      <c r="S118" s="724"/>
      <c r="T118" s="724"/>
      <c r="U118" s="724"/>
      <c r="V118" s="724"/>
      <c r="W118" s="724"/>
      <c r="X118" s="724"/>
      <c r="Y118" s="724"/>
      <c r="Z118" s="724"/>
    </row>
    <row r="119" ht="14.25" customHeight="1">
      <c r="A119" s="724"/>
      <c r="B119" s="724"/>
      <c r="C119" s="724"/>
      <c r="D119" s="724"/>
      <c r="E119" s="724"/>
      <c r="F119" s="724"/>
      <c r="G119" s="724"/>
      <c r="H119" s="724"/>
      <c r="I119" s="724"/>
      <c r="J119" s="724"/>
      <c r="K119" s="724"/>
      <c r="L119" s="724"/>
      <c r="M119" s="724"/>
      <c r="N119" s="724"/>
      <c r="O119" s="724"/>
      <c r="P119" s="724"/>
      <c r="Q119" s="724"/>
      <c r="R119" s="724"/>
      <c r="S119" s="724"/>
      <c r="T119" s="724"/>
      <c r="U119" s="724"/>
      <c r="V119" s="724"/>
      <c r="W119" s="724"/>
      <c r="X119" s="724"/>
      <c r="Y119" s="724"/>
      <c r="Z119" s="724"/>
    </row>
    <row r="120" ht="14.25" customHeight="1">
      <c r="A120" s="724"/>
      <c r="B120" s="724"/>
      <c r="C120" s="724"/>
      <c r="D120" s="724"/>
      <c r="E120" s="724"/>
      <c r="F120" s="724"/>
      <c r="G120" s="724"/>
      <c r="H120" s="724"/>
      <c r="I120" s="724"/>
      <c r="J120" s="724"/>
      <c r="K120" s="724"/>
      <c r="L120" s="724"/>
      <c r="M120" s="724"/>
      <c r="N120" s="724"/>
      <c r="O120" s="724"/>
      <c r="P120" s="724"/>
      <c r="Q120" s="724"/>
      <c r="R120" s="724"/>
      <c r="S120" s="724"/>
      <c r="T120" s="724"/>
      <c r="U120" s="724"/>
      <c r="V120" s="724"/>
      <c r="W120" s="724"/>
      <c r="X120" s="724"/>
      <c r="Y120" s="724"/>
      <c r="Z120" s="724"/>
    </row>
    <row r="121" ht="14.25" customHeight="1">
      <c r="A121" s="724"/>
      <c r="B121" s="724"/>
      <c r="C121" s="724"/>
      <c r="D121" s="724"/>
      <c r="E121" s="724"/>
      <c r="F121" s="724"/>
      <c r="G121" s="724"/>
      <c r="H121" s="724"/>
      <c r="I121" s="724"/>
      <c r="J121" s="724"/>
      <c r="K121" s="724"/>
      <c r="L121" s="724"/>
      <c r="M121" s="724"/>
      <c r="N121" s="724"/>
      <c r="O121" s="724"/>
      <c r="P121" s="724"/>
      <c r="Q121" s="724"/>
      <c r="R121" s="724"/>
      <c r="S121" s="724"/>
      <c r="T121" s="724"/>
      <c r="U121" s="724"/>
      <c r="V121" s="724"/>
      <c r="W121" s="724"/>
      <c r="X121" s="724"/>
      <c r="Y121" s="724"/>
      <c r="Z121" s="724"/>
    </row>
    <row r="122" ht="14.25" customHeight="1">
      <c r="A122" s="724"/>
      <c r="B122" s="724"/>
      <c r="C122" s="724"/>
      <c r="D122" s="724"/>
      <c r="E122" s="724"/>
      <c r="F122" s="724"/>
      <c r="G122" s="724"/>
      <c r="H122" s="724"/>
      <c r="I122" s="724"/>
      <c r="J122" s="724"/>
      <c r="K122" s="724"/>
      <c r="L122" s="724"/>
      <c r="M122" s="724"/>
      <c r="N122" s="724"/>
      <c r="O122" s="724"/>
      <c r="P122" s="724"/>
      <c r="Q122" s="724"/>
      <c r="R122" s="724"/>
      <c r="S122" s="724"/>
      <c r="T122" s="724"/>
      <c r="U122" s="724"/>
      <c r="V122" s="724"/>
      <c r="W122" s="724"/>
      <c r="X122" s="724"/>
      <c r="Y122" s="724"/>
      <c r="Z122" s="724"/>
    </row>
    <row r="123" ht="14.25" customHeight="1">
      <c r="A123" s="724"/>
      <c r="B123" s="724"/>
      <c r="C123" s="724"/>
      <c r="D123" s="724"/>
      <c r="E123" s="724"/>
      <c r="F123" s="724"/>
      <c r="G123" s="724"/>
      <c r="H123" s="724"/>
      <c r="I123" s="724"/>
      <c r="J123" s="724"/>
      <c r="K123" s="724"/>
      <c r="L123" s="724"/>
      <c r="M123" s="724"/>
      <c r="N123" s="724"/>
      <c r="O123" s="724"/>
      <c r="P123" s="724"/>
      <c r="Q123" s="724"/>
      <c r="R123" s="724"/>
      <c r="S123" s="724"/>
      <c r="T123" s="724"/>
      <c r="U123" s="724"/>
      <c r="V123" s="724"/>
      <c r="W123" s="724"/>
      <c r="X123" s="724"/>
      <c r="Y123" s="724"/>
      <c r="Z123" s="724"/>
    </row>
    <row r="124" ht="14.25" customHeight="1">
      <c r="A124" s="724"/>
      <c r="B124" s="724"/>
      <c r="C124" s="724"/>
      <c r="D124" s="724"/>
      <c r="E124" s="724"/>
      <c r="F124" s="724"/>
      <c r="G124" s="724"/>
      <c r="H124" s="724"/>
      <c r="I124" s="724"/>
      <c r="J124" s="724"/>
      <c r="K124" s="724"/>
      <c r="L124" s="724"/>
      <c r="M124" s="724"/>
      <c r="N124" s="724"/>
      <c r="O124" s="724"/>
      <c r="P124" s="724"/>
      <c r="Q124" s="724"/>
      <c r="R124" s="724"/>
      <c r="S124" s="724"/>
      <c r="T124" s="724"/>
      <c r="U124" s="724"/>
      <c r="V124" s="724"/>
      <c r="W124" s="724"/>
      <c r="X124" s="724"/>
      <c r="Y124" s="724"/>
      <c r="Z124" s="724"/>
    </row>
    <row r="125" ht="14.25" customHeight="1">
      <c r="A125" s="724"/>
      <c r="B125" s="724"/>
      <c r="C125" s="724"/>
      <c r="D125" s="724"/>
      <c r="E125" s="724"/>
      <c r="F125" s="724"/>
      <c r="G125" s="724"/>
      <c r="H125" s="724"/>
      <c r="I125" s="724"/>
      <c r="J125" s="724"/>
      <c r="K125" s="724"/>
      <c r="L125" s="724"/>
      <c r="M125" s="724"/>
      <c r="N125" s="724"/>
      <c r="O125" s="724"/>
      <c r="P125" s="724"/>
      <c r="Q125" s="724"/>
      <c r="R125" s="724"/>
      <c r="S125" s="724"/>
      <c r="T125" s="724"/>
      <c r="U125" s="724"/>
      <c r="V125" s="724"/>
      <c r="W125" s="724"/>
      <c r="X125" s="724"/>
      <c r="Y125" s="724"/>
      <c r="Z125" s="724"/>
    </row>
    <row r="126" ht="14.25" customHeight="1">
      <c r="A126" s="724"/>
      <c r="B126" s="724"/>
      <c r="C126" s="724"/>
      <c r="D126" s="724"/>
      <c r="E126" s="724"/>
      <c r="F126" s="724"/>
      <c r="G126" s="724"/>
      <c r="H126" s="724"/>
      <c r="I126" s="724"/>
      <c r="J126" s="724"/>
      <c r="K126" s="724"/>
      <c r="L126" s="724"/>
      <c r="M126" s="724"/>
      <c r="N126" s="724"/>
      <c r="O126" s="724"/>
      <c r="P126" s="724"/>
      <c r="Q126" s="724"/>
      <c r="R126" s="724"/>
      <c r="S126" s="724"/>
      <c r="T126" s="724"/>
      <c r="U126" s="724"/>
      <c r="V126" s="724"/>
      <c r="W126" s="724"/>
      <c r="X126" s="724"/>
      <c r="Y126" s="724"/>
      <c r="Z126" s="724"/>
    </row>
    <row r="127" ht="14.25" customHeight="1">
      <c r="A127" s="724"/>
      <c r="B127" s="724"/>
      <c r="C127" s="724"/>
      <c r="D127" s="724"/>
      <c r="E127" s="724"/>
      <c r="F127" s="724"/>
      <c r="G127" s="724"/>
      <c r="H127" s="724"/>
      <c r="I127" s="724"/>
      <c r="J127" s="724"/>
      <c r="K127" s="724"/>
      <c r="L127" s="724"/>
      <c r="M127" s="724"/>
      <c r="N127" s="724"/>
      <c r="O127" s="724"/>
      <c r="P127" s="724"/>
      <c r="Q127" s="724"/>
      <c r="R127" s="724"/>
      <c r="S127" s="724"/>
      <c r="T127" s="724"/>
      <c r="U127" s="724"/>
      <c r="V127" s="724"/>
      <c r="W127" s="724"/>
      <c r="X127" s="724"/>
      <c r="Y127" s="724"/>
      <c r="Z127" s="724"/>
    </row>
    <row r="128" ht="14.25" customHeight="1">
      <c r="A128" s="724"/>
      <c r="B128" s="724"/>
      <c r="C128" s="724"/>
      <c r="D128" s="724"/>
      <c r="E128" s="724"/>
      <c r="F128" s="724"/>
      <c r="G128" s="724"/>
      <c r="H128" s="724"/>
      <c r="I128" s="724"/>
      <c r="J128" s="724"/>
      <c r="K128" s="724"/>
      <c r="L128" s="724"/>
      <c r="M128" s="724"/>
      <c r="N128" s="724"/>
      <c r="O128" s="724"/>
      <c r="P128" s="724"/>
      <c r="Q128" s="724"/>
      <c r="R128" s="724"/>
      <c r="S128" s="724"/>
      <c r="T128" s="724"/>
      <c r="U128" s="724"/>
      <c r="V128" s="724"/>
      <c r="W128" s="724"/>
      <c r="X128" s="724"/>
      <c r="Y128" s="724"/>
      <c r="Z128" s="724"/>
    </row>
    <row r="129" ht="14.25" customHeight="1">
      <c r="A129" s="724"/>
      <c r="B129" s="724"/>
      <c r="C129" s="724"/>
      <c r="D129" s="724"/>
      <c r="E129" s="724"/>
      <c r="F129" s="724"/>
      <c r="G129" s="724"/>
      <c r="H129" s="724"/>
      <c r="I129" s="724"/>
      <c r="J129" s="724"/>
      <c r="K129" s="724"/>
      <c r="L129" s="724"/>
      <c r="M129" s="724"/>
      <c r="N129" s="724"/>
      <c r="O129" s="724"/>
      <c r="P129" s="724"/>
      <c r="Q129" s="724"/>
      <c r="R129" s="724"/>
      <c r="S129" s="724"/>
      <c r="T129" s="724"/>
      <c r="U129" s="724"/>
      <c r="V129" s="724"/>
      <c r="W129" s="724"/>
      <c r="X129" s="724"/>
      <c r="Y129" s="724"/>
      <c r="Z129" s="724"/>
    </row>
    <row r="130" ht="14.25" customHeight="1">
      <c r="A130" s="724"/>
      <c r="B130" s="724"/>
      <c r="C130" s="724"/>
      <c r="D130" s="724"/>
      <c r="E130" s="724"/>
      <c r="F130" s="724"/>
      <c r="G130" s="724"/>
      <c r="H130" s="724"/>
      <c r="I130" s="724"/>
      <c r="J130" s="724"/>
      <c r="K130" s="724"/>
      <c r="L130" s="724"/>
      <c r="M130" s="724"/>
      <c r="N130" s="724"/>
      <c r="O130" s="724"/>
      <c r="P130" s="724"/>
      <c r="Q130" s="724"/>
      <c r="R130" s="724"/>
      <c r="S130" s="724"/>
      <c r="T130" s="724"/>
      <c r="U130" s="724"/>
      <c r="V130" s="724"/>
      <c r="W130" s="724"/>
      <c r="X130" s="724"/>
      <c r="Y130" s="724"/>
      <c r="Z130" s="724"/>
    </row>
    <row r="131" ht="14.25" customHeight="1">
      <c r="A131" s="724"/>
      <c r="B131" s="724"/>
      <c r="C131" s="724"/>
      <c r="D131" s="724"/>
      <c r="E131" s="724"/>
      <c r="F131" s="724"/>
      <c r="G131" s="724"/>
      <c r="H131" s="724"/>
      <c r="I131" s="724"/>
      <c r="J131" s="724"/>
      <c r="K131" s="724"/>
      <c r="L131" s="724"/>
      <c r="M131" s="724"/>
      <c r="N131" s="724"/>
      <c r="O131" s="724"/>
      <c r="P131" s="724"/>
      <c r="Q131" s="724"/>
      <c r="R131" s="724"/>
      <c r="S131" s="724"/>
      <c r="T131" s="724"/>
      <c r="U131" s="724"/>
      <c r="V131" s="724"/>
      <c r="W131" s="724"/>
      <c r="X131" s="724"/>
      <c r="Y131" s="724"/>
      <c r="Z131" s="724"/>
    </row>
    <row r="132" ht="14.25" customHeight="1">
      <c r="A132" s="724"/>
      <c r="B132" s="724"/>
      <c r="C132" s="724"/>
      <c r="D132" s="724"/>
      <c r="E132" s="724"/>
      <c r="F132" s="724"/>
      <c r="G132" s="724"/>
      <c r="H132" s="724"/>
      <c r="I132" s="724"/>
      <c r="J132" s="724"/>
      <c r="K132" s="724"/>
      <c r="L132" s="724"/>
      <c r="M132" s="724"/>
      <c r="N132" s="724"/>
      <c r="O132" s="724"/>
      <c r="P132" s="724"/>
      <c r="Q132" s="724"/>
      <c r="R132" s="724"/>
      <c r="S132" s="724"/>
      <c r="T132" s="724"/>
      <c r="U132" s="724"/>
      <c r="V132" s="724"/>
      <c r="W132" s="724"/>
      <c r="X132" s="724"/>
      <c r="Y132" s="724"/>
      <c r="Z132" s="724"/>
    </row>
    <row r="133" ht="14.25" customHeight="1">
      <c r="A133" s="724"/>
      <c r="B133" s="724"/>
      <c r="C133" s="724"/>
      <c r="D133" s="724"/>
      <c r="E133" s="724"/>
      <c r="F133" s="724"/>
      <c r="G133" s="724"/>
      <c r="H133" s="724"/>
      <c r="I133" s="724"/>
      <c r="J133" s="724"/>
      <c r="K133" s="724"/>
      <c r="L133" s="724"/>
      <c r="M133" s="724"/>
      <c r="N133" s="724"/>
      <c r="O133" s="724"/>
      <c r="P133" s="724"/>
      <c r="Q133" s="724"/>
      <c r="R133" s="724"/>
      <c r="S133" s="724"/>
      <c r="T133" s="724"/>
      <c r="U133" s="724"/>
      <c r="V133" s="724"/>
      <c r="W133" s="724"/>
      <c r="X133" s="724"/>
      <c r="Y133" s="724"/>
      <c r="Z133" s="724"/>
    </row>
    <row r="134" ht="14.25" customHeight="1">
      <c r="A134" s="724"/>
      <c r="B134" s="724"/>
      <c r="C134" s="724"/>
      <c r="D134" s="724"/>
      <c r="E134" s="724"/>
      <c r="F134" s="724"/>
      <c r="G134" s="724"/>
      <c r="H134" s="724"/>
      <c r="I134" s="724"/>
      <c r="J134" s="724"/>
      <c r="K134" s="724"/>
      <c r="L134" s="724"/>
      <c r="M134" s="724"/>
      <c r="N134" s="724"/>
      <c r="O134" s="724"/>
      <c r="P134" s="724"/>
      <c r="Q134" s="724"/>
      <c r="R134" s="724"/>
      <c r="S134" s="724"/>
      <c r="T134" s="724"/>
      <c r="U134" s="724"/>
      <c r="V134" s="724"/>
      <c r="W134" s="724"/>
      <c r="X134" s="724"/>
      <c r="Y134" s="724"/>
      <c r="Z134" s="724"/>
    </row>
    <row r="135" ht="14.25" customHeight="1">
      <c r="A135" s="724"/>
      <c r="B135" s="724"/>
      <c r="C135" s="724"/>
      <c r="D135" s="724"/>
      <c r="E135" s="724"/>
      <c r="F135" s="724"/>
      <c r="G135" s="724"/>
      <c r="H135" s="724"/>
      <c r="I135" s="724"/>
      <c r="J135" s="724"/>
      <c r="K135" s="724"/>
      <c r="L135" s="724"/>
      <c r="M135" s="724"/>
      <c r="N135" s="724"/>
      <c r="O135" s="724"/>
      <c r="P135" s="724"/>
      <c r="Q135" s="724"/>
      <c r="R135" s="724"/>
      <c r="S135" s="724"/>
      <c r="T135" s="724"/>
      <c r="U135" s="724"/>
      <c r="V135" s="724"/>
      <c r="W135" s="724"/>
      <c r="X135" s="724"/>
      <c r="Y135" s="724"/>
      <c r="Z135" s="724"/>
    </row>
    <row r="136" ht="14.25" customHeight="1">
      <c r="A136" s="724"/>
      <c r="B136" s="724"/>
      <c r="C136" s="724"/>
      <c r="D136" s="724"/>
      <c r="E136" s="724"/>
      <c r="F136" s="724"/>
      <c r="G136" s="724"/>
      <c r="H136" s="724"/>
      <c r="I136" s="724"/>
      <c r="J136" s="724"/>
      <c r="K136" s="724"/>
      <c r="L136" s="724"/>
      <c r="M136" s="724"/>
      <c r="N136" s="724"/>
      <c r="O136" s="724"/>
      <c r="P136" s="724"/>
      <c r="Q136" s="724"/>
      <c r="R136" s="724"/>
      <c r="S136" s="724"/>
      <c r="T136" s="724"/>
      <c r="U136" s="724"/>
      <c r="V136" s="724"/>
      <c r="W136" s="724"/>
      <c r="X136" s="724"/>
      <c r="Y136" s="724"/>
      <c r="Z136" s="724"/>
    </row>
    <row r="137" ht="14.25" customHeight="1">
      <c r="A137" s="724"/>
      <c r="B137" s="724"/>
      <c r="C137" s="724"/>
      <c r="D137" s="724"/>
      <c r="E137" s="724"/>
      <c r="F137" s="724"/>
      <c r="G137" s="724"/>
      <c r="H137" s="724"/>
      <c r="I137" s="724"/>
      <c r="J137" s="724"/>
      <c r="K137" s="724"/>
      <c r="L137" s="724"/>
      <c r="M137" s="724"/>
      <c r="N137" s="724"/>
      <c r="O137" s="724"/>
      <c r="P137" s="724"/>
      <c r="Q137" s="724"/>
      <c r="R137" s="724"/>
      <c r="S137" s="724"/>
      <c r="T137" s="724"/>
      <c r="U137" s="724"/>
      <c r="V137" s="724"/>
      <c r="W137" s="724"/>
      <c r="X137" s="724"/>
      <c r="Y137" s="724"/>
      <c r="Z137" s="724"/>
    </row>
    <row r="138" ht="14.25" customHeight="1">
      <c r="A138" s="724"/>
      <c r="B138" s="724"/>
      <c r="C138" s="724"/>
      <c r="D138" s="724"/>
      <c r="E138" s="724"/>
      <c r="F138" s="724"/>
      <c r="G138" s="724"/>
      <c r="H138" s="724"/>
      <c r="I138" s="724"/>
      <c r="J138" s="724"/>
      <c r="K138" s="724"/>
      <c r="L138" s="724"/>
      <c r="M138" s="724"/>
      <c r="N138" s="724"/>
      <c r="O138" s="724"/>
      <c r="P138" s="724"/>
      <c r="Q138" s="724"/>
      <c r="R138" s="724"/>
      <c r="S138" s="724"/>
      <c r="T138" s="724"/>
      <c r="U138" s="724"/>
      <c r="V138" s="724"/>
      <c r="W138" s="724"/>
      <c r="X138" s="724"/>
      <c r="Y138" s="724"/>
      <c r="Z138" s="724"/>
    </row>
    <row r="139" ht="14.25" customHeight="1">
      <c r="A139" s="724"/>
      <c r="B139" s="724"/>
      <c r="C139" s="724"/>
      <c r="D139" s="724"/>
      <c r="E139" s="724"/>
      <c r="F139" s="724"/>
      <c r="G139" s="724"/>
      <c r="H139" s="724"/>
      <c r="I139" s="724"/>
      <c r="J139" s="724"/>
      <c r="K139" s="724"/>
      <c r="L139" s="724"/>
      <c r="M139" s="724"/>
      <c r="N139" s="724"/>
      <c r="O139" s="724"/>
      <c r="P139" s="724"/>
      <c r="Q139" s="724"/>
      <c r="R139" s="724"/>
      <c r="S139" s="724"/>
      <c r="T139" s="724"/>
      <c r="U139" s="724"/>
      <c r="V139" s="724"/>
      <c r="W139" s="724"/>
      <c r="X139" s="724"/>
      <c r="Y139" s="724"/>
      <c r="Z139" s="724"/>
    </row>
    <row r="140" ht="14.25" customHeight="1">
      <c r="A140" s="724"/>
      <c r="B140" s="724"/>
      <c r="C140" s="724"/>
      <c r="D140" s="724"/>
      <c r="E140" s="724"/>
      <c r="F140" s="724"/>
      <c r="G140" s="724"/>
      <c r="H140" s="724"/>
      <c r="I140" s="724"/>
      <c r="J140" s="724"/>
      <c r="K140" s="724"/>
      <c r="L140" s="724"/>
      <c r="M140" s="724"/>
      <c r="N140" s="724"/>
      <c r="O140" s="724"/>
      <c r="P140" s="724"/>
      <c r="Q140" s="724"/>
      <c r="R140" s="724"/>
      <c r="S140" s="724"/>
      <c r="T140" s="724"/>
      <c r="U140" s="724"/>
      <c r="V140" s="724"/>
      <c r="W140" s="724"/>
      <c r="X140" s="724"/>
      <c r="Y140" s="724"/>
      <c r="Z140" s="724"/>
    </row>
    <row r="141" ht="14.25" customHeight="1">
      <c r="A141" s="724"/>
      <c r="B141" s="724"/>
      <c r="C141" s="724"/>
      <c r="D141" s="724"/>
      <c r="E141" s="724"/>
      <c r="F141" s="724"/>
      <c r="G141" s="724"/>
      <c r="H141" s="724"/>
      <c r="I141" s="724"/>
      <c r="J141" s="724"/>
      <c r="K141" s="724"/>
      <c r="L141" s="724"/>
      <c r="M141" s="724"/>
      <c r="N141" s="724"/>
      <c r="O141" s="724"/>
      <c r="P141" s="724"/>
      <c r="Q141" s="724"/>
      <c r="R141" s="724"/>
      <c r="S141" s="724"/>
      <c r="T141" s="724"/>
      <c r="U141" s="724"/>
      <c r="V141" s="724"/>
      <c r="W141" s="724"/>
      <c r="X141" s="724"/>
      <c r="Y141" s="724"/>
      <c r="Z141" s="724"/>
    </row>
    <row r="142" ht="14.25" customHeight="1">
      <c r="A142" s="724"/>
      <c r="B142" s="724"/>
      <c r="C142" s="724"/>
      <c r="D142" s="724"/>
      <c r="E142" s="724"/>
      <c r="F142" s="724"/>
      <c r="G142" s="724"/>
      <c r="H142" s="724"/>
      <c r="I142" s="724"/>
      <c r="J142" s="724"/>
      <c r="K142" s="724"/>
      <c r="L142" s="724"/>
      <c r="M142" s="724"/>
      <c r="N142" s="724"/>
      <c r="O142" s="724"/>
      <c r="P142" s="724"/>
      <c r="Q142" s="724"/>
      <c r="R142" s="724"/>
      <c r="S142" s="724"/>
      <c r="T142" s="724"/>
      <c r="U142" s="724"/>
      <c r="V142" s="724"/>
      <c r="W142" s="724"/>
      <c r="X142" s="724"/>
      <c r="Y142" s="724"/>
      <c r="Z142" s="724"/>
    </row>
    <row r="143" ht="14.25" customHeight="1">
      <c r="A143" s="724"/>
      <c r="B143" s="724"/>
      <c r="C143" s="724"/>
      <c r="D143" s="724"/>
      <c r="E143" s="724"/>
      <c r="F143" s="724"/>
      <c r="G143" s="724"/>
      <c r="H143" s="724"/>
      <c r="I143" s="724"/>
      <c r="J143" s="724"/>
      <c r="K143" s="724"/>
      <c r="L143" s="724"/>
      <c r="M143" s="724"/>
      <c r="N143" s="724"/>
      <c r="O143" s="724"/>
      <c r="P143" s="724"/>
      <c r="Q143" s="724"/>
      <c r="R143" s="724"/>
      <c r="S143" s="724"/>
      <c r="T143" s="724"/>
      <c r="U143" s="724"/>
      <c r="V143" s="724"/>
      <c r="W143" s="724"/>
      <c r="X143" s="724"/>
      <c r="Y143" s="724"/>
      <c r="Z143" s="724"/>
    </row>
    <row r="144" ht="14.25" customHeight="1">
      <c r="A144" s="724"/>
      <c r="B144" s="724"/>
      <c r="C144" s="724"/>
      <c r="D144" s="724"/>
      <c r="E144" s="724"/>
      <c r="F144" s="724"/>
      <c r="G144" s="724"/>
      <c r="H144" s="724"/>
      <c r="I144" s="724"/>
      <c r="J144" s="724"/>
      <c r="K144" s="724"/>
      <c r="L144" s="724"/>
      <c r="M144" s="724"/>
      <c r="N144" s="724"/>
      <c r="O144" s="724"/>
      <c r="P144" s="724"/>
      <c r="Q144" s="724"/>
      <c r="R144" s="724"/>
      <c r="S144" s="724"/>
      <c r="T144" s="724"/>
      <c r="U144" s="724"/>
      <c r="V144" s="724"/>
      <c r="W144" s="724"/>
      <c r="X144" s="724"/>
      <c r="Y144" s="724"/>
      <c r="Z144" s="724"/>
    </row>
    <row r="145" ht="14.25" customHeight="1">
      <c r="A145" s="724"/>
      <c r="B145" s="724"/>
      <c r="C145" s="724"/>
      <c r="D145" s="724"/>
      <c r="E145" s="724"/>
      <c r="F145" s="724"/>
      <c r="G145" s="724"/>
      <c r="H145" s="724"/>
      <c r="I145" s="724"/>
      <c r="J145" s="724"/>
      <c r="K145" s="724"/>
      <c r="L145" s="724"/>
      <c r="M145" s="724"/>
      <c r="N145" s="724"/>
      <c r="O145" s="724"/>
      <c r="P145" s="724"/>
      <c r="Q145" s="724"/>
      <c r="R145" s="724"/>
      <c r="S145" s="724"/>
      <c r="T145" s="724"/>
      <c r="U145" s="724"/>
      <c r="V145" s="724"/>
      <c r="W145" s="724"/>
      <c r="X145" s="724"/>
      <c r="Y145" s="724"/>
      <c r="Z145" s="724"/>
    </row>
    <row r="146" ht="14.25" customHeight="1">
      <c r="A146" s="724"/>
      <c r="B146" s="724"/>
      <c r="C146" s="724"/>
      <c r="D146" s="724"/>
      <c r="E146" s="724"/>
      <c r="F146" s="724"/>
      <c r="G146" s="724"/>
      <c r="H146" s="724"/>
      <c r="I146" s="724"/>
      <c r="J146" s="724"/>
      <c r="K146" s="724"/>
      <c r="L146" s="724"/>
      <c r="M146" s="724"/>
      <c r="N146" s="724"/>
      <c r="O146" s="724"/>
      <c r="P146" s="724"/>
      <c r="Q146" s="724"/>
      <c r="R146" s="724"/>
      <c r="S146" s="724"/>
      <c r="T146" s="724"/>
      <c r="U146" s="724"/>
      <c r="V146" s="724"/>
      <c r="W146" s="724"/>
      <c r="X146" s="724"/>
      <c r="Y146" s="724"/>
      <c r="Z146" s="724"/>
    </row>
    <row r="147" ht="14.25" customHeight="1">
      <c r="A147" s="724"/>
      <c r="B147" s="724"/>
      <c r="C147" s="724"/>
      <c r="D147" s="724"/>
      <c r="E147" s="724"/>
      <c r="F147" s="724"/>
      <c r="G147" s="724"/>
      <c r="H147" s="724"/>
      <c r="I147" s="724"/>
      <c r="J147" s="724"/>
      <c r="K147" s="724"/>
      <c r="L147" s="724"/>
      <c r="M147" s="724"/>
      <c r="N147" s="724"/>
      <c r="O147" s="724"/>
      <c r="P147" s="724"/>
      <c r="Q147" s="724"/>
      <c r="R147" s="724"/>
      <c r="S147" s="724"/>
      <c r="T147" s="724"/>
      <c r="U147" s="724"/>
      <c r="V147" s="724"/>
      <c r="W147" s="724"/>
      <c r="X147" s="724"/>
      <c r="Y147" s="724"/>
      <c r="Z147" s="724"/>
    </row>
    <row r="148" ht="14.25" customHeight="1">
      <c r="A148" s="724"/>
      <c r="B148" s="724"/>
      <c r="C148" s="724"/>
      <c r="D148" s="724"/>
      <c r="E148" s="724"/>
      <c r="F148" s="724"/>
      <c r="G148" s="724"/>
      <c r="H148" s="724"/>
      <c r="I148" s="724"/>
      <c r="J148" s="724"/>
      <c r="K148" s="724"/>
      <c r="L148" s="724"/>
      <c r="M148" s="724"/>
      <c r="N148" s="724"/>
      <c r="O148" s="724"/>
      <c r="P148" s="724"/>
      <c r="Q148" s="724"/>
      <c r="R148" s="724"/>
      <c r="S148" s="724"/>
      <c r="T148" s="724"/>
      <c r="U148" s="724"/>
      <c r="V148" s="724"/>
      <c r="W148" s="724"/>
      <c r="X148" s="724"/>
      <c r="Y148" s="724"/>
      <c r="Z148" s="724"/>
    </row>
    <row r="149" ht="14.25" customHeight="1">
      <c r="A149" s="724"/>
      <c r="B149" s="724"/>
      <c r="C149" s="724"/>
      <c r="D149" s="724"/>
      <c r="E149" s="724"/>
      <c r="F149" s="724"/>
      <c r="G149" s="724"/>
      <c r="H149" s="724"/>
      <c r="I149" s="724"/>
      <c r="J149" s="724"/>
      <c r="K149" s="724"/>
      <c r="L149" s="724"/>
      <c r="M149" s="724"/>
      <c r="N149" s="724"/>
      <c r="O149" s="724"/>
      <c r="P149" s="724"/>
      <c r="Q149" s="724"/>
      <c r="R149" s="724"/>
      <c r="S149" s="724"/>
      <c r="T149" s="724"/>
      <c r="U149" s="724"/>
      <c r="V149" s="724"/>
      <c r="W149" s="724"/>
      <c r="X149" s="724"/>
      <c r="Y149" s="724"/>
      <c r="Z149" s="724"/>
    </row>
    <row r="150" ht="14.25" customHeight="1">
      <c r="A150" s="724"/>
      <c r="B150" s="724"/>
      <c r="C150" s="724"/>
      <c r="D150" s="724"/>
      <c r="E150" s="724"/>
      <c r="F150" s="724"/>
      <c r="G150" s="724"/>
      <c r="H150" s="724"/>
      <c r="I150" s="724"/>
      <c r="J150" s="724"/>
      <c r="K150" s="724"/>
      <c r="L150" s="724"/>
      <c r="M150" s="724"/>
      <c r="N150" s="724"/>
      <c r="O150" s="724"/>
      <c r="P150" s="724"/>
      <c r="Q150" s="724"/>
      <c r="R150" s="724"/>
      <c r="S150" s="724"/>
      <c r="T150" s="724"/>
      <c r="U150" s="724"/>
      <c r="V150" s="724"/>
      <c r="W150" s="724"/>
      <c r="X150" s="724"/>
      <c r="Y150" s="724"/>
      <c r="Z150" s="724"/>
    </row>
    <row r="151" ht="14.25" customHeight="1">
      <c r="A151" s="724"/>
      <c r="B151" s="724"/>
      <c r="C151" s="724"/>
      <c r="D151" s="724"/>
      <c r="E151" s="724"/>
      <c r="F151" s="724"/>
      <c r="G151" s="724"/>
      <c r="H151" s="724"/>
      <c r="I151" s="724"/>
      <c r="J151" s="724"/>
      <c r="K151" s="724"/>
      <c r="L151" s="724"/>
      <c r="M151" s="724"/>
      <c r="N151" s="724"/>
      <c r="O151" s="724"/>
      <c r="P151" s="724"/>
      <c r="Q151" s="724"/>
      <c r="R151" s="724"/>
      <c r="S151" s="724"/>
      <c r="T151" s="724"/>
      <c r="U151" s="724"/>
      <c r="V151" s="724"/>
      <c r="W151" s="724"/>
      <c r="X151" s="724"/>
      <c r="Y151" s="724"/>
      <c r="Z151" s="724"/>
    </row>
    <row r="152" ht="14.25" customHeight="1">
      <c r="A152" s="724"/>
      <c r="B152" s="724"/>
      <c r="C152" s="724"/>
      <c r="D152" s="724"/>
      <c r="E152" s="724"/>
      <c r="F152" s="724"/>
      <c r="G152" s="724"/>
      <c r="H152" s="724"/>
      <c r="I152" s="724"/>
      <c r="J152" s="724"/>
      <c r="K152" s="724"/>
      <c r="L152" s="724"/>
      <c r="M152" s="724"/>
      <c r="N152" s="724"/>
      <c r="O152" s="724"/>
      <c r="P152" s="724"/>
      <c r="Q152" s="724"/>
      <c r="R152" s="724"/>
      <c r="S152" s="724"/>
      <c r="T152" s="724"/>
      <c r="U152" s="724"/>
      <c r="V152" s="724"/>
      <c r="W152" s="724"/>
      <c r="X152" s="724"/>
      <c r="Y152" s="724"/>
      <c r="Z152" s="724"/>
    </row>
    <row r="153" ht="14.25" customHeight="1">
      <c r="A153" s="724"/>
      <c r="B153" s="724"/>
      <c r="C153" s="724"/>
      <c r="D153" s="724"/>
      <c r="E153" s="724"/>
      <c r="F153" s="724"/>
      <c r="G153" s="724"/>
      <c r="H153" s="724"/>
      <c r="I153" s="724"/>
      <c r="J153" s="724"/>
      <c r="K153" s="724"/>
      <c r="L153" s="724"/>
      <c r="M153" s="724"/>
      <c r="N153" s="724"/>
      <c r="O153" s="724"/>
      <c r="P153" s="724"/>
      <c r="Q153" s="724"/>
      <c r="R153" s="724"/>
      <c r="S153" s="724"/>
      <c r="T153" s="724"/>
      <c r="U153" s="724"/>
      <c r="V153" s="724"/>
      <c r="W153" s="724"/>
      <c r="X153" s="724"/>
      <c r="Y153" s="724"/>
      <c r="Z153" s="724"/>
    </row>
    <row r="154" ht="14.25" customHeight="1">
      <c r="A154" s="724"/>
      <c r="B154" s="724"/>
      <c r="C154" s="724"/>
      <c r="D154" s="724"/>
      <c r="E154" s="724"/>
      <c r="F154" s="724"/>
      <c r="G154" s="724"/>
      <c r="H154" s="724"/>
      <c r="I154" s="724"/>
      <c r="J154" s="724"/>
      <c r="K154" s="724"/>
      <c r="L154" s="724"/>
      <c r="M154" s="724"/>
      <c r="N154" s="724"/>
      <c r="O154" s="724"/>
      <c r="P154" s="724"/>
      <c r="Q154" s="724"/>
      <c r="R154" s="724"/>
      <c r="S154" s="724"/>
      <c r="T154" s="724"/>
      <c r="U154" s="724"/>
      <c r="V154" s="724"/>
      <c r="W154" s="724"/>
      <c r="X154" s="724"/>
      <c r="Y154" s="724"/>
      <c r="Z154" s="724"/>
    </row>
    <row r="155" ht="14.25" customHeight="1">
      <c r="A155" s="724"/>
      <c r="B155" s="724"/>
      <c r="C155" s="724"/>
      <c r="D155" s="724"/>
      <c r="E155" s="724"/>
      <c r="F155" s="724"/>
      <c r="G155" s="724"/>
      <c r="H155" s="724"/>
      <c r="I155" s="724"/>
      <c r="J155" s="724"/>
      <c r="K155" s="724"/>
      <c r="L155" s="724"/>
      <c r="M155" s="724"/>
      <c r="N155" s="724"/>
      <c r="O155" s="724"/>
      <c r="P155" s="724"/>
      <c r="Q155" s="724"/>
      <c r="R155" s="724"/>
      <c r="S155" s="724"/>
      <c r="T155" s="724"/>
      <c r="U155" s="724"/>
      <c r="V155" s="724"/>
      <c r="W155" s="724"/>
      <c r="X155" s="724"/>
      <c r="Y155" s="724"/>
      <c r="Z155" s="724"/>
    </row>
    <row r="156" ht="14.25" customHeight="1">
      <c r="A156" s="724"/>
      <c r="B156" s="724"/>
      <c r="C156" s="724"/>
      <c r="D156" s="724"/>
      <c r="E156" s="724"/>
      <c r="F156" s="724"/>
      <c r="G156" s="724"/>
      <c r="H156" s="724"/>
      <c r="I156" s="724"/>
      <c r="J156" s="724"/>
      <c r="K156" s="724"/>
      <c r="L156" s="724"/>
      <c r="M156" s="724"/>
      <c r="N156" s="724"/>
      <c r="O156" s="724"/>
      <c r="P156" s="724"/>
      <c r="Q156" s="724"/>
      <c r="R156" s="724"/>
      <c r="S156" s="724"/>
      <c r="T156" s="724"/>
      <c r="U156" s="724"/>
      <c r="V156" s="724"/>
      <c r="W156" s="724"/>
      <c r="X156" s="724"/>
      <c r="Y156" s="724"/>
      <c r="Z156" s="724"/>
    </row>
    <row r="157" ht="14.25" customHeight="1">
      <c r="A157" s="724"/>
      <c r="B157" s="724"/>
      <c r="C157" s="724"/>
      <c r="D157" s="724"/>
      <c r="E157" s="724"/>
      <c r="F157" s="724"/>
      <c r="G157" s="724"/>
      <c r="H157" s="724"/>
      <c r="I157" s="724"/>
      <c r="J157" s="724"/>
      <c r="K157" s="724"/>
      <c r="L157" s="724"/>
      <c r="M157" s="724"/>
      <c r="N157" s="724"/>
      <c r="O157" s="724"/>
      <c r="P157" s="724"/>
      <c r="Q157" s="724"/>
      <c r="R157" s="724"/>
      <c r="S157" s="724"/>
      <c r="T157" s="724"/>
      <c r="U157" s="724"/>
      <c r="V157" s="724"/>
      <c r="W157" s="724"/>
      <c r="X157" s="724"/>
      <c r="Y157" s="724"/>
      <c r="Z157" s="724"/>
    </row>
    <row r="158" ht="14.25" customHeight="1">
      <c r="A158" s="724"/>
      <c r="B158" s="724"/>
      <c r="C158" s="724"/>
      <c r="D158" s="724"/>
      <c r="E158" s="724"/>
      <c r="F158" s="724"/>
      <c r="G158" s="724"/>
      <c r="H158" s="724"/>
      <c r="I158" s="724"/>
      <c r="J158" s="724"/>
      <c r="K158" s="724"/>
      <c r="L158" s="724"/>
      <c r="M158" s="724"/>
      <c r="N158" s="724"/>
      <c r="O158" s="724"/>
      <c r="P158" s="724"/>
      <c r="Q158" s="724"/>
      <c r="R158" s="724"/>
      <c r="S158" s="724"/>
      <c r="T158" s="724"/>
      <c r="U158" s="724"/>
      <c r="V158" s="724"/>
      <c r="W158" s="724"/>
      <c r="X158" s="724"/>
      <c r="Y158" s="724"/>
      <c r="Z158" s="724"/>
    </row>
    <row r="159" ht="14.25" customHeight="1">
      <c r="A159" s="724"/>
      <c r="B159" s="724"/>
      <c r="C159" s="724"/>
      <c r="D159" s="724"/>
      <c r="E159" s="724"/>
      <c r="F159" s="724"/>
      <c r="G159" s="724"/>
      <c r="H159" s="724"/>
      <c r="I159" s="724"/>
      <c r="J159" s="724"/>
      <c r="K159" s="724"/>
      <c r="L159" s="724"/>
      <c r="M159" s="724"/>
      <c r="N159" s="724"/>
      <c r="O159" s="724"/>
      <c r="P159" s="724"/>
      <c r="Q159" s="724"/>
      <c r="R159" s="724"/>
      <c r="S159" s="724"/>
      <c r="T159" s="724"/>
      <c r="U159" s="724"/>
      <c r="V159" s="724"/>
      <c r="W159" s="724"/>
      <c r="X159" s="724"/>
      <c r="Y159" s="724"/>
      <c r="Z159" s="724"/>
    </row>
    <row r="160" ht="14.25" customHeight="1">
      <c r="A160" s="724"/>
      <c r="B160" s="724"/>
      <c r="C160" s="724"/>
      <c r="D160" s="724"/>
      <c r="E160" s="724"/>
      <c r="F160" s="724"/>
      <c r="G160" s="724"/>
      <c r="H160" s="724"/>
      <c r="I160" s="724"/>
      <c r="J160" s="724"/>
      <c r="K160" s="724"/>
      <c r="L160" s="724"/>
      <c r="M160" s="724"/>
      <c r="N160" s="724"/>
      <c r="O160" s="724"/>
      <c r="P160" s="724"/>
      <c r="Q160" s="724"/>
      <c r="R160" s="724"/>
      <c r="S160" s="724"/>
      <c r="T160" s="724"/>
      <c r="U160" s="724"/>
      <c r="V160" s="724"/>
      <c r="W160" s="724"/>
      <c r="X160" s="724"/>
      <c r="Y160" s="724"/>
      <c r="Z160" s="724"/>
    </row>
    <row r="161" ht="14.25" customHeight="1">
      <c r="A161" s="724"/>
      <c r="B161" s="724"/>
      <c r="C161" s="724"/>
      <c r="D161" s="724"/>
      <c r="E161" s="724"/>
      <c r="F161" s="724"/>
      <c r="G161" s="724"/>
      <c r="H161" s="724"/>
      <c r="I161" s="724"/>
      <c r="J161" s="724"/>
      <c r="K161" s="724"/>
      <c r="L161" s="724"/>
      <c r="M161" s="724"/>
      <c r="N161" s="724"/>
      <c r="O161" s="724"/>
      <c r="P161" s="724"/>
      <c r="Q161" s="724"/>
      <c r="R161" s="724"/>
      <c r="S161" s="724"/>
      <c r="T161" s="724"/>
      <c r="U161" s="724"/>
      <c r="V161" s="724"/>
      <c r="W161" s="724"/>
      <c r="X161" s="724"/>
      <c r="Y161" s="724"/>
      <c r="Z161" s="724"/>
    </row>
    <row r="162" ht="14.25" customHeight="1">
      <c r="A162" s="724"/>
      <c r="B162" s="724"/>
      <c r="C162" s="724"/>
      <c r="D162" s="724"/>
      <c r="E162" s="724"/>
      <c r="F162" s="724"/>
      <c r="G162" s="724"/>
      <c r="H162" s="724"/>
      <c r="I162" s="724"/>
      <c r="J162" s="724"/>
      <c r="K162" s="724"/>
      <c r="L162" s="724"/>
      <c r="M162" s="724"/>
      <c r="N162" s="724"/>
      <c r="O162" s="724"/>
      <c r="P162" s="724"/>
      <c r="Q162" s="724"/>
      <c r="R162" s="724"/>
      <c r="S162" s="724"/>
      <c r="T162" s="724"/>
      <c r="U162" s="724"/>
      <c r="V162" s="724"/>
      <c r="W162" s="724"/>
      <c r="X162" s="724"/>
      <c r="Y162" s="724"/>
      <c r="Z162" s="724"/>
    </row>
    <row r="163" ht="14.25" customHeight="1">
      <c r="A163" s="724"/>
      <c r="B163" s="724"/>
      <c r="C163" s="724"/>
      <c r="D163" s="724"/>
      <c r="E163" s="724"/>
      <c r="F163" s="724"/>
      <c r="G163" s="724"/>
      <c r="H163" s="724"/>
      <c r="I163" s="724"/>
      <c r="J163" s="724"/>
      <c r="K163" s="724"/>
      <c r="L163" s="724"/>
      <c r="M163" s="724"/>
      <c r="N163" s="724"/>
      <c r="O163" s="724"/>
      <c r="P163" s="724"/>
      <c r="Q163" s="724"/>
      <c r="R163" s="724"/>
      <c r="S163" s="724"/>
      <c r="T163" s="724"/>
      <c r="U163" s="724"/>
      <c r="V163" s="724"/>
      <c r="W163" s="724"/>
      <c r="X163" s="724"/>
      <c r="Y163" s="724"/>
      <c r="Z163" s="724"/>
    </row>
    <row r="164" ht="14.25" customHeight="1">
      <c r="A164" s="724"/>
      <c r="B164" s="724"/>
      <c r="C164" s="724"/>
      <c r="D164" s="724"/>
      <c r="E164" s="724"/>
      <c r="F164" s="724"/>
      <c r="G164" s="724"/>
      <c r="H164" s="724"/>
      <c r="I164" s="724"/>
      <c r="J164" s="724"/>
      <c r="K164" s="724"/>
      <c r="L164" s="724"/>
      <c r="M164" s="724"/>
      <c r="N164" s="724"/>
      <c r="O164" s="724"/>
      <c r="P164" s="724"/>
      <c r="Q164" s="724"/>
      <c r="R164" s="724"/>
      <c r="S164" s="724"/>
      <c r="T164" s="724"/>
      <c r="U164" s="724"/>
      <c r="V164" s="724"/>
      <c r="W164" s="724"/>
      <c r="X164" s="724"/>
      <c r="Y164" s="724"/>
      <c r="Z164" s="724"/>
    </row>
    <row r="165" ht="14.25" customHeight="1">
      <c r="A165" s="724"/>
      <c r="B165" s="724"/>
      <c r="C165" s="724"/>
      <c r="D165" s="724"/>
      <c r="E165" s="724"/>
      <c r="F165" s="724"/>
      <c r="G165" s="724"/>
      <c r="H165" s="724"/>
      <c r="I165" s="724"/>
      <c r="J165" s="724"/>
      <c r="K165" s="724"/>
      <c r="L165" s="724"/>
      <c r="M165" s="724"/>
      <c r="N165" s="724"/>
      <c r="O165" s="724"/>
      <c r="P165" s="724"/>
      <c r="Q165" s="724"/>
      <c r="R165" s="724"/>
      <c r="S165" s="724"/>
      <c r="T165" s="724"/>
      <c r="U165" s="724"/>
      <c r="V165" s="724"/>
      <c r="W165" s="724"/>
      <c r="X165" s="724"/>
      <c r="Y165" s="724"/>
      <c r="Z165" s="724"/>
    </row>
    <row r="166" ht="14.25" customHeight="1">
      <c r="A166" s="724"/>
      <c r="B166" s="724"/>
      <c r="C166" s="724"/>
      <c r="D166" s="724"/>
      <c r="E166" s="724"/>
      <c r="F166" s="724"/>
      <c r="G166" s="724"/>
      <c r="H166" s="724"/>
      <c r="I166" s="724"/>
      <c r="J166" s="724"/>
      <c r="K166" s="724"/>
      <c r="L166" s="724"/>
      <c r="M166" s="724"/>
      <c r="N166" s="724"/>
      <c r="O166" s="724"/>
      <c r="P166" s="724"/>
      <c r="Q166" s="724"/>
      <c r="R166" s="724"/>
      <c r="S166" s="724"/>
      <c r="T166" s="724"/>
      <c r="U166" s="724"/>
      <c r="V166" s="724"/>
      <c r="W166" s="724"/>
      <c r="X166" s="724"/>
      <c r="Y166" s="724"/>
      <c r="Z166" s="724"/>
    </row>
    <row r="167" ht="14.25" customHeight="1">
      <c r="A167" s="724"/>
      <c r="B167" s="724"/>
      <c r="C167" s="724"/>
      <c r="D167" s="724"/>
      <c r="E167" s="724"/>
      <c r="F167" s="724"/>
      <c r="G167" s="724"/>
      <c r="H167" s="724"/>
      <c r="I167" s="724"/>
      <c r="J167" s="724"/>
      <c r="K167" s="724"/>
      <c r="L167" s="724"/>
      <c r="M167" s="724"/>
      <c r="N167" s="724"/>
      <c r="O167" s="724"/>
      <c r="P167" s="724"/>
      <c r="Q167" s="724"/>
      <c r="R167" s="724"/>
      <c r="S167" s="724"/>
      <c r="T167" s="724"/>
      <c r="U167" s="724"/>
      <c r="V167" s="724"/>
      <c r="W167" s="724"/>
      <c r="X167" s="724"/>
      <c r="Y167" s="724"/>
      <c r="Z167" s="724"/>
    </row>
    <row r="168" ht="14.25" customHeight="1">
      <c r="A168" s="724"/>
      <c r="B168" s="724"/>
      <c r="C168" s="724"/>
      <c r="D168" s="724"/>
      <c r="E168" s="724"/>
      <c r="F168" s="724"/>
      <c r="G168" s="724"/>
      <c r="H168" s="724"/>
      <c r="I168" s="724"/>
      <c r="J168" s="724"/>
      <c r="K168" s="724"/>
      <c r="L168" s="724"/>
      <c r="M168" s="724"/>
      <c r="N168" s="724"/>
      <c r="O168" s="724"/>
      <c r="P168" s="724"/>
      <c r="Q168" s="724"/>
      <c r="R168" s="724"/>
      <c r="S168" s="724"/>
      <c r="T168" s="724"/>
      <c r="U168" s="724"/>
      <c r="V168" s="724"/>
      <c r="W168" s="724"/>
      <c r="X168" s="724"/>
      <c r="Y168" s="724"/>
      <c r="Z168" s="724"/>
    </row>
    <row r="169" ht="14.25" customHeight="1">
      <c r="A169" s="724"/>
      <c r="B169" s="724"/>
      <c r="C169" s="724"/>
      <c r="D169" s="724"/>
      <c r="E169" s="724"/>
      <c r="F169" s="724"/>
      <c r="G169" s="724"/>
      <c r="H169" s="724"/>
      <c r="I169" s="724"/>
      <c r="J169" s="724"/>
      <c r="K169" s="724"/>
      <c r="L169" s="724"/>
      <c r="M169" s="724"/>
      <c r="N169" s="724"/>
      <c r="O169" s="724"/>
      <c r="P169" s="724"/>
      <c r="Q169" s="724"/>
      <c r="R169" s="724"/>
      <c r="S169" s="724"/>
      <c r="T169" s="724"/>
      <c r="U169" s="724"/>
      <c r="V169" s="724"/>
      <c r="W169" s="724"/>
      <c r="X169" s="724"/>
      <c r="Y169" s="724"/>
      <c r="Z169" s="724"/>
    </row>
    <row r="170" ht="14.25" customHeight="1">
      <c r="A170" s="724"/>
      <c r="B170" s="724"/>
      <c r="C170" s="724"/>
      <c r="D170" s="724"/>
      <c r="E170" s="724"/>
      <c r="F170" s="724"/>
      <c r="G170" s="724"/>
      <c r="H170" s="724"/>
      <c r="I170" s="724"/>
      <c r="J170" s="724"/>
      <c r="K170" s="724"/>
      <c r="L170" s="724"/>
      <c r="M170" s="724"/>
      <c r="N170" s="724"/>
      <c r="O170" s="724"/>
      <c r="P170" s="724"/>
      <c r="Q170" s="724"/>
      <c r="R170" s="724"/>
      <c r="S170" s="724"/>
      <c r="T170" s="724"/>
      <c r="U170" s="724"/>
      <c r="V170" s="724"/>
      <c r="W170" s="724"/>
      <c r="X170" s="724"/>
      <c r="Y170" s="724"/>
      <c r="Z170" s="724"/>
    </row>
    <row r="171" ht="14.25" customHeight="1">
      <c r="A171" s="724"/>
      <c r="B171" s="724"/>
      <c r="C171" s="724"/>
      <c r="D171" s="724"/>
      <c r="E171" s="724"/>
      <c r="F171" s="724"/>
      <c r="G171" s="724"/>
      <c r="H171" s="724"/>
      <c r="I171" s="724"/>
      <c r="J171" s="724"/>
      <c r="K171" s="724"/>
      <c r="L171" s="724"/>
      <c r="M171" s="724"/>
      <c r="N171" s="724"/>
      <c r="O171" s="724"/>
      <c r="P171" s="724"/>
      <c r="Q171" s="724"/>
      <c r="R171" s="724"/>
      <c r="S171" s="724"/>
      <c r="T171" s="724"/>
      <c r="U171" s="724"/>
      <c r="V171" s="724"/>
      <c r="W171" s="724"/>
      <c r="X171" s="724"/>
      <c r="Y171" s="724"/>
      <c r="Z171" s="724"/>
    </row>
    <row r="172" ht="14.25" customHeight="1">
      <c r="A172" s="724"/>
      <c r="B172" s="724"/>
      <c r="C172" s="724"/>
      <c r="D172" s="724"/>
      <c r="E172" s="724"/>
      <c r="F172" s="724"/>
      <c r="G172" s="724"/>
      <c r="H172" s="724"/>
      <c r="I172" s="724"/>
      <c r="J172" s="724"/>
      <c r="K172" s="724"/>
      <c r="L172" s="724"/>
      <c r="M172" s="724"/>
      <c r="N172" s="724"/>
      <c r="O172" s="724"/>
      <c r="P172" s="724"/>
      <c r="Q172" s="724"/>
      <c r="R172" s="724"/>
      <c r="S172" s="724"/>
      <c r="T172" s="724"/>
      <c r="U172" s="724"/>
      <c r="V172" s="724"/>
      <c r="W172" s="724"/>
      <c r="X172" s="724"/>
      <c r="Y172" s="724"/>
      <c r="Z172" s="724"/>
    </row>
    <row r="173" ht="14.25" customHeight="1">
      <c r="A173" s="724"/>
      <c r="B173" s="724"/>
      <c r="C173" s="724"/>
      <c r="D173" s="724"/>
      <c r="E173" s="724"/>
      <c r="F173" s="724"/>
      <c r="G173" s="724"/>
      <c r="H173" s="724"/>
      <c r="I173" s="724"/>
      <c r="J173" s="724"/>
      <c r="K173" s="724"/>
      <c r="L173" s="724"/>
      <c r="M173" s="724"/>
      <c r="N173" s="724"/>
      <c r="O173" s="724"/>
      <c r="P173" s="724"/>
      <c r="Q173" s="724"/>
      <c r="R173" s="724"/>
      <c r="S173" s="724"/>
      <c r="T173" s="724"/>
      <c r="U173" s="724"/>
      <c r="V173" s="724"/>
      <c r="W173" s="724"/>
      <c r="X173" s="724"/>
      <c r="Y173" s="724"/>
      <c r="Z173" s="724"/>
    </row>
    <row r="174" ht="14.25" customHeight="1">
      <c r="A174" s="724"/>
      <c r="B174" s="724"/>
      <c r="C174" s="724"/>
      <c r="D174" s="724"/>
      <c r="E174" s="724"/>
      <c r="F174" s="724"/>
      <c r="G174" s="724"/>
      <c r="H174" s="724"/>
      <c r="I174" s="724"/>
      <c r="J174" s="724"/>
      <c r="K174" s="724"/>
      <c r="L174" s="724"/>
      <c r="M174" s="724"/>
      <c r="N174" s="724"/>
      <c r="O174" s="724"/>
      <c r="P174" s="724"/>
      <c r="Q174" s="724"/>
      <c r="R174" s="724"/>
      <c r="S174" s="724"/>
      <c r="T174" s="724"/>
      <c r="U174" s="724"/>
      <c r="V174" s="724"/>
      <c r="W174" s="724"/>
      <c r="X174" s="724"/>
      <c r="Y174" s="724"/>
      <c r="Z174" s="724"/>
    </row>
    <row r="175" ht="14.25" customHeight="1">
      <c r="A175" s="724"/>
      <c r="B175" s="724"/>
      <c r="C175" s="724"/>
      <c r="D175" s="724"/>
      <c r="E175" s="724"/>
      <c r="F175" s="724"/>
      <c r="G175" s="724"/>
      <c r="H175" s="724"/>
      <c r="I175" s="724"/>
      <c r="J175" s="724"/>
      <c r="K175" s="724"/>
      <c r="L175" s="724"/>
      <c r="M175" s="724"/>
      <c r="N175" s="724"/>
      <c r="O175" s="724"/>
      <c r="P175" s="724"/>
      <c r="Q175" s="724"/>
      <c r="R175" s="724"/>
      <c r="S175" s="724"/>
      <c r="T175" s="724"/>
      <c r="U175" s="724"/>
      <c r="V175" s="724"/>
      <c r="W175" s="724"/>
      <c r="X175" s="724"/>
      <c r="Y175" s="724"/>
      <c r="Z175" s="724"/>
    </row>
    <row r="176" ht="14.25" customHeight="1">
      <c r="A176" s="724"/>
      <c r="B176" s="724"/>
      <c r="C176" s="724"/>
      <c r="D176" s="724"/>
      <c r="E176" s="724"/>
      <c r="F176" s="724"/>
      <c r="G176" s="724"/>
      <c r="H176" s="724"/>
      <c r="I176" s="724"/>
      <c r="J176" s="724"/>
      <c r="K176" s="724"/>
      <c r="L176" s="724"/>
      <c r="M176" s="724"/>
      <c r="N176" s="724"/>
      <c r="O176" s="724"/>
      <c r="P176" s="724"/>
      <c r="Q176" s="724"/>
      <c r="R176" s="724"/>
      <c r="S176" s="724"/>
      <c r="T176" s="724"/>
      <c r="U176" s="724"/>
      <c r="V176" s="724"/>
      <c r="W176" s="724"/>
      <c r="X176" s="724"/>
      <c r="Y176" s="724"/>
      <c r="Z176" s="724"/>
    </row>
    <row r="177" ht="14.25" customHeight="1">
      <c r="A177" s="724"/>
      <c r="B177" s="724"/>
      <c r="C177" s="724"/>
      <c r="D177" s="724"/>
      <c r="E177" s="724"/>
      <c r="F177" s="724"/>
      <c r="G177" s="724"/>
      <c r="H177" s="724"/>
      <c r="I177" s="724"/>
      <c r="J177" s="724"/>
      <c r="K177" s="724"/>
      <c r="L177" s="724"/>
      <c r="M177" s="724"/>
      <c r="N177" s="724"/>
      <c r="O177" s="724"/>
      <c r="P177" s="724"/>
      <c r="Q177" s="724"/>
      <c r="R177" s="724"/>
      <c r="S177" s="724"/>
      <c r="T177" s="724"/>
      <c r="U177" s="724"/>
      <c r="V177" s="724"/>
      <c r="W177" s="724"/>
      <c r="X177" s="724"/>
      <c r="Y177" s="724"/>
      <c r="Z177" s="724"/>
    </row>
    <row r="178" ht="14.25" customHeight="1">
      <c r="A178" s="724"/>
      <c r="B178" s="724"/>
      <c r="C178" s="724"/>
      <c r="D178" s="724"/>
      <c r="E178" s="724"/>
      <c r="F178" s="724"/>
      <c r="G178" s="724"/>
      <c r="H178" s="724"/>
      <c r="I178" s="724"/>
      <c r="J178" s="724"/>
      <c r="K178" s="724"/>
      <c r="L178" s="724"/>
      <c r="M178" s="724"/>
      <c r="N178" s="724"/>
      <c r="O178" s="724"/>
      <c r="P178" s="724"/>
      <c r="Q178" s="724"/>
      <c r="R178" s="724"/>
      <c r="S178" s="724"/>
      <c r="T178" s="724"/>
      <c r="U178" s="724"/>
      <c r="V178" s="724"/>
      <c r="W178" s="724"/>
      <c r="X178" s="724"/>
      <c r="Y178" s="724"/>
      <c r="Z178" s="724"/>
    </row>
    <row r="179" ht="14.25" customHeight="1">
      <c r="A179" s="724"/>
      <c r="B179" s="724"/>
      <c r="C179" s="724"/>
      <c r="D179" s="724"/>
      <c r="E179" s="724"/>
      <c r="F179" s="724"/>
      <c r="G179" s="724"/>
      <c r="H179" s="724"/>
      <c r="I179" s="724"/>
      <c r="J179" s="724"/>
      <c r="K179" s="724"/>
      <c r="L179" s="724"/>
      <c r="M179" s="724"/>
      <c r="N179" s="724"/>
      <c r="O179" s="724"/>
      <c r="P179" s="724"/>
      <c r="Q179" s="724"/>
      <c r="R179" s="724"/>
      <c r="S179" s="724"/>
      <c r="T179" s="724"/>
      <c r="U179" s="724"/>
      <c r="V179" s="724"/>
      <c r="W179" s="724"/>
      <c r="X179" s="724"/>
      <c r="Y179" s="724"/>
      <c r="Z179" s="724"/>
    </row>
    <row r="180" ht="14.25" customHeight="1">
      <c r="A180" s="724"/>
      <c r="B180" s="724"/>
      <c r="C180" s="724"/>
      <c r="D180" s="724"/>
      <c r="E180" s="724"/>
      <c r="F180" s="724"/>
      <c r="G180" s="724"/>
      <c r="H180" s="724"/>
      <c r="I180" s="724"/>
      <c r="J180" s="724"/>
      <c r="K180" s="724"/>
      <c r="L180" s="724"/>
      <c r="M180" s="724"/>
      <c r="N180" s="724"/>
      <c r="O180" s="724"/>
      <c r="P180" s="724"/>
      <c r="Q180" s="724"/>
      <c r="R180" s="724"/>
      <c r="S180" s="724"/>
      <c r="T180" s="724"/>
      <c r="U180" s="724"/>
      <c r="V180" s="724"/>
      <c r="W180" s="724"/>
      <c r="X180" s="724"/>
      <c r="Y180" s="724"/>
      <c r="Z180" s="724"/>
    </row>
    <row r="181" ht="14.25" customHeight="1">
      <c r="A181" s="724"/>
      <c r="B181" s="724"/>
      <c r="C181" s="724"/>
      <c r="D181" s="724"/>
      <c r="E181" s="724"/>
      <c r="F181" s="724"/>
      <c r="G181" s="724"/>
      <c r="H181" s="724"/>
      <c r="I181" s="724"/>
      <c r="J181" s="724"/>
      <c r="K181" s="724"/>
      <c r="L181" s="724"/>
      <c r="M181" s="724"/>
      <c r="N181" s="724"/>
      <c r="O181" s="724"/>
      <c r="P181" s="724"/>
      <c r="Q181" s="724"/>
      <c r="R181" s="724"/>
      <c r="S181" s="724"/>
      <c r="T181" s="724"/>
      <c r="U181" s="724"/>
      <c r="V181" s="724"/>
      <c r="W181" s="724"/>
      <c r="X181" s="724"/>
      <c r="Y181" s="724"/>
      <c r="Z181" s="724"/>
    </row>
    <row r="182" ht="14.25" customHeight="1">
      <c r="A182" s="724"/>
      <c r="B182" s="724"/>
      <c r="C182" s="724"/>
      <c r="D182" s="724"/>
      <c r="E182" s="724"/>
      <c r="F182" s="724"/>
      <c r="G182" s="724"/>
      <c r="H182" s="724"/>
      <c r="I182" s="724"/>
      <c r="J182" s="724"/>
      <c r="K182" s="724"/>
      <c r="L182" s="724"/>
      <c r="M182" s="724"/>
      <c r="N182" s="724"/>
      <c r="O182" s="724"/>
      <c r="P182" s="724"/>
      <c r="Q182" s="724"/>
      <c r="R182" s="724"/>
      <c r="S182" s="724"/>
      <c r="T182" s="724"/>
      <c r="U182" s="724"/>
      <c r="V182" s="724"/>
      <c r="W182" s="724"/>
      <c r="X182" s="724"/>
      <c r="Y182" s="724"/>
      <c r="Z182" s="724"/>
    </row>
    <row r="183" ht="14.25" customHeight="1">
      <c r="A183" s="724"/>
      <c r="B183" s="724"/>
      <c r="C183" s="724"/>
      <c r="D183" s="724"/>
      <c r="E183" s="724"/>
      <c r="F183" s="724"/>
      <c r="G183" s="724"/>
      <c r="H183" s="724"/>
      <c r="I183" s="724"/>
      <c r="J183" s="724"/>
      <c r="K183" s="724"/>
      <c r="L183" s="724"/>
      <c r="M183" s="724"/>
      <c r="N183" s="724"/>
      <c r="O183" s="724"/>
      <c r="P183" s="724"/>
      <c r="Q183" s="724"/>
      <c r="R183" s="724"/>
      <c r="S183" s="724"/>
      <c r="T183" s="724"/>
      <c r="U183" s="724"/>
      <c r="V183" s="724"/>
      <c r="W183" s="724"/>
      <c r="X183" s="724"/>
      <c r="Y183" s="724"/>
      <c r="Z183" s="724"/>
    </row>
    <row r="184" ht="14.25" customHeight="1">
      <c r="A184" s="724"/>
      <c r="B184" s="724"/>
      <c r="C184" s="724"/>
      <c r="D184" s="724"/>
      <c r="E184" s="724"/>
      <c r="F184" s="724"/>
      <c r="G184" s="724"/>
      <c r="H184" s="724"/>
      <c r="I184" s="724"/>
      <c r="J184" s="724"/>
      <c r="K184" s="724"/>
      <c r="L184" s="724"/>
      <c r="M184" s="724"/>
      <c r="N184" s="724"/>
      <c r="O184" s="724"/>
      <c r="P184" s="724"/>
      <c r="Q184" s="724"/>
      <c r="R184" s="724"/>
      <c r="S184" s="724"/>
      <c r="T184" s="724"/>
      <c r="U184" s="724"/>
      <c r="V184" s="724"/>
      <c r="W184" s="724"/>
      <c r="X184" s="724"/>
      <c r="Y184" s="724"/>
      <c r="Z184" s="724"/>
    </row>
    <row r="185" ht="14.25" customHeight="1">
      <c r="A185" s="724"/>
      <c r="B185" s="724"/>
      <c r="C185" s="724"/>
      <c r="D185" s="724"/>
      <c r="E185" s="724"/>
      <c r="F185" s="724"/>
      <c r="G185" s="724"/>
      <c r="H185" s="724"/>
      <c r="I185" s="724"/>
      <c r="J185" s="724"/>
      <c r="K185" s="724"/>
      <c r="L185" s="724"/>
      <c r="M185" s="724"/>
      <c r="N185" s="724"/>
      <c r="O185" s="724"/>
      <c r="P185" s="724"/>
      <c r="Q185" s="724"/>
      <c r="R185" s="724"/>
      <c r="S185" s="724"/>
      <c r="T185" s="724"/>
      <c r="U185" s="724"/>
      <c r="V185" s="724"/>
      <c r="W185" s="724"/>
      <c r="X185" s="724"/>
      <c r="Y185" s="724"/>
      <c r="Z185" s="724"/>
    </row>
    <row r="186" ht="14.25" customHeight="1">
      <c r="A186" s="724"/>
      <c r="B186" s="724"/>
      <c r="C186" s="724"/>
      <c r="D186" s="724"/>
      <c r="E186" s="724"/>
      <c r="F186" s="724"/>
      <c r="G186" s="724"/>
      <c r="H186" s="724"/>
      <c r="I186" s="724"/>
      <c r="J186" s="724"/>
      <c r="K186" s="724"/>
      <c r="L186" s="724"/>
      <c r="M186" s="724"/>
      <c r="N186" s="724"/>
      <c r="O186" s="724"/>
      <c r="P186" s="724"/>
      <c r="Q186" s="724"/>
      <c r="R186" s="724"/>
      <c r="S186" s="724"/>
      <c r="T186" s="724"/>
      <c r="U186" s="724"/>
      <c r="V186" s="724"/>
      <c r="W186" s="724"/>
      <c r="X186" s="724"/>
      <c r="Y186" s="724"/>
      <c r="Z186" s="724"/>
    </row>
    <row r="187" ht="14.25" customHeight="1">
      <c r="A187" s="724"/>
      <c r="B187" s="724"/>
      <c r="C187" s="724"/>
      <c r="D187" s="724"/>
      <c r="E187" s="724"/>
      <c r="F187" s="724"/>
      <c r="G187" s="724"/>
      <c r="H187" s="724"/>
      <c r="I187" s="724"/>
      <c r="J187" s="724"/>
      <c r="K187" s="724"/>
      <c r="L187" s="724"/>
      <c r="M187" s="724"/>
      <c r="N187" s="724"/>
      <c r="O187" s="724"/>
      <c r="P187" s="724"/>
      <c r="Q187" s="724"/>
      <c r="R187" s="724"/>
      <c r="S187" s="724"/>
      <c r="T187" s="724"/>
      <c r="U187" s="724"/>
      <c r="V187" s="724"/>
      <c r="W187" s="724"/>
      <c r="X187" s="724"/>
      <c r="Y187" s="724"/>
      <c r="Z187" s="724"/>
    </row>
    <row r="188" ht="14.25" customHeight="1">
      <c r="A188" s="724"/>
      <c r="B188" s="724"/>
      <c r="C188" s="724"/>
      <c r="D188" s="724"/>
      <c r="E188" s="724"/>
      <c r="F188" s="724"/>
      <c r="G188" s="724"/>
      <c r="H188" s="724"/>
      <c r="I188" s="724"/>
      <c r="J188" s="724"/>
      <c r="K188" s="724"/>
      <c r="L188" s="724"/>
      <c r="M188" s="724"/>
      <c r="N188" s="724"/>
      <c r="O188" s="724"/>
      <c r="P188" s="724"/>
      <c r="Q188" s="724"/>
      <c r="R188" s="724"/>
      <c r="S188" s="724"/>
      <c r="T188" s="724"/>
      <c r="U188" s="724"/>
      <c r="V188" s="724"/>
      <c r="W188" s="724"/>
      <c r="X188" s="724"/>
      <c r="Y188" s="724"/>
      <c r="Z188" s="724"/>
    </row>
    <row r="189" ht="14.25" customHeight="1">
      <c r="A189" s="724"/>
      <c r="B189" s="724"/>
      <c r="C189" s="724"/>
      <c r="D189" s="724"/>
      <c r="E189" s="724"/>
      <c r="F189" s="724"/>
      <c r="G189" s="724"/>
      <c r="H189" s="724"/>
      <c r="I189" s="724"/>
      <c r="J189" s="724"/>
      <c r="K189" s="724"/>
      <c r="L189" s="724"/>
      <c r="M189" s="724"/>
      <c r="N189" s="724"/>
      <c r="O189" s="724"/>
      <c r="P189" s="724"/>
      <c r="Q189" s="724"/>
      <c r="R189" s="724"/>
      <c r="S189" s="724"/>
      <c r="T189" s="724"/>
      <c r="U189" s="724"/>
      <c r="V189" s="724"/>
      <c r="W189" s="724"/>
      <c r="X189" s="724"/>
      <c r="Y189" s="724"/>
      <c r="Z189" s="724"/>
    </row>
    <row r="190" ht="14.25" customHeight="1">
      <c r="A190" s="724"/>
      <c r="B190" s="724"/>
      <c r="C190" s="724"/>
      <c r="D190" s="724"/>
      <c r="E190" s="724"/>
      <c r="F190" s="724"/>
      <c r="G190" s="724"/>
      <c r="H190" s="724"/>
      <c r="I190" s="724"/>
      <c r="J190" s="724"/>
      <c r="K190" s="724"/>
      <c r="L190" s="724"/>
      <c r="M190" s="724"/>
      <c r="N190" s="724"/>
      <c r="O190" s="724"/>
      <c r="P190" s="724"/>
      <c r="Q190" s="724"/>
      <c r="R190" s="724"/>
      <c r="S190" s="724"/>
      <c r="T190" s="724"/>
      <c r="U190" s="724"/>
      <c r="V190" s="724"/>
      <c r="W190" s="724"/>
      <c r="X190" s="724"/>
      <c r="Y190" s="724"/>
      <c r="Z190" s="724"/>
    </row>
    <row r="191" ht="14.25" customHeight="1">
      <c r="A191" s="724"/>
      <c r="B191" s="724"/>
      <c r="C191" s="724"/>
      <c r="D191" s="724"/>
      <c r="E191" s="724"/>
      <c r="F191" s="724"/>
      <c r="G191" s="724"/>
      <c r="H191" s="724"/>
      <c r="I191" s="724"/>
      <c r="J191" s="724"/>
      <c r="K191" s="724"/>
      <c r="L191" s="724"/>
      <c r="M191" s="724"/>
      <c r="N191" s="724"/>
      <c r="O191" s="724"/>
      <c r="P191" s="724"/>
      <c r="Q191" s="724"/>
      <c r="R191" s="724"/>
      <c r="S191" s="724"/>
      <c r="T191" s="724"/>
      <c r="U191" s="724"/>
      <c r="V191" s="724"/>
      <c r="W191" s="724"/>
      <c r="X191" s="724"/>
      <c r="Y191" s="724"/>
      <c r="Z191" s="724"/>
    </row>
    <row r="192" ht="14.25" customHeight="1">
      <c r="A192" s="724"/>
      <c r="B192" s="724"/>
      <c r="C192" s="724"/>
      <c r="D192" s="724"/>
      <c r="E192" s="724"/>
      <c r="F192" s="724"/>
      <c r="G192" s="724"/>
      <c r="H192" s="724"/>
      <c r="I192" s="724"/>
      <c r="J192" s="724"/>
      <c r="K192" s="724"/>
      <c r="L192" s="724"/>
      <c r="M192" s="724"/>
      <c r="N192" s="724"/>
      <c r="O192" s="724"/>
      <c r="P192" s="724"/>
      <c r="Q192" s="724"/>
      <c r="R192" s="724"/>
      <c r="S192" s="724"/>
      <c r="T192" s="724"/>
      <c r="U192" s="724"/>
      <c r="V192" s="724"/>
      <c r="W192" s="724"/>
      <c r="X192" s="724"/>
      <c r="Y192" s="724"/>
      <c r="Z192" s="724"/>
    </row>
    <row r="193" ht="14.25" customHeight="1">
      <c r="A193" s="724"/>
      <c r="B193" s="724"/>
      <c r="C193" s="724"/>
      <c r="D193" s="724"/>
      <c r="E193" s="724"/>
      <c r="F193" s="724"/>
      <c r="G193" s="724"/>
      <c r="H193" s="724"/>
      <c r="I193" s="724"/>
      <c r="J193" s="724"/>
      <c r="K193" s="724"/>
      <c r="L193" s="724"/>
      <c r="M193" s="724"/>
      <c r="N193" s="724"/>
      <c r="O193" s="724"/>
      <c r="P193" s="724"/>
      <c r="Q193" s="724"/>
      <c r="R193" s="724"/>
      <c r="S193" s="724"/>
      <c r="T193" s="724"/>
      <c r="U193" s="724"/>
      <c r="V193" s="724"/>
      <c r="W193" s="724"/>
      <c r="X193" s="724"/>
      <c r="Y193" s="724"/>
      <c r="Z193" s="724"/>
    </row>
    <row r="194" ht="14.25" customHeight="1">
      <c r="A194" s="724"/>
      <c r="B194" s="724"/>
      <c r="C194" s="724"/>
      <c r="D194" s="724"/>
      <c r="E194" s="724"/>
      <c r="F194" s="724"/>
      <c r="G194" s="724"/>
      <c r="H194" s="724"/>
      <c r="I194" s="724"/>
      <c r="J194" s="724"/>
      <c r="K194" s="724"/>
      <c r="L194" s="724"/>
      <c r="M194" s="724"/>
      <c r="N194" s="724"/>
      <c r="O194" s="724"/>
      <c r="P194" s="724"/>
      <c r="Q194" s="724"/>
      <c r="R194" s="724"/>
      <c r="S194" s="724"/>
      <c r="T194" s="724"/>
      <c r="U194" s="724"/>
      <c r="V194" s="724"/>
      <c r="W194" s="724"/>
      <c r="X194" s="724"/>
      <c r="Y194" s="724"/>
      <c r="Z194" s="724"/>
    </row>
    <row r="195" ht="14.25" customHeight="1">
      <c r="A195" s="724"/>
      <c r="B195" s="724"/>
      <c r="C195" s="724"/>
      <c r="D195" s="724"/>
      <c r="E195" s="724"/>
      <c r="F195" s="724"/>
      <c r="G195" s="724"/>
      <c r="H195" s="724"/>
      <c r="I195" s="724"/>
      <c r="J195" s="724"/>
      <c r="K195" s="724"/>
      <c r="L195" s="724"/>
      <c r="M195" s="724"/>
      <c r="N195" s="724"/>
      <c r="O195" s="724"/>
      <c r="P195" s="724"/>
      <c r="Q195" s="724"/>
      <c r="R195" s="724"/>
      <c r="S195" s="724"/>
      <c r="T195" s="724"/>
      <c r="U195" s="724"/>
      <c r="V195" s="724"/>
      <c r="W195" s="724"/>
      <c r="X195" s="724"/>
      <c r="Y195" s="724"/>
      <c r="Z195" s="724"/>
    </row>
    <row r="196" ht="14.25" customHeight="1">
      <c r="A196" s="724"/>
      <c r="B196" s="724"/>
      <c r="C196" s="724"/>
      <c r="D196" s="724"/>
      <c r="E196" s="724"/>
      <c r="F196" s="724"/>
      <c r="G196" s="724"/>
      <c r="H196" s="724"/>
      <c r="I196" s="724"/>
      <c r="J196" s="724"/>
      <c r="K196" s="724"/>
      <c r="L196" s="724"/>
      <c r="M196" s="724"/>
      <c r="N196" s="724"/>
      <c r="O196" s="724"/>
      <c r="P196" s="724"/>
      <c r="Q196" s="724"/>
      <c r="R196" s="724"/>
      <c r="S196" s="724"/>
      <c r="T196" s="724"/>
      <c r="U196" s="724"/>
      <c r="V196" s="724"/>
      <c r="W196" s="724"/>
      <c r="X196" s="724"/>
      <c r="Y196" s="724"/>
      <c r="Z196" s="724"/>
    </row>
    <row r="197" ht="14.25" customHeight="1">
      <c r="A197" s="724"/>
      <c r="B197" s="724"/>
      <c r="C197" s="724"/>
      <c r="D197" s="724"/>
      <c r="E197" s="724"/>
      <c r="F197" s="724"/>
      <c r="G197" s="724"/>
      <c r="H197" s="724"/>
      <c r="I197" s="724"/>
      <c r="J197" s="724"/>
      <c r="K197" s="724"/>
      <c r="L197" s="724"/>
      <c r="M197" s="724"/>
      <c r="N197" s="724"/>
      <c r="O197" s="724"/>
      <c r="P197" s="724"/>
      <c r="Q197" s="724"/>
      <c r="R197" s="724"/>
      <c r="S197" s="724"/>
      <c r="T197" s="724"/>
      <c r="U197" s="724"/>
      <c r="V197" s="724"/>
      <c r="W197" s="724"/>
      <c r="X197" s="724"/>
      <c r="Y197" s="724"/>
      <c r="Z197" s="724"/>
    </row>
    <row r="198" ht="14.25" customHeight="1">
      <c r="A198" s="724"/>
      <c r="B198" s="724"/>
      <c r="C198" s="724"/>
      <c r="D198" s="724"/>
      <c r="E198" s="724"/>
      <c r="F198" s="724"/>
      <c r="G198" s="724"/>
      <c r="H198" s="724"/>
      <c r="I198" s="724"/>
      <c r="J198" s="724"/>
      <c r="K198" s="724"/>
      <c r="L198" s="724"/>
      <c r="M198" s="724"/>
      <c r="N198" s="724"/>
      <c r="O198" s="724"/>
      <c r="P198" s="724"/>
      <c r="Q198" s="724"/>
      <c r="R198" s="724"/>
      <c r="S198" s="724"/>
      <c r="T198" s="724"/>
      <c r="U198" s="724"/>
      <c r="V198" s="724"/>
      <c r="W198" s="724"/>
      <c r="X198" s="724"/>
      <c r="Y198" s="724"/>
      <c r="Z198" s="724"/>
    </row>
    <row r="199" ht="14.25" customHeight="1">
      <c r="A199" s="724"/>
      <c r="B199" s="724"/>
      <c r="C199" s="724"/>
      <c r="D199" s="724"/>
      <c r="E199" s="724"/>
      <c r="F199" s="724"/>
      <c r="G199" s="724"/>
      <c r="H199" s="724"/>
      <c r="I199" s="724"/>
      <c r="J199" s="724"/>
      <c r="K199" s="724"/>
      <c r="L199" s="724"/>
      <c r="M199" s="724"/>
      <c r="N199" s="724"/>
      <c r="O199" s="724"/>
      <c r="P199" s="724"/>
      <c r="Q199" s="724"/>
      <c r="R199" s="724"/>
      <c r="S199" s="724"/>
      <c r="T199" s="724"/>
      <c r="U199" s="724"/>
      <c r="V199" s="724"/>
      <c r="W199" s="724"/>
      <c r="X199" s="724"/>
      <c r="Y199" s="724"/>
      <c r="Z199" s="724"/>
    </row>
    <row r="200" ht="14.25" customHeight="1">
      <c r="A200" s="724"/>
      <c r="B200" s="724"/>
      <c r="C200" s="724"/>
      <c r="D200" s="724"/>
      <c r="E200" s="724"/>
      <c r="F200" s="724"/>
      <c r="G200" s="724"/>
      <c r="H200" s="724"/>
      <c r="I200" s="724"/>
      <c r="J200" s="724"/>
      <c r="K200" s="724"/>
      <c r="L200" s="724"/>
      <c r="M200" s="724"/>
      <c r="N200" s="724"/>
      <c r="O200" s="724"/>
      <c r="P200" s="724"/>
      <c r="Q200" s="724"/>
      <c r="R200" s="724"/>
      <c r="S200" s="724"/>
      <c r="T200" s="724"/>
      <c r="U200" s="724"/>
      <c r="V200" s="724"/>
      <c r="W200" s="724"/>
      <c r="X200" s="724"/>
      <c r="Y200" s="724"/>
      <c r="Z200" s="724"/>
    </row>
    <row r="201" ht="14.25" customHeight="1">
      <c r="A201" s="724"/>
      <c r="B201" s="724"/>
      <c r="C201" s="724"/>
      <c r="D201" s="724"/>
      <c r="E201" s="724"/>
      <c r="F201" s="724"/>
      <c r="G201" s="724"/>
      <c r="H201" s="724"/>
      <c r="I201" s="724"/>
      <c r="J201" s="724"/>
      <c r="K201" s="724"/>
      <c r="L201" s="724"/>
      <c r="M201" s="724"/>
      <c r="N201" s="724"/>
      <c r="O201" s="724"/>
      <c r="P201" s="724"/>
      <c r="Q201" s="724"/>
      <c r="R201" s="724"/>
      <c r="S201" s="724"/>
      <c r="T201" s="724"/>
      <c r="U201" s="724"/>
      <c r="V201" s="724"/>
      <c r="W201" s="724"/>
      <c r="X201" s="724"/>
      <c r="Y201" s="724"/>
      <c r="Z201" s="724"/>
    </row>
    <row r="202" ht="14.25" customHeight="1">
      <c r="A202" s="724"/>
      <c r="B202" s="724"/>
      <c r="C202" s="724"/>
      <c r="D202" s="724"/>
      <c r="E202" s="724"/>
      <c r="F202" s="724"/>
      <c r="G202" s="724"/>
      <c r="H202" s="724"/>
      <c r="I202" s="724"/>
      <c r="J202" s="724"/>
      <c r="K202" s="724"/>
      <c r="L202" s="724"/>
      <c r="M202" s="724"/>
      <c r="N202" s="724"/>
      <c r="O202" s="724"/>
      <c r="P202" s="724"/>
      <c r="Q202" s="724"/>
      <c r="R202" s="724"/>
      <c r="S202" s="724"/>
      <c r="T202" s="724"/>
      <c r="U202" s="724"/>
      <c r="V202" s="724"/>
      <c r="W202" s="724"/>
      <c r="X202" s="724"/>
      <c r="Y202" s="724"/>
      <c r="Z202" s="724"/>
    </row>
    <row r="203" ht="14.25" customHeight="1">
      <c r="A203" s="724"/>
      <c r="B203" s="724"/>
      <c r="C203" s="724"/>
      <c r="D203" s="724"/>
      <c r="E203" s="724"/>
      <c r="F203" s="724"/>
      <c r="G203" s="724"/>
      <c r="H203" s="724"/>
      <c r="I203" s="724"/>
      <c r="J203" s="724"/>
      <c r="K203" s="724"/>
      <c r="L203" s="724"/>
      <c r="M203" s="724"/>
      <c r="N203" s="724"/>
      <c r="O203" s="724"/>
      <c r="P203" s="724"/>
      <c r="Q203" s="724"/>
      <c r="R203" s="724"/>
      <c r="S203" s="724"/>
      <c r="T203" s="724"/>
      <c r="U203" s="724"/>
      <c r="V203" s="724"/>
      <c r="W203" s="724"/>
      <c r="X203" s="724"/>
      <c r="Y203" s="724"/>
      <c r="Z203" s="724"/>
    </row>
    <row r="204" ht="14.25" customHeight="1">
      <c r="A204" s="724"/>
      <c r="B204" s="724"/>
      <c r="C204" s="724"/>
      <c r="D204" s="724"/>
      <c r="E204" s="724"/>
      <c r="F204" s="724"/>
      <c r="G204" s="724"/>
      <c r="H204" s="724"/>
      <c r="I204" s="724"/>
      <c r="J204" s="724"/>
      <c r="K204" s="724"/>
      <c r="L204" s="724"/>
      <c r="M204" s="724"/>
      <c r="N204" s="724"/>
      <c r="O204" s="724"/>
      <c r="P204" s="724"/>
      <c r="Q204" s="724"/>
      <c r="R204" s="724"/>
      <c r="S204" s="724"/>
      <c r="T204" s="724"/>
      <c r="U204" s="724"/>
      <c r="V204" s="724"/>
      <c r="W204" s="724"/>
      <c r="X204" s="724"/>
      <c r="Y204" s="724"/>
      <c r="Z204" s="724"/>
    </row>
    <row r="205" ht="14.25" customHeight="1">
      <c r="A205" s="724"/>
      <c r="B205" s="724"/>
      <c r="C205" s="724"/>
      <c r="D205" s="724"/>
      <c r="E205" s="724"/>
      <c r="F205" s="724"/>
      <c r="G205" s="724"/>
      <c r="H205" s="724"/>
      <c r="I205" s="724"/>
      <c r="J205" s="724"/>
      <c r="K205" s="724"/>
      <c r="L205" s="724"/>
      <c r="M205" s="724"/>
      <c r="N205" s="724"/>
      <c r="O205" s="724"/>
      <c r="P205" s="724"/>
      <c r="Q205" s="724"/>
      <c r="R205" s="724"/>
      <c r="S205" s="724"/>
      <c r="T205" s="724"/>
      <c r="U205" s="724"/>
      <c r="V205" s="724"/>
      <c r="W205" s="724"/>
      <c r="X205" s="724"/>
      <c r="Y205" s="724"/>
      <c r="Z205" s="724"/>
    </row>
    <row r="206" ht="14.25" customHeight="1">
      <c r="A206" s="724"/>
      <c r="B206" s="724"/>
      <c r="C206" s="724"/>
      <c r="D206" s="724"/>
      <c r="E206" s="724"/>
      <c r="F206" s="724"/>
      <c r="G206" s="724"/>
      <c r="H206" s="724"/>
      <c r="I206" s="724"/>
      <c r="J206" s="724"/>
      <c r="K206" s="724"/>
      <c r="L206" s="724"/>
      <c r="M206" s="724"/>
      <c r="N206" s="724"/>
      <c r="O206" s="724"/>
      <c r="P206" s="724"/>
      <c r="Q206" s="724"/>
      <c r="R206" s="724"/>
      <c r="S206" s="724"/>
      <c r="T206" s="724"/>
      <c r="U206" s="724"/>
      <c r="V206" s="724"/>
      <c r="W206" s="724"/>
      <c r="X206" s="724"/>
      <c r="Y206" s="724"/>
      <c r="Z206" s="724"/>
    </row>
    <row r="207" ht="14.25" customHeight="1">
      <c r="A207" s="724"/>
      <c r="B207" s="724"/>
      <c r="C207" s="724"/>
      <c r="D207" s="724"/>
      <c r="E207" s="724"/>
      <c r="F207" s="724"/>
      <c r="G207" s="724"/>
      <c r="H207" s="724"/>
      <c r="I207" s="724"/>
      <c r="J207" s="724"/>
      <c r="K207" s="724"/>
      <c r="L207" s="724"/>
      <c r="M207" s="724"/>
      <c r="N207" s="724"/>
      <c r="O207" s="724"/>
      <c r="P207" s="724"/>
      <c r="Q207" s="724"/>
      <c r="R207" s="724"/>
      <c r="S207" s="724"/>
      <c r="T207" s="724"/>
      <c r="U207" s="724"/>
      <c r="V207" s="724"/>
      <c r="W207" s="724"/>
      <c r="X207" s="724"/>
      <c r="Y207" s="724"/>
      <c r="Z207" s="724"/>
    </row>
    <row r="208" ht="14.25" customHeight="1">
      <c r="A208" s="724"/>
      <c r="B208" s="724"/>
      <c r="C208" s="724"/>
      <c r="D208" s="724"/>
      <c r="E208" s="724"/>
      <c r="F208" s="724"/>
      <c r="G208" s="724"/>
      <c r="H208" s="724"/>
      <c r="I208" s="724"/>
      <c r="J208" s="724"/>
      <c r="K208" s="724"/>
      <c r="L208" s="724"/>
      <c r="M208" s="724"/>
      <c r="N208" s="724"/>
      <c r="O208" s="724"/>
      <c r="P208" s="724"/>
      <c r="Q208" s="724"/>
      <c r="R208" s="724"/>
      <c r="S208" s="724"/>
      <c r="T208" s="724"/>
      <c r="U208" s="724"/>
      <c r="V208" s="724"/>
      <c r="W208" s="724"/>
      <c r="X208" s="724"/>
      <c r="Y208" s="724"/>
      <c r="Z208" s="724"/>
    </row>
    <row r="209" ht="14.25" customHeight="1">
      <c r="A209" s="724"/>
      <c r="B209" s="724"/>
      <c r="C209" s="724"/>
      <c r="D209" s="724"/>
      <c r="E209" s="724"/>
      <c r="F209" s="724"/>
      <c r="G209" s="724"/>
      <c r="H209" s="724"/>
      <c r="I209" s="724"/>
      <c r="J209" s="724"/>
      <c r="K209" s="724"/>
      <c r="L209" s="724"/>
      <c r="M209" s="724"/>
      <c r="N209" s="724"/>
      <c r="O209" s="724"/>
      <c r="P209" s="724"/>
      <c r="Q209" s="724"/>
      <c r="R209" s="724"/>
      <c r="S209" s="724"/>
      <c r="T209" s="724"/>
      <c r="U209" s="724"/>
      <c r="V209" s="724"/>
      <c r="W209" s="724"/>
      <c r="X209" s="724"/>
      <c r="Y209" s="724"/>
      <c r="Z209" s="724"/>
    </row>
    <row r="210" ht="14.25" customHeight="1">
      <c r="A210" s="724"/>
      <c r="B210" s="724"/>
      <c r="C210" s="724"/>
      <c r="D210" s="724"/>
      <c r="E210" s="724"/>
      <c r="F210" s="724"/>
      <c r="G210" s="724"/>
      <c r="H210" s="724"/>
      <c r="I210" s="724"/>
      <c r="J210" s="724"/>
      <c r="K210" s="724"/>
      <c r="L210" s="724"/>
      <c r="M210" s="724"/>
      <c r="N210" s="724"/>
      <c r="O210" s="724"/>
      <c r="P210" s="724"/>
      <c r="Q210" s="724"/>
      <c r="R210" s="724"/>
      <c r="S210" s="724"/>
      <c r="T210" s="724"/>
      <c r="U210" s="724"/>
      <c r="V210" s="724"/>
      <c r="W210" s="724"/>
      <c r="X210" s="724"/>
      <c r="Y210" s="724"/>
      <c r="Z210" s="724"/>
    </row>
    <row r="211" ht="14.25" customHeight="1">
      <c r="A211" s="724"/>
      <c r="B211" s="724"/>
      <c r="C211" s="724"/>
      <c r="D211" s="724"/>
      <c r="E211" s="724"/>
      <c r="F211" s="724"/>
      <c r="G211" s="724"/>
      <c r="H211" s="724"/>
      <c r="I211" s="724"/>
      <c r="J211" s="724"/>
      <c r="K211" s="724"/>
      <c r="L211" s="724"/>
      <c r="M211" s="724"/>
      <c r="N211" s="724"/>
      <c r="O211" s="724"/>
      <c r="P211" s="724"/>
      <c r="Q211" s="724"/>
      <c r="R211" s="724"/>
      <c r="S211" s="724"/>
      <c r="T211" s="724"/>
      <c r="U211" s="724"/>
      <c r="V211" s="724"/>
      <c r="W211" s="724"/>
      <c r="X211" s="724"/>
      <c r="Y211" s="724"/>
      <c r="Z211" s="724"/>
    </row>
    <row r="212" ht="14.25" customHeight="1">
      <c r="A212" s="724"/>
      <c r="B212" s="724"/>
      <c r="C212" s="724"/>
      <c r="D212" s="724"/>
      <c r="E212" s="724"/>
      <c r="F212" s="724"/>
      <c r="G212" s="724"/>
      <c r="H212" s="724"/>
      <c r="I212" s="724"/>
      <c r="J212" s="724"/>
      <c r="K212" s="724"/>
      <c r="L212" s="724"/>
      <c r="M212" s="724"/>
      <c r="N212" s="724"/>
      <c r="O212" s="724"/>
      <c r="P212" s="724"/>
      <c r="Q212" s="724"/>
      <c r="R212" s="724"/>
      <c r="S212" s="724"/>
      <c r="T212" s="724"/>
      <c r="U212" s="724"/>
      <c r="V212" s="724"/>
      <c r="W212" s="724"/>
      <c r="X212" s="724"/>
      <c r="Y212" s="724"/>
      <c r="Z212" s="724"/>
    </row>
    <row r="213" ht="14.25" customHeight="1">
      <c r="A213" s="724"/>
      <c r="B213" s="724"/>
      <c r="C213" s="724"/>
      <c r="D213" s="724"/>
      <c r="E213" s="724"/>
      <c r="F213" s="724"/>
      <c r="G213" s="724"/>
      <c r="H213" s="724"/>
      <c r="I213" s="724"/>
      <c r="J213" s="724"/>
      <c r="K213" s="724"/>
      <c r="L213" s="724"/>
      <c r="M213" s="724"/>
      <c r="N213" s="724"/>
      <c r="O213" s="724"/>
      <c r="P213" s="724"/>
      <c r="Q213" s="724"/>
      <c r="R213" s="724"/>
      <c r="S213" s="724"/>
      <c r="T213" s="724"/>
      <c r="U213" s="724"/>
      <c r="V213" s="724"/>
      <c r="W213" s="724"/>
      <c r="X213" s="724"/>
      <c r="Y213" s="724"/>
      <c r="Z213" s="724"/>
    </row>
    <row r="214" ht="14.25" customHeight="1">
      <c r="A214" s="724"/>
      <c r="B214" s="724"/>
      <c r="C214" s="724"/>
      <c r="D214" s="724"/>
      <c r="E214" s="724"/>
      <c r="F214" s="724"/>
      <c r="G214" s="724"/>
      <c r="H214" s="724"/>
      <c r="I214" s="724"/>
      <c r="J214" s="724"/>
      <c r="K214" s="724"/>
      <c r="L214" s="724"/>
      <c r="M214" s="724"/>
      <c r="N214" s="724"/>
      <c r="O214" s="724"/>
      <c r="P214" s="724"/>
      <c r="Q214" s="724"/>
      <c r="R214" s="724"/>
      <c r="S214" s="724"/>
      <c r="T214" s="724"/>
      <c r="U214" s="724"/>
      <c r="V214" s="724"/>
      <c r="W214" s="724"/>
      <c r="X214" s="724"/>
      <c r="Y214" s="724"/>
      <c r="Z214" s="724"/>
    </row>
    <row r="215" ht="14.25" customHeight="1">
      <c r="A215" s="724"/>
      <c r="B215" s="724"/>
      <c r="C215" s="724"/>
      <c r="D215" s="724"/>
      <c r="E215" s="724"/>
      <c r="F215" s="724"/>
      <c r="G215" s="724"/>
      <c r="H215" s="724"/>
      <c r="I215" s="724"/>
      <c r="J215" s="724"/>
      <c r="K215" s="724"/>
      <c r="L215" s="724"/>
      <c r="M215" s="724"/>
      <c r="N215" s="724"/>
      <c r="O215" s="724"/>
      <c r="P215" s="724"/>
      <c r="Q215" s="724"/>
      <c r="R215" s="724"/>
      <c r="S215" s="724"/>
      <c r="T215" s="724"/>
      <c r="U215" s="724"/>
      <c r="V215" s="724"/>
      <c r="W215" s="724"/>
      <c r="X215" s="724"/>
      <c r="Y215" s="724"/>
      <c r="Z215" s="724"/>
    </row>
    <row r="216" ht="14.25" customHeight="1">
      <c r="A216" s="724"/>
      <c r="B216" s="724"/>
      <c r="C216" s="724"/>
      <c r="D216" s="724"/>
      <c r="E216" s="724"/>
      <c r="F216" s="724"/>
      <c r="G216" s="724"/>
      <c r="H216" s="724"/>
      <c r="I216" s="724"/>
      <c r="J216" s="724"/>
      <c r="K216" s="724"/>
      <c r="L216" s="724"/>
      <c r="M216" s="724"/>
      <c r="N216" s="724"/>
      <c r="O216" s="724"/>
      <c r="P216" s="724"/>
      <c r="Q216" s="724"/>
      <c r="R216" s="724"/>
      <c r="S216" s="724"/>
      <c r="T216" s="724"/>
      <c r="U216" s="724"/>
      <c r="V216" s="724"/>
      <c r="W216" s="724"/>
      <c r="X216" s="724"/>
      <c r="Y216" s="724"/>
      <c r="Z216" s="724"/>
    </row>
    <row r="217" ht="14.25" customHeight="1">
      <c r="A217" s="724"/>
      <c r="B217" s="724"/>
      <c r="C217" s="724"/>
      <c r="D217" s="724"/>
      <c r="E217" s="724"/>
      <c r="F217" s="724"/>
      <c r="G217" s="724"/>
      <c r="H217" s="724"/>
      <c r="I217" s="724"/>
      <c r="J217" s="724"/>
      <c r="K217" s="724"/>
      <c r="L217" s="724"/>
      <c r="M217" s="724"/>
      <c r="N217" s="724"/>
      <c r="O217" s="724"/>
      <c r="P217" s="724"/>
      <c r="Q217" s="724"/>
      <c r="R217" s="724"/>
      <c r="S217" s="724"/>
      <c r="T217" s="724"/>
      <c r="U217" s="724"/>
      <c r="V217" s="724"/>
      <c r="W217" s="724"/>
      <c r="X217" s="724"/>
      <c r="Y217" s="724"/>
      <c r="Z217" s="724"/>
    </row>
    <row r="218" ht="14.25" customHeight="1">
      <c r="A218" s="724"/>
      <c r="B218" s="724"/>
      <c r="C218" s="724"/>
      <c r="D218" s="724"/>
      <c r="E218" s="724"/>
      <c r="F218" s="724"/>
      <c r="G218" s="724"/>
      <c r="H218" s="724"/>
      <c r="I218" s="724"/>
      <c r="J218" s="724"/>
      <c r="K218" s="724"/>
      <c r="L218" s="724"/>
      <c r="M218" s="724"/>
      <c r="N218" s="724"/>
      <c r="O218" s="724"/>
      <c r="P218" s="724"/>
      <c r="Q218" s="724"/>
      <c r="R218" s="724"/>
      <c r="S218" s="724"/>
      <c r="T218" s="724"/>
      <c r="U218" s="724"/>
      <c r="V218" s="724"/>
      <c r="W218" s="724"/>
      <c r="X218" s="724"/>
      <c r="Y218" s="724"/>
      <c r="Z218" s="724"/>
    </row>
    <row r="219" ht="14.25" customHeight="1">
      <c r="A219" s="724"/>
      <c r="B219" s="724"/>
      <c r="C219" s="724"/>
      <c r="D219" s="724"/>
      <c r="E219" s="724"/>
      <c r="F219" s="724"/>
      <c r="G219" s="724"/>
      <c r="H219" s="724"/>
      <c r="I219" s="724"/>
      <c r="J219" s="724"/>
      <c r="K219" s="724"/>
      <c r="L219" s="724"/>
      <c r="M219" s="724"/>
      <c r="N219" s="724"/>
      <c r="O219" s="724"/>
      <c r="P219" s="724"/>
      <c r="Q219" s="724"/>
      <c r="R219" s="724"/>
      <c r="S219" s="724"/>
      <c r="T219" s="724"/>
      <c r="U219" s="724"/>
      <c r="V219" s="724"/>
      <c r="W219" s="724"/>
      <c r="X219" s="724"/>
      <c r="Y219" s="724"/>
      <c r="Z219" s="724"/>
    </row>
    <row r="220" ht="14.25" customHeight="1">
      <c r="A220" s="724"/>
      <c r="B220" s="724"/>
      <c r="C220" s="724"/>
      <c r="D220" s="724"/>
      <c r="E220" s="724"/>
      <c r="F220" s="724"/>
      <c r="G220" s="724"/>
      <c r="H220" s="724"/>
      <c r="I220" s="724"/>
      <c r="J220" s="724"/>
      <c r="K220" s="724"/>
      <c r="L220" s="724"/>
      <c r="M220" s="724"/>
      <c r="N220" s="724"/>
      <c r="O220" s="724"/>
      <c r="P220" s="724"/>
      <c r="Q220" s="724"/>
      <c r="R220" s="724"/>
      <c r="S220" s="724"/>
      <c r="T220" s="724"/>
      <c r="U220" s="724"/>
      <c r="V220" s="724"/>
      <c r="W220" s="724"/>
      <c r="X220" s="724"/>
      <c r="Y220" s="724"/>
      <c r="Z220" s="724"/>
    </row>
    <row r="221" ht="14.25" customHeight="1">
      <c r="A221" s="724"/>
      <c r="B221" s="724"/>
      <c r="C221" s="724"/>
      <c r="D221" s="724"/>
      <c r="E221" s="724"/>
      <c r="F221" s="724"/>
      <c r="G221" s="724"/>
      <c r="H221" s="724"/>
      <c r="I221" s="724"/>
      <c r="J221" s="724"/>
      <c r="K221" s="724"/>
      <c r="L221" s="724"/>
      <c r="M221" s="724"/>
      <c r="N221" s="724"/>
      <c r="O221" s="724"/>
      <c r="P221" s="724"/>
      <c r="Q221" s="724"/>
      <c r="R221" s="724"/>
      <c r="S221" s="724"/>
      <c r="T221" s="724"/>
      <c r="U221" s="724"/>
      <c r="V221" s="724"/>
      <c r="W221" s="724"/>
      <c r="X221" s="724"/>
      <c r="Y221" s="724"/>
      <c r="Z221" s="724"/>
    </row>
    <row r="222" ht="14.25" customHeight="1">
      <c r="A222" s="724"/>
      <c r="B222" s="724"/>
      <c r="C222" s="724"/>
      <c r="D222" s="724"/>
      <c r="E222" s="724"/>
      <c r="F222" s="724"/>
      <c r="G222" s="724"/>
      <c r="H222" s="724"/>
      <c r="I222" s="724"/>
      <c r="J222" s="724"/>
      <c r="K222" s="724"/>
      <c r="L222" s="724"/>
      <c r="M222" s="724"/>
      <c r="N222" s="724"/>
      <c r="O222" s="724"/>
      <c r="P222" s="724"/>
      <c r="Q222" s="724"/>
      <c r="R222" s="724"/>
      <c r="S222" s="724"/>
      <c r="T222" s="724"/>
      <c r="U222" s="724"/>
      <c r="V222" s="724"/>
      <c r="W222" s="724"/>
      <c r="X222" s="724"/>
      <c r="Y222" s="724"/>
      <c r="Z222" s="724"/>
    </row>
    <row r="223" ht="14.25" customHeight="1">
      <c r="A223" s="724"/>
      <c r="B223" s="724"/>
      <c r="C223" s="724"/>
      <c r="D223" s="724"/>
      <c r="E223" s="724"/>
      <c r="F223" s="724"/>
      <c r="G223" s="724"/>
      <c r="H223" s="724"/>
      <c r="I223" s="724"/>
      <c r="J223" s="724"/>
      <c r="K223" s="724"/>
      <c r="L223" s="724"/>
      <c r="M223" s="724"/>
      <c r="N223" s="724"/>
      <c r="O223" s="724"/>
      <c r="P223" s="724"/>
      <c r="Q223" s="724"/>
      <c r="R223" s="724"/>
      <c r="S223" s="724"/>
      <c r="T223" s="724"/>
      <c r="U223" s="724"/>
      <c r="V223" s="724"/>
      <c r="W223" s="724"/>
      <c r="X223" s="724"/>
      <c r="Y223" s="724"/>
      <c r="Z223" s="724"/>
    </row>
    <row r="224" ht="14.25" customHeight="1">
      <c r="A224" s="724"/>
      <c r="B224" s="724"/>
      <c r="C224" s="724"/>
      <c r="D224" s="724"/>
      <c r="E224" s="724"/>
      <c r="F224" s="724"/>
      <c r="G224" s="724"/>
      <c r="H224" s="724"/>
      <c r="I224" s="724"/>
      <c r="J224" s="724"/>
      <c r="K224" s="724"/>
      <c r="L224" s="724"/>
      <c r="M224" s="724"/>
      <c r="N224" s="724"/>
      <c r="O224" s="724"/>
      <c r="P224" s="724"/>
      <c r="Q224" s="724"/>
      <c r="R224" s="724"/>
      <c r="S224" s="724"/>
      <c r="T224" s="724"/>
      <c r="U224" s="724"/>
      <c r="V224" s="724"/>
      <c r="W224" s="724"/>
      <c r="X224" s="724"/>
      <c r="Y224" s="724"/>
      <c r="Z224" s="724"/>
    </row>
    <row r="225" ht="14.25" customHeight="1">
      <c r="A225" s="724"/>
      <c r="B225" s="724"/>
      <c r="C225" s="724"/>
      <c r="D225" s="724"/>
      <c r="E225" s="724"/>
      <c r="F225" s="724"/>
      <c r="G225" s="724"/>
      <c r="H225" s="724"/>
      <c r="I225" s="724"/>
      <c r="J225" s="724"/>
      <c r="K225" s="724"/>
      <c r="L225" s="724"/>
      <c r="M225" s="724"/>
      <c r="N225" s="724"/>
      <c r="O225" s="724"/>
      <c r="P225" s="724"/>
      <c r="Q225" s="724"/>
      <c r="R225" s="724"/>
      <c r="S225" s="724"/>
      <c r="T225" s="724"/>
      <c r="U225" s="724"/>
      <c r="V225" s="724"/>
      <c r="W225" s="724"/>
      <c r="X225" s="724"/>
      <c r="Y225" s="724"/>
      <c r="Z225" s="724"/>
    </row>
    <row r="226" ht="14.25" customHeight="1">
      <c r="A226" s="724"/>
      <c r="B226" s="724"/>
      <c r="C226" s="724"/>
      <c r="D226" s="724"/>
      <c r="E226" s="724"/>
      <c r="F226" s="724"/>
      <c r="G226" s="724"/>
      <c r="H226" s="724"/>
      <c r="I226" s="724"/>
      <c r="J226" s="724"/>
      <c r="K226" s="724"/>
      <c r="L226" s="724"/>
      <c r="M226" s="724"/>
      <c r="N226" s="724"/>
      <c r="O226" s="724"/>
      <c r="P226" s="724"/>
      <c r="Q226" s="724"/>
      <c r="R226" s="724"/>
      <c r="S226" s="724"/>
      <c r="T226" s="724"/>
      <c r="U226" s="724"/>
      <c r="V226" s="724"/>
      <c r="W226" s="724"/>
      <c r="X226" s="724"/>
      <c r="Y226" s="724"/>
      <c r="Z226" s="724"/>
    </row>
    <row r="227" ht="14.25" customHeight="1">
      <c r="A227" s="724"/>
      <c r="B227" s="724"/>
      <c r="C227" s="724"/>
      <c r="D227" s="724"/>
      <c r="E227" s="724"/>
      <c r="F227" s="724"/>
      <c r="G227" s="724"/>
      <c r="H227" s="724"/>
      <c r="I227" s="724"/>
      <c r="J227" s="724"/>
      <c r="K227" s="724"/>
      <c r="L227" s="724"/>
      <c r="M227" s="724"/>
      <c r="N227" s="724"/>
      <c r="O227" s="724"/>
      <c r="P227" s="724"/>
      <c r="Q227" s="724"/>
      <c r="R227" s="724"/>
      <c r="S227" s="724"/>
      <c r="T227" s="724"/>
      <c r="U227" s="724"/>
      <c r="V227" s="724"/>
      <c r="W227" s="724"/>
      <c r="X227" s="724"/>
      <c r="Y227" s="724"/>
      <c r="Z227" s="724"/>
    </row>
    <row r="228" ht="14.25" customHeight="1">
      <c r="A228" s="724"/>
      <c r="B228" s="724"/>
      <c r="C228" s="724"/>
      <c r="D228" s="724"/>
      <c r="E228" s="724"/>
      <c r="F228" s="724"/>
      <c r="G228" s="724"/>
      <c r="H228" s="724"/>
      <c r="I228" s="724"/>
      <c r="J228" s="724"/>
      <c r="K228" s="724"/>
      <c r="L228" s="724"/>
      <c r="M228" s="724"/>
      <c r="N228" s="724"/>
      <c r="O228" s="724"/>
      <c r="P228" s="724"/>
      <c r="Q228" s="724"/>
      <c r="R228" s="724"/>
      <c r="S228" s="724"/>
      <c r="T228" s="724"/>
      <c r="U228" s="724"/>
      <c r="V228" s="724"/>
      <c r="W228" s="724"/>
      <c r="X228" s="724"/>
      <c r="Y228" s="724"/>
      <c r="Z228" s="724"/>
    </row>
    <row r="229" ht="14.25" customHeight="1">
      <c r="A229" s="724"/>
      <c r="B229" s="724"/>
      <c r="C229" s="724"/>
      <c r="D229" s="724"/>
      <c r="E229" s="724"/>
      <c r="F229" s="724"/>
      <c r="G229" s="724"/>
      <c r="H229" s="724"/>
      <c r="I229" s="724"/>
      <c r="J229" s="724"/>
      <c r="K229" s="724"/>
      <c r="L229" s="724"/>
      <c r="M229" s="724"/>
      <c r="N229" s="724"/>
      <c r="O229" s="724"/>
      <c r="P229" s="724"/>
      <c r="Q229" s="724"/>
      <c r="R229" s="724"/>
      <c r="S229" s="724"/>
      <c r="T229" s="724"/>
      <c r="U229" s="724"/>
      <c r="V229" s="724"/>
      <c r="W229" s="724"/>
      <c r="X229" s="724"/>
      <c r="Y229" s="724"/>
      <c r="Z229" s="724"/>
    </row>
    <row r="230" ht="14.25" customHeight="1">
      <c r="A230" s="724"/>
      <c r="B230" s="724"/>
      <c r="C230" s="724"/>
      <c r="D230" s="724"/>
      <c r="E230" s="724"/>
      <c r="F230" s="724"/>
      <c r="G230" s="724"/>
      <c r="H230" s="724"/>
      <c r="I230" s="724"/>
      <c r="J230" s="724"/>
      <c r="K230" s="724"/>
      <c r="L230" s="724"/>
      <c r="M230" s="724"/>
      <c r="N230" s="724"/>
      <c r="O230" s="724"/>
      <c r="P230" s="724"/>
      <c r="Q230" s="724"/>
      <c r="R230" s="724"/>
      <c r="S230" s="724"/>
      <c r="T230" s="724"/>
      <c r="U230" s="724"/>
      <c r="V230" s="724"/>
      <c r="W230" s="724"/>
      <c r="X230" s="724"/>
      <c r="Y230" s="724"/>
      <c r="Z230" s="724"/>
    </row>
    <row r="231" ht="14.25" customHeight="1">
      <c r="A231" s="724"/>
      <c r="B231" s="724"/>
      <c r="C231" s="724"/>
      <c r="D231" s="724"/>
      <c r="E231" s="724"/>
      <c r="F231" s="724"/>
      <c r="G231" s="724"/>
      <c r="H231" s="724"/>
      <c r="I231" s="724"/>
      <c r="J231" s="724"/>
      <c r="K231" s="724"/>
      <c r="L231" s="724"/>
      <c r="M231" s="724"/>
      <c r="N231" s="724"/>
      <c r="O231" s="724"/>
      <c r="P231" s="724"/>
      <c r="Q231" s="724"/>
      <c r="R231" s="724"/>
      <c r="S231" s="724"/>
      <c r="T231" s="724"/>
      <c r="U231" s="724"/>
      <c r="V231" s="724"/>
      <c r="W231" s="724"/>
      <c r="X231" s="724"/>
      <c r="Y231" s="724"/>
      <c r="Z231" s="724"/>
    </row>
    <row r="232" ht="14.25" customHeight="1">
      <c r="A232" s="724"/>
      <c r="B232" s="724"/>
      <c r="C232" s="724"/>
      <c r="D232" s="724"/>
      <c r="E232" s="724"/>
      <c r="F232" s="724"/>
      <c r="G232" s="724"/>
      <c r="H232" s="724"/>
      <c r="I232" s="724"/>
      <c r="J232" s="724"/>
      <c r="K232" s="724"/>
      <c r="L232" s="724"/>
      <c r="M232" s="724"/>
      <c r="N232" s="724"/>
      <c r="O232" s="724"/>
      <c r="P232" s="724"/>
      <c r="Q232" s="724"/>
      <c r="R232" s="724"/>
      <c r="S232" s="724"/>
      <c r="T232" s="724"/>
      <c r="U232" s="724"/>
      <c r="V232" s="724"/>
      <c r="W232" s="724"/>
      <c r="X232" s="724"/>
      <c r="Y232" s="724"/>
      <c r="Z232" s="724"/>
    </row>
    <row r="233" ht="14.25" customHeight="1">
      <c r="A233" s="724"/>
      <c r="B233" s="724"/>
      <c r="C233" s="724"/>
      <c r="D233" s="724"/>
      <c r="E233" s="724"/>
      <c r="F233" s="724"/>
      <c r="G233" s="724"/>
      <c r="H233" s="724"/>
      <c r="I233" s="724"/>
      <c r="J233" s="724"/>
      <c r="K233" s="724"/>
      <c r="L233" s="724"/>
      <c r="M233" s="724"/>
      <c r="N233" s="724"/>
      <c r="O233" s="724"/>
      <c r="P233" s="724"/>
      <c r="Q233" s="724"/>
      <c r="R233" s="724"/>
      <c r="S233" s="724"/>
      <c r="T233" s="724"/>
      <c r="U233" s="724"/>
      <c r="V233" s="724"/>
      <c r="W233" s="724"/>
      <c r="X233" s="724"/>
      <c r="Y233" s="724"/>
      <c r="Z233" s="724"/>
    </row>
    <row r="234" ht="14.25" customHeight="1">
      <c r="A234" s="724"/>
      <c r="B234" s="724"/>
      <c r="C234" s="724"/>
      <c r="D234" s="724"/>
      <c r="E234" s="724"/>
      <c r="F234" s="724"/>
      <c r="G234" s="724"/>
      <c r="H234" s="724"/>
      <c r="I234" s="724"/>
      <c r="J234" s="724"/>
      <c r="K234" s="724"/>
      <c r="L234" s="724"/>
      <c r="M234" s="724"/>
      <c r="N234" s="724"/>
      <c r="O234" s="724"/>
      <c r="P234" s="724"/>
      <c r="Q234" s="724"/>
      <c r="R234" s="724"/>
      <c r="S234" s="724"/>
      <c r="T234" s="724"/>
      <c r="U234" s="724"/>
      <c r="V234" s="724"/>
      <c r="W234" s="724"/>
      <c r="X234" s="724"/>
      <c r="Y234" s="724"/>
      <c r="Z234" s="724"/>
    </row>
    <row r="235" ht="14.25" customHeight="1">
      <c r="A235" s="724"/>
      <c r="B235" s="724"/>
      <c r="C235" s="724"/>
      <c r="D235" s="724"/>
      <c r="E235" s="724"/>
      <c r="F235" s="724"/>
      <c r="G235" s="724"/>
      <c r="H235" s="724"/>
      <c r="I235" s="724"/>
      <c r="J235" s="724"/>
      <c r="K235" s="724"/>
      <c r="L235" s="724"/>
      <c r="M235" s="724"/>
      <c r="N235" s="724"/>
      <c r="O235" s="724"/>
      <c r="P235" s="724"/>
      <c r="Q235" s="724"/>
      <c r="R235" s="724"/>
      <c r="S235" s="724"/>
      <c r="T235" s="724"/>
      <c r="U235" s="724"/>
      <c r="V235" s="724"/>
      <c r="W235" s="724"/>
      <c r="X235" s="724"/>
      <c r="Y235" s="724"/>
      <c r="Z235" s="724"/>
    </row>
    <row r="236" ht="14.25" customHeight="1">
      <c r="A236" s="724"/>
      <c r="B236" s="724"/>
      <c r="C236" s="724"/>
      <c r="D236" s="724"/>
      <c r="E236" s="724"/>
      <c r="F236" s="724"/>
      <c r="G236" s="724"/>
      <c r="H236" s="724"/>
      <c r="I236" s="724"/>
      <c r="J236" s="724"/>
      <c r="K236" s="724"/>
      <c r="L236" s="724"/>
      <c r="M236" s="724"/>
      <c r="N236" s="724"/>
      <c r="O236" s="724"/>
      <c r="P236" s="724"/>
      <c r="Q236" s="724"/>
      <c r="R236" s="724"/>
      <c r="S236" s="724"/>
      <c r="T236" s="724"/>
      <c r="U236" s="724"/>
      <c r="V236" s="724"/>
      <c r="W236" s="724"/>
      <c r="X236" s="724"/>
      <c r="Y236" s="724"/>
      <c r="Z236" s="724"/>
    </row>
    <row r="237" ht="14.25" customHeight="1">
      <c r="A237" s="724"/>
      <c r="B237" s="724"/>
      <c r="C237" s="724"/>
      <c r="D237" s="724"/>
      <c r="E237" s="724"/>
      <c r="F237" s="724"/>
      <c r="G237" s="724"/>
      <c r="H237" s="724"/>
      <c r="I237" s="724"/>
      <c r="J237" s="724"/>
      <c r="K237" s="724"/>
      <c r="L237" s="724"/>
      <c r="M237" s="724"/>
      <c r="N237" s="724"/>
      <c r="O237" s="724"/>
      <c r="P237" s="724"/>
      <c r="Q237" s="724"/>
      <c r="R237" s="724"/>
      <c r="S237" s="724"/>
      <c r="T237" s="724"/>
      <c r="U237" s="724"/>
      <c r="V237" s="724"/>
      <c r="W237" s="724"/>
      <c r="X237" s="724"/>
      <c r="Y237" s="724"/>
      <c r="Z237" s="724"/>
    </row>
    <row r="238" ht="14.25" customHeight="1">
      <c r="A238" s="724"/>
      <c r="B238" s="724"/>
      <c r="C238" s="724"/>
      <c r="D238" s="724"/>
      <c r="E238" s="724"/>
      <c r="F238" s="724"/>
      <c r="G238" s="724"/>
      <c r="H238" s="724"/>
      <c r="I238" s="724"/>
      <c r="J238" s="724"/>
      <c r="K238" s="724"/>
      <c r="L238" s="724"/>
      <c r="M238" s="724"/>
      <c r="N238" s="724"/>
      <c r="O238" s="724"/>
      <c r="P238" s="724"/>
      <c r="Q238" s="724"/>
      <c r="R238" s="724"/>
      <c r="S238" s="724"/>
      <c r="T238" s="724"/>
      <c r="U238" s="724"/>
      <c r="V238" s="724"/>
      <c r="W238" s="724"/>
      <c r="X238" s="724"/>
      <c r="Y238" s="724"/>
      <c r="Z238" s="724"/>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G1:H1"/>
    <mergeCell ref="A37:B37"/>
  </mergeCells>
  <printOptions/>
  <pageMargins bottom="0.75" footer="0.0" header="0.0" left="0.7000000000000001" right="0.7000000000000001"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54.88"/>
    <col customWidth="1" min="2" max="2" width="18.0"/>
    <col customWidth="1" min="3" max="3" width="16.38"/>
    <col customWidth="1" min="4" max="4" width="11.5"/>
    <col customWidth="1" min="5" max="5" width="14.63"/>
    <col customWidth="1" min="6" max="6" width="11.5"/>
    <col customWidth="1" min="7" max="7" width="14.25"/>
    <col customWidth="1" min="8" max="13" width="15.13"/>
    <col customWidth="1" min="14" max="14" width="11.5"/>
    <col customWidth="1" min="15" max="15" width="13.0"/>
    <col customWidth="1" min="16" max="16" width="11.5"/>
    <col customWidth="1" min="17" max="17" width="13.0"/>
    <col customWidth="1" min="18" max="18" width="11.5"/>
    <col customWidth="1" min="19" max="19" width="13.0"/>
    <col customWidth="1" min="20" max="20" width="11.5"/>
    <col customWidth="1" min="21" max="21" width="13.0"/>
    <col customWidth="1" min="22" max="22" width="11.5"/>
    <col customWidth="1" min="23" max="23" width="13.0"/>
    <col customWidth="1" min="24" max="24" width="11.5"/>
    <col customWidth="1" min="25" max="25" width="13.0"/>
    <col customWidth="1" min="26" max="26" width="11.5"/>
    <col customWidth="1" min="27" max="27" width="13.0"/>
    <col customWidth="1" min="28" max="28" width="11.5"/>
    <col customWidth="1" min="29" max="29" width="13.0"/>
    <col customWidth="1" min="30" max="30" width="11.5"/>
    <col customWidth="1" min="31" max="31" width="13.0"/>
    <col customWidth="1" min="32" max="32" width="11.5"/>
    <col customWidth="1" min="33" max="33" width="13.0"/>
  </cols>
  <sheetData>
    <row r="1" ht="14.25" customHeight="1">
      <c r="A1" s="762" t="s">
        <v>1731</v>
      </c>
      <c r="B1" s="720" t="s">
        <v>1732</v>
      </c>
      <c r="C1" s="278"/>
      <c r="D1" s="763">
        <v>45957.0</v>
      </c>
      <c r="E1" s="764"/>
      <c r="F1" s="763">
        <f>+D1+30</f>
        <v>45987</v>
      </c>
      <c r="G1" s="764"/>
      <c r="H1" s="763">
        <f>+F1+30</f>
        <v>46017</v>
      </c>
      <c r="I1" s="764"/>
      <c r="J1" s="763">
        <f>+H1+30</f>
        <v>46047</v>
      </c>
      <c r="K1" s="764"/>
      <c r="L1" s="765">
        <f>+J1+30</f>
        <v>46077</v>
      </c>
      <c r="M1" s="706"/>
      <c r="N1" s="765">
        <f>+L1+30</f>
        <v>46107</v>
      </c>
      <c r="O1" s="706"/>
      <c r="P1" s="765">
        <v>46142.0</v>
      </c>
      <c r="Q1" s="706"/>
      <c r="R1" s="765">
        <v>46172.0</v>
      </c>
      <c r="S1" s="706"/>
      <c r="T1" s="765">
        <v>46202.0</v>
      </c>
      <c r="U1" s="706"/>
      <c r="V1" s="765">
        <v>46232.0</v>
      </c>
      <c r="W1" s="706"/>
      <c r="X1" s="765">
        <v>46262.0</v>
      </c>
      <c r="Y1" s="706"/>
      <c r="Z1" s="765">
        <v>46292.0</v>
      </c>
      <c r="AA1" s="706"/>
      <c r="AB1" s="765">
        <v>46322.0</v>
      </c>
      <c r="AC1" s="706"/>
      <c r="AD1" s="765">
        <v>46352.0</v>
      </c>
      <c r="AE1" s="706"/>
      <c r="AF1" s="765">
        <v>46382.0</v>
      </c>
      <c r="AG1" s="706"/>
    </row>
    <row r="2" ht="14.25" customHeight="1">
      <c r="A2" s="639"/>
      <c r="B2" s="766" t="s">
        <v>1733</v>
      </c>
      <c r="C2" s="278"/>
      <c r="D2" s="708"/>
      <c r="E2" s="767"/>
      <c r="F2" s="708"/>
      <c r="G2" s="767"/>
      <c r="H2" s="708"/>
      <c r="I2" s="767"/>
      <c r="J2" s="708"/>
      <c r="K2" s="767"/>
      <c r="L2" s="708"/>
      <c r="M2" s="709"/>
      <c r="N2" s="708"/>
      <c r="O2" s="709"/>
      <c r="P2" s="708"/>
      <c r="Q2" s="709"/>
      <c r="R2" s="708"/>
      <c r="S2" s="709"/>
      <c r="T2" s="708"/>
      <c r="U2" s="709"/>
      <c r="V2" s="708"/>
      <c r="W2" s="709"/>
      <c r="X2" s="708"/>
      <c r="Y2" s="709"/>
      <c r="Z2" s="708"/>
      <c r="AA2" s="709"/>
      <c r="AB2" s="708"/>
      <c r="AC2" s="709"/>
      <c r="AD2" s="708"/>
      <c r="AE2" s="709"/>
      <c r="AF2" s="708"/>
      <c r="AG2" s="709"/>
    </row>
    <row r="3" ht="14.25" customHeight="1">
      <c r="A3" s="768" t="s">
        <v>1734</v>
      </c>
      <c r="B3" s="769">
        <v>143483.223</v>
      </c>
      <c r="C3" s="770">
        <f>B3*B4</f>
        <v>11180212.74</v>
      </c>
      <c r="D3" s="771">
        <v>160000.0</v>
      </c>
      <c r="E3" s="770">
        <f>D3*D4</f>
        <v>12753945.6</v>
      </c>
      <c r="F3" s="771">
        <v>135000.0</v>
      </c>
      <c r="G3" s="770">
        <f>F3*F4</f>
        <v>10976364.43</v>
      </c>
      <c r="H3" s="771">
        <f>+F3*0.9</f>
        <v>121500</v>
      </c>
      <c r="I3" s="770">
        <f>H3*H4</f>
        <v>10076302.55</v>
      </c>
      <c r="J3" s="769">
        <f>+H3*0.9</f>
        <v>109350</v>
      </c>
      <c r="K3" s="770">
        <f>J3*J4</f>
        <v>9331663.79</v>
      </c>
      <c r="L3" s="769">
        <f>+J3*0.9</f>
        <v>98415</v>
      </c>
      <c r="M3" s="770">
        <f>L3*L4</f>
        <v>8642053.836</v>
      </c>
      <c r="N3" s="769">
        <f>+L3*0.9</f>
        <v>88573.5</v>
      </c>
      <c r="O3" s="770">
        <f>N3*N4</f>
        <v>8042295.3</v>
      </c>
      <c r="P3" s="769">
        <f>+N3*0.9</f>
        <v>79716.15</v>
      </c>
      <c r="Q3" s="770">
        <f>P3*P4</f>
        <v>7426255.48</v>
      </c>
      <c r="R3" s="769">
        <f>+P3*0.9</f>
        <v>71744.535</v>
      </c>
      <c r="S3" s="770">
        <f>R3*R4</f>
        <v>6877455.2</v>
      </c>
      <c r="T3" s="769">
        <f>+R3*0.9</f>
        <v>64570.0815</v>
      </c>
      <c r="U3" s="770">
        <f>T3*T4</f>
        <v>6369211.261</v>
      </c>
      <c r="V3" s="769">
        <f>+T3*0.9</f>
        <v>58113.07335</v>
      </c>
      <c r="W3" s="770">
        <f>V3*V4</f>
        <v>5898526.549</v>
      </c>
      <c r="X3" s="769">
        <f>+V3*0.9</f>
        <v>52301.76602</v>
      </c>
      <c r="Y3" s="770">
        <f>X3*X4</f>
        <v>5462625.437</v>
      </c>
      <c r="Z3" s="769">
        <f>+X3*0.9</f>
        <v>47071.58941</v>
      </c>
      <c r="AA3" s="770">
        <f>Z3*Z4</f>
        <v>5058937.417</v>
      </c>
      <c r="AB3" s="769">
        <f>+Z3*0.9</f>
        <v>42364.43047</v>
      </c>
      <c r="AC3" s="770">
        <f>AB3*AB4</f>
        <v>4685081.942</v>
      </c>
      <c r="AD3" s="769">
        <f>+AB3*0.9</f>
        <v>38127.98742</v>
      </c>
      <c r="AE3" s="770">
        <f>AD3*AD4</f>
        <v>4338854.386</v>
      </c>
      <c r="AF3" s="769">
        <f>+AD3*0.9</f>
        <v>34315.18868</v>
      </c>
      <c r="AG3" s="770">
        <f>AF3*AF4</f>
        <v>4018213.047</v>
      </c>
    </row>
    <row r="4" ht="14.25" customHeight="1">
      <c r="A4" s="768" t="s">
        <v>1735</v>
      </c>
      <c r="B4" s="772">
        <v>77.92</v>
      </c>
      <c r="C4" s="617"/>
      <c r="D4" s="772">
        <f>+B4*(1+D13)</f>
        <v>79.71216</v>
      </c>
      <c r="E4" s="617"/>
      <c r="F4" s="772">
        <f>+D4*(1+F13)</f>
        <v>81.3064032</v>
      </c>
      <c r="G4" s="617"/>
      <c r="H4" s="772">
        <f>+F4*(1+H13)</f>
        <v>82.93253126</v>
      </c>
      <c r="I4" s="617"/>
      <c r="J4" s="772">
        <f>+H4*(1+J13)</f>
        <v>85.33757467</v>
      </c>
      <c r="K4" s="617"/>
      <c r="L4" s="772">
        <f>+J4*(1+L13)</f>
        <v>87.81236434</v>
      </c>
      <c r="M4" s="617"/>
      <c r="N4" s="772">
        <f>+L4*(1+N13)</f>
        <v>90.79798472</v>
      </c>
      <c r="O4" s="617"/>
      <c r="P4" s="772">
        <f>+N4*(1+P13)</f>
        <v>93.15873233</v>
      </c>
      <c r="Q4" s="617"/>
      <c r="R4" s="772">
        <f>+P4*(1+R13)</f>
        <v>95.86033556</v>
      </c>
      <c r="S4" s="617"/>
      <c r="T4" s="772">
        <f>+R4*(1+T13)</f>
        <v>98.6402853</v>
      </c>
      <c r="U4" s="617"/>
      <c r="V4" s="772">
        <f>+T4*(1+V13)</f>
        <v>101.5008536</v>
      </c>
      <c r="W4" s="617"/>
      <c r="X4" s="772">
        <f>+V4*(1+X13)</f>
        <v>104.4443783</v>
      </c>
      <c r="Y4" s="617"/>
      <c r="Z4" s="772">
        <f>+X4*(1+Z13)</f>
        <v>107.4732653</v>
      </c>
      <c r="AA4" s="617"/>
      <c r="AB4" s="772">
        <f>+Z4*(1+AB13)</f>
        <v>110.58999</v>
      </c>
      <c r="AC4" s="617"/>
      <c r="AD4" s="772">
        <f>+AB4*(1+AD13)</f>
        <v>113.7970997</v>
      </c>
      <c r="AE4" s="617"/>
      <c r="AF4" s="772">
        <f>+AD4*(1+AF13)</f>
        <v>117.0972156</v>
      </c>
      <c r="AG4" s="617"/>
    </row>
    <row r="5" ht="14.25" customHeight="1">
      <c r="A5" s="768" t="s">
        <v>1736</v>
      </c>
      <c r="B5" s="769">
        <v>16475.777</v>
      </c>
      <c r="C5" s="770">
        <f>B5*B6</f>
        <v>2136578.761</v>
      </c>
      <c r="D5" s="771">
        <f>+D3*0.1</f>
        <v>16000</v>
      </c>
      <c r="E5" s="770">
        <f>D5*D6</f>
        <v>2122602.24</v>
      </c>
      <c r="F5" s="771">
        <f>+F3*0.1</f>
        <v>13500</v>
      </c>
      <c r="G5" s="770">
        <f>F5*F6</f>
        <v>1826764.553</v>
      </c>
      <c r="H5" s="771">
        <f>+H3*0.1</f>
        <v>12150</v>
      </c>
      <c r="I5" s="770">
        <f>H5*H6</f>
        <v>1676969.859</v>
      </c>
      <c r="J5" s="771">
        <f>+J3*0.1</f>
        <v>10935</v>
      </c>
      <c r="K5" s="770">
        <f>J5*J6</f>
        <v>1553041.787</v>
      </c>
      <c r="L5" s="771">
        <f>+L3*0.1</f>
        <v>9841.5</v>
      </c>
      <c r="M5" s="770">
        <f>L5*L6</f>
        <v>1438271.999</v>
      </c>
      <c r="N5" s="771">
        <f>+N3*0.1</f>
        <v>8857.35</v>
      </c>
      <c r="O5" s="770">
        <f>N5*N6</f>
        <v>1338455.922</v>
      </c>
      <c r="P5" s="771">
        <f>+P3*0.1</f>
        <v>7971.615</v>
      </c>
      <c r="Q5" s="770">
        <f>P5*P6</f>
        <v>1235930.198</v>
      </c>
      <c r="R5" s="771">
        <f>+R3*0.1</f>
        <v>7174.4535</v>
      </c>
      <c r="S5" s="770">
        <f>R5*R6</f>
        <v>1144594.957</v>
      </c>
      <c r="T5" s="771">
        <f>+T3*0.1</f>
        <v>6457.00815</v>
      </c>
      <c r="U5" s="770">
        <f>T5*T6</f>
        <v>1060009.389</v>
      </c>
      <c r="V5" s="771">
        <f>+V3*0.1</f>
        <v>5811.307335</v>
      </c>
      <c r="W5" s="770">
        <f>V5*V6</f>
        <v>981674.6956</v>
      </c>
      <c r="X5" s="771">
        <f>+X3*0.1</f>
        <v>5230.176602</v>
      </c>
      <c r="Y5" s="770">
        <f>X5*X6</f>
        <v>909128.9356</v>
      </c>
      <c r="Z5" s="771">
        <f>+Z3*0.1</f>
        <v>4707.158941</v>
      </c>
      <c r="AA5" s="770">
        <f>Z5*Z6</f>
        <v>841944.3073</v>
      </c>
      <c r="AB5" s="771">
        <f>+AB3*0.1</f>
        <v>4236.443047</v>
      </c>
      <c r="AC5" s="770">
        <f>AB5*AB6</f>
        <v>779724.6229</v>
      </c>
      <c r="AD5" s="771">
        <f>+AD3*0.1</f>
        <v>3812.798742</v>
      </c>
      <c r="AE5" s="770">
        <f>AD5*AD6</f>
        <v>722102.9733</v>
      </c>
      <c r="AF5" s="771">
        <f>+AF3*0.1</f>
        <v>3431.518868</v>
      </c>
      <c r="AG5" s="770">
        <f>AF5*AF6</f>
        <v>668739.5636</v>
      </c>
    </row>
    <row r="6" ht="14.25" customHeight="1">
      <c r="A6" s="773" t="s">
        <v>1737</v>
      </c>
      <c r="B6" s="774">
        <v>129.68</v>
      </c>
      <c r="C6" s="775"/>
      <c r="D6" s="774">
        <f>+B6*(1+D13)</f>
        <v>132.66264</v>
      </c>
      <c r="E6" s="775"/>
      <c r="F6" s="774">
        <f>+D6*(1+F13)</f>
        <v>135.3158928</v>
      </c>
      <c r="G6" s="775"/>
      <c r="H6" s="774">
        <f>+F6*(1+H13)</f>
        <v>138.0222107</v>
      </c>
      <c r="I6" s="775"/>
      <c r="J6" s="774">
        <f>+H6*(1+J13)</f>
        <v>142.0248548</v>
      </c>
      <c r="K6" s="775"/>
      <c r="L6" s="774">
        <f>+J6*(1+L13)</f>
        <v>146.1435756</v>
      </c>
      <c r="M6" s="775"/>
      <c r="N6" s="774">
        <f>+L6*(1+N13)</f>
        <v>151.1124571</v>
      </c>
      <c r="O6" s="775"/>
      <c r="P6" s="774">
        <f>+N6*(1+P13)</f>
        <v>155.041381</v>
      </c>
      <c r="Q6" s="775"/>
      <c r="R6" s="774">
        <f>+P6*(1+R13)</f>
        <v>159.5375811</v>
      </c>
      <c r="S6" s="775"/>
      <c r="T6" s="774">
        <f>+R6*(1+T13)</f>
        <v>164.1641709</v>
      </c>
      <c r="U6" s="775"/>
      <c r="V6" s="774">
        <f>+T6*(1+V13)</f>
        <v>168.9249319</v>
      </c>
      <c r="W6" s="775"/>
      <c r="X6" s="774">
        <f>+V6*(1+X13)</f>
        <v>173.8237549</v>
      </c>
      <c r="Y6" s="775"/>
      <c r="Z6" s="774">
        <f>+X6*(1+Z13)</f>
        <v>178.8646438</v>
      </c>
      <c r="AA6" s="775"/>
      <c r="AB6" s="774">
        <f>+Z6*(1+AB13)</f>
        <v>184.0517184</v>
      </c>
      <c r="AC6" s="775"/>
      <c r="AD6" s="774">
        <f>+AB6*(1+AD13)</f>
        <v>189.3892183</v>
      </c>
      <c r="AE6" s="775"/>
      <c r="AF6" s="774">
        <f>+AD6*(1+AF13)</f>
        <v>194.8815056</v>
      </c>
      <c r="AG6" s="775"/>
    </row>
    <row r="7" ht="14.25" customHeight="1">
      <c r="A7" s="776" t="s">
        <v>1738</v>
      </c>
      <c r="B7" s="777">
        <v>159959.0</v>
      </c>
      <c r="C7" s="778">
        <f>C3+C5</f>
        <v>13316791.5</v>
      </c>
      <c r="D7" s="777">
        <f>+D5+D3</f>
        <v>176000</v>
      </c>
      <c r="E7" s="778">
        <f>E3+E5</f>
        <v>14876547.84</v>
      </c>
      <c r="F7" s="777">
        <f>+F5+F3</f>
        <v>148500</v>
      </c>
      <c r="G7" s="778">
        <f>G3+G5</f>
        <v>12803128.98</v>
      </c>
      <c r="H7" s="777">
        <f>+H5+H3</f>
        <v>133650</v>
      </c>
      <c r="I7" s="778">
        <f>I3+I5</f>
        <v>11753272.41</v>
      </c>
      <c r="J7" s="777">
        <f>+J5+J3</f>
        <v>120285</v>
      </c>
      <c r="K7" s="778">
        <f>K3+K5</f>
        <v>10884705.58</v>
      </c>
      <c r="L7" s="777">
        <f>+L5+L3</f>
        <v>108256.5</v>
      </c>
      <c r="M7" s="778">
        <f>M3+M5</f>
        <v>10080325.83</v>
      </c>
      <c r="N7" s="777">
        <f>+N5+N3</f>
        <v>97430.85</v>
      </c>
      <c r="O7" s="778">
        <f>O3+O5</f>
        <v>9380751.222</v>
      </c>
      <c r="P7" s="777">
        <f>+P5+P3</f>
        <v>87687.765</v>
      </c>
      <c r="Q7" s="778">
        <f>Q3+Q5</f>
        <v>8662185.678</v>
      </c>
      <c r="R7" s="777">
        <f>+R5+R3</f>
        <v>78918.9885</v>
      </c>
      <c r="S7" s="778">
        <f>S3+S5</f>
        <v>8022050.157</v>
      </c>
      <c r="T7" s="777">
        <f>+T5+T3</f>
        <v>71027.08965</v>
      </c>
      <c r="U7" s="778">
        <f>U3+U5</f>
        <v>7429220.65</v>
      </c>
      <c r="V7" s="777">
        <f>+V5+V3</f>
        <v>63924.38069</v>
      </c>
      <c r="W7" s="778">
        <f>W3+W5</f>
        <v>6880201.244</v>
      </c>
      <c r="X7" s="777">
        <f>+X5+X3</f>
        <v>57531.94262</v>
      </c>
      <c r="Y7" s="778">
        <f>Y3+Y5</f>
        <v>6371754.372</v>
      </c>
      <c r="Z7" s="777">
        <f>+Z5+Z3</f>
        <v>51778.74835</v>
      </c>
      <c r="AA7" s="778">
        <f>AA3+AA5</f>
        <v>5900881.724</v>
      </c>
      <c r="AB7" s="777">
        <f>+AB5+AB3</f>
        <v>46600.87352</v>
      </c>
      <c r="AC7" s="778">
        <f>AC3+AC5</f>
        <v>5464806.565</v>
      </c>
      <c r="AD7" s="777">
        <f>+AD5+AD3</f>
        <v>41940.78617</v>
      </c>
      <c r="AE7" s="778">
        <f>AE3+AE5</f>
        <v>5060957.36</v>
      </c>
      <c r="AF7" s="777">
        <f>+AF5+AF3</f>
        <v>37746.70755</v>
      </c>
      <c r="AG7" s="778">
        <f>AG3+AG5</f>
        <v>4686952.611</v>
      </c>
    </row>
    <row r="8" ht="14.25" customHeight="1">
      <c r="A8" s="779" t="s">
        <v>1739</v>
      </c>
      <c r="B8" s="780"/>
      <c r="C8" s="617"/>
      <c r="D8" s="780"/>
      <c r="E8" s="617"/>
      <c r="F8" s="780"/>
      <c r="G8" s="617"/>
      <c r="H8" s="780"/>
      <c r="I8" s="617"/>
      <c r="J8" s="780"/>
      <c r="K8" s="617"/>
      <c r="L8" s="780"/>
      <c r="M8" s="617"/>
      <c r="N8" s="780"/>
      <c r="O8" s="617"/>
      <c r="P8" s="780"/>
      <c r="Q8" s="617"/>
      <c r="R8" s="780"/>
      <c r="S8" s="617"/>
      <c r="T8" s="780"/>
      <c r="U8" s="617"/>
      <c r="V8" s="780"/>
      <c r="W8" s="617"/>
      <c r="X8" s="780"/>
      <c r="Y8" s="617"/>
      <c r="Z8" s="780"/>
      <c r="AA8" s="617"/>
      <c r="AB8" s="780"/>
      <c r="AC8" s="617"/>
      <c r="AD8" s="780"/>
      <c r="AE8" s="617"/>
      <c r="AF8" s="780"/>
      <c r="AG8" s="617"/>
    </row>
    <row r="9" ht="14.25" customHeight="1">
      <c r="A9" s="779" t="s">
        <v>1740</v>
      </c>
      <c r="B9" s="781">
        <v>72.0</v>
      </c>
      <c r="C9" s="782">
        <f>B9*B10</f>
        <v>264008.16</v>
      </c>
      <c r="D9" s="781">
        <f>+B9</f>
        <v>72</v>
      </c>
      <c r="E9" s="782">
        <f>D9*D10</f>
        <v>270080.3477</v>
      </c>
      <c r="F9" s="783">
        <f>+D9*0.9</f>
        <v>64.8</v>
      </c>
      <c r="G9" s="782">
        <f>F9*F10</f>
        <v>247933.7592</v>
      </c>
      <c r="H9" s="783">
        <f>+F9*0.9</f>
        <v>58.32</v>
      </c>
      <c r="I9" s="782">
        <f>H9*H10</f>
        <v>227603.1909</v>
      </c>
      <c r="J9" s="783">
        <f>+H9*0.9</f>
        <v>52.488</v>
      </c>
      <c r="K9" s="782">
        <f>J9*J10</f>
        <v>210783.3151</v>
      </c>
      <c r="L9" s="783">
        <f>+J9*0.9</f>
        <v>47.2392</v>
      </c>
      <c r="M9" s="782">
        <f>L9*L10</f>
        <v>195206.4281</v>
      </c>
      <c r="N9" s="783">
        <f>+L9*0.9</f>
        <v>42.51528</v>
      </c>
      <c r="O9" s="782">
        <f>N9*N10</f>
        <v>181659.102</v>
      </c>
      <c r="P9" s="783">
        <f>+N9*0.9</f>
        <v>38.263752</v>
      </c>
      <c r="Q9" s="782">
        <f>P9*P10</f>
        <v>167744.0148</v>
      </c>
      <c r="R9" s="783">
        <f>+P9*0.9</f>
        <v>34.4373768</v>
      </c>
      <c r="S9" s="782">
        <f>R9*R10</f>
        <v>155347.7321</v>
      </c>
      <c r="T9" s="783">
        <f>+R9*0.9</f>
        <v>30.99363912</v>
      </c>
      <c r="U9" s="782">
        <f>T9*T10</f>
        <v>143867.5347</v>
      </c>
      <c r="V9" s="783">
        <f>+T9*0.9</f>
        <v>27.89427521</v>
      </c>
      <c r="W9" s="782">
        <f>V9*V10</f>
        <v>133235.7239</v>
      </c>
      <c r="X9" s="783">
        <f>+V9*0.9</f>
        <v>25.10484769</v>
      </c>
      <c r="Y9" s="782">
        <f>X9*X10</f>
        <v>123389.6039</v>
      </c>
      <c r="Z9" s="783">
        <f>+X9*0.9</f>
        <v>22.59436292</v>
      </c>
      <c r="AA9" s="782">
        <f>Z9*Z10</f>
        <v>114271.1122</v>
      </c>
      <c r="AB9" s="783">
        <f>+Z9*0.9</f>
        <v>20.33492663</v>
      </c>
      <c r="AC9" s="782">
        <f>AB9*AB10</f>
        <v>105826.477</v>
      </c>
      <c r="AD9" s="783">
        <f>+AB9*0.9</f>
        <v>18.30143396</v>
      </c>
      <c r="AE9" s="782">
        <f>AD9*AD10</f>
        <v>98005.90033</v>
      </c>
      <c r="AF9" s="783">
        <f>+AD9*0.9</f>
        <v>16.47129057</v>
      </c>
      <c r="AG9" s="782">
        <f>AF9*AF10</f>
        <v>90763.26429</v>
      </c>
    </row>
    <row r="10" ht="14.25" customHeight="1">
      <c r="A10" s="784" t="s">
        <v>1741</v>
      </c>
      <c r="B10" s="785">
        <v>3666.78</v>
      </c>
      <c r="C10" s="786"/>
      <c r="D10" s="785">
        <f>+B10*(1+D13)</f>
        <v>3751.11594</v>
      </c>
      <c r="E10" s="786"/>
      <c r="F10" s="785">
        <f>+D10*(1+F13)</f>
        <v>3826.138259</v>
      </c>
      <c r="G10" s="786"/>
      <c r="H10" s="785">
        <f>+F10*(1+H13)</f>
        <v>3902.661024</v>
      </c>
      <c r="I10" s="786"/>
      <c r="J10" s="785">
        <f>+H10*(1+J13)</f>
        <v>4015.838194</v>
      </c>
      <c r="K10" s="786"/>
      <c r="L10" s="785">
        <f>+J10*(1+L13)</f>
        <v>4132.297501</v>
      </c>
      <c r="M10" s="786"/>
      <c r="N10" s="785">
        <f>+L10*(1+N13)</f>
        <v>4272.795616</v>
      </c>
      <c r="O10" s="786"/>
      <c r="P10" s="785">
        <f>+N10*(1+P13)</f>
        <v>4383.888302</v>
      </c>
      <c r="Q10" s="786"/>
      <c r="R10" s="785">
        <f>+P10*(1+R13)</f>
        <v>4511.021063</v>
      </c>
      <c r="S10" s="786"/>
      <c r="T10" s="785">
        <f>+R10*(1+T13)</f>
        <v>4641.840674</v>
      </c>
      <c r="U10" s="786"/>
      <c r="V10" s="785">
        <f>+T10*(1+V13)</f>
        <v>4776.454053</v>
      </c>
      <c r="W10" s="786"/>
      <c r="X10" s="785">
        <f>+V10*(1+X13)</f>
        <v>4914.971221</v>
      </c>
      <c r="Y10" s="786"/>
      <c r="Z10" s="785">
        <f>+X10*(1+Z13)</f>
        <v>5057.505386</v>
      </c>
      <c r="AA10" s="786"/>
      <c r="AB10" s="785">
        <f>+Z10*(1+AB13)</f>
        <v>5204.173043</v>
      </c>
      <c r="AC10" s="786"/>
      <c r="AD10" s="785">
        <f>+AB10*(1+AD13)</f>
        <v>5355.094061</v>
      </c>
      <c r="AE10" s="786"/>
      <c r="AF10" s="785">
        <f>+AD10*(1+AF13)</f>
        <v>5510.391789</v>
      </c>
      <c r="AG10" s="786"/>
    </row>
    <row r="11" ht="14.25" customHeight="1">
      <c r="A11" s="787" t="s">
        <v>1742</v>
      </c>
      <c r="B11" s="788"/>
      <c r="C11" s="789">
        <f>C7+C9</f>
        <v>13580799.66</v>
      </c>
      <c r="D11" s="788"/>
      <c r="E11" s="790">
        <f>E7+E9</f>
        <v>15146628.19</v>
      </c>
      <c r="F11" s="788"/>
      <c r="G11" s="790">
        <f>G7+G9</f>
        <v>13051062.74</v>
      </c>
      <c r="H11" s="788"/>
      <c r="I11" s="790">
        <f>I7+I9</f>
        <v>11980875.6</v>
      </c>
      <c r="J11" s="788"/>
      <c r="K11" s="790">
        <f>K7+K9</f>
        <v>11095488.89</v>
      </c>
      <c r="L11" s="788"/>
      <c r="M11" s="790">
        <f>M7+M9</f>
        <v>10275532.26</v>
      </c>
      <c r="N11" s="788"/>
      <c r="O11" s="790">
        <f>O7+O9</f>
        <v>9562410.324</v>
      </c>
      <c r="P11" s="788"/>
      <c r="Q11" s="790">
        <f>Q7+Q9</f>
        <v>8829929.693</v>
      </c>
      <c r="R11" s="788"/>
      <c r="S11" s="790">
        <f>S7+S9</f>
        <v>8177397.889</v>
      </c>
      <c r="T11" s="788"/>
      <c r="U11" s="790">
        <f>U7+U9</f>
        <v>7573088.185</v>
      </c>
      <c r="V11" s="788"/>
      <c r="W11" s="790">
        <f>W7+W9</f>
        <v>7013436.968</v>
      </c>
      <c r="X11" s="788"/>
      <c r="Y11" s="790">
        <f>Y7+Y9</f>
        <v>6495143.976</v>
      </c>
      <c r="Z11" s="788"/>
      <c r="AA11" s="790">
        <f>AA7+AA9</f>
        <v>6015152.836</v>
      </c>
      <c r="AB11" s="788"/>
      <c r="AC11" s="790">
        <f>AC7+AC9</f>
        <v>5570633.042</v>
      </c>
      <c r="AD11" s="788"/>
      <c r="AE11" s="790">
        <f>AE7+AE9</f>
        <v>5158963.26</v>
      </c>
      <c r="AF11" s="788"/>
      <c r="AG11" s="790">
        <f>AG7+AG9</f>
        <v>4777715.875</v>
      </c>
      <c r="AH11" s="791">
        <f>SUM(J11:AG11)</f>
        <v>90544893.2</v>
      </c>
    </row>
    <row r="12" ht="14.25" customHeight="1">
      <c r="A12" s="200"/>
      <c r="B12" s="7"/>
      <c r="C12" s="200"/>
      <c r="D12" s="7"/>
      <c r="E12" s="792">
        <v>1.52E7</v>
      </c>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row>
    <row r="13" ht="14.25" customHeight="1">
      <c r="A13" s="200"/>
      <c r="B13" s="422"/>
      <c r="C13" s="422" t="s">
        <v>1743</v>
      </c>
      <c r="D13" s="793">
        <f>+Flk!K34</f>
        <v>0.023</v>
      </c>
      <c r="E13" s="278"/>
      <c r="F13" s="793">
        <f>+Flk!L34</f>
        <v>0.02</v>
      </c>
      <c r="G13" s="278"/>
      <c r="H13" s="793">
        <f>+Flk!M34</f>
        <v>0.02</v>
      </c>
      <c r="I13" s="278"/>
      <c r="J13" s="793">
        <f>+Flk!B71</f>
        <v>0.029</v>
      </c>
      <c r="K13" s="278"/>
      <c r="L13" s="793">
        <f>+Flk!C71</f>
        <v>0.029</v>
      </c>
      <c r="M13" s="278"/>
      <c r="N13" s="793">
        <f>+Flk!D71</f>
        <v>0.034</v>
      </c>
      <c r="O13" s="278"/>
      <c r="P13" s="793">
        <f>+Flk!E71</f>
        <v>0.026</v>
      </c>
      <c r="Q13" s="278"/>
      <c r="R13" s="793">
        <f>+Flk!F71</f>
        <v>0.029</v>
      </c>
      <c r="S13" s="278"/>
      <c r="T13" s="793">
        <f>+Flk!G71</f>
        <v>0.029</v>
      </c>
      <c r="U13" s="278"/>
      <c r="V13" s="793">
        <f>+Flk!H71</f>
        <v>0.029</v>
      </c>
      <c r="W13" s="278"/>
      <c r="X13" s="793">
        <f>+Flk!I71</f>
        <v>0.029</v>
      </c>
      <c r="Y13" s="278"/>
      <c r="Z13" s="793">
        <f>+Flk!J71</f>
        <v>0.029</v>
      </c>
      <c r="AA13" s="278"/>
      <c r="AB13" s="793">
        <f>+Flk!K71</f>
        <v>0.029</v>
      </c>
      <c r="AC13" s="278"/>
      <c r="AD13" s="793">
        <f>+Flk!L71</f>
        <v>0.029</v>
      </c>
      <c r="AE13" s="278"/>
      <c r="AF13" s="793">
        <f>+Flk!M71</f>
        <v>0.029</v>
      </c>
      <c r="AG13" s="278"/>
    </row>
    <row r="14" ht="14.25" customHeight="1">
      <c r="A14" s="200"/>
      <c r="B14" s="272"/>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row>
    <row r="15" ht="14.25" customHeight="1">
      <c r="A15" s="9"/>
      <c r="B15" s="163"/>
      <c r="C15" s="794"/>
      <c r="D15" s="795">
        <v>165000.0</v>
      </c>
      <c r="E15" s="791" t="s">
        <v>1744</v>
      </c>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row>
    <row r="16" ht="14.25" customHeight="1">
      <c r="A16" s="796" t="s">
        <v>1745</v>
      </c>
      <c r="B16" s="797"/>
      <c r="C16" s="797"/>
      <c r="D16" s="797"/>
      <c r="E16" s="797"/>
      <c r="F16" s="797"/>
      <c r="G16" s="797"/>
      <c r="H16" s="798"/>
      <c r="I16" s="7"/>
      <c r="J16" s="7"/>
      <c r="K16" s="7"/>
      <c r="L16" s="7"/>
      <c r="M16" s="7"/>
      <c r="N16" s="7"/>
      <c r="O16" s="7"/>
      <c r="P16" s="7"/>
      <c r="Q16" s="7"/>
      <c r="R16" s="7"/>
      <c r="S16" s="7"/>
      <c r="T16" s="7"/>
      <c r="U16" s="7"/>
      <c r="V16" s="7"/>
      <c r="W16" s="7"/>
      <c r="X16" s="7"/>
      <c r="Y16" s="7"/>
      <c r="Z16" s="7"/>
      <c r="AA16" s="7"/>
      <c r="AB16" s="7"/>
      <c r="AC16" s="7"/>
      <c r="AD16" s="7"/>
      <c r="AE16" s="7"/>
      <c r="AF16" s="7"/>
      <c r="AG16" s="7"/>
    </row>
    <row r="17" ht="14.25" customHeight="1">
      <c r="A17" s="799" t="s">
        <v>1746</v>
      </c>
      <c r="B17" s="800"/>
      <c r="C17" s="800"/>
      <c r="D17" s="800"/>
      <c r="E17" s="800"/>
      <c r="F17" s="800"/>
      <c r="G17" s="800"/>
      <c r="H17" s="801"/>
      <c r="I17" s="7"/>
      <c r="J17" s="7"/>
      <c r="K17" s="7"/>
      <c r="L17" s="7"/>
      <c r="M17" s="7"/>
      <c r="N17" s="7"/>
      <c r="O17" s="7"/>
      <c r="P17" s="7"/>
      <c r="Q17" s="7"/>
      <c r="R17" s="7"/>
      <c r="S17" s="7"/>
      <c r="T17" s="7"/>
      <c r="U17" s="7"/>
      <c r="V17" s="7"/>
      <c r="W17" s="7"/>
      <c r="X17" s="7"/>
      <c r="Y17" s="7"/>
      <c r="Z17" s="7"/>
      <c r="AA17" s="7"/>
      <c r="AB17" s="7"/>
      <c r="AC17" s="7"/>
      <c r="AD17" s="7"/>
      <c r="AE17" s="7"/>
      <c r="AF17" s="7"/>
      <c r="AG17" s="7"/>
    </row>
    <row r="18" ht="14.25" customHeight="1">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row>
    <row r="19" ht="14.25" customHeight="1">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row>
    <row r="20" ht="14.25" customHeight="1">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row>
    <row r="21" ht="14.25" customHeight="1">
      <c r="A21" s="762" t="s">
        <v>1747</v>
      </c>
      <c r="B21" s="720" t="s">
        <v>1732</v>
      </c>
      <c r="C21" s="278"/>
      <c r="D21" s="765">
        <v>45957.0</v>
      </c>
      <c r="E21" s="706"/>
      <c r="F21" s="765">
        <f>+D21+30</f>
        <v>45987</v>
      </c>
      <c r="G21" s="706"/>
      <c r="H21" s="765">
        <f>+F21+30</f>
        <v>46017</v>
      </c>
      <c r="I21" s="706"/>
      <c r="J21" s="765">
        <f>+H21+30</f>
        <v>46047</v>
      </c>
      <c r="K21" s="706"/>
      <c r="L21" s="765">
        <f>+J21+30</f>
        <v>46077</v>
      </c>
      <c r="M21" s="706"/>
      <c r="N21" s="765">
        <f>+L21+30</f>
        <v>46107</v>
      </c>
      <c r="O21" s="706"/>
      <c r="P21" s="765">
        <v>46142.0</v>
      </c>
      <c r="Q21" s="706"/>
      <c r="R21" s="765">
        <v>46172.0</v>
      </c>
      <c r="S21" s="706"/>
      <c r="T21" s="765">
        <v>46202.0</v>
      </c>
      <c r="U21" s="706"/>
      <c r="V21" s="765">
        <v>46232.0</v>
      </c>
      <c r="W21" s="706"/>
      <c r="X21" s="765">
        <v>46262.0</v>
      </c>
      <c r="Y21" s="706"/>
      <c r="Z21" s="765">
        <v>46292.0</v>
      </c>
      <c r="AA21" s="706"/>
      <c r="AB21" s="765">
        <v>46322.0</v>
      </c>
      <c r="AC21" s="706"/>
      <c r="AD21" s="765">
        <v>46352.0</v>
      </c>
      <c r="AE21" s="706"/>
      <c r="AF21" s="765">
        <v>46382.0</v>
      </c>
      <c r="AG21" s="706"/>
    </row>
    <row r="22" ht="14.25" customHeight="1">
      <c r="A22" s="639"/>
      <c r="B22" s="766" t="s">
        <v>1748</v>
      </c>
      <c r="C22" s="278"/>
      <c r="D22" s="708"/>
      <c r="E22" s="709"/>
      <c r="F22" s="708"/>
      <c r="G22" s="709"/>
      <c r="H22" s="708"/>
      <c r="I22" s="709"/>
      <c r="J22" s="708"/>
      <c r="K22" s="709"/>
      <c r="L22" s="708"/>
      <c r="M22" s="709"/>
      <c r="N22" s="708"/>
      <c r="O22" s="709"/>
      <c r="P22" s="708"/>
      <c r="Q22" s="709"/>
      <c r="R22" s="708"/>
      <c r="S22" s="709"/>
      <c r="T22" s="708"/>
      <c r="U22" s="709"/>
      <c r="V22" s="708"/>
      <c r="W22" s="709"/>
      <c r="X22" s="708"/>
      <c r="Y22" s="709"/>
      <c r="Z22" s="708"/>
      <c r="AA22" s="709"/>
      <c r="AB22" s="708"/>
      <c r="AC22" s="709"/>
      <c r="AD22" s="708"/>
      <c r="AE22" s="709"/>
      <c r="AF22" s="708"/>
      <c r="AG22" s="709"/>
    </row>
    <row r="23" ht="14.25" customHeight="1">
      <c r="A23" s="312" t="s">
        <v>1749</v>
      </c>
      <c r="B23" s="769">
        <v>148666.0</v>
      </c>
      <c r="C23" s="770">
        <f>B23*B24</f>
        <v>7950657.68</v>
      </c>
      <c r="D23" s="802">
        <f>+D3</f>
        <v>160000</v>
      </c>
      <c r="E23" s="770">
        <f>D23*D24</f>
        <v>8753606.4</v>
      </c>
      <c r="F23" s="769">
        <f>+F3</f>
        <v>135000</v>
      </c>
      <c r="G23" s="770">
        <f>F23*F24</f>
        <v>7533572.508</v>
      </c>
      <c r="H23" s="769">
        <f>+H3</f>
        <v>121500</v>
      </c>
      <c r="I23" s="770">
        <f>H23*H24</f>
        <v>6915819.562</v>
      </c>
      <c r="J23" s="769">
        <f>+J3</f>
        <v>109350</v>
      </c>
      <c r="K23" s="770">
        <f>J23*J24</f>
        <v>6404740.497</v>
      </c>
      <c r="L23" s="769">
        <f>+L3</f>
        <v>98415</v>
      </c>
      <c r="M23" s="770">
        <f>L23*L24</f>
        <v>5931430.174</v>
      </c>
      <c r="N23" s="769">
        <f>+N3</f>
        <v>88573.5</v>
      </c>
      <c r="O23" s="770">
        <f>N23*N24</f>
        <v>5519788.92</v>
      </c>
      <c r="P23" s="769">
        <f>+P3</f>
        <v>79716.15</v>
      </c>
      <c r="Q23" s="770">
        <f>P23*P24</f>
        <v>5096973.089</v>
      </c>
      <c r="R23" s="769">
        <f>+R3</f>
        <v>71744.535</v>
      </c>
      <c r="S23" s="770">
        <f>R23*R24</f>
        <v>4720306.777</v>
      </c>
      <c r="T23" s="769">
        <f>+T3</f>
        <v>64570.0815</v>
      </c>
      <c r="U23" s="770">
        <f>T23*T24</f>
        <v>4371476.107</v>
      </c>
      <c r="V23" s="769">
        <f>+V3</f>
        <v>58113.07335</v>
      </c>
      <c r="W23" s="770">
        <f>V23*V24</f>
        <v>4048424.022</v>
      </c>
      <c r="X23" s="769">
        <f>+X3</f>
        <v>52301.76602</v>
      </c>
      <c r="Y23" s="770">
        <f>X23*X24</f>
        <v>3749245.487</v>
      </c>
      <c r="Z23" s="769">
        <f>+Z3</f>
        <v>47071.58941</v>
      </c>
      <c r="AA23" s="770">
        <f>Z23*Z24</f>
        <v>3472176.246</v>
      </c>
      <c r="AB23" s="769">
        <f>+AB3</f>
        <v>42364.43047</v>
      </c>
      <c r="AC23" s="770">
        <f>AB23*AB24</f>
        <v>3215582.421</v>
      </c>
      <c r="AD23" s="769">
        <f>+AD3</f>
        <v>38127.98742</v>
      </c>
      <c r="AE23" s="770">
        <f>AD23*AD24</f>
        <v>2977950.88</v>
      </c>
      <c r="AF23" s="769">
        <f>+AF3</f>
        <v>34315.18868</v>
      </c>
      <c r="AG23" s="770">
        <f>AF23*AF24</f>
        <v>2757880.31</v>
      </c>
    </row>
    <row r="24" ht="14.25" customHeight="1">
      <c r="A24" s="803" t="s">
        <v>1750</v>
      </c>
      <c r="B24" s="772">
        <v>53.48</v>
      </c>
      <c r="C24" s="617"/>
      <c r="D24" s="772">
        <f>+B24*(1+D13)</f>
        <v>54.71004</v>
      </c>
      <c r="E24" s="617"/>
      <c r="F24" s="772">
        <f>+D24*(1+F13)</f>
        <v>55.8042408</v>
      </c>
      <c r="G24" s="617"/>
      <c r="H24" s="772">
        <f>+F24*(1+H13)</f>
        <v>56.92032562</v>
      </c>
      <c r="I24" s="617"/>
      <c r="J24" s="772">
        <f>+H24*(1+J13)</f>
        <v>58.57101506</v>
      </c>
      <c r="K24" s="617"/>
      <c r="L24" s="772">
        <f>+J24*(1+L13)</f>
        <v>60.2695745</v>
      </c>
      <c r="M24" s="617"/>
      <c r="N24" s="772">
        <f>+L24*(1+N13)</f>
        <v>62.31874003</v>
      </c>
      <c r="O24" s="617"/>
      <c r="P24" s="772">
        <f>+N24*(1+P13)</f>
        <v>63.93902727</v>
      </c>
      <c r="Q24" s="617"/>
      <c r="R24" s="772">
        <f>+P24*(1+R13)</f>
        <v>65.79325906</v>
      </c>
      <c r="S24" s="617"/>
      <c r="T24" s="772">
        <f>+R24*(1+T13)</f>
        <v>67.70126357</v>
      </c>
      <c r="U24" s="617"/>
      <c r="V24" s="772">
        <f>+T24*(1+V13)</f>
        <v>69.66460022</v>
      </c>
      <c r="W24" s="617"/>
      <c r="X24" s="772">
        <f>+V24*(1+X13)</f>
        <v>71.68487362</v>
      </c>
      <c r="Y24" s="617"/>
      <c r="Z24" s="772">
        <f>+X24*(1+Z13)</f>
        <v>73.76373496</v>
      </c>
      <c r="AA24" s="617"/>
      <c r="AB24" s="772">
        <f>+Z24*(1+AB13)</f>
        <v>75.90288327</v>
      </c>
      <c r="AC24" s="617"/>
      <c r="AD24" s="772">
        <f>+AB24*(1+AD13)</f>
        <v>78.10406689</v>
      </c>
      <c r="AE24" s="617"/>
      <c r="AF24" s="772">
        <f>+AD24*(1+AF13)</f>
        <v>80.36908483</v>
      </c>
      <c r="AG24" s="617"/>
    </row>
    <row r="25" ht="14.25" customHeight="1">
      <c r="A25" s="804" t="s">
        <v>1751</v>
      </c>
      <c r="B25" s="788"/>
      <c r="C25" s="789">
        <f>C21+C23</f>
        <v>7950657.68</v>
      </c>
      <c r="D25" s="788"/>
      <c r="E25" s="790">
        <f>E21+E23</f>
        <v>8753606.4</v>
      </c>
      <c r="F25" s="788"/>
      <c r="G25" s="790">
        <f>G21+G23</f>
        <v>7533572.508</v>
      </c>
      <c r="H25" s="788"/>
      <c r="I25" s="790">
        <f>I21+I23</f>
        <v>6915819.562</v>
      </c>
      <c r="J25" s="788"/>
      <c r="K25" s="790">
        <f>K21+K23</f>
        <v>6404740.497</v>
      </c>
      <c r="L25" s="788"/>
      <c r="M25" s="790">
        <f>M21+M23</f>
        <v>5931430.174</v>
      </c>
      <c r="N25" s="788"/>
      <c r="O25" s="790">
        <f>O21+O23</f>
        <v>5519788.92</v>
      </c>
      <c r="P25" s="788"/>
      <c r="Q25" s="790">
        <f>Q21+Q23</f>
        <v>5096973.089</v>
      </c>
      <c r="R25" s="788"/>
      <c r="S25" s="790">
        <f>S21+S23</f>
        <v>4720306.777</v>
      </c>
      <c r="T25" s="788"/>
      <c r="U25" s="790">
        <f>U21+U23</f>
        <v>4371476.107</v>
      </c>
      <c r="V25" s="788"/>
      <c r="W25" s="790">
        <f>W21+W23</f>
        <v>4048424.022</v>
      </c>
      <c r="X25" s="788"/>
      <c r="Y25" s="790">
        <f>Y21+Y23</f>
        <v>3749245.487</v>
      </c>
      <c r="Z25" s="788"/>
      <c r="AA25" s="790">
        <f>AA21+AA23</f>
        <v>3472176.246</v>
      </c>
      <c r="AB25" s="788"/>
      <c r="AC25" s="790">
        <f>AC21+AC23</f>
        <v>3215582.421</v>
      </c>
      <c r="AD25" s="788"/>
      <c r="AE25" s="790">
        <f>AE21+AE23</f>
        <v>2977950.88</v>
      </c>
      <c r="AF25" s="788"/>
      <c r="AG25" s="790">
        <f>AG21+AG23</f>
        <v>2757880.31</v>
      </c>
    </row>
    <row r="26" ht="14.25" customHeight="1">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row>
    <row r="27" ht="14.2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row>
    <row r="28" ht="14.25" customHeight="1">
      <c r="A28" s="805" t="s">
        <v>1752</v>
      </c>
      <c r="B28" s="805"/>
      <c r="C28" s="805"/>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row>
    <row r="29" ht="14.25" customHeight="1">
      <c r="A29" s="806" t="s">
        <v>1753</v>
      </c>
      <c r="B29" s="807">
        <v>113911.0</v>
      </c>
      <c r="C29" s="808">
        <f>B29*B30</f>
        <v>5960962.63</v>
      </c>
      <c r="D29" s="809" t="s">
        <v>1754</v>
      </c>
      <c r="E29" s="278"/>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row>
    <row r="30" ht="14.25" customHeight="1">
      <c r="A30" s="810" t="s">
        <v>1755</v>
      </c>
      <c r="B30" s="811">
        <v>52.33</v>
      </c>
      <c r="C30" s="617"/>
      <c r="D30" s="812" t="s">
        <v>303</v>
      </c>
      <c r="E30" s="812" t="s">
        <v>1756</v>
      </c>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row>
    <row r="31" ht="14.25" customHeight="1">
      <c r="A31" s="813" t="s">
        <v>1757</v>
      </c>
      <c r="B31" s="814">
        <v>186841.0</v>
      </c>
      <c r="C31" s="815">
        <v>9624179.91</v>
      </c>
      <c r="D31" s="612"/>
      <c r="E31" s="612"/>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row>
    <row r="32" ht="14.25" customHeight="1">
      <c r="A32" s="816" t="s">
        <v>1758</v>
      </c>
      <c r="B32" s="817">
        <v>51.51</v>
      </c>
      <c r="C32" s="709"/>
      <c r="D32" s="612"/>
      <c r="E32" s="612"/>
      <c r="F32" s="818" t="s">
        <v>1759</v>
      </c>
      <c r="G32" s="277"/>
      <c r="H32" s="278"/>
      <c r="I32" s="7"/>
      <c r="J32" s="7"/>
      <c r="K32" s="7"/>
      <c r="L32" s="7"/>
      <c r="M32" s="7"/>
      <c r="N32" s="7"/>
      <c r="O32" s="7"/>
      <c r="P32" s="7"/>
      <c r="Q32" s="7"/>
      <c r="R32" s="7"/>
      <c r="S32" s="7"/>
      <c r="T32" s="7"/>
      <c r="U32" s="7"/>
      <c r="V32" s="7"/>
      <c r="W32" s="7"/>
      <c r="X32" s="7"/>
      <c r="Y32" s="7"/>
      <c r="Z32" s="7"/>
      <c r="AA32" s="7"/>
      <c r="AB32" s="7"/>
      <c r="AC32" s="7"/>
      <c r="AD32" s="7"/>
      <c r="AE32" s="7"/>
      <c r="AF32" s="7"/>
      <c r="AG32" s="7"/>
    </row>
    <row r="33" ht="14.25" customHeight="1">
      <c r="A33" s="819" t="s">
        <v>1757</v>
      </c>
      <c r="B33" s="807">
        <v>164661.0</v>
      </c>
      <c r="C33" s="808">
        <v>8104614.42</v>
      </c>
      <c r="D33" s="612"/>
      <c r="E33" s="612"/>
      <c r="F33" s="820" t="s">
        <v>1760</v>
      </c>
      <c r="G33" s="820" t="s">
        <v>1761</v>
      </c>
      <c r="H33" s="820" t="s">
        <v>1762</v>
      </c>
      <c r="I33" s="7"/>
      <c r="J33" s="7"/>
      <c r="K33" s="7"/>
      <c r="L33" s="7"/>
      <c r="M33" s="7"/>
      <c r="N33" s="7"/>
      <c r="O33" s="7"/>
      <c r="P33" s="7"/>
      <c r="Q33" s="7"/>
      <c r="R33" s="7"/>
      <c r="S33" s="7"/>
      <c r="T33" s="7"/>
      <c r="U33" s="7"/>
      <c r="V33" s="7"/>
      <c r="W33" s="7"/>
      <c r="X33" s="7"/>
      <c r="Y33" s="7"/>
      <c r="Z33" s="7"/>
      <c r="AA33" s="7"/>
      <c r="AB33" s="7"/>
      <c r="AC33" s="7"/>
      <c r="AD33" s="7"/>
      <c r="AE33" s="7"/>
      <c r="AF33" s="7"/>
      <c r="AG33" s="7"/>
    </row>
    <row r="34" ht="21.0" customHeight="1">
      <c r="A34" s="819" t="s">
        <v>1763</v>
      </c>
      <c r="B34" s="821">
        <v>49.22</v>
      </c>
      <c r="C34" s="617"/>
      <c r="D34" s="617"/>
      <c r="E34" s="617"/>
      <c r="F34" s="822" t="s">
        <v>1764</v>
      </c>
      <c r="G34" s="822" t="s">
        <v>1765</v>
      </c>
      <c r="H34" s="822" t="s">
        <v>1766</v>
      </c>
      <c r="I34" s="7"/>
      <c r="J34" s="7"/>
      <c r="K34" s="7"/>
      <c r="L34" s="7"/>
      <c r="M34" s="7"/>
      <c r="N34" s="7"/>
      <c r="O34" s="7"/>
      <c r="P34" s="7"/>
      <c r="Q34" s="7"/>
      <c r="R34" s="7"/>
      <c r="S34" s="7"/>
      <c r="T34" s="7"/>
      <c r="U34" s="7"/>
      <c r="V34" s="7"/>
      <c r="W34" s="7"/>
      <c r="X34" s="7"/>
      <c r="Y34" s="7"/>
      <c r="Z34" s="7"/>
      <c r="AA34" s="7"/>
      <c r="AB34" s="7"/>
      <c r="AC34" s="7"/>
      <c r="AD34" s="7"/>
      <c r="AE34" s="7"/>
      <c r="AF34" s="7"/>
      <c r="AG34" s="7"/>
    </row>
    <row r="35" ht="14.25" customHeight="1">
      <c r="A35" s="805"/>
      <c r="B35" s="805"/>
      <c r="C35" s="805"/>
      <c r="D35" s="823">
        <v>44866.0</v>
      </c>
      <c r="E35" s="824" t="s">
        <v>1767</v>
      </c>
      <c r="F35" s="825">
        <v>8.5</v>
      </c>
      <c r="G35" s="825">
        <v>400.0</v>
      </c>
      <c r="H35" s="825">
        <v>40.0</v>
      </c>
      <c r="I35" s="7"/>
      <c r="J35" s="7"/>
      <c r="K35" s="7"/>
      <c r="L35" s="7"/>
      <c r="M35" s="7"/>
      <c r="N35" s="7"/>
      <c r="O35" s="7"/>
      <c r="P35" s="7"/>
      <c r="Q35" s="7"/>
      <c r="R35" s="7"/>
      <c r="S35" s="7"/>
      <c r="T35" s="7"/>
      <c r="U35" s="7"/>
      <c r="V35" s="7"/>
      <c r="W35" s="7"/>
      <c r="X35" s="7"/>
      <c r="Y35" s="7"/>
      <c r="Z35" s="7"/>
      <c r="AA35" s="7"/>
      <c r="AB35" s="7"/>
      <c r="AC35" s="7"/>
      <c r="AD35" s="7"/>
      <c r="AE35" s="7"/>
      <c r="AF35" s="7"/>
      <c r="AG35" s="7"/>
    </row>
    <row r="36" ht="14.25" customHeight="1">
      <c r="A36" s="805"/>
      <c r="B36" s="826">
        <f>+B24/B30-1</f>
        <v>0.02197592203</v>
      </c>
      <c r="C36" s="805"/>
      <c r="D36" s="823">
        <v>44896.0</v>
      </c>
      <c r="E36" s="827">
        <v>0.058</v>
      </c>
      <c r="F36" s="825">
        <f t="shared" ref="F36:F69" si="1">+F35*(1+E36)</f>
        <v>8.993</v>
      </c>
      <c r="G36" s="825">
        <f t="shared" ref="G36:G69" si="2">+G35*(1+E36)</f>
        <v>423.2</v>
      </c>
      <c r="H36" s="825">
        <f t="shared" ref="H36:H69" si="3">+H35*(1+E36)</f>
        <v>42.32</v>
      </c>
      <c r="I36" s="7"/>
      <c r="J36" s="7"/>
      <c r="K36" s="7"/>
      <c r="L36" s="7"/>
      <c r="M36" s="7"/>
      <c r="N36" s="7"/>
      <c r="O36" s="7"/>
      <c r="P36" s="7"/>
      <c r="Q36" s="7"/>
      <c r="R36" s="7"/>
      <c r="S36" s="7"/>
      <c r="T36" s="7"/>
      <c r="U36" s="7"/>
      <c r="V36" s="7"/>
      <c r="W36" s="7"/>
      <c r="X36" s="7"/>
      <c r="Y36" s="7"/>
      <c r="Z36" s="7"/>
      <c r="AA36" s="7"/>
      <c r="AB36" s="7"/>
      <c r="AC36" s="7"/>
      <c r="AD36" s="7"/>
      <c r="AE36" s="7"/>
      <c r="AF36" s="7"/>
      <c r="AG36" s="7"/>
    </row>
    <row r="37" ht="14.25" customHeight="1">
      <c r="A37" s="805"/>
      <c r="B37" s="826">
        <f>+B30/B32-1</f>
        <v>0.01591923898</v>
      </c>
      <c r="C37" s="805"/>
      <c r="D37" s="823">
        <v>44927.0</v>
      </c>
      <c r="E37" s="827">
        <v>0.073</v>
      </c>
      <c r="F37" s="825">
        <f t="shared" si="1"/>
        <v>9.649489</v>
      </c>
      <c r="G37" s="825">
        <f t="shared" si="2"/>
        <v>454.0936</v>
      </c>
      <c r="H37" s="825">
        <f t="shared" si="3"/>
        <v>45.40936</v>
      </c>
      <c r="I37" s="7"/>
      <c r="J37" s="7"/>
      <c r="K37" s="7"/>
      <c r="L37" s="7"/>
      <c r="M37" s="7"/>
      <c r="N37" s="7"/>
      <c r="O37" s="7"/>
      <c r="P37" s="7"/>
      <c r="Q37" s="7"/>
      <c r="R37" s="7"/>
      <c r="S37" s="7"/>
      <c r="T37" s="7"/>
      <c r="U37" s="7"/>
      <c r="V37" s="7"/>
      <c r="W37" s="7"/>
      <c r="X37" s="7"/>
      <c r="Y37" s="7"/>
      <c r="Z37" s="7"/>
      <c r="AA37" s="7"/>
      <c r="AB37" s="7"/>
      <c r="AC37" s="7"/>
      <c r="AD37" s="7"/>
      <c r="AE37" s="7"/>
      <c r="AF37" s="7"/>
      <c r="AG37" s="7"/>
    </row>
    <row r="38" ht="14.25" customHeight="1">
      <c r="A38" s="805"/>
      <c r="B38" s="805"/>
      <c r="C38" s="805"/>
      <c r="D38" s="823">
        <v>44958.0</v>
      </c>
      <c r="E38" s="827">
        <v>0.06</v>
      </c>
      <c r="F38" s="825">
        <f t="shared" si="1"/>
        <v>10.22845834</v>
      </c>
      <c r="G38" s="825">
        <f t="shared" si="2"/>
        <v>481.339216</v>
      </c>
      <c r="H38" s="825">
        <f t="shared" si="3"/>
        <v>48.1339216</v>
      </c>
      <c r="I38" s="7"/>
      <c r="J38" s="7"/>
      <c r="K38" s="7"/>
      <c r="L38" s="7"/>
      <c r="M38" s="7"/>
      <c r="N38" s="7"/>
      <c r="O38" s="7"/>
      <c r="P38" s="7"/>
      <c r="Q38" s="7"/>
      <c r="R38" s="7"/>
      <c r="S38" s="7"/>
      <c r="T38" s="7"/>
      <c r="U38" s="7"/>
      <c r="V38" s="7"/>
      <c r="W38" s="7"/>
      <c r="X38" s="7"/>
      <c r="Y38" s="7"/>
      <c r="Z38" s="7"/>
      <c r="AA38" s="7"/>
      <c r="AB38" s="7"/>
      <c r="AC38" s="7"/>
      <c r="AD38" s="7"/>
      <c r="AE38" s="7"/>
      <c r="AF38" s="7"/>
      <c r="AG38" s="7"/>
    </row>
    <row r="39" ht="14.25" customHeight="1">
      <c r="A39" s="805"/>
      <c r="B39" s="805"/>
      <c r="C39" s="805"/>
      <c r="D39" s="823">
        <v>44986.0</v>
      </c>
      <c r="E39" s="827">
        <v>0.071</v>
      </c>
      <c r="F39" s="825">
        <f t="shared" si="1"/>
        <v>10.95467888</v>
      </c>
      <c r="G39" s="825">
        <f t="shared" si="2"/>
        <v>515.5143003</v>
      </c>
      <c r="H39" s="825">
        <f t="shared" si="3"/>
        <v>51.55143003</v>
      </c>
      <c r="I39" s="7"/>
      <c r="J39" s="7"/>
      <c r="K39" s="7"/>
      <c r="L39" s="7"/>
      <c r="M39" s="7"/>
      <c r="N39" s="7"/>
      <c r="O39" s="7"/>
      <c r="P39" s="7"/>
      <c r="Q39" s="7"/>
      <c r="R39" s="7"/>
      <c r="S39" s="7"/>
      <c r="T39" s="7"/>
      <c r="U39" s="7"/>
      <c r="V39" s="7"/>
      <c r="W39" s="7"/>
      <c r="X39" s="7"/>
      <c r="Y39" s="7"/>
      <c r="Z39" s="7"/>
      <c r="AA39" s="7"/>
      <c r="AB39" s="7"/>
      <c r="AC39" s="7"/>
      <c r="AD39" s="7"/>
      <c r="AE39" s="7"/>
      <c r="AF39" s="7"/>
      <c r="AG39" s="7"/>
    </row>
    <row r="40" ht="14.25" customHeight="1">
      <c r="A40" s="805"/>
      <c r="B40" s="805"/>
      <c r="C40" s="805"/>
      <c r="D40" s="823">
        <v>45017.0</v>
      </c>
      <c r="E40" s="827">
        <v>0.078</v>
      </c>
      <c r="F40" s="825">
        <f t="shared" si="1"/>
        <v>11.80914383</v>
      </c>
      <c r="G40" s="825">
        <f t="shared" si="2"/>
        <v>555.7244158</v>
      </c>
      <c r="H40" s="825">
        <f t="shared" si="3"/>
        <v>55.57244158</v>
      </c>
      <c r="I40" s="7"/>
      <c r="J40" s="7"/>
      <c r="K40" s="7"/>
      <c r="L40" s="7"/>
      <c r="M40" s="7"/>
      <c r="N40" s="7"/>
      <c r="O40" s="7"/>
      <c r="P40" s="7"/>
      <c r="Q40" s="7"/>
      <c r="R40" s="7"/>
      <c r="S40" s="7"/>
      <c r="T40" s="7"/>
      <c r="U40" s="7"/>
      <c r="V40" s="7"/>
      <c r="W40" s="7"/>
      <c r="X40" s="7"/>
      <c r="Y40" s="7"/>
      <c r="Z40" s="7"/>
      <c r="AA40" s="7"/>
      <c r="AB40" s="7"/>
      <c r="AC40" s="7"/>
      <c r="AD40" s="7"/>
      <c r="AE40" s="7"/>
      <c r="AF40" s="7"/>
      <c r="AG40" s="7"/>
    </row>
    <row r="41" ht="14.25" customHeight="1">
      <c r="A41" s="805"/>
      <c r="B41" s="805"/>
      <c r="C41" s="805"/>
      <c r="D41" s="823">
        <v>45047.0</v>
      </c>
      <c r="E41" s="827">
        <v>0.075</v>
      </c>
      <c r="F41" s="825">
        <f t="shared" si="1"/>
        <v>12.69482962</v>
      </c>
      <c r="G41" s="825">
        <f t="shared" si="2"/>
        <v>597.4037469</v>
      </c>
      <c r="H41" s="825">
        <f t="shared" si="3"/>
        <v>59.74037469</v>
      </c>
      <c r="I41" s="7"/>
      <c r="J41" s="7"/>
      <c r="K41" s="7"/>
      <c r="L41" s="7"/>
      <c r="M41" s="7"/>
      <c r="N41" s="7"/>
      <c r="O41" s="7"/>
      <c r="P41" s="7"/>
      <c r="Q41" s="7"/>
      <c r="R41" s="7"/>
      <c r="S41" s="7"/>
      <c r="T41" s="7"/>
      <c r="U41" s="7"/>
      <c r="V41" s="7"/>
      <c r="W41" s="7"/>
      <c r="X41" s="7"/>
      <c r="Y41" s="7"/>
      <c r="Z41" s="7"/>
      <c r="AA41" s="7"/>
      <c r="AB41" s="7"/>
      <c r="AC41" s="7"/>
      <c r="AD41" s="7"/>
      <c r="AE41" s="7"/>
      <c r="AF41" s="7"/>
      <c r="AG41" s="7"/>
    </row>
    <row r="42" ht="14.25" customHeight="1">
      <c r="A42" s="7"/>
      <c r="B42" s="7"/>
      <c r="C42" s="7"/>
      <c r="D42" s="823">
        <v>45078.0</v>
      </c>
      <c r="E42" s="827">
        <v>0.071</v>
      </c>
      <c r="F42" s="825">
        <f t="shared" si="1"/>
        <v>13.59616253</v>
      </c>
      <c r="G42" s="825">
        <f t="shared" si="2"/>
        <v>639.819413</v>
      </c>
      <c r="H42" s="825">
        <f t="shared" si="3"/>
        <v>63.9819413</v>
      </c>
      <c r="I42" s="7"/>
      <c r="J42" s="7"/>
      <c r="K42" s="7"/>
      <c r="L42" s="7"/>
      <c r="M42" s="7"/>
      <c r="N42" s="7"/>
      <c r="O42" s="7"/>
      <c r="P42" s="7"/>
      <c r="Q42" s="7"/>
      <c r="R42" s="7"/>
      <c r="S42" s="7"/>
      <c r="T42" s="7"/>
      <c r="U42" s="7"/>
      <c r="V42" s="7"/>
      <c r="W42" s="7"/>
      <c r="X42" s="7"/>
      <c r="Y42" s="7"/>
      <c r="Z42" s="7"/>
      <c r="AA42" s="7"/>
      <c r="AB42" s="7"/>
      <c r="AC42" s="7"/>
      <c r="AD42" s="7"/>
      <c r="AE42" s="7"/>
      <c r="AF42" s="7"/>
      <c r="AG42" s="7"/>
    </row>
    <row r="43" ht="14.25" customHeight="1">
      <c r="A43" s="7"/>
      <c r="B43" s="7"/>
      <c r="C43" s="7"/>
      <c r="D43" s="828">
        <v>45108.0</v>
      </c>
      <c r="E43" s="829">
        <v>0.073</v>
      </c>
      <c r="F43" s="830">
        <f t="shared" si="1"/>
        <v>14.58868239</v>
      </c>
      <c r="G43" s="830">
        <f t="shared" si="2"/>
        <v>686.5262301</v>
      </c>
      <c r="H43" s="830">
        <f t="shared" si="3"/>
        <v>68.65262301</v>
      </c>
      <c r="I43" s="7"/>
      <c r="J43" s="7"/>
      <c r="K43" s="7"/>
      <c r="L43" s="7"/>
      <c r="M43" s="7"/>
      <c r="N43" s="7"/>
      <c r="O43" s="7"/>
      <c r="P43" s="7"/>
      <c r="Q43" s="7"/>
      <c r="R43" s="7"/>
      <c r="S43" s="7"/>
      <c r="T43" s="7"/>
      <c r="U43" s="7"/>
      <c r="V43" s="7"/>
      <c r="W43" s="7"/>
      <c r="X43" s="7"/>
      <c r="Y43" s="7"/>
      <c r="Z43" s="7"/>
      <c r="AA43" s="7"/>
      <c r="AB43" s="7"/>
      <c r="AC43" s="7"/>
      <c r="AD43" s="7"/>
      <c r="AE43" s="7"/>
      <c r="AF43" s="7"/>
      <c r="AG43" s="7"/>
    </row>
    <row r="44" ht="14.25" customHeight="1">
      <c r="A44" s="7"/>
      <c r="B44" s="7"/>
      <c r="C44" s="7"/>
      <c r="D44" s="828">
        <v>45139.0</v>
      </c>
      <c r="E44" s="829">
        <v>0.108</v>
      </c>
      <c r="F44" s="830">
        <f t="shared" si="1"/>
        <v>16.16426009</v>
      </c>
      <c r="G44" s="830">
        <f t="shared" si="2"/>
        <v>760.671063</v>
      </c>
      <c r="H44" s="830">
        <f t="shared" si="3"/>
        <v>76.0671063</v>
      </c>
      <c r="I44" s="7"/>
      <c r="J44" s="7"/>
      <c r="K44" s="7"/>
      <c r="L44" s="7"/>
      <c r="M44" s="7"/>
      <c r="N44" s="7"/>
      <c r="O44" s="7"/>
      <c r="P44" s="7"/>
      <c r="Q44" s="7"/>
      <c r="R44" s="7"/>
      <c r="S44" s="7"/>
      <c r="T44" s="7"/>
      <c r="U44" s="7"/>
      <c r="V44" s="7"/>
      <c r="W44" s="7"/>
      <c r="X44" s="7"/>
      <c r="Y44" s="7"/>
      <c r="Z44" s="7"/>
      <c r="AA44" s="7"/>
      <c r="AB44" s="7"/>
      <c r="AC44" s="7"/>
      <c r="AD44" s="7"/>
      <c r="AE44" s="7"/>
      <c r="AF44" s="7"/>
      <c r="AG44" s="7"/>
    </row>
    <row r="45" ht="14.25" customHeight="1">
      <c r="A45" s="7"/>
      <c r="B45" s="7"/>
      <c r="C45" s="7"/>
      <c r="D45" s="828">
        <v>45170.0</v>
      </c>
      <c r="E45" s="829">
        <v>0.12</v>
      </c>
      <c r="F45" s="830">
        <f t="shared" si="1"/>
        <v>18.1039713</v>
      </c>
      <c r="G45" s="830">
        <f t="shared" si="2"/>
        <v>851.9515905</v>
      </c>
      <c r="H45" s="830">
        <f t="shared" si="3"/>
        <v>85.19515905</v>
      </c>
      <c r="I45" s="7"/>
      <c r="J45" s="7"/>
      <c r="K45" s="7"/>
      <c r="L45" s="7"/>
      <c r="M45" s="7"/>
      <c r="N45" s="7"/>
      <c r="O45" s="7"/>
      <c r="P45" s="7"/>
      <c r="Q45" s="7"/>
      <c r="R45" s="7"/>
      <c r="S45" s="7"/>
      <c r="T45" s="7"/>
      <c r="U45" s="7"/>
      <c r="V45" s="7"/>
      <c r="W45" s="7"/>
      <c r="X45" s="7"/>
      <c r="Y45" s="7"/>
      <c r="Z45" s="7"/>
      <c r="AA45" s="7"/>
      <c r="AB45" s="7"/>
      <c r="AC45" s="7"/>
      <c r="AD45" s="7"/>
      <c r="AE45" s="7"/>
      <c r="AF45" s="7"/>
      <c r="AG45" s="7"/>
    </row>
    <row r="46" ht="14.25" customHeight="1">
      <c r="A46" s="7"/>
      <c r="B46" s="7"/>
      <c r="C46" s="7"/>
      <c r="D46" s="828">
        <v>45200.0</v>
      </c>
      <c r="E46" s="829">
        <v>0.094</v>
      </c>
      <c r="F46" s="830">
        <f t="shared" si="1"/>
        <v>19.8057446</v>
      </c>
      <c r="G46" s="830">
        <f t="shared" si="2"/>
        <v>932.03504</v>
      </c>
      <c r="H46" s="830">
        <f t="shared" si="3"/>
        <v>93.203504</v>
      </c>
      <c r="I46" s="7"/>
      <c r="J46" s="7"/>
      <c r="K46" s="7"/>
      <c r="L46" s="7"/>
      <c r="M46" s="7"/>
      <c r="N46" s="7"/>
      <c r="O46" s="7"/>
      <c r="P46" s="7"/>
      <c r="Q46" s="7"/>
      <c r="R46" s="7"/>
      <c r="S46" s="7"/>
      <c r="T46" s="7"/>
      <c r="U46" s="7"/>
      <c r="V46" s="7"/>
      <c r="W46" s="7"/>
      <c r="X46" s="7"/>
      <c r="Y46" s="7"/>
      <c r="Z46" s="7"/>
      <c r="AA46" s="7"/>
      <c r="AB46" s="7"/>
      <c r="AC46" s="7"/>
      <c r="AD46" s="7"/>
      <c r="AE46" s="7"/>
      <c r="AF46" s="7"/>
      <c r="AG46" s="7"/>
    </row>
    <row r="47" ht="14.25" customHeight="1">
      <c r="A47" s="7"/>
      <c r="B47" s="7"/>
      <c r="C47" s="7"/>
      <c r="D47" s="828">
        <v>45231.0</v>
      </c>
      <c r="E47" s="829">
        <v>0.119</v>
      </c>
      <c r="F47" s="830">
        <f t="shared" si="1"/>
        <v>22.16262821</v>
      </c>
      <c r="G47" s="830">
        <f t="shared" si="2"/>
        <v>1042.94721</v>
      </c>
      <c r="H47" s="830">
        <f t="shared" si="3"/>
        <v>104.294721</v>
      </c>
      <c r="I47" s="7"/>
      <c r="J47" s="7"/>
      <c r="K47" s="7"/>
      <c r="L47" s="7"/>
      <c r="M47" s="7"/>
      <c r="N47" s="7"/>
      <c r="O47" s="7"/>
      <c r="P47" s="7"/>
      <c r="Q47" s="7"/>
      <c r="R47" s="7"/>
      <c r="S47" s="7"/>
      <c r="T47" s="7"/>
      <c r="U47" s="7"/>
      <c r="V47" s="7"/>
      <c r="W47" s="7"/>
      <c r="X47" s="7"/>
      <c r="Y47" s="7"/>
      <c r="Z47" s="7"/>
      <c r="AA47" s="7"/>
      <c r="AB47" s="7"/>
      <c r="AC47" s="7"/>
      <c r="AD47" s="7"/>
      <c r="AE47" s="7"/>
      <c r="AF47" s="7"/>
      <c r="AG47" s="7"/>
    </row>
    <row r="48" ht="14.25" customHeight="1">
      <c r="A48" s="7"/>
      <c r="B48" s="7"/>
      <c r="C48" s="7"/>
      <c r="D48" s="828">
        <v>45261.0</v>
      </c>
      <c r="E48" s="829">
        <v>0.211</v>
      </c>
      <c r="F48" s="830">
        <f t="shared" si="1"/>
        <v>26.83894276</v>
      </c>
      <c r="G48" s="830">
        <f t="shared" si="2"/>
        <v>1263.009071</v>
      </c>
      <c r="H48" s="830">
        <f t="shared" si="3"/>
        <v>126.3009071</v>
      </c>
      <c r="I48" s="7"/>
      <c r="J48" s="7"/>
      <c r="K48" s="7"/>
      <c r="L48" s="7"/>
      <c r="M48" s="7"/>
      <c r="N48" s="7"/>
      <c r="O48" s="7"/>
      <c r="P48" s="7"/>
      <c r="Q48" s="7"/>
      <c r="R48" s="7"/>
      <c r="S48" s="7"/>
      <c r="T48" s="7"/>
      <c r="U48" s="7"/>
      <c r="V48" s="7"/>
      <c r="W48" s="7"/>
      <c r="X48" s="7"/>
      <c r="Y48" s="7"/>
      <c r="Z48" s="7"/>
      <c r="AA48" s="7"/>
      <c r="AB48" s="7"/>
      <c r="AC48" s="7"/>
      <c r="AD48" s="7"/>
      <c r="AE48" s="7"/>
      <c r="AF48" s="7"/>
      <c r="AG48" s="7"/>
    </row>
    <row r="49" ht="14.25" customHeight="1">
      <c r="A49" s="7"/>
      <c r="B49" s="7"/>
      <c r="C49" s="7"/>
      <c r="D49" s="828">
        <v>45292.0</v>
      </c>
      <c r="E49" s="829">
        <v>0.217</v>
      </c>
      <c r="F49" s="830">
        <f t="shared" si="1"/>
        <v>32.66299334</v>
      </c>
      <c r="G49" s="830">
        <f t="shared" si="2"/>
        <v>1537.08204</v>
      </c>
      <c r="H49" s="830">
        <f t="shared" si="3"/>
        <v>153.708204</v>
      </c>
      <c r="I49" s="7"/>
      <c r="J49" s="7"/>
      <c r="K49" s="7"/>
      <c r="L49" s="7"/>
      <c r="M49" s="7"/>
      <c r="N49" s="7"/>
      <c r="O49" s="7"/>
      <c r="P49" s="7"/>
      <c r="Q49" s="7"/>
      <c r="R49" s="7"/>
      <c r="S49" s="7"/>
      <c r="T49" s="7"/>
      <c r="U49" s="7"/>
      <c r="V49" s="7"/>
      <c r="W49" s="7"/>
      <c r="X49" s="7"/>
      <c r="Y49" s="7"/>
      <c r="Z49" s="7"/>
      <c r="AA49" s="7"/>
      <c r="AB49" s="7"/>
      <c r="AC49" s="7"/>
      <c r="AD49" s="7"/>
      <c r="AE49" s="7"/>
      <c r="AF49" s="7"/>
      <c r="AG49" s="7"/>
    </row>
    <row r="50" ht="14.25" customHeight="1">
      <c r="A50" s="7"/>
      <c r="B50" s="7"/>
      <c r="C50" s="7"/>
      <c r="D50" s="828">
        <v>45323.0</v>
      </c>
      <c r="E50" s="829">
        <v>0.141</v>
      </c>
      <c r="F50" s="830">
        <f t="shared" si="1"/>
        <v>37.2684754</v>
      </c>
      <c r="G50" s="830">
        <f t="shared" si="2"/>
        <v>1753.810607</v>
      </c>
      <c r="H50" s="830">
        <f t="shared" si="3"/>
        <v>175.3810607</v>
      </c>
      <c r="I50" s="7"/>
      <c r="J50" s="7"/>
      <c r="K50" s="7"/>
      <c r="L50" s="7"/>
      <c r="M50" s="7"/>
      <c r="N50" s="7"/>
      <c r="O50" s="7"/>
      <c r="P50" s="7"/>
      <c r="Q50" s="7"/>
      <c r="R50" s="7"/>
      <c r="S50" s="7"/>
      <c r="T50" s="7"/>
      <c r="U50" s="7"/>
      <c r="V50" s="7"/>
      <c r="W50" s="7"/>
      <c r="X50" s="7"/>
      <c r="Y50" s="7"/>
      <c r="Z50" s="7"/>
      <c r="AA50" s="7"/>
      <c r="AB50" s="7"/>
      <c r="AC50" s="7"/>
      <c r="AD50" s="7"/>
      <c r="AE50" s="7"/>
      <c r="AF50" s="7"/>
      <c r="AG50" s="7"/>
    </row>
    <row r="51" ht="14.25" customHeight="1">
      <c r="A51" s="7"/>
      <c r="B51" s="7"/>
      <c r="C51" s="7"/>
      <c r="D51" s="828">
        <v>45352.0</v>
      </c>
      <c r="E51" s="829">
        <v>0.132</v>
      </c>
      <c r="F51" s="830">
        <f t="shared" si="1"/>
        <v>42.18791415</v>
      </c>
      <c r="G51" s="830">
        <f t="shared" si="2"/>
        <v>1985.313607</v>
      </c>
      <c r="H51" s="830">
        <f t="shared" si="3"/>
        <v>198.5313607</v>
      </c>
      <c r="I51" s="7"/>
      <c r="J51" s="7"/>
      <c r="K51" s="7"/>
      <c r="L51" s="7"/>
      <c r="M51" s="7"/>
      <c r="N51" s="7"/>
      <c r="O51" s="7"/>
      <c r="P51" s="7"/>
      <c r="Q51" s="7"/>
      <c r="R51" s="7"/>
      <c r="S51" s="7"/>
      <c r="T51" s="7"/>
      <c r="U51" s="7"/>
      <c r="V51" s="7"/>
      <c r="W51" s="7"/>
      <c r="X51" s="7"/>
      <c r="Y51" s="7"/>
      <c r="Z51" s="7"/>
      <c r="AA51" s="7"/>
      <c r="AB51" s="7"/>
      <c r="AC51" s="7"/>
      <c r="AD51" s="7"/>
      <c r="AE51" s="7"/>
      <c r="AF51" s="7"/>
      <c r="AG51" s="7"/>
    </row>
    <row r="52" ht="14.25" customHeight="1">
      <c r="A52" s="7"/>
      <c r="B52" s="7"/>
      <c r="C52" s="7"/>
      <c r="D52" s="828">
        <v>45383.0</v>
      </c>
      <c r="E52" s="829">
        <v>0.098</v>
      </c>
      <c r="F52" s="830">
        <f t="shared" si="1"/>
        <v>46.32232974</v>
      </c>
      <c r="G52" s="830">
        <f t="shared" si="2"/>
        <v>2179.874341</v>
      </c>
      <c r="H52" s="830">
        <f t="shared" si="3"/>
        <v>217.9874341</v>
      </c>
      <c r="I52" s="7"/>
      <c r="J52" s="7"/>
      <c r="K52" s="7"/>
      <c r="L52" s="7"/>
      <c r="M52" s="7"/>
      <c r="N52" s="7"/>
      <c r="O52" s="7"/>
      <c r="P52" s="7"/>
      <c r="Q52" s="7"/>
      <c r="R52" s="7"/>
      <c r="S52" s="7"/>
      <c r="T52" s="7"/>
      <c r="U52" s="7"/>
      <c r="V52" s="7"/>
      <c r="W52" s="7"/>
      <c r="X52" s="7"/>
      <c r="Y52" s="7"/>
      <c r="Z52" s="7"/>
      <c r="AA52" s="7"/>
      <c r="AB52" s="7"/>
      <c r="AC52" s="7"/>
      <c r="AD52" s="7"/>
      <c r="AE52" s="7"/>
      <c r="AF52" s="7"/>
      <c r="AG52" s="7"/>
    </row>
    <row r="53" ht="14.25" customHeight="1">
      <c r="A53" s="7"/>
      <c r="B53" s="7"/>
      <c r="C53" s="7"/>
      <c r="D53" s="828">
        <v>45413.0</v>
      </c>
      <c r="E53" s="829">
        <v>0.044</v>
      </c>
      <c r="F53" s="830">
        <f t="shared" si="1"/>
        <v>48.36051225</v>
      </c>
      <c r="G53" s="830">
        <f t="shared" si="2"/>
        <v>2275.788812</v>
      </c>
      <c r="H53" s="830">
        <f t="shared" si="3"/>
        <v>227.5788812</v>
      </c>
      <c r="I53" s="7"/>
      <c r="J53" s="7"/>
      <c r="K53" s="7"/>
      <c r="L53" s="7"/>
      <c r="M53" s="7"/>
      <c r="N53" s="7"/>
      <c r="O53" s="7"/>
      <c r="P53" s="7"/>
      <c r="Q53" s="7"/>
      <c r="R53" s="7"/>
      <c r="S53" s="7"/>
      <c r="T53" s="7"/>
      <c r="U53" s="7"/>
      <c r="V53" s="7"/>
      <c r="W53" s="7"/>
      <c r="X53" s="7"/>
      <c r="Y53" s="7"/>
      <c r="Z53" s="7"/>
      <c r="AA53" s="7"/>
      <c r="AB53" s="7"/>
      <c r="AC53" s="7"/>
      <c r="AD53" s="7"/>
      <c r="AE53" s="7"/>
      <c r="AF53" s="7"/>
      <c r="AG53" s="7"/>
    </row>
    <row r="54" ht="14.25" customHeight="1">
      <c r="A54" s="7"/>
      <c r="B54" s="7"/>
      <c r="C54" s="7"/>
      <c r="D54" s="828">
        <v>45444.0</v>
      </c>
      <c r="E54" s="829">
        <v>0.048</v>
      </c>
      <c r="F54" s="830">
        <f t="shared" si="1"/>
        <v>50.68181684</v>
      </c>
      <c r="G54" s="830">
        <f t="shared" si="2"/>
        <v>2385.026675</v>
      </c>
      <c r="H54" s="830">
        <f t="shared" si="3"/>
        <v>238.5026675</v>
      </c>
      <c r="I54" s="7"/>
      <c r="J54" s="7"/>
      <c r="K54" s="7"/>
      <c r="L54" s="7"/>
      <c r="M54" s="7"/>
      <c r="N54" s="7"/>
      <c r="O54" s="7"/>
      <c r="P54" s="7"/>
      <c r="Q54" s="7"/>
      <c r="R54" s="7"/>
      <c r="S54" s="7"/>
      <c r="T54" s="7"/>
      <c r="U54" s="7"/>
      <c r="V54" s="7"/>
      <c r="W54" s="7"/>
      <c r="X54" s="7"/>
      <c r="Y54" s="7"/>
      <c r="Z54" s="7"/>
      <c r="AA54" s="7"/>
      <c r="AB54" s="7"/>
      <c r="AC54" s="7"/>
      <c r="AD54" s="7"/>
      <c r="AE54" s="7"/>
      <c r="AF54" s="7"/>
      <c r="AG54" s="7"/>
    </row>
    <row r="55" ht="14.25" customHeight="1">
      <c r="A55" s="7"/>
      <c r="B55" s="7"/>
      <c r="C55" s="7"/>
      <c r="D55" s="828">
        <v>45474.0</v>
      </c>
      <c r="E55" s="829">
        <v>0.051</v>
      </c>
      <c r="F55" s="830">
        <f t="shared" si="1"/>
        <v>53.2665895</v>
      </c>
      <c r="G55" s="830">
        <f t="shared" si="2"/>
        <v>2506.663035</v>
      </c>
      <c r="H55" s="830">
        <f t="shared" si="3"/>
        <v>250.6663035</v>
      </c>
      <c r="I55" s="7"/>
      <c r="J55" s="7"/>
      <c r="K55" s="7"/>
      <c r="L55" s="7"/>
      <c r="M55" s="7"/>
      <c r="N55" s="7"/>
      <c r="O55" s="7"/>
      <c r="P55" s="7"/>
      <c r="Q55" s="7"/>
      <c r="R55" s="7"/>
      <c r="S55" s="7"/>
      <c r="T55" s="7"/>
      <c r="U55" s="7"/>
      <c r="V55" s="7"/>
      <c r="W55" s="7"/>
      <c r="X55" s="7"/>
      <c r="Y55" s="7"/>
      <c r="Z55" s="7"/>
      <c r="AA55" s="7"/>
      <c r="AB55" s="7"/>
      <c r="AC55" s="7"/>
      <c r="AD55" s="7"/>
      <c r="AE55" s="7"/>
      <c r="AF55" s="7"/>
      <c r="AG55" s="7"/>
    </row>
    <row r="56" ht="14.25" customHeight="1">
      <c r="A56" s="7"/>
      <c r="B56" s="7"/>
      <c r="C56" s="7"/>
      <c r="D56" s="828">
        <v>45505.0</v>
      </c>
      <c r="E56" s="829">
        <v>0.042</v>
      </c>
      <c r="F56" s="831">
        <f t="shared" si="1"/>
        <v>55.50378625</v>
      </c>
      <c r="G56" s="831">
        <f t="shared" si="2"/>
        <v>2611.942883</v>
      </c>
      <c r="H56" s="831">
        <f t="shared" si="3"/>
        <v>261.1942883</v>
      </c>
      <c r="I56" s="7"/>
      <c r="J56" s="7"/>
      <c r="K56" s="7"/>
      <c r="L56" s="7"/>
      <c r="M56" s="7"/>
      <c r="N56" s="7"/>
      <c r="O56" s="7"/>
      <c r="P56" s="7"/>
      <c r="Q56" s="7"/>
      <c r="R56" s="7"/>
      <c r="S56" s="7"/>
      <c r="T56" s="7"/>
      <c r="U56" s="7"/>
      <c r="V56" s="7"/>
      <c r="W56" s="7"/>
      <c r="X56" s="7"/>
      <c r="Y56" s="7"/>
      <c r="Z56" s="7"/>
      <c r="AA56" s="7"/>
      <c r="AB56" s="7"/>
      <c r="AC56" s="7"/>
      <c r="AD56" s="7"/>
      <c r="AE56" s="7"/>
      <c r="AF56" s="7"/>
      <c r="AG56" s="7"/>
    </row>
    <row r="57" ht="14.25" customHeight="1">
      <c r="A57" s="7"/>
      <c r="B57" s="7"/>
      <c r="C57" s="7"/>
      <c r="D57" s="828">
        <v>45536.0</v>
      </c>
      <c r="E57" s="829">
        <v>0.04</v>
      </c>
      <c r="F57" s="830">
        <f t="shared" si="1"/>
        <v>57.7239377</v>
      </c>
      <c r="G57" s="830">
        <f t="shared" si="2"/>
        <v>2716.420598</v>
      </c>
      <c r="H57" s="830">
        <f t="shared" si="3"/>
        <v>271.6420598</v>
      </c>
      <c r="I57" s="7"/>
      <c r="J57" s="7"/>
      <c r="K57" s="7"/>
      <c r="L57" s="7"/>
      <c r="M57" s="7"/>
      <c r="N57" s="7"/>
      <c r="O57" s="7"/>
      <c r="P57" s="7"/>
      <c r="Q57" s="7"/>
      <c r="R57" s="7"/>
      <c r="S57" s="7"/>
      <c r="T57" s="7"/>
      <c r="U57" s="7"/>
      <c r="V57" s="7"/>
      <c r="W57" s="7"/>
      <c r="X57" s="7"/>
      <c r="Y57" s="7"/>
      <c r="Z57" s="7"/>
      <c r="AA57" s="7"/>
      <c r="AB57" s="7"/>
      <c r="AC57" s="7"/>
      <c r="AD57" s="7"/>
      <c r="AE57" s="7"/>
      <c r="AF57" s="7"/>
      <c r="AG57" s="7"/>
    </row>
    <row r="58" ht="14.25" customHeight="1">
      <c r="A58" s="7"/>
      <c r="B58" s="7"/>
      <c r="C58" s="7"/>
      <c r="D58" s="828">
        <v>45566.0</v>
      </c>
      <c r="E58" s="829">
        <v>0.032</v>
      </c>
      <c r="F58" s="830">
        <f t="shared" si="1"/>
        <v>59.57110371</v>
      </c>
      <c r="G58" s="830">
        <f t="shared" si="2"/>
        <v>2803.346057</v>
      </c>
      <c r="H58" s="830">
        <f t="shared" si="3"/>
        <v>280.3346057</v>
      </c>
      <c r="I58" s="7"/>
      <c r="J58" s="7"/>
      <c r="K58" s="7"/>
      <c r="L58" s="7"/>
      <c r="M58" s="7"/>
      <c r="N58" s="7"/>
      <c r="O58" s="7"/>
      <c r="P58" s="7"/>
      <c r="Q58" s="7"/>
      <c r="R58" s="7"/>
      <c r="S58" s="7"/>
      <c r="T58" s="7"/>
      <c r="U58" s="7"/>
      <c r="V58" s="7"/>
      <c r="W58" s="7"/>
      <c r="X58" s="7"/>
      <c r="Y58" s="7"/>
      <c r="Z58" s="7"/>
      <c r="AA58" s="7"/>
      <c r="AB58" s="7"/>
      <c r="AC58" s="7"/>
      <c r="AD58" s="7"/>
      <c r="AE58" s="7"/>
      <c r="AF58" s="7"/>
      <c r="AG58" s="7"/>
    </row>
    <row r="59" ht="14.25" customHeight="1">
      <c r="A59" s="7"/>
      <c r="B59" s="7"/>
      <c r="C59" s="7"/>
      <c r="D59" s="828">
        <v>45597.0</v>
      </c>
      <c r="E59" s="829">
        <v>0.032</v>
      </c>
      <c r="F59" s="830">
        <f t="shared" si="1"/>
        <v>61.47737903</v>
      </c>
      <c r="G59" s="830">
        <f t="shared" si="2"/>
        <v>2893.053131</v>
      </c>
      <c r="H59" s="830">
        <f t="shared" si="3"/>
        <v>289.3053131</v>
      </c>
      <c r="I59" s="7"/>
      <c r="J59" s="7"/>
      <c r="K59" s="7"/>
      <c r="L59" s="7"/>
      <c r="M59" s="7"/>
      <c r="N59" s="7"/>
      <c r="O59" s="7"/>
      <c r="P59" s="7"/>
      <c r="Q59" s="7"/>
      <c r="R59" s="7"/>
      <c r="S59" s="7"/>
      <c r="T59" s="7"/>
      <c r="U59" s="7"/>
      <c r="V59" s="7"/>
      <c r="W59" s="7"/>
      <c r="X59" s="7"/>
      <c r="Y59" s="7"/>
      <c r="Z59" s="7"/>
      <c r="AA59" s="7"/>
      <c r="AB59" s="7"/>
      <c r="AC59" s="7"/>
      <c r="AD59" s="7"/>
      <c r="AE59" s="7"/>
      <c r="AF59" s="7"/>
      <c r="AG59" s="7"/>
    </row>
    <row r="60" ht="14.25" customHeight="1">
      <c r="A60" s="7"/>
      <c r="B60" s="7"/>
      <c r="C60" s="7"/>
      <c r="D60" s="828">
        <v>45627.0</v>
      </c>
      <c r="E60" s="829">
        <v>0.033</v>
      </c>
      <c r="F60" s="830">
        <f t="shared" si="1"/>
        <v>63.50613254</v>
      </c>
      <c r="G60" s="830">
        <f t="shared" si="2"/>
        <v>2988.523884</v>
      </c>
      <c r="H60" s="830">
        <f t="shared" si="3"/>
        <v>298.8523884</v>
      </c>
      <c r="I60" s="7"/>
      <c r="J60" s="7"/>
      <c r="K60" s="7"/>
      <c r="L60" s="7"/>
      <c r="M60" s="7"/>
      <c r="N60" s="7"/>
      <c r="O60" s="7"/>
      <c r="P60" s="7"/>
      <c r="Q60" s="7"/>
      <c r="R60" s="7"/>
      <c r="S60" s="7"/>
      <c r="T60" s="7"/>
      <c r="U60" s="7"/>
      <c r="V60" s="7"/>
      <c r="W60" s="7"/>
      <c r="X60" s="7"/>
      <c r="Y60" s="7"/>
      <c r="Z60" s="7"/>
      <c r="AA60" s="7"/>
      <c r="AB60" s="7"/>
      <c r="AC60" s="7"/>
      <c r="AD60" s="7"/>
      <c r="AE60" s="7"/>
      <c r="AF60" s="7"/>
      <c r="AG60" s="7"/>
    </row>
    <row r="61" ht="14.25" customHeight="1">
      <c r="A61" s="7"/>
      <c r="B61" s="7"/>
      <c r="C61" s="7"/>
      <c r="D61" s="828">
        <v>45658.0</v>
      </c>
      <c r="E61" s="829">
        <v>0.031</v>
      </c>
      <c r="F61" s="830">
        <f t="shared" si="1"/>
        <v>65.47482265</v>
      </c>
      <c r="G61" s="830">
        <f t="shared" si="2"/>
        <v>3081.168125</v>
      </c>
      <c r="H61" s="830">
        <f t="shared" si="3"/>
        <v>308.1168125</v>
      </c>
      <c r="I61" s="7"/>
      <c r="J61" s="7"/>
      <c r="K61" s="7"/>
      <c r="L61" s="7"/>
      <c r="M61" s="7"/>
      <c r="N61" s="7"/>
      <c r="O61" s="7"/>
      <c r="P61" s="7"/>
      <c r="Q61" s="7"/>
      <c r="R61" s="7"/>
      <c r="S61" s="7"/>
      <c r="T61" s="7"/>
      <c r="U61" s="7"/>
      <c r="V61" s="7"/>
      <c r="W61" s="7"/>
      <c r="X61" s="7"/>
      <c r="Y61" s="7"/>
      <c r="Z61" s="7"/>
      <c r="AA61" s="7"/>
      <c r="AB61" s="7"/>
      <c r="AC61" s="7"/>
      <c r="AD61" s="7"/>
      <c r="AE61" s="7"/>
      <c r="AF61" s="7"/>
      <c r="AG61" s="7"/>
    </row>
    <row r="62" ht="14.25" customHeight="1">
      <c r="A62" s="7"/>
      <c r="B62" s="7"/>
      <c r="C62" s="7"/>
      <c r="D62" s="828">
        <v>45689.0</v>
      </c>
      <c r="E62" s="829">
        <v>0.021</v>
      </c>
      <c r="F62" s="830">
        <f t="shared" si="1"/>
        <v>66.84979392</v>
      </c>
      <c r="G62" s="830">
        <f t="shared" si="2"/>
        <v>3145.872655</v>
      </c>
      <c r="H62" s="830">
        <f t="shared" si="3"/>
        <v>314.5872655</v>
      </c>
      <c r="I62" s="7"/>
      <c r="J62" s="7"/>
      <c r="K62" s="7"/>
      <c r="L62" s="7"/>
      <c r="M62" s="7"/>
      <c r="N62" s="7"/>
      <c r="O62" s="7"/>
      <c r="P62" s="7"/>
      <c r="Q62" s="7"/>
      <c r="R62" s="7"/>
      <c r="S62" s="7"/>
      <c r="T62" s="7"/>
      <c r="U62" s="7"/>
      <c r="V62" s="7"/>
      <c r="W62" s="7"/>
      <c r="X62" s="7"/>
      <c r="Y62" s="7"/>
      <c r="Z62" s="7"/>
      <c r="AA62" s="7"/>
      <c r="AB62" s="7"/>
      <c r="AC62" s="7"/>
      <c r="AD62" s="7"/>
      <c r="AE62" s="7"/>
      <c r="AF62" s="7"/>
      <c r="AG62" s="7"/>
    </row>
    <row r="63" ht="14.25" customHeight="1">
      <c r="A63" s="7"/>
      <c r="B63" s="7"/>
      <c r="C63" s="7"/>
      <c r="D63" s="828">
        <v>45717.0</v>
      </c>
      <c r="E63" s="829">
        <v>0.032</v>
      </c>
      <c r="F63" s="830">
        <f t="shared" si="1"/>
        <v>68.98898733</v>
      </c>
      <c r="G63" s="830">
        <f t="shared" si="2"/>
        <v>3246.54058</v>
      </c>
      <c r="H63" s="830">
        <f t="shared" si="3"/>
        <v>324.654058</v>
      </c>
      <c r="I63" s="7"/>
      <c r="J63" s="7"/>
      <c r="K63" s="7"/>
      <c r="L63" s="7"/>
      <c r="M63" s="7"/>
      <c r="N63" s="7"/>
      <c r="O63" s="7"/>
      <c r="P63" s="7"/>
      <c r="Q63" s="7"/>
      <c r="R63" s="7"/>
      <c r="S63" s="7"/>
      <c r="T63" s="7"/>
      <c r="U63" s="7"/>
      <c r="V63" s="7"/>
      <c r="W63" s="7"/>
      <c r="X63" s="7"/>
      <c r="Y63" s="7"/>
      <c r="Z63" s="7"/>
      <c r="AA63" s="7"/>
      <c r="AB63" s="7"/>
      <c r="AC63" s="7"/>
      <c r="AD63" s="7"/>
      <c r="AE63" s="7"/>
      <c r="AF63" s="7"/>
      <c r="AG63" s="7"/>
    </row>
    <row r="64" ht="14.25" customHeight="1">
      <c r="A64" s="7"/>
      <c r="B64" s="7"/>
      <c r="C64" s="7"/>
      <c r="D64" s="828">
        <v>45748.0</v>
      </c>
      <c r="E64" s="829">
        <v>0.023</v>
      </c>
      <c r="F64" s="830">
        <f t="shared" si="1"/>
        <v>70.57573404</v>
      </c>
      <c r="G64" s="830">
        <f t="shared" si="2"/>
        <v>3321.211013</v>
      </c>
      <c r="H64" s="830">
        <f t="shared" si="3"/>
        <v>332.1211013</v>
      </c>
      <c r="I64" s="7"/>
      <c r="J64" s="7"/>
      <c r="K64" s="7"/>
      <c r="L64" s="7"/>
      <c r="M64" s="7"/>
      <c r="N64" s="7"/>
      <c r="O64" s="7"/>
      <c r="P64" s="7"/>
      <c r="Q64" s="7"/>
      <c r="R64" s="7"/>
      <c r="S64" s="7"/>
      <c r="T64" s="7"/>
      <c r="U64" s="7"/>
      <c r="V64" s="7"/>
      <c r="W64" s="7"/>
      <c r="X64" s="7"/>
      <c r="Y64" s="7"/>
      <c r="Z64" s="7"/>
      <c r="AA64" s="7"/>
      <c r="AB64" s="7"/>
      <c r="AC64" s="7"/>
      <c r="AD64" s="7"/>
      <c r="AE64" s="7"/>
      <c r="AF64" s="7"/>
      <c r="AG64" s="7"/>
    </row>
    <row r="65" ht="14.25" customHeight="1">
      <c r="A65" s="7"/>
      <c r="B65" s="7"/>
      <c r="C65" s="7"/>
      <c r="D65" s="828">
        <v>45778.0</v>
      </c>
      <c r="E65" s="829">
        <v>0.016</v>
      </c>
      <c r="F65" s="830">
        <f t="shared" si="1"/>
        <v>71.70494578</v>
      </c>
      <c r="G65" s="830">
        <f t="shared" si="2"/>
        <v>3374.35039</v>
      </c>
      <c r="H65" s="830">
        <f t="shared" si="3"/>
        <v>337.435039</v>
      </c>
      <c r="I65" s="7"/>
      <c r="J65" s="7"/>
      <c r="K65" s="7"/>
      <c r="L65" s="7"/>
      <c r="M65" s="7"/>
      <c r="N65" s="7"/>
      <c r="O65" s="7"/>
      <c r="P65" s="7"/>
      <c r="Q65" s="7"/>
      <c r="R65" s="7"/>
      <c r="S65" s="7"/>
      <c r="T65" s="7"/>
      <c r="U65" s="7"/>
      <c r="V65" s="7"/>
      <c r="W65" s="7"/>
      <c r="X65" s="7"/>
      <c r="Y65" s="7"/>
      <c r="Z65" s="7"/>
      <c r="AA65" s="7"/>
      <c r="AB65" s="7"/>
      <c r="AC65" s="7"/>
      <c r="AD65" s="7"/>
      <c r="AE65" s="7"/>
      <c r="AF65" s="7"/>
      <c r="AG65" s="7"/>
    </row>
    <row r="66" ht="14.25" customHeight="1">
      <c r="A66" s="7"/>
      <c r="B66" s="7"/>
      <c r="C66" s="7"/>
      <c r="D66" s="828">
        <v>45809.0</v>
      </c>
      <c r="E66" s="829">
        <v>0.021</v>
      </c>
      <c r="F66" s="830">
        <f t="shared" si="1"/>
        <v>73.21074964</v>
      </c>
      <c r="G66" s="830">
        <f t="shared" si="2"/>
        <v>3445.211748</v>
      </c>
      <c r="H66" s="830">
        <f t="shared" si="3"/>
        <v>344.5211748</v>
      </c>
      <c r="I66" s="7"/>
      <c r="J66" s="7"/>
      <c r="K66" s="7"/>
      <c r="L66" s="7"/>
      <c r="M66" s="7"/>
      <c r="N66" s="7"/>
      <c r="O66" s="7"/>
      <c r="P66" s="7"/>
      <c r="Q66" s="7"/>
      <c r="R66" s="7"/>
      <c r="S66" s="7"/>
      <c r="T66" s="7"/>
      <c r="U66" s="7"/>
      <c r="V66" s="7"/>
      <c r="W66" s="7"/>
      <c r="X66" s="7"/>
      <c r="Y66" s="7"/>
      <c r="Z66" s="7"/>
      <c r="AA66" s="7"/>
      <c r="AB66" s="7"/>
      <c r="AC66" s="7"/>
      <c r="AD66" s="7"/>
      <c r="AE66" s="7"/>
      <c r="AF66" s="7"/>
      <c r="AG66" s="7"/>
    </row>
    <row r="67" ht="14.25" customHeight="1">
      <c r="A67" s="7"/>
      <c r="B67" s="7"/>
      <c r="C67" s="7"/>
      <c r="D67" s="828">
        <v>45839.0</v>
      </c>
      <c r="E67" s="829">
        <v>0.025</v>
      </c>
      <c r="F67" s="830">
        <f t="shared" si="1"/>
        <v>75.04101838</v>
      </c>
      <c r="G67" s="830">
        <f t="shared" si="2"/>
        <v>3531.342042</v>
      </c>
      <c r="H67" s="830">
        <f t="shared" si="3"/>
        <v>353.1342042</v>
      </c>
      <c r="I67" s="7"/>
      <c r="J67" s="7"/>
      <c r="K67" s="7"/>
      <c r="L67" s="7"/>
      <c r="M67" s="7"/>
      <c r="N67" s="7"/>
      <c r="O67" s="7"/>
      <c r="P67" s="7"/>
      <c r="Q67" s="7"/>
      <c r="R67" s="7"/>
      <c r="S67" s="7"/>
      <c r="T67" s="7"/>
      <c r="U67" s="7"/>
      <c r="V67" s="7"/>
      <c r="W67" s="7"/>
      <c r="X67" s="7"/>
      <c r="Y67" s="7"/>
      <c r="Z67" s="7"/>
      <c r="AA67" s="7"/>
      <c r="AB67" s="7"/>
      <c r="AC67" s="7"/>
      <c r="AD67" s="7"/>
      <c r="AE67" s="7"/>
      <c r="AF67" s="7"/>
      <c r="AG67" s="7"/>
    </row>
    <row r="68" ht="14.25" customHeight="1">
      <c r="A68" s="7"/>
      <c r="B68" s="7"/>
      <c r="C68" s="7"/>
      <c r="D68" s="828">
        <v>45870.0</v>
      </c>
      <c r="E68" s="829">
        <v>0.016</v>
      </c>
      <c r="F68" s="830">
        <f t="shared" si="1"/>
        <v>76.24167468</v>
      </c>
      <c r="G68" s="830">
        <f t="shared" si="2"/>
        <v>3587.843514</v>
      </c>
      <c r="H68" s="830">
        <f t="shared" si="3"/>
        <v>358.7843514</v>
      </c>
      <c r="I68" s="7"/>
      <c r="J68" s="7"/>
      <c r="K68" s="7"/>
      <c r="L68" s="7"/>
      <c r="M68" s="7"/>
      <c r="N68" s="7"/>
      <c r="O68" s="7"/>
      <c r="P68" s="7"/>
      <c r="Q68" s="7"/>
      <c r="R68" s="7"/>
      <c r="S68" s="7"/>
      <c r="T68" s="7"/>
      <c r="U68" s="7"/>
      <c r="V68" s="7"/>
      <c r="W68" s="7"/>
      <c r="X68" s="7"/>
      <c r="Y68" s="7"/>
      <c r="Z68" s="7"/>
      <c r="AA68" s="7"/>
      <c r="AB68" s="7"/>
      <c r="AC68" s="7"/>
      <c r="AD68" s="7"/>
      <c r="AE68" s="7"/>
      <c r="AF68" s="7"/>
      <c r="AG68" s="7"/>
    </row>
    <row r="69" ht="14.25" customHeight="1">
      <c r="A69" s="7"/>
      <c r="B69" s="7"/>
      <c r="C69" s="7"/>
      <c r="D69" s="832">
        <v>45901.0</v>
      </c>
      <c r="E69" s="833">
        <v>0.022</v>
      </c>
      <c r="F69" s="834">
        <f t="shared" si="1"/>
        <v>77.91899152</v>
      </c>
      <c r="G69" s="834">
        <f t="shared" si="2"/>
        <v>3666.776072</v>
      </c>
      <c r="H69" s="834">
        <f t="shared" si="3"/>
        <v>366.6776072</v>
      </c>
      <c r="I69" s="7"/>
      <c r="J69" s="7"/>
      <c r="K69" s="7"/>
      <c r="L69" s="7"/>
      <c r="M69" s="7"/>
      <c r="N69" s="7"/>
      <c r="O69" s="7"/>
      <c r="P69" s="7"/>
      <c r="Q69" s="7"/>
      <c r="R69" s="7"/>
      <c r="S69" s="7"/>
      <c r="T69" s="7"/>
      <c r="U69" s="7"/>
      <c r="V69" s="7"/>
      <c r="W69" s="7"/>
      <c r="X69" s="7"/>
      <c r="Y69" s="7"/>
      <c r="Z69" s="7"/>
      <c r="AA69" s="7"/>
      <c r="AB69" s="7"/>
      <c r="AC69" s="7"/>
      <c r="AD69" s="7"/>
      <c r="AE69" s="7"/>
      <c r="AF69" s="7"/>
      <c r="AG69" s="7"/>
    </row>
    <row r="70" ht="14.2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row>
    <row r="71" ht="14.2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row>
    <row r="72" ht="14.2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row>
    <row r="73" ht="14.2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row>
    <row r="74" ht="14.2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row>
    <row r="75" ht="14.2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row>
    <row r="76" ht="14.2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row>
    <row r="77" ht="14.2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row>
    <row r="78" ht="14.2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row>
    <row r="79" ht="14.2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row>
    <row r="80" ht="14.2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row>
    <row r="81" ht="14.2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row>
    <row r="82" ht="14.2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row>
    <row r="83"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row>
    <row r="84"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row>
    <row r="85"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row>
    <row r="86"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row>
    <row r="87"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row>
    <row r="88"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row>
    <row r="89"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row>
    <row r="90"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row>
    <row r="91"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row>
    <row r="92"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row>
    <row r="93"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row>
    <row r="94"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row>
    <row r="95"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row>
    <row r="96"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row>
    <row r="97"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row>
    <row r="98"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row>
    <row r="99"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row>
    <row r="100"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row>
    <row r="101"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row>
    <row r="102"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row>
    <row r="10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row>
    <row r="104"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row>
    <row r="105"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row>
    <row r="10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row>
    <row r="107"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row>
    <row r="109"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row>
    <row r="110"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row>
    <row r="111"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row>
    <row r="112"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row>
    <row r="11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row>
    <row r="114"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row>
    <row r="115"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row>
    <row r="11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row>
    <row r="117"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row>
    <row r="118"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row>
    <row r="119"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row>
    <row r="120"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row>
    <row r="121"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row>
    <row r="122"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row>
    <row r="12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row>
    <row r="124"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row>
    <row r="125"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row>
    <row r="134"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row>
    <row r="14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row>
    <row r="14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row>
    <row r="147"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row>
    <row r="221"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row>
    <row r="222"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row>
    <row r="22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row>
    <row r="224"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row>
    <row r="225"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row>
    <row r="2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row>
    <row r="227"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row>
    <row r="228"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row>
    <row r="229"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row>
    <row r="230"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row>
    <row r="231"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row>
    <row r="232"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row>
    <row r="2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row>
    <row r="234"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row>
    <row r="235"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row>
    <row r="23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row>
    <row r="237"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row>
    <row r="238"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row>
    <row r="239"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row>
    <row r="240"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row>
    <row r="241"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row>
    <row r="242"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row>
    <row r="24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row>
    <row r="244"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row>
    <row r="245"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row>
    <row r="24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row>
    <row r="247"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row>
    <row r="248"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row>
    <row r="250"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row>
    <row r="251"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row>
    <row r="252"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row>
    <row r="25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row>
    <row r="254"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row>
    <row r="255"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row>
    <row r="25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row>
    <row r="257"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row>
    <row r="258"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row>
    <row r="259"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row>
    <row r="260"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row>
    <row r="261"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row>
    <row r="262"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row>
    <row r="26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row>
    <row r="264"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row>
    <row r="265"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row>
    <row r="26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row>
    <row r="267"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row>
    <row r="268"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row>
    <row r="269"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9">
    <mergeCell ref="AB1:AC2"/>
    <mergeCell ref="AD1:AE2"/>
    <mergeCell ref="AF1:AG2"/>
    <mergeCell ref="N1:O2"/>
    <mergeCell ref="P1:Q2"/>
    <mergeCell ref="R1:S2"/>
    <mergeCell ref="T1:U2"/>
    <mergeCell ref="V1:W2"/>
    <mergeCell ref="X1:Y2"/>
    <mergeCell ref="Z1:AA2"/>
    <mergeCell ref="A1:A2"/>
    <mergeCell ref="B1:C1"/>
    <mergeCell ref="D1:E2"/>
    <mergeCell ref="F1:G2"/>
    <mergeCell ref="H1:I2"/>
    <mergeCell ref="J1:K2"/>
    <mergeCell ref="L1:M2"/>
    <mergeCell ref="AC3:AC4"/>
    <mergeCell ref="AE3:AE4"/>
    <mergeCell ref="AG3:AG4"/>
    <mergeCell ref="O3:O4"/>
    <mergeCell ref="Q3:Q4"/>
    <mergeCell ref="S3:S4"/>
    <mergeCell ref="U3:U4"/>
    <mergeCell ref="W3:W4"/>
    <mergeCell ref="Y3:Y4"/>
    <mergeCell ref="AA3:AA4"/>
    <mergeCell ref="E3:E4"/>
    <mergeCell ref="E5:E6"/>
    <mergeCell ref="Y5:Y6"/>
    <mergeCell ref="AA5:AA6"/>
    <mergeCell ref="AC5:AC6"/>
    <mergeCell ref="AE5:AE6"/>
    <mergeCell ref="AG5:AG6"/>
    <mergeCell ref="M3:M4"/>
    <mergeCell ref="M5:M6"/>
    <mergeCell ref="O5:O6"/>
    <mergeCell ref="Q5:Q6"/>
    <mergeCell ref="S5:S6"/>
    <mergeCell ref="U5:U6"/>
    <mergeCell ref="W5:W6"/>
    <mergeCell ref="S7:S8"/>
    <mergeCell ref="U7:U8"/>
    <mergeCell ref="W7:W8"/>
    <mergeCell ref="Y7:Y8"/>
    <mergeCell ref="AA7:AA8"/>
    <mergeCell ref="AC7:AC8"/>
    <mergeCell ref="AE7:AE8"/>
    <mergeCell ref="AG7:AG8"/>
    <mergeCell ref="Q7:Q8"/>
    <mergeCell ref="Q9:Q10"/>
    <mergeCell ref="S9:S10"/>
    <mergeCell ref="U9:U10"/>
    <mergeCell ref="W9:W10"/>
    <mergeCell ref="Y9:Y10"/>
    <mergeCell ref="AA9:AA10"/>
    <mergeCell ref="AG9:AG10"/>
    <mergeCell ref="T21:U22"/>
    <mergeCell ref="V21:W22"/>
    <mergeCell ref="X21:Y22"/>
    <mergeCell ref="Z21:AA22"/>
    <mergeCell ref="AB21:AC22"/>
    <mergeCell ref="AD21:AE22"/>
    <mergeCell ref="AF21:AG22"/>
    <mergeCell ref="F21:G22"/>
    <mergeCell ref="H21:I22"/>
    <mergeCell ref="J21:K22"/>
    <mergeCell ref="L21:M22"/>
    <mergeCell ref="N21:O22"/>
    <mergeCell ref="P21:Q22"/>
    <mergeCell ref="R21:S22"/>
    <mergeCell ref="B22:C22"/>
    <mergeCell ref="C23:C24"/>
    <mergeCell ref="E23:E24"/>
    <mergeCell ref="G23:G24"/>
    <mergeCell ref="I23:I24"/>
    <mergeCell ref="K23:K24"/>
    <mergeCell ref="M23:M24"/>
    <mergeCell ref="AC23:AC24"/>
    <mergeCell ref="AE23:AE24"/>
    <mergeCell ref="AG23:AG24"/>
    <mergeCell ref="O23:O24"/>
    <mergeCell ref="Q23:Q24"/>
    <mergeCell ref="S23:S24"/>
    <mergeCell ref="U23:U24"/>
    <mergeCell ref="W23:W24"/>
    <mergeCell ref="Y23:Y24"/>
    <mergeCell ref="AA23:AA24"/>
    <mergeCell ref="C29:C30"/>
    <mergeCell ref="D29:E29"/>
    <mergeCell ref="D30:D34"/>
    <mergeCell ref="E30:E34"/>
    <mergeCell ref="C31:C32"/>
    <mergeCell ref="F32:H32"/>
    <mergeCell ref="C33:C34"/>
    <mergeCell ref="E7:E8"/>
    <mergeCell ref="E9:E10"/>
    <mergeCell ref="D13:E13"/>
    <mergeCell ref="B14:C14"/>
    <mergeCell ref="A21:A22"/>
    <mergeCell ref="B21:C21"/>
    <mergeCell ref="D21:E22"/>
    <mergeCell ref="I3:I4"/>
    <mergeCell ref="I5:I6"/>
    <mergeCell ref="I7:I8"/>
    <mergeCell ref="B2:C2"/>
    <mergeCell ref="C3:C4"/>
    <mergeCell ref="G3:G4"/>
    <mergeCell ref="K3:K4"/>
    <mergeCell ref="C5:C6"/>
    <mergeCell ref="G5:G6"/>
    <mergeCell ref="K5:K6"/>
    <mergeCell ref="G9:G10"/>
    <mergeCell ref="I9:I10"/>
    <mergeCell ref="F13:G13"/>
    <mergeCell ref="H13:I13"/>
    <mergeCell ref="J13:K13"/>
    <mergeCell ref="C7:C8"/>
    <mergeCell ref="G7:G8"/>
    <mergeCell ref="K7:K8"/>
    <mergeCell ref="O7:O8"/>
    <mergeCell ref="C9:C10"/>
    <mergeCell ref="K9:K10"/>
    <mergeCell ref="O9:O10"/>
    <mergeCell ref="AC9:AC10"/>
    <mergeCell ref="AE9:AE10"/>
    <mergeCell ref="V13:W13"/>
    <mergeCell ref="X13:Y13"/>
    <mergeCell ref="Z13:AA13"/>
    <mergeCell ref="AB13:AC13"/>
    <mergeCell ref="AD13:AE13"/>
    <mergeCell ref="AF13:AG13"/>
    <mergeCell ref="M7:M8"/>
    <mergeCell ref="M9:M10"/>
    <mergeCell ref="L13:M13"/>
    <mergeCell ref="N13:O13"/>
    <mergeCell ref="P13:Q13"/>
    <mergeCell ref="R13:S13"/>
    <mergeCell ref="T13:U13"/>
  </mergeCells>
  <printOptions/>
  <pageMargins bottom="0.75" footer="0.0" header="0.0" left="0.7" right="0.7" top="0.75"/>
  <pageSetup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7.0" ySplit="10.0" topLeftCell="H11" activePane="bottomRight" state="frozen"/>
      <selection activeCell="H1" sqref="H1" pane="topRight"/>
      <selection activeCell="A11" sqref="A11" pane="bottomLeft"/>
      <selection activeCell="H11" sqref="H11" pane="bottomRight"/>
    </sheetView>
  </sheetViews>
  <sheetFormatPr customHeight="1" defaultColWidth="12.63" defaultRowHeight="15.0" outlineLevelRow="1"/>
  <cols>
    <col customWidth="1" min="1" max="1" width="7.63"/>
    <col customWidth="1" min="2" max="2" width="23.25"/>
    <col customWidth="1" min="3" max="3" width="15.13"/>
    <col customWidth="1" min="4" max="4" width="21.38"/>
    <col customWidth="1" min="5" max="5" width="16.5"/>
    <col customWidth="1" min="6" max="6" width="35.25"/>
    <col customWidth="1" min="7" max="7" width="16.38"/>
    <col customWidth="1" min="8" max="8" width="12.38"/>
    <col customWidth="1" min="9" max="9" width="15.13"/>
    <col customWidth="1" min="10" max="10" width="11.5"/>
    <col customWidth="1" min="11" max="11" width="13.88"/>
    <col customWidth="1" min="12" max="12" width="11.5"/>
    <col customWidth="1" min="13" max="13" width="13.75"/>
    <col customWidth="1" min="14" max="14" width="11.5"/>
    <col customWidth="1" min="15" max="15" width="13.5"/>
    <col customWidth="1" min="16" max="16" width="11.5"/>
    <col customWidth="1" min="17" max="17" width="13.38"/>
    <col customWidth="1" min="18" max="18" width="11.5"/>
    <col customWidth="1" min="19" max="19" width="13.88"/>
    <col customWidth="1" min="20" max="20" width="11.5"/>
    <col customWidth="1" min="21" max="21" width="13.5"/>
    <col customWidth="1" min="22" max="22" width="11.5"/>
    <col customWidth="1" min="23" max="23" width="13.5"/>
    <col customWidth="1" min="24" max="24" width="11.5"/>
    <col customWidth="1" min="25" max="25" width="14.13"/>
    <col customWidth="1" min="26" max="26" width="11.5"/>
    <col customWidth="1" min="27" max="27" width="14.25"/>
    <col customWidth="1" min="28" max="28" width="11.5"/>
    <col customWidth="1" min="29" max="29" width="13.5"/>
    <col customWidth="1" min="30" max="30" width="11.5"/>
    <col customWidth="1" min="31" max="31" width="14.0"/>
    <col customWidth="1" min="32" max="32" width="11.5"/>
    <col customWidth="1" min="33" max="33" width="13.38"/>
    <col customWidth="1" min="34" max="34" width="11.5"/>
    <col customWidth="1" min="35" max="35" width="14.25"/>
    <col customWidth="1" min="36" max="36" width="11.5"/>
    <col customWidth="1" min="37" max="37" width="13.63"/>
    <col customWidth="1" min="38" max="38" width="17.38"/>
    <col customWidth="1" min="39" max="58" width="11.5"/>
  </cols>
  <sheetData>
    <row r="1" ht="14.25" customHeight="1">
      <c r="A1" s="835" t="s">
        <v>1768</v>
      </c>
      <c r="B1" s="277"/>
      <c r="C1" s="277"/>
      <c r="D1" s="277"/>
      <c r="E1" s="277"/>
      <c r="F1" s="277"/>
      <c r="G1" s="278"/>
      <c r="H1" s="836"/>
      <c r="I1" s="836"/>
      <c r="J1" s="836"/>
      <c r="K1" s="836"/>
      <c r="L1" s="836"/>
      <c r="M1" s="836"/>
      <c r="N1" s="836"/>
      <c r="O1" s="836"/>
      <c r="P1" s="836"/>
      <c r="Q1" s="836"/>
      <c r="R1" s="836"/>
      <c r="S1" s="836"/>
      <c r="T1" s="836"/>
      <c r="U1" s="836"/>
      <c r="V1" s="836"/>
      <c r="W1" s="836"/>
      <c r="X1" s="836"/>
      <c r="Y1" s="836"/>
      <c r="Z1" s="836"/>
      <c r="AA1" s="836"/>
      <c r="AB1" s="836"/>
      <c r="AC1" s="836"/>
      <c r="AD1" s="836"/>
      <c r="AE1" s="836"/>
      <c r="AF1" s="836"/>
      <c r="AG1" s="836"/>
      <c r="AH1" s="836"/>
      <c r="AI1" s="836"/>
      <c r="AJ1" s="836"/>
      <c r="AK1" s="837"/>
      <c r="AL1" s="7"/>
      <c r="AM1" s="7"/>
      <c r="AN1" s="7"/>
      <c r="AO1" s="7"/>
      <c r="AP1" s="7"/>
      <c r="AQ1" s="7"/>
      <c r="AR1" s="7"/>
      <c r="AS1" s="7"/>
      <c r="AT1" s="7"/>
      <c r="AU1" s="7"/>
      <c r="AV1" s="7"/>
      <c r="AW1" s="7"/>
      <c r="AX1" s="7"/>
      <c r="AY1" s="7"/>
      <c r="AZ1" s="7"/>
      <c r="BA1" s="7"/>
      <c r="BB1" s="7"/>
      <c r="BC1" s="7"/>
      <c r="BD1" s="7"/>
      <c r="BE1" s="7"/>
      <c r="BF1" s="7"/>
    </row>
    <row r="2" ht="14.25" hidden="1" customHeight="1" outlineLevel="1">
      <c r="A2" s="838" t="s">
        <v>1649</v>
      </c>
      <c r="B2" s="838" t="s">
        <v>1650</v>
      </c>
      <c r="C2" s="839" t="s">
        <v>1691</v>
      </c>
      <c r="D2" s="840"/>
      <c r="E2" s="840"/>
      <c r="F2" s="840"/>
      <c r="G2" s="841"/>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row>
    <row r="3" ht="14.25" hidden="1" customHeight="1" outlineLevel="1">
      <c r="A3" s="612"/>
      <c r="B3" s="612"/>
      <c r="C3" s="842">
        <v>45901.0</v>
      </c>
      <c r="D3" s="277"/>
      <c r="E3" s="277"/>
      <c r="F3" s="277"/>
      <c r="G3" s="278"/>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row>
    <row r="4" ht="42.75" hidden="1" customHeight="1" outlineLevel="1">
      <c r="A4" s="617"/>
      <c r="B4" s="617"/>
      <c r="C4" s="641" t="s">
        <v>1659</v>
      </c>
      <c r="D4" s="640" t="s">
        <v>1660</v>
      </c>
      <c r="E4" s="640" t="s">
        <v>1661</v>
      </c>
      <c r="F4" s="641" t="s">
        <v>1639</v>
      </c>
      <c r="G4" s="641" t="s">
        <v>1769</v>
      </c>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row>
    <row r="5" ht="14.25" hidden="1" customHeight="1" outlineLevel="1">
      <c r="A5" s="651">
        <v>5080.0</v>
      </c>
      <c r="B5" s="312" t="s">
        <v>1770</v>
      </c>
      <c r="C5" s="661">
        <v>5306.0</v>
      </c>
      <c r="D5" s="658">
        <v>2.23827392149998E8</v>
      </c>
      <c r="E5" s="658">
        <f t="shared" ref="E5:E6" si="1">D5/C5</f>
        <v>42183.82815</v>
      </c>
      <c r="F5" s="829">
        <v>0.002</v>
      </c>
      <c r="G5" s="658">
        <f t="shared" ref="G5:G6" si="2">D5*F5</f>
        <v>447654.7843</v>
      </c>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row>
    <row r="6" ht="14.25" hidden="1" customHeight="1" outlineLevel="1">
      <c r="A6" s="651">
        <v>5080.0</v>
      </c>
      <c r="B6" s="312" t="s">
        <v>1771</v>
      </c>
      <c r="C6" s="661">
        <f>C5</f>
        <v>5306</v>
      </c>
      <c r="D6" s="658">
        <v>2.23827392149998E8</v>
      </c>
      <c r="E6" s="658">
        <f t="shared" si="1"/>
        <v>42183.82815</v>
      </c>
      <c r="F6" s="829">
        <v>0.004</v>
      </c>
      <c r="G6" s="658">
        <f t="shared" si="2"/>
        <v>895309.5686</v>
      </c>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row>
    <row r="7" ht="14.25" hidden="1" customHeight="1" outlineLevel="1">
      <c r="A7" s="651" t="s">
        <v>320</v>
      </c>
      <c r="B7" s="713"/>
      <c r="C7" s="277"/>
      <c r="D7" s="277"/>
      <c r="E7" s="277"/>
      <c r="F7" s="278"/>
      <c r="G7" s="843">
        <f>G5+G6</f>
        <v>1342964.353</v>
      </c>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row>
    <row r="8" ht="6.75" hidden="1" customHeight="1" outlineLevel="1">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row>
    <row r="9" ht="14.25" customHeight="1" collapsed="1">
      <c r="A9" s="844" t="s">
        <v>1649</v>
      </c>
      <c r="B9" s="844" t="s">
        <v>1650</v>
      </c>
      <c r="C9" s="638">
        <v>45901.0</v>
      </c>
      <c r="D9" s="277"/>
      <c r="E9" s="277"/>
      <c r="F9" s="277"/>
      <c r="G9" s="278"/>
      <c r="H9" s="763">
        <v>45957.0</v>
      </c>
      <c r="I9" s="764"/>
      <c r="J9" s="763">
        <f>+H9+30</f>
        <v>45987</v>
      </c>
      <c r="K9" s="764"/>
      <c r="L9" s="763">
        <f>+J9+30</f>
        <v>46017</v>
      </c>
      <c r="M9" s="764"/>
      <c r="N9" s="763">
        <f>+L9+30</f>
        <v>46047</v>
      </c>
      <c r="O9" s="764"/>
      <c r="P9" s="763">
        <f>+N9+30</f>
        <v>46077</v>
      </c>
      <c r="Q9" s="845"/>
      <c r="R9" s="763">
        <f>+P9+30</f>
        <v>46107</v>
      </c>
      <c r="S9" s="845"/>
      <c r="T9" s="763">
        <v>46142.0</v>
      </c>
      <c r="U9" s="845"/>
      <c r="V9" s="763">
        <v>46172.0</v>
      </c>
      <c r="W9" s="845"/>
      <c r="X9" s="763">
        <v>46202.0</v>
      </c>
      <c r="Y9" s="845"/>
      <c r="Z9" s="763">
        <v>46232.0</v>
      </c>
      <c r="AA9" s="845"/>
      <c r="AB9" s="763">
        <v>46262.0</v>
      </c>
      <c r="AC9" s="845"/>
      <c r="AD9" s="763">
        <v>46292.0</v>
      </c>
      <c r="AE9" s="845"/>
      <c r="AF9" s="763">
        <v>46322.0</v>
      </c>
      <c r="AG9" s="845"/>
      <c r="AH9" s="763">
        <v>46352.0</v>
      </c>
      <c r="AI9" s="845"/>
      <c r="AJ9" s="763">
        <v>46382.0</v>
      </c>
      <c r="AK9" s="845"/>
      <c r="AL9" s="7"/>
      <c r="AM9" s="7"/>
      <c r="AN9" s="7"/>
      <c r="AO9" s="7"/>
      <c r="AP9" s="7"/>
      <c r="AQ9" s="7"/>
      <c r="AR9" s="7"/>
      <c r="AS9" s="7"/>
      <c r="AT9" s="7"/>
      <c r="AU9" s="7"/>
      <c r="AV9" s="7"/>
      <c r="AW9" s="7"/>
      <c r="AX9" s="7"/>
      <c r="AY9" s="7"/>
      <c r="AZ9" s="7"/>
      <c r="BA9" s="7"/>
      <c r="BB9" s="7"/>
      <c r="BC9" s="7"/>
      <c r="BD9" s="7"/>
      <c r="BE9" s="7"/>
      <c r="BF9" s="7"/>
    </row>
    <row r="10" ht="36.0" customHeight="1">
      <c r="A10" s="786"/>
      <c r="B10" s="786"/>
      <c r="C10" s="846" t="s">
        <v>1772</v>
      </c>
      <c r="D10" s="847" t="s">
        <v>1661</v>
      </c>
      <c r="E10" s="847" t="s">
        <v>1773</v>
      </c>
      <c r="F10" s="848" t="s">
        <v>1774</v>
      </c>
      <c r="G10" s="846" t="s">
        <v>1662</v>
      </c>
      <c r="H10" s="849"/>
      <c r="I10" s="850"/>
      <c r="J10" s="849"/>
      <c r="K10" s="850"/>
      <c r="L10" s="849"/>
      <c r="M10" s="850"/>
      <c r="N10" s="849"/>
      <c r="O10" s="850"/>
      <c r="P10" s="849"/>
      <c r="Q10" s="851"/>
      <c r="R10" s="849"/>
      <c r="S10" s="851"/>
      <c r="T10" s="849"/>
      <c r="U10" s="851"/>
      <c r="V10" s="849"/>
      <c r="W10" s="851"/>
      <c r="X10" s="849"/>
      <c r="Y10" s="851"/>
      <c r="Z10" s="849"/>
      <c r="AA10" s="851"/>
      <c r="AB10" s="849"/>
      <c r="AC10" s="851"/>
      <c r="AD10" s="849"/>
      <c r="AE10" s="851"/>
      <c r="AF10" s="849"/>
      <c r="AG10" s="851"/>
      <c r="AH10" s="849"/>
      <c r="AI10" s="851"/>
      <c r="AJ10" s="849"/>
      <c r="AK10" s="851"/>
      <c r="AL10" s="7"/>
      <c r="AM10" s="7"/>
      <c r="AN10" s="7"/>
      <c r="AO10" s="7"/>
      <c r="AP10" s="7"/>
      <c r="AQ10" s="7"/>
      <c r="AR10" s="7"/>
      <c r="AS10" s="7"/>
      <c r="AT10" s="7"/>
      <c r="AU10" s="7"/>
      <c r="AV10" s="7"/>
      <c r="AW10" s="7"/>
      <c r="AX10" s="7"/>
      <c r="AY10" s="7"/>
      <c r="AZ10" s="7"/>
      <c r="BA10" s="7"/>
      <c r="BB10" s="7"/>
      <c r="BC10" s="7"/>
      <c r="BD10" s="7"/>
      <c r="BE10" s="7"/>
      <c r="BF10" s="7"/>
    </row>
    <row r="11" ht="14.25" customHeight="1">
      <c r="A11" s="852">
        <v>5080.0</v>
      </c>
      <c r="B11" s="853" t="s">
        <v>1775</v>
      </c>
      <c r="C11" s="854">
        <f>C6</f>
        <v>5306</v>
      </c>
      <c r="D11" s="855">
        <f>E6</f>
        <v>42183.82815</v>
      </c>
      <c r="E11" s="856">
        <f>C11*D11</f>
        <v>223827392.1</v>
      </c>
      <c r="F11" s="857">
        <f>D11*0.6%</f>
        <v>253.1029689</v>
      </c>
      <c r="G11" s="858">
        <f>C11*F11</f>
        <v>1342964.353</v>
      </c>
      <c r="H11" s="769"/>
      <c r="I11" s="859">
        <f>+G11*(1+H35)</f>
        <v>1373852.533</v>
      </c>
      <c r="J11" s="769"/>
      <c r="K11" s="859">
        <f>+I11*(1+J35)</f>
        <v>1401329.584</v>
      </c>
      <c r="L11" s="769"/>
      <c r="M11" s="859">
        <f>+K11*(1+L35)</f>
        <v>1429356.175</v>
      </c>
      <c r="N11" s="769"/>
      <c r="O11" s="859">
        <f>+M11*(1+N35)</f>
        <v>1470807.504</v>
      </c>
      <c r="P11" s="769"/>
      <c r="Q11" s="859">
        <f>+O11*(1+P35)</f>
        <v>1513460.922</v>
      </c>
      <c r="R11" s="769"/>
      <c r="S11" s="859">
        <f>+Q11*(1+R35)</f>
        <v>1564918.593</v>
      </c>
      <c r="T11" s="769"/>
      <c r="U11" s="859">
        <f>+S11*(1+T35)</f>
        <v>1605606.477</v>
      </c>
      <c r="V11" s="769"/>
      <c r="W11" s="859">
        <f>+U11*(1+V35)</f>
        <v>1652169.065</v>
      </c>
      <c r="X11" s="769"/>
      <c r="Y11" s="859">
        <f>+W11*(1+X35)</f>
        <v>1700081.968</v>
      </c>
      <c r="Z11" s="769"/>
      <c r="AA11" s="859">
        <f>+Y11*(1+Z35)</f>
        <v>1749384.345</v>
      </c>
      <c r="AB11" s="769"/>
      <c r="AC11" s="859">
        <f>+AA11*(1+AB35)</f>
        <v>1800116.491</v>
      </c>
      <c r="AD11" s="769"/>
      <c r="AE11" s="859">
        <f>+AC11*(1+AD35)</f>
        <v>1852319.869</v>
      </c>
      <c r="AF11" s="769"/>
      <c r="AG11" s="859">
        <f>+AE11*(1+AF35)</f>
        <v>1906037.145</v>
      </c>
      <c r="AH11" s="769"/>
      <c r="AI11" s="859">
        <f>+AG11*(1+AH35)</f>
        <v>1961312.222</v>
      </c>
      <c r="AJ11" s="769"/>
      <c r="AK11" s="859">
        <f>+AI11*(1+AJ35)</f>
        <v>2018190.277</v>
      </c>
      <c r="AL11" s="174">
        <f>+AK11/O11</f>
        <v>1.372164794</v>
      </c>
      <c r="AM11" s="7"/>
      <c r="AN11" s="7"/>
      <c r="AO11" s="7"/>
      <c r="AP11" s="7"/>
      <c r="AQ11" s="7"/>
      <c r="AR11" s="7"/>
      <c r="AS11" s="7"/>
      <c r="AT11" s="7"/>
      <c r="AU11" s="7"/>
      <c r="AV11" s="7"/>
      <c r="AW11" s="7"/>
      <c r="AX11" s="7"/>
      <c r="AY11" s="7"/>
      <c r="AZ11" s="7"/>
      <c r="BA11" s="7"/>
      <c r="BB11" s="7"/>
      <c r="BC11" s="7"/>
      <c r="BD11" s="7"/>
      <c r="BE11" s="7"/>
      <c r="BF11" s="7"/>
    </row>
    <row r="12" ht="15.0" customHeight="1">
      <c r="A12" s="273" t="s">
        <v>1776</v>
      </c>
      <c r="B12" s="860" t="s">
        <v>1777</v>
      </c>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row>
    <row r="13" ht="14.25" customHeight="1">
      <c r="A13" s="273" t="s">
        <v>1778</v>
      </c>
      <c r="B13" s="860" t="s">
        <v>1779</v>
      </c>
      <c r="C13" s="861" t="s">
        <v>1780</v>
      </c>
      <c r="D13" s="862"/>
      <c r="E13" s="862"/>
      <c r="F13" s="862"/>
      <c r="G13" s="863"/>
      <c r="H13" s="836"/>
      <c r="I13" s="836"/>
      <c r="J13" s="836"/>
      <c r="K13" s="836"/>
      <c r="L13" s="836"/>
      <c r="M13" s="836"/>
      <c r="N13" s="836"/>
      <c r="O13" s="836"/>
      <c r="P13" s="836"/>
      <c r="Q13" s="836"/>
      <c r="R13" s="836"/>
      <c r="S13" s="836"/>
      <c r="T13" s="836"/>
      <c r="U13" s="836"/>
      <c r="V13" s="836"/>
      <c r="W13" s="836"/>
      <c r="X13" s="836"/>
      <c r="Y13" s="836"/>
      <c r="Z13" s="836"/>
      <c r="AA13" s="836"/>
      <c r="AB13" s="836"/>
      <c r="AC13" s="836"/>
      <c r="AD13" s="836"/>
      <c r="AE13" s="836"/>
      <c r="AF13" s="836"/>
      <c r="AG13" s="836"/>
      <c r="AH13" s="836"/>
      <c r="AI13" s="836"/>
      <c r="AJ13" s="836"/>
      <c r="AK13" s="837"/>
      <c r="AL13" s="7"/>
      <c r="AM13" s="7"/>
      <c r="AN13" s="7"/>
      <c r="AO13" s="7"/>
      <c r="AP13" s="7"/>
      <c r="AQ13" s="7"/>
      <c r="AR13" s="7"/>
      <c r="AS13" s="7"/>
      <c r="AT13" s="7"/>
      <c r="AU13" s="7"/>
      <c r="AV13" s="7"/>
      <c r="AW13" s="7"/>
      <c r="AX13" s="7"/>
      <c r="AY13" s="7"/>
      <c r="AZ13" s="7"/>
      <c r="BA13" s="7"/>
      <c r="BB13" s="7"/>
      <c r="BC13" s="7"/>
      <c r="BD13" s="7"/>
      <c r="BE13" s="7"/>
      <c r="BF13" s="7"/>
    </row>
    <row r="14" ht="14.25" customHeight="1">
      <c r="A14" s="7"/>
      <c r="B14" s="7"/>
      <c r="C14" s="864" t="s">
        <v>1649</v>
      </c>
      <c r="D14" s="864" t="s">
        <v>1650</v>
      </c>
      <c r="E14" s="865">
        <v>45901.0</v>
      </c>
      <c r="F14" s="840"/>
      <c r="G14" s="866"/>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row>
    <row r="15" ht="14.25" customHeight="1">
      <c r="A15" s="7"/>
      <c r="B15" s="7"/>
      <c r="C15" s="786"/>
      <c r="D15" s="786"/>
      <c r="E15" s="867" t="s">
        <v>1524</v>
      </c>
      <c r="F15" s="868" t="s">
        <v>1520</v>
      </c>
      <c r="G15" s="868" t="s">
        <v>1781</v>
      </c>
      <c r="H15" s="7"/>
      <c r="I15" s="869" t="s">
        <v>1782</v>
      </c>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row>
    <row r="16" ht="14.25" customHeight="1">
      <c r="A16" s="870"/>
      <c r="B16" s="871"/>
      <c r="C16" s="872">
        <v>5080.0</v>
      </c>
      <c r="D16" s="871" t="s">
        <v>1681</v>
      </c>
      <c r="E16" s="873">
        <f>D69</f>
        <v>1041934.069</v>
      </c>
      <c r="F16" s="872">
        <v>1.0</v>
      </c>
      <c r="G16" s="874">
        <f>E16*F16</f>
        <v>1041934.069</v>
      </c>
      <c r="H16" s="312"/>
      <c r="I16" s="875">
        <f>+C71</f>
        <v>1081894.324</v>
      </c>
      <c r="J16" s="312"/>
      <c r="K16" s="876">
        <f>+I16</f>
        <v>1081894.324</v>
      </c>
      <c r="L16" s="312"/>
      <c r="M16" s="876">
        <f>+K16</f>
        <v>1081894.324</v>
      </c>
      <c r="N16" s="312"/>
      <c r="O16" s="877">
        <f>+M16*N36</f>
        <v>1151491.72</v>
      </c>
      <c r="P16" s="312"/>
      <c r="Q16" s="876">
        <f>+O16</f>
        <v>1151491.72</v>
      </c>
      <c r="R16" s="312"/>
      <c r="S16" s="876">
        <f>+Q16</f>
        <v>1151491.72</v>
      </c>
      <c r="T16" s="312"/>
      <c r="U16" s="877">
        <f>+S16*T36</f>
        <v>1260701.031</v>
      </c>
      <c r="V16" s="312"/>
      <c r="W16" s="876">
        <f>+U16</f>
        <v>1260701.031</v>
      </c>
      <c r="X16" s="312"/>
      <c r="Y16" s="876">
        <f>+W16</f>
        <v>1260701.031</v>
      </c>
      <c r="Z16" s="312"/>
      <c r="AA16" s="877">
        <f>+Y16*Z36</f>
        <v>1369588.87</v>
      </c>
      <c r="AB16" s="312"/>
      <c r="AC16" s="876">
        <f>+AA16</f>
        <v>1369588.87</v>
      </c>
      <c r="AD16" s="312"/>
      <c r="AE16" s="876">
        <f>+AC16</f>
        <v>1369588.87</v>
      </c>
      <c r="AF16" s="312"/>
      <c r="AG16" s="877">
        <f>+AE16*AF36</f>
        <v>1492231.978</v>
      </c>
      <c r="AH16" s="312"/>
      <c r="AI16" s="876">
        <f>+AG16</f>
        <v>1492231.978</v>
      </c>
      <c r="AJ16" s="312"/>
      <c r="AK16" s="876">
        <f>+AI16</f>
        <v>1492231.978</v>
      </c>
      <c r="AL16" s="174">
        <f t="shared" ref="AL16:AL18" si="3">+AK16/O16</f>
        <v>1.295912034</v>
      </c>
      <c r="AM16" s="7"/>
      <c r="AN16" s="7"/>
      <c r="AO16" s="7"/>
      <c r="AP16" s="7"/>
      <c r="AQ16" s="7"/>
      <c r="AR16" s="7"/>
      <c r="AS16" s="7"/>
      <c r="AT16" s="7"/>
      <c r="AU16" s="7"/>
      <c r="AV16" s="7"/>
      <c r="AW16" s="7"/>
      <c r="AX16" s="7"/>
      <c r="AY16" s="7"/>
      <c r="AZ16" s="7"/>
      <c r="BA16" s="7"/>
      <c r="BB16" s="7"/>
      <c r="BC16" s="7"/>
      <c r="BD16" s="7"/>
      <c r="BE16" s="7"/>
      <c r="BF16" s="7"/>
    </row>
    <row r="17" ht="14.25" customHeight="1">
      <c r="A17" s="878"/>
      <c r="B17" s="879"/>
      <c r="C17" s="880">
        <v>5080.0</v>
      </c>
      <c r="D17" s="879" t="s">
        <v>1682</v>
      </c>
      <c r="E17" s="881">
        <v>0.13</v>
      </c>
      <c r="F17" s="882">
        <v>42322.0</v>
      </c>
      <c r="G17" s="883">
        <f>(E17*F17)*D20</f>
        <v>7785131.9</v>
      </c>
      <c r="H17" s="884">
        <f>+E17</f>
        <v>0.13</v>
      </c>
      <c r="I17" s="885">
        <f>+H17*$F$17*H20</f>
        <v>8252790</v>
      </c>
      <c r="J17" s="884">
        <f>+H17</f>
        <v>0.13</v>
      </c>
      <c r="K17" s="876">
        <f>+J17*$F$17*J20</f>
        <v>8401340.22</v>
      </c>
      <c r="L17" s="884">
        <f>+J17</f>
        <v>0.13</v>
      </c>
      <c r="M17" s="876">
        <f>+L17*$F$17*L20</f>
        <v>8552564.344</v>
      </c>
      <c r="N17" s="884">
        <f>+L17</f>
        <v>0.13</v>
      </c>
      <c r="O17" s="876">
        <f>+N17*$F$17*N20</f>
        <v>7785131.9</v>
      </c>
      <c r="P17" s="884">
        <f>+N17</f>
        <v>0.13</v>
      </c>
      <c r="Q17" s="876">
        <f>+P17*$F$17*P20</f>
        <v>7925264.274</v>
      </c>
      <c r="R17" s="884">
        <f>+P17</f>
        <v>0.13</v>
      </c>
      <c r="S17" s="876">
        <f>+R17*$F$17*R20</f>
        <v>8067919.031</v>
      </c>
      <c r="T17" s="884">
        <f>+R17</f>
        <v>0.13</v>
      </c>
      <c r="U17" s="876">
        <f>+T17*$F$17*T20</f>
        <v>8213141.574</v>
      </c>
      <c r="V17" s="884">
        <f>+T17</f>
        <v>0.13</v>
      </c>
      <c r="W17" s="876">
        <f>+V17*$F$17*V20</f>
        <v>8360978.122</v>
      </c>
      <c r="X17" s="884">
        <f>+V17</f>
        <v>0.13</v>
      </c>
      <c r="Y17" s="876">
        <f>+X17*$F$17*X20</f>
        <v>8511475.728</v>
      </c>
      <c r="Z17" s="884">
        <f>+X17</f>
        <v>0.13</v>
      </c>
      <c r="AA17" s="876">
        <f>+Z17*$F$17*Z20</f>
        <v>8664682.291</v>
      </c>
      <c r="AB17" s="884">
        <f>+Z17</f>
        <v>0.13</v>
      </c>
      <c r="AC17" s="876">
        <f>+AB17*$F$17*AB20</f>
        <v>8820646.573</v>
      </c>
      <c r="AD17" s="884">
        <f>+AB17</f>
        <v>0.13</v>
      </c>
      <c r="AE17" s="876">
        <f>+AD17*$F$17*AD20</f>
        <v>8979418.211</v>
      </c>
      <c r="AF17" s="884">
        <f>+AD17</f>
        <v>0.13</v>
      </c>
      <c r="AG17" s="876">
        <f>+AF17*$F$17*AF20</f>
        <v>9141047.739</v>
      </c>
      <c r="AH17" s="884">
        <f>+AF17</f>
        <v>0.13</v>
      </c>
      <c r="AI17" s="876">
        <f>+AH17*$F$17*AH20</f>
        <v>9305586.598</v>
      </c>
      <c r="AJ17" s="884">
        <f>+AH17</f>
        <v>0.13</v>
      </c>
      <c r="AK17" s="876">
        <f>+AJ17*$F$17*AJ20</f>
        <v>9473087.157</v>
      </c>
      <c r="AL17" s="174">
        <f t="shared" si="3"/>
        <v>1.216817811</v>
      </c>
      <c r="AM17" s="7"/>
      <c r="AN17" s="7"/>
      <c r="AO17" s="7"/>
      <c r="AP17" s="7"/>
      <c r="AQ17" s="7"/>
      <c r="AR17" s="7"/>
      <c r="AS17" s="7"/>
      <c r="AT17" s="7"/>
      <c r="AU17" s="7"/>
      <c r="AV17" s="7"/>
      <c r="AW17" s="7"/>
      <c r="AX17" s="7"/>
      <c r="AY17" s="7"/>
      <c r="AZ17" s="7"/>
      <c r="BA17" s="7"/>
      <c r="BB17" s="7"/>
      <c r="BC17" s="7"/>
      <c r="BD17" s="7"/>
      <c r="BE17" s="7"/>
      <c r="BF17" s="7"/>
    </row>
    <row r="18" ht="14.25" customHeight="1">
      <c r="A18" s="7"/>
      <c r="B18" s="7"/>
      <c r="C18" s="886" t="s">
        <v>320</v>
      </c>
      <c r="D18" s="469"/>
      <c r="E18" s="469"/>
      <c r="F18" s="887"/>
      <c r="G18" s="888">
        <f>G16+G17</f>
        <v>8827065.969</v>
      </c>
      <c r="H18" s="7"/>
      <c r="I18" s="889">
        <f>SUM(I16:I17)</f>
        <v>9334684.324</v>
      </c>
      <c r="J18" s="7"/>
      <c r="K18" s="889">
        <f>SUM(K16:K17)</f>
        <v>9483234.544</v>
      </c>
      <c r="L18" s="7"/>
      <c r="M18" s="889">
        <f>SUM(M16:M17)</f>
        <v>9634458.668</v>
      </c>
      <c r="N18" s="7"/>
      <c r="O18" s="889">
        <f>SUM(O16:O17)</f>
        <v>8936623.62</v>
      </c>
      <c r="P18" s="7"/>
      <c r="Q18" s="889">
        <f>SUM(Q16:Q17)</f>
        <v>9076755.995</v>
      </c>
      <c r="R18" s="7"/>
      <c r="S18" s="889">
        <f>SUM(S16:S17)</f>
        <v>9219410.752</v>
      </c>
      <c r="T18" s="7"/>
      <c r="U18" s="889">
        <f>SUM(U16:U17)</f>
        <v>9473842.604</v>
      </c>
      <c r="V18" s="7"/>
      <c r="W18" s="889">
        <f>SUM(W16:W17)</f>
        <v>9621679.153</v>
      </c>
      <c r="X18" s="7"/>
      <c r="Y18" s="889">
        <f>SUM(Y16:Y17)</f>
        <v>9772176.759</v>
      </c>
      <c r="Z18" s="7"/>
      <c r="AA18" s="889">
        <f>SUM(AA16:AA17)</f>
        <v>10034271.16</v>
      </c>
      <c r="AB18" s="7"/>
      <c r="AC18" s="889">
        <f>SUM(AC16:AC17)</f>
        <v>10190235.44</v>
      </c>
      <c r="AD18" s="7"/>
      <c r="AE18" s="889">
        <f>SUM(AE16:AE17)</f>
        <v>10349007.08</v>
      </c>
      <c r="AF18" s="7"/>
      <c r="AG18" s="889">
        <f>SUM(AG16:AG17)</f>
        <v>10633279.72</v>
      </c>
      <c r="AH18" s="7"/>
      <c r="AI18" s="889">
        <f>SUM(AI16:AI17)</f>
        <v>10797818.58</v>
      </c>
      <c r="AJ18" s="7"/>
      <c r="AK18" s="889">
        <f>SUM(AK16:AK17)</f>
        <v>10965319.13</v>
      </c>
      <c r="AL18" s="174">
        <f t="shared" si="3"/>
        <v>1.22700917</v>
      </c>
      <c r="AM18" s="7"/>
      <c r="AN18" s="7"/>
      <c r="AO18" s="7"/>
      <c r="AP18" s="7"/>
      <c r="AQ18" s="7"/>
      <c r="AR18" s="7"/>
      <c r="AS18" s="7"/>
      <c r="AT18" s="7"/>
      <c r="AU18" s="7"/>
      <c r="AV18" s="7"/>
      <c r="AW18" s="7"/>
      <c r="AX18" s="7"/>
      <c r="AY18" s="7"/>
      <c r="AZ18" s="7"/>
      <c r="BA18" s="7"/>
      <c r="BB18" s="7"/>
      <c r="BC18" s="7"/>
      <c r="BD18" s="7"/>
      <c r="BE18" s="7"/>
      <c r="BF18" s="7"/>
    </row>
    <row r="19" ht="9.75" customHeight="1">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row>
    <row r="20" ht="14.25" customHeight="1">
      <c r="A20" s="7"/>
      <c r="B20" s="7"/>
      <c r="C20" s="890" t="s">
        <v>1783</v>
      </c>
      <c r="D20" s="891">
        <v>1415.0</v>
      </c>
      <c r="E20" s="892"/>
      <c r="F20" s="892"/>
      <c r="G20" s="892"/>
      <c r="H20" s="649">
        <v>1500.0</v>
      </c>
      <c r="I20" s="649"/>
      <c r="J20" s="649">
        <f>+H20*1.018</f>
        <v>1527</v>
      </c>
      <c r="K20" s="649"/>
      <c r="L20" s="649">
        <f>+J20*1.018</f>
        <v>1554.486</v>
      </c>
      <c r="M20" s="649"/>
      <c r="N20" s="649">
        <f>+SidusDermo!J17</f>
        <v>1415</v>
      </c>
      <c r="O20" s="649"/>
      <c r="P20" s="649">
        <f>+N20*1.018</f>
        <v>1440.47</v>
      </c>
      <c r="Q20" s="649"/>
      <c r="R20" s="649">
        <f>+P20*1.018</f>
        <v>1466.39846</v>
      </c>
      <c r="S20" s="649"/>
      <c r="T20" s="649">
        <f>+R20*1.018</f>
        <v>1492.793632</v>
      </c>
      <c r="U20" s="649"/>
      <c r="V20" s="649">
        <f>+T20*1.018</f>
        <v>1519.663918</v>
      </c>
      <c r="W20" s="7"/>
      <c r="X20" s="649">
        <f>+V20*1.018</f>
        <v>1547.017868</v>
      </c>
      <c r="Y20" s="7"/>
      <c r="Z20" s="649">
        <f>+X20*1.018</f>
        <v>1574.86419</v>
      </c>
      <c r="AA20" s="7"/>
      <c r="AB20" s="649">
        <f>+Z20*1.018</f>
        <v>1603.211745</v>
      </c>
      <c r="AC20" s="7"/>
      <c r="AD20" s="649">
        <f>+AB20*1.018</f>
        <v>1632.069557</v>
      </c>
      <c r="AE20" s="7"/>
      <c r="AF20" s="649">
        <f>+AD20*1.018</f>
        <v>1661.446809</v>
      </c>
      <c r="AG20" s="7"/>
      <c r="AH20" s="649">
        <f>+AF20*1.018</f>
        <v>1691.352851</v>
      </c>
      <c r="AI20" s="7"/>
      <c r="AJ20" s="649">
        <f>+AH20*1.018</f>
        <v>1721.797203</v>
      </c>
      <c r="AK20" s="7"/>
      <c r="AL20" s="7"/>
      <c r="AM20" s="7"/>
      <c r="AN20" s="7"/>
      <c r="AO20" s="7"/>
      <c r="AP20" s="7"/>
      <c r="AQ20" s="7"/>
      <c r="AR20" s="7"/>
      <c r="AS20" s="7"/>
      <c r="AT20" s="7"/>
      <c r="AU20" s="7"/>
      <c r="AV20" s="7"/>
      <c r="AW20" s="7"/>
      <c r="AX20" s="7"/>
      <c r="AY20" s="7"/>
      <c r="AZ20" s="7"/>
      <c r="BA20" s="7"/>
      <c r="BB20" s="7"/>
      <c r="BC20" s="7"/>
      <c r="BD20" s="7"/>
      <c r="BE20" s="7"/>
      <c r="BF20" s="7"/>
    </row>
    <row r="21" ht="8.25" customHeight="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row>
    <row r="22" ht="14.25" customHeight="1">
      <c r="A22" s="835" t="s">
        <v>1784</v>
      </c>
      <c r="B22" s="277"/>
      <c r="C22" s="277"/>
      <c r="D22" s="277"/>
      <c r="E22" s="277"/>
      <c r="F22" s="277"/>
      <c r="G22" s="278"/>
      <c r="H22" s="836"/>
      <c r="I22" s="836"/>
      <c r="J22" s="836"/>
      <c r="K22" s="836"/>
      <c r="L22" s="836"/>
      <c r="M22" s="836"/>
      <c r="N22" s="836"/>
      <c r="O22" s="836"/>
      <c r="P22" s="836"/>
      <c r="Q22" s="836"/>
      <c r="R22" s="836"/>
      <c r="S22" s="836"/>
      <c r="T22" s="836"/>
      <c r="U22" s="836"/>
      <c r="V22" s="836"/>
      <c r="W22" s="836"/>
      <c r="X22" s="836"/>
      <c r="Y22" s="836"/>
      <c r="Z22" s="836"/>
      <c r="AA22" s="836"/>
      <c r="AB22" s="836"/>
      <c r="AC22" s="836"/>
      <c r="AD22" s="836"/>
      <c r="AE22" s="836"/>
      <c r="AF22" s="836"/>
      <c r="AG22" s="836"/>
      <c r="AH22" s="836"/>
      <c r="AI22" s="836"/>
      <c r="AJ22" s="836"/>
      <c r="AK22" s="837"/>
      <c r="AL22" s="7"/>
      <c r="AM22" s="7"/>
      <c r="AN22" s="7"/>
      <c r="AO22" s="7"/>
      <c r="AP22" s="7"/>
      <c r="AQ22" s="7"/>
      <c r="AR22" s="7"/>
      <c r="AS22" s="7"/>
      <c r="AT22" s="7"/>
      <c r="AU22" s="7"/>
      <c r="AV22" s="7"/>
      <c r="AW22" s="7"/>
      <c r="AX22" s="7"/>
      <c r="AY22" s="7"/>
      <c r="AZ22" s="7"/>
      <c r="BA22" s="7"/>
      <c r="BB22" s="7"/>
      <c r="BC22" s="7"/>
      <c r="BD22" s="7"/>
      <c r="BE22" s="7"/>
      <c r="BF22" s="7"/>
    </row>
    <row r="23" ht="14.25" customHeight="1">
      <c r="A23" s="864" t="s">
        <v>1649</v>
      </c>
      <c r="B23" s="864" t="s">
        <v>1650</v>
      </c>
      <c r="C23" s="893">
        <v>45901.0</v>
      </c>
      <c r="D23" s="840"/>
      <c r="E23" s="840"/>
      <c r="F23" s="840"/>
      <c r="G23" s="841"/>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row>
    <row r="24" ht="14.25" customHeight="1">
      <c r="A24" s="786"/>
      <c r="B24" s="786"/>
      <c r="C24" s="846" t="s">
        <v>1659</v>
      </c>
      <c r="D24" s="847" t="s">
        <v>1660</v>
      </c>
      <c r="E24" s="847" t="s">
        <v>1661</v>
      </c>
      <c r="F24" s="848" t="s">
        <v>1639</v>
      </c>
      <c r="G24" s="846" t="s">
        <v>1769</v>
      </c>
      <c r="H24" s="7"/>
      <c r="I24" s="894"/>
      <c r="J24" s="7"/>
      <c r="K24" s="7"/>
      <c r="L24" s="7"/>
      <c r="M24" s="7"/>
      <c r="N24" s="7"/>
      <c r="O24" s="895" t="s">
        <v>1785</v>
      </c>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row>
    <row r="25" ht="14.25" customHeight="1">
      <c r="A25" s="852">
        <v>5081.0</v>
      </c>
      <c r="B25" s="853" t="s">
        <v>1786</v>
      </c>
      <c r="C25" s="854">
        <v>76780.0</v>
      </c>
      <c r="D25" s="855">
        <v>3.10179467105905E9</v>
      </c>
      <c r="E25" s="856">
        <f>D25/C25</f>
        <v>40398.47188</v>
      </c>
      <c r="F25" s="896">
        <v>0.004</v>
      </c>
      <c r="G25" s="858">
        <f>D25*F25</f>
        <v>12407178.68</v>
      </c>
      <c r="H25" s="312"/>
      <c r="I25" s="859">
        <f>+G25*(1+H35)</f>
        <v>12692543.79</v>
      </c>
      <c r="J25" s="312"/>
      <c r="K25" s="859">
        <f>+I25*(1+J35)</f>
        <v>12946394.67</v>
      </c>
      <c r="L25" s="312"/>
      <c r="M25" s="859">
        <f>+K25*(1+L35)</f>
        <v>13205322.56</v>
      </c>
      <c r="N25" s="312"/>
      <c r="O25" s="859">
        <f>+M25*(1+N35)*1.05</f>
        <v>14267690.76</v>
      </c>
      <c r="P25" s="312"/>
      <c r="Q25" s="859">
        <f>+O25*(1+P35)*1.05</f>
        <v>15415526.49</v>
      </c>
      <c r="R25" s="312"/>
      <c r="S25" s="859">
        <f>+Q25*(1+R35)*1.05</f>
        <v>16736637.11</v>
      </c>
      <c r="T25" s="312"/>
      <c r="U25" s="859">
        <f>+S25*(1+T35)*1.05</f>
        <v>18030379.15</v>
      </c>
      <c r="V25" s="312"/>
      <c r="W25" s="859">
        <f>+U25*(1+V35)*1.05</f>
        <v>19480923.16</v>
      </c>
      <c r="X25" s="312"/>
      <c r="Y25" s="859">
        <f>+W25*(1+X35)*1.05</f>
        <v>21048163.42</v>
      </c>
      <c r="Z25" s="312"/>
      <c r="AA25" s="859">
        <f>+Y25*(1+Z35)*1.05</f>
        <v>22741488.17</v>
      </c>
      <c r="AB25" s="312"/>
      <c r="AC25" s="859">
        <f>+AA25*(1+AB35)*1.05</f>
        <v>24571040.9</v>
      </c>
      <c r="AD25" s="312"/>
      <c r="AE25" s="859">
        <f>+AC25*(1+AD35)*1.05</f>
        <v>26547781.14</v>
      </c>
      <c r="AF25" s="312"/>
      <c r="AG25" s="859">
        <f>+AE25*(1+AF35)*1.05</f>
        <v>28683550.13</v>
      </c>
      <c r="AH25" s="312"/>
      <c r="AI25" s="859">
        <f>+AG25*(1+AH35)*1.05</f>
        <v>30991141.74</v>
      </c>
      <c r="AJ25" s="312"/>
      <c r="AK25" s="859">
        <f>+AI25*(1+AJ35)*1.05</f>
        <v>33484379.09</v>
      </c>
      <c r="AL25" s="174">
        <f>+AK25/O25</f>
        <v>2.346867453</v>
      </c>
      <c r="AM25" s="7"/>
      <c r="AN25" s="7"/>
      <c r="AO25" s="7"/>
      <c r="AP25" s="7"/>
      <c r="AQ25" s="7"/>
      <c r="AR25" s="7"/>
      <c r="AS25" s="7"/>
      <c r="AT25" s="7"/>
      <c r="AU25" s="7"/>
      <c r="AV25" s="7"/>
      <c r="AW25" s="7"/>
      <c r="AX25" s="7"/>
      <c r="AY25" s="7"/>
      <c r="AZ25" s="7"/>
      <c r="BA25" s="7"/>
      <c r="BB25" s="7"/>
      <c r="BC25" s="7"/>
      <c r="BD25" s="7"/>
      <c r="BE25" s="7"/>
      <c r="BF25" s="7"/>
    </row>
    <row r="26" ht="8.25" customHeight="1">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row>
    <row r="27" ht="30.75" customHeight="1">
      <c r="A27" s="7"/>
      <c r="B27" s="7"/>
      <c r="C27" s="7"/>
      <c r="D27" s="7"/>
      <c r="E27" s="897" t="s">
        <v>1787</v>
      </c>
      <c r="F27" s="277"/>
      <c r="G27" s="278"/>
      <c r="H27" s="898"/>
      <c r="I27" s="898"/>
      <c r="J27" s="898"/>
      <c r="K27" s="898"/>
      <c r="L27" s="898"/>
      <c r="M27" s="898"/>
      <c r="N27" s="898"/>
      <c r="O27" s="898"/>
      <c r="P27" s="898"/>
      <c r="Q27" s="898"/>
      <c r="R27" s="898"/>
      <c r="S27" s="898"/>
      <c r="T27" s="898"/>
      <c r="U27" s="898"/>
      <c r="V27" s="898"/>
      <c r="W27" s="898"/>
      <c r="X27" s="898"/>
      <c r="Y27" s="898"/>
      <c r="Z27" s="898"/>
      <c r="AA27" s="898"/>
      <c r="AB27" s="898"/>
      <c r="AC27" s="898"/>
      <c r="AD27" s="898"/>
      <c r="AE27" s="898"/>
      <c r="AF27" s="898"/>
      <c r="AG27" s="898"/>
      <c r="AH27" s="898"/>
      <c r="AI27" s="898"/>
      <c r="AJ27" s="898"/>
      <c r="AK27" s="898"/>
      <c r="AL27" s="7"/>
      <c r="AM27" s="7"/>
      <c r="AN27" s="7"/>
      <c r="AO27" s="7"/>
      <c r="AP27" s="7"/>
      <c r="AQ27" s="7"/>
      <c r="AR27" s="7"/>
      <c r="AS27" s="7"/>
      <c r="AT27" s="7"/>
      <c r="AU27" s="7"/>
      <c r="AV27" s="7"/>
      <c r="AW27" s="7"/>
      <c r="AX27" s="7"/>
      <c r="AY27" s="7"/>
      <c r="AZ27" s="7"/>
      <c r="BA27" s="7"/>
      <c r="BB27" s="7"/>
      <c r="BC27" s="7"/>
      <c r="BD27" s="7"/>
      <c r="BE27" s="7"/>
      <c r="BF27" s="7"/>
    </row>
    <row r="28" ht="14.25" customHeight="1">
      <c r="A28" s="895" t="s">
        <v>1785</v>
      </c>
      <c r="B28" s="7"/>
      <c r="C28" s="7"/>
      <c r="D28" s="7"/>
      <c r="E28" s="637" t="s">
        <v>1649</v>
      </c>
      <c r="F28" s="637" t="s">
        <v>1650</v>
      </c>
      <c r="G28" s="899">
        <v>45901.0</v>
      </c>
      <c r="H28" s="900">
        <f>+H9</f>
        <v>45957</v>
      </c>
      <c r="I28" s="901"/>
      <c r="J28" s="902">
        <f>+J9</f>
        <v>45987</v>
      </c>
      <c r="K28" s="901"/>
      <c r="L28" s="902">
        <f>+L9</f>
        <v>46017</v>
      </c>
      <c r="M28" s="901"/>
      <c r="N28" s="902">
        <f>+N9</f>
        <v>46047</v>
      </c>
      <c r="O28" s="901"/>
      <c r="P28" s="902">
        <f>+P9</f>
        <v>46077</v>
      </c>
      <c r="Q28" s="901"/>
      <c r="R28" s="902">
        <f>+R9</f>
        <v>46107</v>
      </c>
      <c r="S28" s="901"/>
      <c r="T28" s="902">
        <f>+T9</f>
        <v>46142</v>
      </c>
      <c r="U28" s="901"/>
      <c r="V28" s="902">
        <f>+V9</f>
        <v>46172</v>
      </c>
      <c r="W28" s="901"/>
      <c r="X28" s="902">
        <f>+X9</f>
        <v>46202</v>
      </c>
      <c r="Y28" s="901"/>
      <c r="Z28" s="902">
        <f>+Z9</f>
        <v>46232</v>
      </c>
      <c r="AA28" s="901"/>
      <c r="AB28" s="902">
        <f>+AB9</f>
        <v>46262</v>
      </c>
      <c r="AC28" s="901"/>
      <c r="AD28" s="902">
        <f>+AD9</f>
        <v>46292</v>
      </c>
      <c r="AE28" s="901"/>
      <c r="AF28" s="902">
        <f>+AF9</f>
        <v>46322</v>
      </c>
      <c r="AG28" s="901"/>
      <c r="AH28" s="902">
        <f>+AH9</f>
        <v>46352</v>
      </c>
      <c r="AI28" s="901"/>
      <c r="AJ28" s="902">
        <f>+AJ9</f>
        <v>46382</v>
      </c>
      <c r="AK28" s="903"/>
      <c r="AL28" s="7"/>
      <c r="AM28" s="7"/>
      <c r="AN28" s="7"/>
      <c r="AO28" s="7"/>
      <c r="AP28" s="7"/>
      <c r="AQ28" s="7"/>
      <c r="AR28" s="7"/>
      <c r="AS28" s="7"/>
      <c r="AT28" s="7"/>
      <c r="AU28" s="7"/>
      <c r="AV28" s="7"/>
      <c r="AW28" s="7"/>
      <c r="AX28" s="7"/>
      <c r="AY28" s="7"/>
      <c r="AZ28" s="7"/>
      <c r="BA28" s="7"/>
      <c r="BB28" s="7"/>
      <c r="BC28" s="7"/>
      <c r="BD28" s="7"/>
      <c r="BE28" s="7"/>
      <c r="BF28" s="7"/>
    </row>
    <row r="29" ht="14.25" customHeight="1">
      <c r="A29" s="904" t="s">
        <v>1788</v>
      </c>
      <c r="B29" s="7"/>
      <c r="C29" s="7"/>
      <c r="D29" s="7"/>
      <c r="E29" s="617"/>
      <c r="F29" s="617"/>
      <c r="G29" s="905" t="s">
        <v>1524</v>
      </c>
      <c r="H29" s="906"/>
      <c r="I29" s="767"/>
      <c r="J29" s="708"/>
      <c r="K29" s="767"/>
      <c r="L29" s="708"/>
      <c r="M29" s="767"/>
      <c r="N29" s="708"/>
      <c r="O29" s="767"/>
      <c r="P29" s="708"/>
      <c r="Q29" s="767"/>
      <c r="R29" s="708"/>
      <c r="S29" s="767"/>
      <c r="T29" s="708"/>
      <c r="U29" s="767"/>
      <c r="V29" s="708"/>
      <c r="W29" s="767"/>
      <c r="X29" s="708"/>
      <c r="Y29" s="767"/>
      <c r="Z29" s="708"/>
      <c r="AA29" s="767"/>
      <c r="AB29" s="708"/>
      <c r="AC29" s="767"/>
      <c r="AD29" s="708"/>
      <c r="AE29" s="767"/>
      <c r="AF29" s="708"/>
      <c r="AG29" s="767"/>
      <c r="AH29" s="708"/>
      <c r="AI29" s="767"/>
      <c r="AJ29" s="708"/>
      <c r="AK29" s="907"/>
      <c r="AL29" s="7"/>
      <c r="AM29" s="7"/>
      <c r="AN29" s="7"/>
      <c r="AO29" s="7"/>
      <c r="AP29" s="7"/>
      <c r="AQ29" s="7"/>
      <c r="AR29" s="7"/>
      <c r="AS29" s="7"/>
      <c r="AT29" s="7"/>
      <c r="AU29" s="7"/>
      <c r="AV29" s="7"/>
      <c r="AW29" s="7"/>
      <c r="AX29" s="7"/>
      <c r="AY29" s="7"/>
      <c r="AZ29" s="7"/>
      <c r="BA29" s="7"/>
      <c r="BB29" s="7"/>
      <c r="BC29" s="7"/>
      <c r="BD29" s="7"/>
      <c r="BE29" s="7"/>
      <c r="BF29" s="7"/>
    </row>
    <row r="30" ht="14.25" customHeight="1">
      <c r="A30" s="904" t="s">
        <v>1789</v>
      </c>
      <c r="B30" s="7"/>
      <c r="C30" s="7"/>
      <c r="D30" s="7"/>
      <c r="E30" s="651">
        <v>5080.0</v>
      </c>
      <c r="F30" s="312" t="s">
        <v>1790</v>
      </c>
      <c r="G30" s="908">
        <f>+G11</f>
        <v>1342964.353</v>
      </c>
      <c r="H30" s="909"/>
      <c r="I30" s="876">
        <f>+I11</f>
        <v>1373852.533</v>
      </c>
      <c r="J30" s="312"/>
      <c r="K30" s="876">
        <f>+K11</f>
        <v>1401329.584</v>
      </c>
      <c r="L30" s="312"/>
      <c r="M30" s="876">
        <f>+M11</f>
        <v>1429356.175</v>
      </c>
      <c r="N30" s="312"/>
      <c r="O30" s="876">
        <f>+O11</f>
        <v>1470807.504</v>
      </c>
      <c r="P30" s="312"/>
      <c r="Q30" s="876">
        <f>+Q11</f>
        <v>1513460.922</v>
      </c>
      <c r="R30" s="312"/>
      <c r="S30" s="876">
        <f>+S11</f>
        <v>1564918.593</v>
      </c>
      <c r="T30" s="312"/>
      <c r="U30" s="876">
        <f>+U11</f>
        <v>1605606.477</v>
      </c>
      <c r="V30" s="312"/>
      <c r="W30" s="876">
        <f>+W11</f>
        <v>1652169.065</v>
      </c>
      <c r="X30" s="312"/>
      <c r="Y30" s="876">
        <f>+Y11</f>
        <v>1700081.968</v>
      </c>
      <c r="Z30" s="312"/>
      <c r="AA30" s="876">
        <f>+AA11</f>
        <v>1749384.345</v>
      </c>
      <c r="AB30" s="312"/>
      <c r="AC30" s="876">
        <f>+AC11</f>
        <v>1800116.491</v>
      </c>
      <c r="AD30" s="312"/>
      <c r="AE30" s="876">
        <f>+AE11</f>
        <v>1852319.869</v>
      </c>
      <c r="AF30" s="312"/>
      <c r="AG30" s="876">
        <f>+AG11</f>
        <v>1906037.145</v>
      </c>
      <c r="AH30" s="312"/>
      <c r="AI30" s="876">
        <f>+AI11</f>
        <v>1961312.222</v>
      </c>
      <c r="AJ30" s="312"/>
      <c r="AK30" s="910">
        <f>+AK11</f>
        <v>2018190.277</v>
      </c>
      <c r="AL30" s="174">
        <f t="shared" ref="AL30:AL32" si="4">+AK30/O30</f>
        <v>1.372164794</v>
      </c>
      <c r="AM30" s="7"/>
      <c r="AN30" s="7"/>
      <c r="AO30" s="7"/>
      <c r="AP30" s="7"/>
      <c r="AQ30" s="7"/>
      <c r="AR30" s="7"/>
      <c r="AS30" s="7"/>
      <c r="AT30" s="7"/>
      <c r="AU30" s="7"/>
      <c r="AV30" s="7"/>
      <c r="AW30" s="7"/>
      <c r="AX30" s="7"/>
      <c r="AY30" s="7"/>
      <c r="AZ30" s="7"/>
      <c r="BA30" s="7"/>
      <c r="BB30" s="7"/>
      <c r="BC30" s="7"/>
      <c r="BD30" s="7"/>
      <c r="BE30" s="7"/>
      <c r="BF30" s="7"/>
    </row>
    <row r="31" ht="14.25" customHeight="1">
      <c r="A31" s="7"/>
      <c r="B31" s="7"/>
      <c r="C31" s="7"/>
      <c r="D31" s="7"/>
      <c r="E31" s="651">
        <v>5080.0</v>
      </c>
      <c r="F31" s="312" t="s">
        <v>1791</v>
      </c>
      <c r="G31" s="908">
        <f>G18</f>
        <v>8827065.969</v>
      </c>
      <c r="H31" s="909"/>
      <c r="I31" s="876">
        <f>+I18</f>
        <v>9334684.324</v>
      </c>
      <c r="J31" s="312"/>
      <c r="K31" s="876">
        <f>+K18</f>
        <v>9483234.544</v>
      </c>
      <c r="L31" s="312"/>
      <c r="M31" s="876">
        <f>+M18</f>
        <v>9634458.668</v>
      </c>
      <c r="N31" s="312"/>
      <c r="O31" s="876">
        <f>+O18</f>
        <v>8936623.62</v>
      </c>
      <c r="P31" s="312"/>
      <c r="Q31" s="876">
        <f>+Q18</f>
        <v>9076755.995</v>
      </c>
      <c r="R31" s="312"/>
      <c r="S31" s="876">
        <f>+S18</f>
        <v>9219410.752</v>
      </c>
      <c r="T31" s="312"/>
      <c r="U31" s="876">
        <f>+U18</f>
        <v>9473842.604</v>
      </c>
      <c r="V31" s="312"/>
      <c r="W31" s="876">
        <f>+W18</f>
        <v>9621679.153</v>
      </c>
      <c r="X31" s="312"/>
      <c r="Y31" s="876">
        <f>+Y18</f>
        <v>9772176.759</v>
      </c>
      <c r="Z31" s="312"/>
      <c r="AA31" s="876">
        <f>+AA18</f>
        <v>10034271.16</v>
      </c>
      <c r="AB31" s="312"/>
      <c r="AC31" s="876">
        <f>+AC18</f>
        <v>10190235.44</v>
      </c>
      <c r="AD31" s="312"/>
      <c r="AE31" s="876">
        <f>+AE18</f>
        <v>10349007.08</v>
      </c>
      <c r="AF31" s="312"/>
      <c r="AG31" s="876">
        <f>+AG18</f>
        <v>10633279.72</v>
      </c>
      <c r="AH31" s="312"/>
      <c r="AI31" s="876">
        <f>+AI18</f>
        <v>10797818.58</v>
      </c>
      <c r="AJ31" s="312"/>
      <c r="AK31" s="910">
        <f>+AK18</f>
        <v>10965319.13</v>
      </c>
      <c r="AL31" s="174">
        <f t="shared" si="4"/>
        <v>1.22700917</v>
      </c>
      <c r="AM31" s="7"/>
      <c r="AN31" s="7"/>
      <c r="AO31" s="7"/>
      <c r="AP31" s="7"/>
      <c r="AQ31" s="7"/>
      <c r="AR31" s="7"/>
      <c r="AS31" s="7"/>
      <c r="AT31" s="7"/>
      <c r="AU31" s="7"/>
      <c r="AV31" s="7"/>
      <c r="AW31" s="7"/>
      <c r="AX31" s="7"/>
      <c r="AY31" s="7"/>
      <c r="AZ31" s="7"/>
      <c r="BA31" s="7"/>
      <c r="BB31" s="7"/>
      <c r="BC31" s="7"/>
      <c r="BD31" s="7"/>
      <c r="BE31" s="7"/>
      <c r="BF31" s="7"/>
    </row>
    <row r="32" ht="14.25" customHeight="1">
      <c r="A32" s="7"/>
      <c r="B32" s="7"/>
      <c r="C32" s="7"/>
      <c r="D32" s="7"/>
      <c r="E32" s="651">
        <v>5081.0</v>
      </c>
      <c r="F32" s="312" t="s">
        <v>1792</v>
      </c>
      <c r="G32" s="908">
        <f>G25</f>
        <v>12407178.68</v>
      </c>
      <c r="H32" s="909"/>
      <c r="I32" s="876">
        <f>+I25</f>
        <v>12692543.79</v>
      </c>
      <c r="J32" s="312"/>
      <c r="K32" s="876">
        <f>+K25</f>
        <v>12946394.67</v>
      </c>
      <c r="L32" s="312"/>
      <c r="M32" s="876">
        <f>+M25</f>
        <v>13205322.56</v>
      </c>
      <c r="N32" s="312"/>
      <c r="O32" s="876">
        <f>+O25</f>
        <v>14267690.76</v>
      </c>
      <c r="P32" s="312"/>
      <c r="Q32" s="876">
        <f>+Q25</f>
        <v>15415526.49</v>
      </c>
      <c r="R32" s="312"/>
      <c r="S32" s="876">
        <f>+S25</f>
        <v>16736637.11</v>
      </c>
      <c r="T32" s="312"/>
      <c r="U32" s="876">
        <f>+U25</f>
        <v>18030379.15</v>
      </c>
      <c r="V32" s="312"/>
      <c r="W32" s="876">
        <f>+W25</f>
        <v>19480923.16</v>
      </c>
      <c r="X32" s="312"/>
      <c r="Y32" s="876">
        <f>+Y25</f>
        <v>21048163.42</v>
      </c>
      <c r="Z32" s="312"/>
      <c r="AA32" s="876">
        <f>+AA25</f>
        <v>22741488.17</v>
      </c>
      <c r="AB32" s="312"/>
      <c r="AC32" s="876">
        <f>+AC25</f>
        <v>24571040.9</v>
      </c>
      <c r="AD32" s="312"/>
      <c r="AE32" s="876">
        <f>+AE25</f>
        <v>26547781.14</v>
      </c>
      <c r="AF32" s="312"/>
      <c r="AG32" s="876">
        <f>+AG25</f>
        <v>28683550.13</v>
      </c>
      <c r="AH32" s="312"/>
      <c r="AI32" s="876">
        <f>+AI25</f>
        <v>30991141.74</v>
      </c>
      <c r="AJ32" s="312"/>
      <c r="AK32" s="910">
        <f>+AK25</f>
        <v>33484379.09</v>
      </c>
      <c r="AL32" s="174">
        <f t="shared" si="4"/>
        <v>2.346867453</v>
      </c>
      <c r="AM32" s="7"/>
      <c r="AN32" s="7"/>
      <c r="AO32" s="7"/>
      <c r="AP32" s="7"/>
      <c r="AQ32" s="7"/>
      <c r="AR32" s="7"/>
      <c r="AS32" s="7"/>
      <c r="AT32" s="7"/>
      <c r="AU32" s="7"/>
      <c r="AV32" s="7"/>
      <c r="AW32" s="7"/>
      <c r="AX32" s="7"/>
      <c r="AY32" s="7"/>
      <c r="AZ32" s="7"/>
      <c r="BA32" s="7"/>
      <c r="BB32" s="7"/>
      <c r="BC32" s="7"/>
      <c r="BD32" s="7"/>
      <c r="BE32" s="7"/>
      <c r="BF32" s="7"/>
    </row>
    <row r="33" ht="14.25" customHeight="1">
      <c r="A33" s="7"/>
      <c r="B33" s="7"/>
      <c r="C33" s="7"/>
      <c r="D33" s="7"/>
      <c r="E33" s="911" t="s">
        <v>320</v>
      </c>
      <c r="F33" s="278"/>
      <c r="G33" s="912">
        <f>G30+G31+G32</f>
        <v>22577209.01</v>
      </c>
      <c r="H33" s="913"/>
      <c r="I33" s="914">
        <f>SUM(I30:I32)</f>
        <v>23401080.65</v>
      </c>
      <c r="J33" s="915"/>
      <c r="K33" s="915">
        <f>SUM(K30:K32)</f>
        <v>23830958.8</v>
      </c>
      <c r="L33" s="915"/>
      <c r="M33" s="915">
        <f>SUM(M30:M32)</f>
        <v>24269137.41</v>
      </c>
      <c r="N33" s="915"/>
      <c r="O33" s="915">
        <f>SUM(O30:O32)</f>
        <v>24675121.89</v>
      </c>
      <c r="P33" s="915"/>
      <c r="Q33" s="915">
        <f>SUM(Q30:Q32)</f>
        <v>26005743.4</v>
      </c>
      <c r="R33" s="915"/>
      <c r="S33" s="915">
        <f>SUM(S30:S32)</f>
        <v>27520966.45</v>
      </c>
      <c r="T33" s="915"/>
      <c r="U33" s="915">
        <f>SUM(U30:U32)</f>
        <v>29109828.23</v>
      </c>
      <c r="V33" s="915"/>
      <c r="W33" s="915">
        <f>SUM(W30:W32)</f>
        <v>30754771.37</v>
      </c>
      <c r="X33" s="915"/>
      <c r="Y33" s="915">
        <f>SUM(Y30:Y32)</f>
        <v>32520422.15</v>
      </c>
      <c r="Z33" s="915"/>
      <c r="AA33" s="915">
        <f>SUM(AA30:AA32)</f>
        <v>34525143.68</v>
      </c>
      <c r="AB33" s="915"/>
      <c r="AC33" s="915">
        <f>SUM(AC30:AC32)</f>
        <v>36561392.83</v>
      </c>
      <c r="AD33" s="915"/>
      <c r="AE33" s="915">
        <f>SUM(AE30:AE32)</f>
        <v>38749108.09</v>
      </c>
      <c r="AF33" s="915"/>
      <c r="AG33" s="915">
        <f>SUM(AG30:AG32)</f>
        <v>41222866.99</v>
      </c>
      <c r="AH33" s="915"/>
      <c r="AI33" s="915">
        <f>SUM(AI30:AI32)</f>
        <v>43750272.53</v>
      </c>
      <c r="AJ33" s="915"/>
      <c r="AK33" s="916">
        <f>SUM(AK30:AK32)</f>
        <v>46467888.5</v>
      </c>
      <c r="AL33" s="791">
        <f>SUM(N33:AK33)</f>
        <v>411863526.1</v>
      </c>
      <c r="AM33" s="7"/>
      <c r="AN33" s="7"/>
      <c r="AO33" s="7"/>
      <c r="AP33" s="7"/>
      <c r="AQ33" s="7"/>
      <c r="AR33" s="7"/>
      <c r="AS33" s="7"/>
      <c r="AT33" s="7"/>
      <c r="AU33" s="7"/>
      <c r="AV33" s="7"/>
      <c r="AW33" s="7"/>
      <c r="AX33" s="7"/>
      <c r="AY33" s="7"/>
      <c r="AZ33" s="7"/>
      <c r="BA33" s="7"/>
      <c r="BB33" s="7"/>
      <c r="BC33" s="7"/>
      <c r="BD33" s="7"/>
      <c r="BE33" s="7"/>
      <c r="BF33" s="7"/>
    </row>
    <row r="34" ht="14.2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row>
    <row r="35" ht="14.25" customHeight="1">
      <c r="A35" s="7"/>
      <c r="B35" s="7"/>
      <c r="C35" s="7"/>
      <c r="D35" s="7"/>
      <c r="E35" s="7"/>
      <c r="F35" s="422"/>
      <c r="G35" s="422" t="s">
        <v>1743</v>
      </c>
      <c r="H35" s="793">
        <f t="array" ref="H35:I35">+'Panalab Man'!D13:E13</f>
        <v>0.023</v>
      </c>
      <c r="I35" s="278"/>
      <c r="J35" s="793">
        <f t="array" ref="J35:K35">+'Panalab Man'!F13:G13</f>
        <v>0.02</v>
      </c>
      <c r="K35" s="278"/>
      <c r="L35" s="793">
        <f t="array" ref="L35:M35">+'Panalab Man'!H13:I13</f>
        <v>0.02</v>
      </c>
      <c r="M35" s="278"/>
      <c r="N35" s="793">
        <f t="array" ref="N35:O35">+'Panalab Man'!J13:K13</f>
        <v>0.029</v>
      </c>
      <c r="O35" s="278"/>
      <c r="P35" s="793">
        <f t="array" ref="P35:Q35">+'Panalab Man'!L13:M13</f>
        <v>0.029</v>
      </c>
      <c r="Q35" s="278"/>
      <c r="R35" s="793">
        <f t="array" ref="R35:S35">+'Panalab Man'!N13:O13</f>
        <v>0.034</v>
      </c>
      <c r="S35" s="278"/>
      <c r="T35" s="793">
        <f t="array" ref="T35:U35">+'Panalab Man'!P13:Q13</f>
        <v>0.026</v>
      </c>
      <c r="U35" s="278"/>
      <c r="V35" s="793">
        <f t="array" ref="V35:W35">+'Panalab Man'!R13:S13</f>
        <v>0.029</v>
      </c>
      <c r="W35" s="278"/>
      <c r="X35" s="793">
        <f t="array" ref="X35:Y35">+'Panalab Man'!T13:U13</f>
        <v>0.029</v>
      </c>
      <c r="Y35" s="278"/>
      <c r="Z35" s="793">
        <f t="array" ref="Z35:AA35">+'Panalab Man'!V13:W13</f>
        <v>0.029</v>
      </c>
      <c r="AA35" s="278"/>
      <c r="AB35" s="793">
        <f t="array" ref="AB35:AC35">+'Panalab Man'!X13:Y13</f>
        <v>0.029</v>
      </c>
      <c r="AC35" s="278"/>
      <c r="AD35" s="793">
        <f t="array" ref="AD35:AE35">+'Panalab Man'!Z13:AA13</f>
        <v>0.029</v>
      </c>
      <c r="AE35" s="278"/>
      <c r="AF35" s="793">
        <f t="array" ref="AF35:AG35">+'Panalab Man'!AB13:AC13</f>
        <v>0.029</v>
      </c>
      <c r="AG35" s="278"/>
      <c r="AH35" s="793">
        <f t="array" ref="AH35:AI35">+'Panalab Man'!AD13:AE13</f>
        <v>0.029</v>
      </c>
      <c r="AI35" s="278"/>
      <c r="AJ35" s="793">
        <f t="array" ref="AJ35:AK35">+'Panalab Man'!AF13:AG13</f>
        <v>0.029</v>
      </c>
      <c r="AK35" s="278"/>
      <c r="AL35" s="7"/>
      <c r="AM35" s="7"/>
      <c r="AN35" s="7"/>
      <c r="AO35" s="7"/>
      <c r="AP35" s="7"/>
      <c r="AQ35" s="7"/>
      <c r="AR35" s="7"/>
      <c r="AS35" s="7"/>
      <c r="AT35" s="7"/>
      <c r="AU35" s="7"/>
      <c r="AV35" s="7"/>
      <c r="AW35" s="7"/>
      <c r="AX35" s="7"/>
      <c r="AY35" s="7"/>
      <c r="AZ35" s="7"/>
      <c r="BA35" s="7"/>
      <c r="BB35" s="7"/>
      <c r="BC35" s="7"/>
      <c r="BD35" s="7"/>
      <c r="BE35" s="7"/>
      <c r="BF35" s="7"/>
    </row>
    <row r="36" ht="14.25" customHeight="1">
      <c r="A36" s="917"/>
      <c r="B36" s="917"/>
      <c r="C36" s="917"/>
      <c r="D36" s="917"/>
      <c r="E36" s="918">
        <v>0.025</v>
      </c>
      <c r="F36" s="918">
        <v>0.016</v>
      </c>
      <c r="G36" s="918">
        <v>0.022</v>
      </c>
      <c r="H36" s="919">
        <f>1*(1+E36)*(1+F36)*(1+G36)</f>
        <v>1.0643108</v>
      </c>
      <c r="I36" s="917"/>
      <c r="J36" s="917"/>
      <c r="K36" s="917"/>
      <c r="L36" s="917"/>
      <c r="M36" s="917"/>
      <c r="N36" s="919">
        <f>1*(1+H35)*(1+J35)*(1+L35)</f>
        <v>1.0643292</v>
      </c>
      <c r="O36" s="917"/>
      <c r="P36" s="917"/>
      <c r="Q36" s="917"/>
      <c r="R36" s="917"/>
      <c r="S36" s="917"/>
      <c r="T36" s="919">
        <f>1*(1+N35)*(1+P35)*(1+R35)</f>
        <v>1.094841594</v>
      </c>
      <c r="U36" s="917"/>
      <c r="V36" s="917"/>
      <c r="W36" s="917"/>
      <c r="X36" s="917"/>
      <c r="Y36" s="917"/>
      <c r="Z36" s="919">
        <f>1*(1+T35)*(1+V35)*(1+X35)</f>
        <v>1.086370866</v>
      </c>
      <c r="AA36" s="917"/>
      <c r="AB36" s="917"/>
      <c r="AC36" s="917"/>
      <c r="AD36" s="917"/>
      <c r="AE36" s="917"/>
      <c r="AF36" s="919">
        <f>1*(1+Z35)*(1+AB35)*(1+AD35)</f>
        <v>1.089547389</v>
      </c>
      <c r="AG36" s="917"/>
      <c r="AH36" s="917"/>
      <c r="AI36" s="917"/>
      <c r="AJ36" s="917"/>
      <c r="AK36" s="917"/>
      <c r="AL36" s="917"/>
      <c r="AM36" s="7"/>
      <c r="AN36" s="7"/>
      <c r="AO36" s="7"/>
      <c r="AP36" s="7"/>
      <c r="AQ36" s="7"/>
      <c r="AR36" s="7"/>
      <c r="AS36" s="7"/>
      <c r="AT36" s="7"/>
      <c r="AU36" s="7"/>
      <c r="AV36" s="7"/>
      <c r="AW36" s="7"/>
      <c r="AX36" s="7"/>
      <c r="AY36" s="7"/>
      <c r="AZ36" s="7"/>
      <c r="BA36" s="7"/>
      <c r="BB36" s="7"/>
      <c r="BC36" s="7"/>
      <c r="BD36" s="7"/>
      <c r="BE36" s="7"/>
      <c r="BF36" s="7"/>
    </row>
    <row r="37" ht="8.2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row>
    <row r="38" ht="14.25" customHeight="1">
      <c r="A38" s="898"/>
      <c r="B38" s="920" t="s">
        <v>1793</v>
      </c>
      <c r="C38" s="921" t="s">
        <v>1650</v>
      </c>
      <c r="D38" s="706"/>
      <c r="E38" s="922">
        <v>45901.0</v>
      </c>
      <c r="F38" s="840"/>
      <c r="G38" s="866"/>
      <c r="H38" s="923">
        <f>+H28</f>
        <v>45957</v>
      </c>
      <c r="I38" s="924"/>
      <c r="J38" s="923">
        <f>+J28</f>
        <v>45987</v>
      </c>
      <c r="K38" s="924"/>
      <c r="L38" s="923">
        <f>+L28</f>
        <v>46017</v>
      </c>
      <c r="M38" s="924"/>
      <c r="N38" s="923">
        <f>+N28</f>
        <v>46047</v>
      </c>
      <c r="O38" s="924"/>
      <c r="P38" s="923">
        <f>+P28</f>
        <v>46077</v>
      </c>
      <c r="Q38" s="924"/>
      <c r="R38" s="923">
        <f>+R28</f>
        <v>46107</v>
      </c>
      <c r="S38" s="924"/>
      <c r="T38" s="923">
        <f>+T28</f>
        <v>46142</v>
      </c>
      <c r="U38" s="924"/>
      <c r="V38" s="923">
        <f>+V28</f>
        <v>46172</v>
      </c>
      <c r="W38" s="924"/>
      <c r="X38" s="923">
        <f>+X28</f>
        <v>46202</v>
      </c>
      <c r="Y38" s="924"/>
      <c r="Z38" s="923">
        <f>+Z28</f>
        <v>46232</v>
      </c>
      <c r="AA38" s="924"/>
      <c r="AB38" s="923">
        <f>+AB28</f>
        <v>46262</v>
      </c>
      <c r="AC38" s="924"/>
      <c r="AD38" s="923">
        <f>+AD28</f>
        <v>46292</v>
      </c>
      <c r="AE38" s="924"/>
      <c r="AF38" s="923">
        <f>+AF28</f>
        <v>46322</v>
      </c>
      <c r="AG38" s="924"/>
      <c r="AH38" s="923">
        <f>+AH28</f>
        <v>46352</v>
      </c>
      <c r="AI38" s="924"/>
      <c r="AJ38" s="923">
        <f>+AJ28</f>
        <v>46382</v>
      </c>
      <c r="AK38" s="924"/>
      <c r="AL38" s="7"/>
      <c r="AM38" s="7"/>
      <c r="AN38" s="7"/>
      <c r="AO38" s="7"/>
      <c r="AP38" s="7"/>
      <c r="AQ38" s="7"/>
      <c r="AR38" s="7"/>
      <c r="AS38" s="7"/>
      <c r="AT38" s="7"/>
      <c r="AU38" s="7"/>
      <c r="AV38" s="7"/>
      <c r="AW38" s="7"/>
      <c r="AX38" s="7"/>
      <c r="AY38" s="7"/>
      <c r="AZ38" s="7"/>
      <c r="BA38" s="7"/>
      <c r="BB38" s="7"/>
      <c r="BC38" s="7"/>
      <c r="BD38" s="7"/>
      <c r="BE38" s="7"/>
      <c r="BF38" s="7"/>
    </row>
    <row r="39" ht="14.25" customHeight="1">
      <c r="A39" s="7"/>
      <c r="B39" s="7"/>
      <c r="C39" s="849"/>
      <c r="D39" s="851"/>
      <c r="E39" s="925" t="s">
        <v>1524</v>
      </c>
      <c r="F39" s="926" t="s">
        <v>1520</v>
      </c>
      <c r="G39" s="926" t="s">
        <v>1781</v>
      </c>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row>
    <row r="40" ht="14.25" customHeight="1">
      <c r="A40" s="7"/>
      <c r="B40" s="7"/>
      <c r="C40" s="713" t="s">
        <v>1681</v>
      </c>
      <c r="D40" s="278"/>
      <c r="E40" s="658">
        <v>732919.71</v>
      </c>
      <c r="F40" s="651">
        <v>1.0</v>
      </c>
      <c r="G40" s="714">
        <f>E40*F40</f>
        <v>732919.71</v>
      </c>
      <c r="H40" s="312"/>
      <c r="I40" s="875">
        <f>+G40*H36</f>
        <v>780054.3629</v>
      </c>
      <c r="J40" s="312"/>
      <c r="K40" s="876">
        <f>+I40</f>
        <v>780054.3629</v>
      </c>
      <c r="L40" s="312"/>
      <c r="M40" s="876">
        <f>+K40</f>
        <v>780054.3629</v>
      </c>
      <c r="N40" s="312"/>
      <c r="O40" s="877">
        <f>+M40*N36</f>
        <v>830234.636</v>
      </c>
      <c r="P40" s="312"/>
      <c r="Q40" s="876">
        <f>+O40</f>
        <v>830234.636</v>
      </c>
      <c r="R40" s="312"/>
      <c r="S40" s="876">
        <f>+Q40</f>
        <v>830234.636</v>
      </c>
      <c r="T40" s="312"/>
      <c r="U40" s="877">
        <f>+S40*T36</f>
        <v>908975.4123</v>
      </c>
      <c r="V40" s="312"/>
      <c r="W40" s="876">
        <f>+U40</f>
        <v>908975.4123</v>
      </c>
      <c r="X40" s="312"/>
      <c r="Y40" s="876">
        <f>+W40</f>
        <v>908975.4123</v>
      </c>
      <c r="Z40" s="312"/>
      <c r="AA40" s="877">
        <f>+Y40*Z36</f>
        <v>987484.4058</v>
      </c>
      <c r="AB40" s="312"/>
      <c r="AC40" s="876">
        <f>+AA40</f>
        <v>987484.4058</v>
      </c>
      <c r="AD40" s="312"/>
      <c r="AE40" s="876">
        <f>+AC40</f>
        <v>987484.4058</v>
      </c>
      <c r="AF40" s="312"/>
      <c r="AG40" s="877">
        <f>+AE40*AF36</f>
        <v>1075911.056</v>
      </c>
      <c r="AH40" s="312"/>
      <c r="AI40" s="876">
        <f>+AG40</f>
        <v>1075911.056</v>
      </c>
      <c r="AJ40" s="312"/>
      <c r="AK40" s="876">
        <f>+AI40</f>
        <v>1075911.056</v>
      </c>
      <c r="AL40" s="174">
        <f t="shared" ref="AL40:AL42" si="5">+AK40/O40</f>
        <v>1.295912034</v>
      </c>
      <c r="AM40" s="7"/>
      <c r="AN40" s="7"/>
      <c r="AO40" s="7"/>
      <c r="AP40" s="7"/>
      <c r="AQ40" s="7"/>
      <c r="AR40" s="7"/>
      <c r="AS40" s="7"/>
      <c r="AT40" s="7"/>
      <c r="AU40" s="7"/>
      <c r="AV40" s="7"/>
      <c r="AW40" s="7"/>
      <c r="AX40" s="7"/>
      <c r="AY40" s="7"/>
      <c r="AZ40" s="7"/>
      <c r="BA40" s="7"/>
      <c r="BB40" s="7"/>
      <c r="BC40" s="7"/>
      <c r="BD40" s="7"/>
      <c r="BE40" s="7"/>
      <c r="BF40" s="7"/>
    </row>
    <row r="41" ht="14.25" customHeight="1">
      <c r="A41" s="7"/>
      <c r="B41" s="7"/>
      <c r="C41" s="713" t="s">
        <v>1682</v>
      </c>
      <c r="D41" s="278"/>
      <c r="E41" s="660">
        <v>0.1</v>
      </c>
      <c r="F41" s="661">
        <v>42322.0</v>
      </c>
      <c r="G41" s="714">
        <f>(E41*F41)*D20</f>
        <v>5988563</v>
      </c>
      <c r="H41" s="660">
        <f>+E41</f>
        <v>0.1</v>
      </c>
      <c r="I41" s="885">
        <f>+H41*$F$41*H20</f>
        <v>6348300</v>
      </c>
      <c r="J41" s="927">
        <f t="shared" ref="J41:J42" si="6">+H41</f>
        <v>0.1</v>
      </c>
      <c r="K41" s="876">
        <f>+J41*$F$41*J20</f>
        <v>6462569.4</v>
      </c>
      <c r="L41" s="927">
        <f t="shared" ref="L41:L42" si="7">+J41</f>
        <v>0.1</v>
      </c>
      <c r="M41" s="876">
        <f>+L41*$F$41*L20</f>
        <v>6578895.649</v>
      </c>
      <c r="N41" s="927">
        <f>+L41</f>
        <v>0.1</v>
      </c>
      <c r="O41" s="876">
        <f>+N41*$F$41*N20</f>
        <v>5988563</v>
      </c>
      <c r="P41" s="927">
        <f t="shared" ref="P41:P42" si="8">+N41</f>
        <v>0.1</v>
      </c>
      <c r="Q41" s="876">
        <f>+P41*$F$41*P20</f>
        <v>6096357.134</v>
      </c>
      <c r="R41" s="927">
        <f t="shared" ref="R41:R42" si="9">+P41</f>
        <v>0.1</v>
      </c>
      <c r="S41" s="876">
        <f>+R41*$F$41*R20</f>
        <v>6206091.562</v>
      </c>
      <c r="T41" s="927">
        <f>+R41</f>
        <v>0.1</v>
      </c>
      <c r="U41" s="876">
        <f>+T41*$F$41*T20</f>
        <v>6317801.211</v>
      </c>
      <c r="V41" s="927">
        <f t="shared" ref="V41:V42" si="10">+T41</f>
        <v>0.1</v>
      </c>
      <c r="W41" s="876">
        <f>+V41*$F$41*V20</f>
        <v>6431521.632</v>
      </c>
      <c r="X41" s="927">
        <f t="shared" ref="X41:X42" si="11">+V41</f>
        <v>0.1</v>
      </c>
      <c r="Y41" s="876">
        <f>+X41*$F$41*X20</f>
        <v>6547289.022</v>
      </c>
      <c r="Z41" s="927">
        <f>+X41</f>
        <v>0.1</v>
      </c>
      <c r="AA41" s="876">
        <f>+Z41*$F$41*Z20</f>
        <v>6665140.224</v>
      </c>
      <c r="AB41" s="927">
        <f t="shared" ref="AB41:AB42" si="12">+Z41</f>
        <v>0.1</v>
      </c>
      <c r="AC41" s="876">
        <f>+AB41*$F$41*AB20</f>
        <v>6785112.748</v>
      </c>
      <c r="AD41" s="927">
        <f t="shared" ref="AD41:AD42" si="13">+AB41</f>
        <v>0.1</v>
      </c>
      <c r="AE41" s="876">
        <f>+AD41*$F$41*AD20</f>
        <v>6907244.778</v>
      </c>
      <c r="AF41" s="927">
        <f>+AD41</f>
        <v>0.1</v>
      </c>
      <c r="AG41" s="876">
        <f>+AF41*$F$41*AF20</f>
        <v>7031575.184</v>
      </c>
      <c r="AH41" s="927">
        <f t="shared" ref="AH41:AH42" si="14">+AF41</f>
        <v>0.1</v>
      </c>
      <c r="AI41" s="876">
        <f>+AH41*$F$41*AH20</f>
        <v>7158143.537</v>
      </c>
      <c r="AJ41" s="927">
        <f t="shared" ref="AJ41:AJ42" si="15">+AH41</f>
        <v>0.1</v>
      </c>
      <c r="AK41" s="876">
        <f>+AJ41*$F$41*AJ20</f>
        <v>7286990.121</v>
      </c>
      <c r="AL41" s="174">
        <f t="shared" si="5"/>
        <v>1.216817811</v>
      </c>
      <c r="AM41" s="7"/>
      <c r="AN41" s="7"/>
      <c r="AO41" s="7"/>
      <c r="AP41" s="7"/>
      <c r="AQ41" s="7"/>
      <c r="AR41" s="7"/>
      <c r="AS41" s="7"/>
      <c r="AT41" s="7"/>
      <c r="AU41" s="7"/>
      <c r="AV41" s="7"/>
      <c r="AW41" s="7"/>
      <c r="AX41" s="7"/>
      <c r="AY41" s="7"/>
      <c r="AZ41" s="7"/>
      <c r="BA41" s="7"/>
      <c r="BB41" s="7"/>
      <c r="BC41" s="7"/>
      <c r="BD41" s="7"/>
      <c r="BE41" s="7"/>
      <c r="BF41" s="7"/>
    </row>
    <row r="42" ht="14.25" customHeight="1">
      <c r="A42" s="7"/>
      <c r="B42" s="7"/>
      <c r="C42" s="713" t="s">
        <v>1696</v>
      </c>
      <c r="D42" s="278"/>
      <c r="E42" s="658">
        <v>74.81</v>
      </c>
      <c r="F42" s="661">
        <v>4674.0</v>
      </c>
      <c r="G42" s="714">
        <f>(E42*F42)</f>
        <v>349661.94</v>
      </c>
      <c r="H42" s="658">
        <f>+E42*H36</f>
        <v>79.62109095</v>
      </c>
      <c r="I42" s="885">
        <f>+H42*$F$42</f>
        <v>372148.9791</v>
      </c>
      <c r="J42" s="658">
        <f t="shared" si="6"/>
        <v>79.62109095</v>
      </c>
      <c r="K42" s="658">
        <f>+J42*$F$42</f>
        <v>372148.9791</v>
      </c>
      <c r="L42" s="658">
        <f t="shared" si="7"/>
        <v>79.62109095</v>
      </c>
      <c r="M42" s="658">
        <f>+L42*$F$42</f>
        <v>372148.9791</v>
      </c>
      <c r="N42" s="658">
        <f>+L42*N36</f>
        <v>84.74305203</v>
      </c>
      <c r="O42" s="928">
        <f>+N42*$F$42</f>
        <v>396089.0252</v>
      </c>
      <c r="P42" s="658">
        <f t="shared" si="8"/>
        <v>84.74305203</v>
      </c>
      <c r="Q42" s="658">
        <f>+P42*$F$42</f>
        <v>396089.0252</v>
      </c>
      <c r="R42" s="658">
        <f t="shared" si="9"/>
        <v>84.74305203</v>
      </c>
      <c r="S42" s="658">
        <f>+R42*$F$42</f>
        <v>396089.0252</v>
      </c>
      <c r="T42" s="658">
        <f>+R42*T36</f>
        <v>92.78021817</v>
      </c>
      <c r="U42" s="877">
        <f>+T42*F42</f>
        <v>433654.7397</v>
      </c>
      <c r="V42" s="658">
        <f t="shared" si="10"/>
        <v>92.78021817</v>
      </c>
      <c r="W42" s="658">
        <f>+V42*$F$42</f>
        <v>433654.7397</v>
      </c>
      <c r="X42" s="658">
        <f t="shared" si="11"/>
        <v>92.78021817</v>
      </c>
      <c r="Y42" s="658">
        <f>+X42*$F$42</f>
        <v>433654.7397</v>
      </c>
      <c r="Z42" s="658">
        <f>+X42*Z36</f>
        <v>100.793726</v>
      </c>
      <c r="AA42" s="877">
        <f>+Z42*$F$42</f>
        <v>471109.8751</v>
      </c>
      <c r="AB42" s="658">
        <f t="shared" si="12"/>
        <v>100.793726</v>
      </c>
      <c r="AC42" s="658">
        <f>+AB42*$F$42</f>
        <v>471109.8751</v>
      </c>
      <c r="AD42" s="658">
        <f t="shared" si="13"/>
        <v>100.793726</v>
      </c>
      <c r="AE42" s="658">
        <f>+AD42*$F$42</f>
        <v>471109.8751</v>
      </c>
      <c r="AF42" s="658">
        <f>+AD42*AF36</f>
        <v>109.8195409</v>
      </c>
      <c r="AG42" s="877">
        <f>+AF42*$F$42</f>
        <v>513296.5344</v>
      </c>
      <c r="AH42" s="658">
        <f t="shared" si="14"/>
        <v>109.8195409</v>
      </c>
      <c r="AI42" s="658">
        <f>+AH42*$F$42</f>
        <v>513296.5344</v>
      </c>
      <c r="AJ42" s="658">
        <f t="shared" si="15"/>
        <v>109.8195409</v>
      </c>
      <c r="AK42" s="658">
        <f>+AJ42*$F$42</f>
        <v>513296.5344</v>
      </c>
      <c r="AL42" s="174">
        <f t="shared" si="5"/>
        <v>1.295912034</v>
      </c>
      <c r="AM42" s="7"/>
      <c r="AN42" s="7"/>
      <c r="AO42" s="7"/>
      <c r="AP42" s="7"/>
      <c r="AQ42" s="7"/>
      <c r="AR42" s="7"/>
      <c r="AS42" s="7"/>
      <c r="AT42" s="7"/>
      <c r="AU42" s="7"/>
      <c r="AV42" s="7"/>
      <c r="AW42" s="7"/>
      <c r="AX42" s="7"/>
      <c r="AY42" s="7"/>
      <c r="AZ42" s="7"/>
      <c r="BA42" s="7"/>
      <c r="BB42" s="7"/>
      <c r="BC42" s="7"/>
      <c r="BD42" s="7"/>
      <c r="BE42" s="7"/>
      <c r="BF42" s="7"/>
    </row>
    <row r="43" ht="14.25" customHeight="1">
      <c r="A43" s="7"/>
      <c r="B43" s="7"/>
      <c r="C43" s="929" t="s">
        <v>1794</v>
      </c>
      <c r="D43" s="840"/>
      <c r="E43" s="840"/>
      <c r="F43" s="841"/>
      <c r="G43" s="888">
        <f>G40+G41</f>
        <v>6721482.71</v>
      </c>
      <c r="H43" s="7"/>
      <c r="I43" s="930">
        <f>SUM(I40:I42)</f>
        <v>7500503.342</v>
      </c>
      <c r="J43" s="7"/>
      <c r="K43" s="930">
        <f>SUM(K40:K42)</f>
        <v>7614772.742</v>
      </c>
      <c r="L43" s="7"/>
      <c r="M43" s="930">
        <f>SUM(M40:M42)</f>
        <v>7731098.991</v>
      </c>
      <c r="N43" s="7"/>
      <c r="O43" s="930">
        <f>SUM(O40:O42)</f>
        <v>7214886.661</v>
      </c>
      <c r="P43" s="7"/>
      <c r="Q43" s="930">
        <f>SUM(Q40:Q42)</f>
        <v>7322680.795</v>
      </c>
      <c r="R43" s="7"/>
      <c r="S43" s="930">
        <f>SUM(S40:S42)</f>
        <v>7432415.224</v>
      </c>
      <c r="T43" s="7"/>
      <c r="U43" s="930">
        <f>SUM(U40:U42)</f>
        <v>7660431.363</v>
      </c>
      <c r="V43" s="7"/>
      <c r="W43" s="930">
        <f>SUM(W40:W42)</f>
        <v>7774151.784</v>
      </c>
      <c r="X43" s="7"/>
      <c r="Y43" s="930">
        <f>SUM(Y40:Y42)</f>
        <v>7889919.174</v>
      </c>
      <c r="Z43" s="7"/>
      <c r="AA43" s="930">
        <f>SUM(AA40:AA42)</f>
        <v>8123734.505</v>
      </c>
      <c r="AB43" s="7"/>
      <c r="AC43" s="930">
        <f>SUM(AC40:AC42)</f>
        <v>8243707.029</v>
      </c>
      <c r="AD43" s="7"/>
      <c r="AE43" s="930">
        <f>SUM(AE40:AE42)</f>
        <v>8365839.059</v>
      </c>
      <c r="AF43" s="7"/>
      <c r="AG43" s="930">
        <f>SUM(AG40:AG42)</f>
        <v>8620782.774</v>
      </c>
      <c r="AH43" s="7"/>
      <c r="AI43" s="930">
        <f>SUM(AI40:AI42)</f>
        <v>8747351.127</v>
      </c>
      <c r="AJ43" s="7"/>
      <c r="AK43" s="930">
        <f>SUM(AK40:AK42)</f>
        <v>8876197.711</v>
      </c>
      <c r="AL43" s="791">
        <f>SUM(N43:AK43)</f>
        <v>96272097.21</v>
      </c>
      <c r="AM43" s="7"/>
      <c r="AN43" s="7"/>
      <c r="AO43" s="7"/>
      <c r="AP43" s="7"/>
      <c r="AQ43" s="7"/>
      <c r="AR43" s="7"/>
      <c r="AS43" s="7"/>
      <c r="AT43" s="7"/>
      <c r="AU43" s="7"/>
      <c r="AV43" s="7"/>
      <c r="AW43" s="7"/>
      <c r="AX43" s="7"/>
      <c r="AY43" s="7"/>
      <c r="AZ43" s="7"/>
      <c r="BA43" s="7"/>
      <c r="BB43" s="7"/>
      <c r="BC43" s="7"/>
      <c r="BD43" s="7"/>
      <c r="BE43" s="7"/>
      <c r="BF43" s="7"/>
    </row>
    <row r="44" ht="14.25" customHeight="1">
      <c r="A44" s="53"/>
      <c r="B44" s="53"/>
      <c r="C44" s="53"/>
      <c r="D44" s="53"/>
      <c r="E44" s="53"/>
      <c r="F44" s="53"/>
      <c r="G44" s="53"/>
      <c r="H44" s="53"/>
      <c r="I44" s="53"/>
      <c r="J44" s="53"/>
      <c r="K44" s="53"/>
      <c r="L44" s="53"/>
      <c r="M44" s="53"/>
      <c r="N44" s="931"/>
      <c r="O44" s="53"/>
      <c r="P44" s="53"/>
      <c r="Q44" s="53"/>
      <c r="R44" s="53"/>
      <c r="S44" s="53"/>
      <c r="T44" s="931"/>
      <c r="U44" s="53"/>
      <c r="V44" s="53"/>
      <c r="W44" s="53"/>
      <c r="X44" s="53"/>
      <c r="Y44" s="53"/>
      <c r="Z44" s="931"/>
      <c r="AA44" s="53"/>
      <c r="AB44" s="53"/>
      <c r="AC44" s="53"/>
      <c r="AD44" s="53"/>
      <c r="AE44" s="53"/>
      <c r="AF44" s="931"/>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row>
    <row r="45" ht="14.25" customHeight="1">
      <c r="A45" s="932" t="s">
        <v>1795</v>
      </c>
      <c r="B45" s="932"/>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row>
    <row r="46" ht="14.25" customHeight="1">
      <c r="A46" s="265"/>
      <c r="B46" s="265"/>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row>
    <row r="47" ht="14.25" customHeight="1">
      <c r="A47" s="7"/>
      <c r="B47" s="7"/>
      <c r="C47" s="674" t="s">
        <v>1796</v>
      </c>
      <c r="D47" s="933" t="s">
        <v>1688</v>
      </c>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row>
    <row r="48" ht="14.25" customHeight="1">
      <c r="A48" s="7"/>
      <c r="B48" s="674" t="s">
        <v>1689</v>
      </c>
      <c r="C48" s="647">
        <v>275000.0</v>
      </c>
      <c r="D48" s="647">
        <v>275000.0</v>
      </c>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row>
    <row r="49" ht="14.25" customHeight="1">
      <c r="A49" s="312" t="s">
        <v>1593</v>
      </c>
      <c r="B49" s="829">
        <v>0.119</v>
      </c>
      <c r="C49" s="647">
        <f>(D48*B49)+D48</f>
        <v>307725</v>
      </c>
      <c r="D49" s="647">
        <v>275000.0</v>
      </c>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row>
    <row r="50" ht="14.25" customHeight="1">
      <c r="A50" s="312" t="s">
        <v>1594</v>
      </c>
      <c r="B50" s="829">
        <v>0.211</v>
      </c>
      <c r="C50" s="647">
        <f t="shared" ref="C50:C53" si="16">(C49*B50)+C49</f>
        <v>372654.975</v>
      </c>
      <c r="D50" s="647">
        <v>275000.0</v>
      </c>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row>
    <row r="51" ht="14.25" customHeight="1">
      <c r="A51" s="312" t="s">
        <v>1595</v>
      </c>
      <c r="B51" s="829">
        <v>0.217</v>
      </c>
      <c r="C51" s="647">
        <f t="shared" si="16"/>
        <v>453521.1046</v>
      </c>
      <c r="D51" s="647">
        <v>453521.104575</v>
      </c>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row>
    <row r="52" ht="14.25" customHeight="1">
      <c r="A52" s="312" t="s">
        <v>1596</v>
      </c>
      <c r="B52" s="829">
        <v>0.141</v>
      </c>
      <c r="C52" s="647">
        <f t="shared" si="16"/>
        <v>517467.5803</v>
      </c>
      <c r="D52" s="647">
        <v>453521.104575</v>
      </c>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row>
    <row r="53" ht="14.25" customHeight="1">
      <c r="A53" s="312" t="s">
        <v>1609</v>
      </c>
      <c r="B53" s="829">
        <v>0.132</v>
      </c>
      <c r="C53" s="647">
        <f t="shared" si="16"/>
        <v>585773.3009</v>
      </c>
      <c r="D53" s="647">
        <v>453521.104575</v>
      </c>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row>
    <row r="54" ht="14.25" customHeight="1">
      <c r="A54" s="312" t="s">
        <v>1797</v>
      </c>
      <c r="B54" s="829">
        <v>0.098</v>
      </c>
      <c r="C54" s="647">
        <v>642156.36</v>
      </c>
      <c r="D54" s="647">
        <v>642156.36</v>
      </c>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row>
    <row r="55" ht="14.25" customHeight="1">
      <c r="A55" s="312" t="s">
        <v>1798</v>
      </c>
      <c r="B55" s="829">
        <v>0.044</v>
      </c>
      <c r="C55" s="647">
        <f t="shared" ref="C55:C56" si="17">(C54*B55)+C54</f>
        <v>670411.2398</v>
      </c>
      <c r="D55" s="647">
        <v>642156.36</v>
      </c>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row>
    <row r="56" ht="14.25" customHeight="1">
      <c r="A56" s="312" t="s">
        <v>1799</v>
      </c>
      <c r="B56" s="829">
        <v>0.048</v>
      </c>
      <c r="C56" s="647">
        <f t="shared" si="17"/>
        <v>702590.9794</v>
      </c>
      <c r="D56" s="647">
        <v>642156.36</v>
      </c>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row>
    <row r="57" ht="14.25" customHeight="1">
      <c r="A57" s="312" t="s">
        <v>1800</v>
      </c>
      <c r="B57" s="829">
        <v>0.051</v>
      </c>
      <c r="C57" s="647">
        <v>739599.162079615</v>
      </c>
      <c r="D57" s="647">
        <f>C57</f>
        <v>739599.1621</v>
      </c>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row>
    <row r="58" ht="14.25" customHeight="1">
      <c r="A58" s="312" t="s">
        <v>1801</v>
      </c>
      <c r="B58" s="829">
        <v>0.042</v>
      </c>
      <c r="C58" s="647">
        <f t="shared" ref="C58:C71" si="18">(C57*B58)+C57</f>
        <v>770662.3269</v>
      </c>
      <c r="D58" s="647">
        <v>739599.162079615</v>
      </c>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row>
    <row r="59" ht="14.25" customHeight="1">
      <c r="A59" s="312" t="s">
        <v>1802</v>
      </c>
      <c r="B59" s="829">
        <v>0.04</v>
      </c>
      <c r="C59" s="647">
        <f t="shared" si="18"/>
        <v>801488.82</v>
      </c>
      <c r="D59" s="647">
        <v>739599.162079615</v>
      </c>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row>
    <row r="60" ht="14.25" customHeight="1">
      <c r="A60" s="312" t="s">
        <v>1803</v>
      </c>
      <c r="B60" s="829">
        <v>0.032</v>
      </c>
      <c r="C60" s="647">
        <f t="shared" si="18"/>
        <v>827136.4622</v>
      </c>
      <c r="D60" s="647">
        <f>C60</f>
        <v>827136.4622</v>
      </c>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row>
    <row r="61" ht="14.25" customHeight="1">
      <c r="A61" s="312" t="s">
        <v>1617</v>
      </c>
      <c r="B61" s="829">
        <v>0.032</v>
      </c>
      <c r="C61" s="647">
        <f t="shared" si="18"/>
        <v>853604.829</v>
      </c>
      <c r="D61" s="647">
        <v>827136.4622012352</v>
      </c>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row>
    <row r="62" ht="14.25" customHeight="1">
      <c r="A62" s="312" t="s">
        <v>1804</v>
      </c>
      <c r="B62" s="829">
        <v>0.033</v>
      </c>
      <c r="C62" s="647">
        <f t="shared" si="18"/>
        <v>881773.7883</v>
      </c>
      <c r="D62" s="647">
        <v>827136.4622012352</v>
      </c>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row>
    <row r="63" ht="14.25" customHeight="1">
      <c r="A63" s="312" t="s">
        <v>1805</v>
      </c>
      <c r="B63" s="829">
        <v>0.031</v>
      </c>
      <c r="C63" s="647">
        <f t="shared" si="18"/>
        <v>909108.7758</v>
      </c>
      <c r="D63" s="647">
        <f>C63</f>
        <v>909108.7758</v>
      </c>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row>
    <row r="64" ht="14.25" customHeight="1">
      <c r="A64" s="312" t="s">
        <v>1806</v>
      </c>
      <c r="B64" s="829">
        <v>0.021</v>
      </c>
      <c r="C64" s="647">
        <f t="shared" si="18"/>
        <v>928200.0601</v>
      </c>
      <c r="D64" s="647">
        <v>909108.7757872004</v>
      </c>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row>
    <row r="65" ht="14.25" customHeight="1">
      <c r="A65" s="312" t="s">
        <v>1807</v>
      </c>
      <c r="B65" s="829">
        <v>0.032</v>
      </c>
      <c r="C65" s="647">
        <f t="shared" si="18"/>
        <v>957902.462</v>
      </c>
      <c r="D65" s="647">
        <v>909108.7757872004</v>
      </c>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row>
    <row r="66" ht="14.25" customHeight="1">
      <c r="A66" s="312" t="s">
        <v>1808</v>
      </c>
      <c r="B66" s="829">
        <v>0.023</v>
      </c>
      <c r="C66" s="647">
        <f t="shared" si="18"/>
        <v>979934.2186</v>
      </c>
      <c r="D66" s="647">
        <v>979934.2186272799</v>
      </c>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row>
    <row r="67" ht="14.25" customHeight="1">
      <c r="A67" s="312" t="s">
        <v>1809</v>
      </c>
      <c r="B67" s="829">
        <v>0.016</v>
      </c>
      <c r="C67" s="647">
        <f t="shared" si="18"/>
        <v>995613.1661</v>
      </c>
      <c r="D67" s="647">
        <v>979934.2186272799</v>
      </c>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row>
    <row r="68" ht="14.25" customHeight="1">
      <c r="A68" s="312" t="s">
        <v>1810</v>
      </c>
      <c r="B68" s="829">
        <v>0.021</v>
      </c>
      <c r="C68" s="647">
        <f t="shared" si="18"/>
        <v>1016521.043</v>
      </c>
      <c r="D68" s="647">
        <v>979934.2186272799</v>
      </c>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row>
    <row r="69" ht="14.25" customHeight="1">
      <c r="A69" s="934" t="s">
        <v>1811</v>
      </c>
      <c r="B69" s="833">
        <v>0.025</v>
      </c>
      <c r="C69" s="681">
        <f t="shared" si="18"/>
        <v>1041934.069</v>
      </c>
      <c r="D69" s="681">
        <f>C69</f>
        <v>1041934.069</v>
      </c>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row>
    <row r="70" ht="14.25" customHeight="1">
      <c r="A70" s="934" t="s">
        <v>1812</v>
      </c>
      <c r="B70" s="833">
        <v>0.016</v>
      </c>
      <c r="C70" s="681">
        <f t="shared" si="18"/>
        <v>1058605.014</v>
      </c>
      <c r="D70" s="681">
        <v>1041934.068679297</v>
      </c>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row>
    <row r="71" ht="14.25" customHeight="1">
      <c r="A71" s="934" t="s">
        <v>1813</v>
      </c>
      <c r="B71" s="833">
        <v>0.022</v>
      </c>
      <c r="C71" s="681">
        <f t="shared" si="18"/>
        <v>1081894.324</v>
      </c>
      <c r="D71" s="681">
        <v>1041934.068679297</v>
      </c>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row>
    <row r="72" ht="14.2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row>
    <row r="73" ht="14.2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row>
    <row r="74" ht="14.25" customHeight="1">
      <c r="A74" s="265" t="s">
        <v>1814</v>
      </c>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row>
    <row r="75" ht="14.25" customHeight="1">
      <c r="A75" s="265" t="s">
        <v>1815</v>
      </c>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row>
    <row r="76" ht="14.2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row>
    <row r="77" ht="14.2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row>
    <row r="78" ht="14.2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row>
    <row r="79" ht="14.2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row>
    <row r="80" ht="14.2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row>
    <row r="81" ht="14.2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row>
    <row r="82" ht="14.2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row>
    <row r="83"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row>
    <row r="84"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row>
    <row r="85"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row>
    <row r="86"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row>
    <row r="87"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row>
    <row r="88"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row>
    <row r="89"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row>
    <row r="90"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row>
    <row r="91"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row>
    <row r="92"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row>
    <row r="93"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row>
    <row r="94"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row>
    <row r="95"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row>
    <row r="96"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row>
    <row r="97"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row>
    <row r="98"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row>
    <row r="99"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row>
    <row r="100"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row>
    <row r="101"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row>
    <row r="102"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row>
    <row r="10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row>
    <row r="104"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row>
    <row r="105"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row>
    <row r="10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row>
    <row r="107"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row>
    <row r="109"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row>
    <row r="110"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row>
    <row r="111"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row>
    <row r="112"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row>
    <row r="11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row>
    <row r="114"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row>
    <row r="115"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row>
    <row r="11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row>
    <row r="117"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row>
    <row r="118"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row>
    <row r="119"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row>
    <row r="120"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row>
    <row r="121"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row>
    <row r="122"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row>
    <row r="12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row>
    <row r="124"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row>
    <row r="125"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row>
    <row r="134"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row>
    <row r="14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row>
    <row r="14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row>
    <row r="147"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row>
    <row r="221"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row>
    <row r="222"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row>
    <row r="22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row>
    <row r="224"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row>
    <row r="225"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row>
    <row r="2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row>
    <row r="227"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row>
    <row r="228"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row>
    <row r="229"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row>
    <row r="230"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row>
    <row r="231"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row>
    <row r="232"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row>
    <row r="2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row>
    <row r="234"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row>
    <row r="235"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row>
    <row r="23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row>
    <row r="237"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row>
    <row r="238"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row>
    <row r="239"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row>
    <row r="240"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row>
    <row r="241"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row>
    <row r="242"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row>
    <row r="24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row>
    <row r="244"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row>
    <row r="245"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row>
    <row r="24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row>
    <row r="247"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row>
    <row r="248"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row>
    <row r="250"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row>
    <row r="251"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row>
    <row r="252"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row>
    <row r="25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row>
    <row r="254"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row>
    <row r="255"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row>
    <row r="25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row>
    <row r="257"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row>
    <row r="258"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row>
    <row r="259"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row>
    <row r="260"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row>
    <row r="261"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row>
    <row r="262"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row>
    <row r="26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row>
    <row r="264"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row>
    <row r="265"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row>
    <row r="26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row>
    <row r="267"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row>
    <row r="268"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row>
    <row r="269"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row>
    <row r="270"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row>
    <row r="271"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row>
    <row r="272"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row>
    <row r="27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row>
    <row r="274"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row>
    <row r="275"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7">
    <mergeCell ref="H28:I29"/>
    <mergeCell ref="H35:I35"/>
    <mergeCell ref="J35:K35"/>
    <mergeCell ref="L35:M35"/>
    <mergeCell ref="N35:O35"/>
    <mergeCell ref="P35:Q35"/>
    <mergeCell ref="R35:S35"/>
    <mergeCell ref="AH35:AI35"/>
    <mergeCell ref="AJ35:AK35"/>
    <mergeCell ref="T35:U35"/>
    <mergeCell ref="V35:W35"/>
    <mergeCell ref="X35:Y35"/>
    <mergeCell ref="Z35:AA35"/>
    <mergeCell ref="AB35:AC35"/>
    <mergeCell ref="AD35:AE35"/>
    <mergeCell ref="AF35:AG35"/>
    <mergeCell ref="C23:G23"/>
    <mergeCell ref="E27:G27"/>
    <mergeCell ref="E28:E29"/>
    <mergeCell ref="F28:F29"/>
    <mergeCell ref="J28:K29"/>
    <mergeCell ref="L28:M29"/>
    <mergeCell ref="E33:F33"/>
    <mergeCell ref="AF38:AG38"/>
    <mergeCell ref="AH38:AI38"/>
    <mergeCell ref="AJ38:AK38"/>
    <mergeCell ref="R38:S38"/>
    <mergeCell ref="T38:U38"/>
    <mergeCell ref="V38:W38"/>
    <mergeCell ref="X38:Y38"/>
    <mergeCell ref="Z38:AA38"/>
    <mergeCell ref="AB38:AC38"/>
    <mergeCell ref="AD38:AE38"/>
    <mergeCell ref="C40:D40"/>
    <mergeCell ref="C41:D41"/>
    <mergeCell ref="C42:D42"/>
    <mergeCell ref="C43:F43"/>
    <mergeCell ref="C38:D39"/>
    <mergeCell ref="E38:G38"/>
    <mergeCell ref="H38:I38"/>
    <mergeCell ref="J38:K38"/>
    <mergeCell ref="L38:M38"/>
    <mergeCell ref="N38:O38"/>
    <mergeCell ref="P38:Q38"/>
    <mergeCell ref="B9:B10"/>
    <mergeCell ref="C9:G9"/>
    <mergeCell ref="H9:I10"/>
    <mergeCell ref="J9:K10"/>
    <mergeCell ref="L9:M10"/>
    <mergeCell ref="N9:O10"/>
    <mergeCell ref="P9:Q10"/>
    <mergeCell ref="AF9:AG10"/>
    <mergeCell ref="AH9:AI10"/>
    <mergeCell ref="AJ9:AK10"/>
    <mergeCell ref="R9:S10"/>
    <mergeCell ref="T9:U10"/>
    <mergeCell ref="V9:W10"/>
    <mergeCell ref="X9:Y10"/>
    <mergeCell ref="Z9:AA10"/>
    <mergeCell ref="AB9:AC10"/>
    <mergeCell ref="AD9:AE10"/>
    <mergeCell ref="A1:G1"/>
    <mergeCell ref="A2:A4"/>
    <mergeCell ref="B2:B4"/>
    <mergeCell ref="C2:G2"/>
    <mergeCell ref="C3:G3"/>
    <mergeCell ref="B7:F7"/>
    <mergeCell ref="A9:A10"/>
    <mergeCell ref="C14:C15"/>
    <mergeCell ref="D14:D15"/>
    <mergeCell ref="E14:G14"/>
    <mergeCell ref="C18:F18"/>
    <mergeCell ref="A22:G22"/>
    <mergeCell ref="A23:A24"/>
    <mergeCell ref="B23:B24"/>
    <mergeCell ref="AB28:AC29"/>
    <mergeCell ref="AD28:AE29"/>
    <mergeCell ref="AF28:AG29"/>
    <mergeCell ref="AH28:AI29"/>
    <mergeCell ref="AJ28:AK29"/>
    <mergeCell ref="N28:O29"/>
    <mergeCell ref="P28:Q29"/>
    <mergeCell ref="R28:S29"/>
    <mergeCell ref="T28:U29"/>
    <mergeCell ref="V28:W29"/>
    <mergeCell ref="X28:Y29"/>
    <mergeCell ref="Z28:AA29"/>
  </mergeCells>
  <printOptions/>
  <pageMargins bottom="0.75" footer="0.0" header="0.0" left="0.7" right="0.7" top="0.75"/>
  <pageSetup paperSize="9" orientation="portrait"/>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outlineLevelCol="1"/>
  <cols>
    <col customWidth="1" min="1" max="1" width="20.25"/>
    <col customWidth="1" hidden="1" min="2" max="2" width="14.0" outlineLevel="1"/>
    <col customWidth="1" hidden="1" min="3" max="8" width="13.25" outlineLevel="1"/>
    <col customWidth="1" hidden="1" min="9" max="9" width="15.25" outlineLevel="1"/>
    <col customWidth="1" hidden="1" min="10" max="14" width="13.25" outlineLevel="1"/>
    <col customWidth="1" min="15" max="17" width="13.25"/>
    <col customWidth="1" min="18" max="38" width="11.5"/>
    <col customWidth="1" min="39" max="39" width="11.75"/>
  </cols>
  <sheetData>
    <row r="1" ht="12.0" customHeight="1">
      <c r="A1" s="303"/>
      <c r="B1" s="303"/>
      <c r="C1" s="303"/>
      <c r="D1" s="303"/>
      <c r="E1" s="303"/>
      <c r="F1" s="303"/>
      <c r="G1" s="303"/>
      <c r="H1" s="303"/>
      <c r="I1" s="303"/>
      <c r="J1" s="303"/>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row>
    <row r="2" ht="12.0" customHeight="1">
      <c r="A2" s="935" t="s">
        <v>1816</v>
      </c>
      <c r="B2" s="303"/>
      <c r="C2" s="936">
        <f>+C5/B5-1</f>
        <v>0.8797193437</v>
      </c>
      <c r="D2" s="303"/>
      <c r="E2" s="303"/>
      <c r="F2" s="936">
        <f>+F5/E5-1</f>
        <v>0.5153631474</v>
      </c>
      <c r="G2" s="303"/>
      <c r="H2" s="303"/>
      <c r="I2" s="937">
        <v>0.201</v>
      </c>
      <c r="J2" s="303"/>
      <c r="K2" s="303"/>
      <c r="L2" s="938">
        <f>(+K14-1)*0</f>
        <v>0</v>
      </c>
      <c r="M2" s="303"/>
      <c r="N2" s="303"/>
      <c r="O2" s="938">
        <f>(+N14-1)*0</f>
        <v>0</v>
      </c>
      <c r="P2" s="303"/>
      <c r="Q2" s="303"/>
      <c r="R2" s="937">
        <f>+R5/Q5</f>
        <v>1.152900016</v>
      </c>
      <c r="S2" s="303"/>
      <c r="T2" s="303"/>
      <c r="U2" s="937">
        <f>+U5/T5</f>
        <v>1</v>
      </c>
      <c r="V2" s="303"/>
      <c r="W2" s="303"/>
      <c r="X2" s="937">
        <v>1.14300446753906</v>
      </c>
      <c r="Y2" s="303"/>
      <c r="Z2" s="303"/>
      <c r="AA2" s="937">
        <f>+AA5/Z5</f>
        <v>1.0643292</v>
      </c>
      <c r="AB2" s="303"/>
      <c r="AC2" s="303"/>
      <c r="AD2" s="937">
        <f>+AD5/AC5</f>
        <v>1.045678375</v>
      </c>
      <c r="AE2" s="303"/>
      <c r="AF2" s="303"/>
      <c r="AG2" s="937">
        <f>+AG5/AF5</f>
        <v>1.045678375</v>
      </c>
      <c r="AH2" s="303"/>
      <c r="AI2" s="303"/>
      <c r="AJ2" s="937">
        <f>+AJ5/AI5</f>
        <v>1.045678375</v>
      </c>
      <c r="AK2" s="303"/>
      <c r="AL2" s="303"/>
      <c r="AM2" s="303"/>
    </row>
    <row r="3" ht="12.0" customHeight="1">
      <c r="A3" s="939">
        <v>70000.0</v>
      </c>
      <c r="B3" s="303"/>
      <c r="C3" s="940"/>
      <c r="D3" s="303"/>
      <c r="E3" s="303"/>
      <c r="F3" s="941"/>
      <c r="G3" s="303"/>
      <c r="H3" s="303"/>
      <c r="I3" s="940"/>
      <c r="J3" s="303"/>
      <c r="K3" s="303"/>
      <c r="L3" s="940"/>
      <c r="M3" s="303"/>
      <c r="N3" s="303"/>
      <c r="O3" s="940"/>
      <c r="P3" s="303"/>
      <c r="Q3" s="303"/>
      <c r="R3" s="940"/>
      <c r="S3" s="303"/>
      <c r="T3" s="303"/>
      <c r="U3" s="940"/>
      <c r="V3" s="303"/>
      <c r="W3" s="942">
        <f>+W5/A3</f>
        <v>139.5386571</v>
      </c>
      <c r="X3" s="943">
        <f>+X5/$A$3</f>
        <v>159.4933085</v>
      </c>
      <c r="Y3" s="303"/>
      <c r="Z3" s="944"/>
      <c r="AA3" s="943">
        <f>+AA5/$A$3</f>
        <v>169.7533855</v>
      </c>
      <c r="AB3" s="303"/>
      <c r="AC3" s="944"/>
      <c r="AD3" s="943">
        <f>+AD5/$A$3</f>
        <v>177.5074442</v>
      </c>
      <c r="AE3" s="303"/>
      <c r="AF3" s="944"/>
      <c r="AG3" s="943">
        <f>+AG5/$A$3</f>
        <v>185.6156959</v>
      </c>
      <c r="AH3" s="303"/>
      <c r="AI3" s="944"/>
      <c r="AJ3" s="943">
        <f>+AJ5/$A$3</f>
        <v>194.0943192</v>
      </c>
      <c r="AK3" s="303"/>
      <c r="AL3" s="943"/>
      <c r="AM3" s="303"/>
    </row>
    <row r="4" ht="12.0" customHeight="1">
      <c r="A4" s="945"/>
      <c r="B4" s="946">
        <v>45170.0</v>
      </c>
      <c r="C4" s="947">
        <v>45292.0</v>
      </c>
      <c r="D4" s="948">
        <v>45323.0</v>
      </c>
      <c r="E4" s="948">
        <v>45352.0</v>
      </c>
      <c r="F4" s="947">
        <v>45383.0</v>
      </c>
      <c r="G4" s="948">
        <v>45413.0</v>
      </c>
      <c r="H4" s="948">
        <v>45444.0</v>
      </c>
      <c r="I4" s="947">
        <v>45474.0</v>
      </c>
      <c r="J4" s="948">
        <v>45505.0</v>
      </c>
      <c r="K4" s="948">
        <v>45536.0</v>
      </c>
      <c r="L4" s="947">
        <v>45566.0</v>
      </c>
      <c r="M4" s="948">
        <v>45597.0</v>
      </c>
      <c r="N4" s="948">
        <v>45627.0</v>
      </c>
      <c r="O4" s="947">
        <f t="shared" ref="O4:X4" si="1">+N4+31</f>
        <v>45658</v>
      </c>
      <c r="P4" s="948">
        <f t="shared" si="1"/>
        <v>45689</v>
      </c>
      <c r="Q4" s="948">
        <f t="shared" si="1"/>
        <v>45720</v>
      </c>
      <c r="R4" s="947">
        <f t="shared" si="1"/>
        <v>45751</v>
      </c>
      <c r="S4" s="948">
        <f t="shared" si="1"/>
        <v>45782</v>
      </c>
      <c r="T4" s="948">
        <f t="shared" si="1"/>
        <v>45813</v>
      </c>
      <c r="U4" s="947">
        <f t="shared" si="1"/>
        <v>45844</v>
      </c>
      <c r="V4" s="948">
        <f t="shared" si="1"/>
        <v>45875</v>
      </c>
      <c r="W4" s="949">
        <f t="shared" si="1"/>
        <v>45906</v>
      </c>
      <c r="X4" s="950">
        <f t="shared" si="1"/>
        <v>45937</v>
      </c>
      <c r="Y4" s="951">
        <f t="shared" ref="Y4:AA4" si="2">+X4+30</f>
        <v>45967</v>
      </c>
      <c r="Z4" s="952">
        <f t="shared" si="2"/>
        <v>45997</v>
      </c>
      <c r="AA4" s="951">
        <f t="shared" si="2"/>
        <v>46027</v>
      </c>
      <c r="AB4" s="951">
        <f>+AA4+28</f>
        <v>46055</v>
      </c>
      <c r="AC4" s="952">
        <f t="shared" ref="AC4:AH4" si="3">+AB4+30</f>
        <v>46085</v>
      </c>
      <c r="AD4" s="951">
        <f t="shared" si="3"/>
        <v>46115</v>
      </c>
      <c r="AE4" s="951">
        <f t="shared" si="3"/>
        <v>46145</v>
      </c>
      <c r="AF4" s="952">
        <f t="shared" si="3"/>
        <v>46175</v>
      </c>
      <c r="AG4" s="951">
        <f t="shared" si="3"/>
        <v>46205</v>
      </c>
      <c r="AH4" s="951">
        <f t="shared" si="3"/>
        <v>46235</v>
      </c>
      <c r="AI4" s="952">
        <f>+AH4+31</f>
        <v>46266</v>
      </c>
      <c r="AJ4" s="951">
        <f>+AI4+30</f>
        <v>46296</v>
      </c>
      <c r="AK4" s="951">
        <f>+AJ4+31</f>
        <v>46327</v>
      </c>
      <c r="AL4" s="952">
        <f>+AK4+30</f>
        <v>46357</v>
      </c>
      <c r="AM4" s="303"/>
    </row>
    <row r="5" ht="12.0" customHeight="1">
      <c r="A5" s="953" t="s">
        <v>1817</v>
      </c>
      <c r="B5" s="954">
        <v>2476556.24</v>
      </c>
      <c r="C5" s="955">
        <f t="shared" ref="C5:E5" si="4">4655230.67</f>
        <v>4655230.67</v>
      </c>
      <c r="D5" s="954">
        <f t="shared" si="4"/>
        <v>4655230.67</v>
      </c>
      <c r="E5" s="954">
        <f t="shared" si="4"/>
        <v>4655230.67</v>
      </c>
      <c r="F5" s="955">
        <v>7054365.0</v>
      </c>
      <c r="G5" s="954">
        <v>7054365.0</v>
      </c>
      <c r="H5" s="954">
        <v>7054365.0</v>
      </c>
      <c r="I5" s="955">
        <f>+H5*(1+I2)</f>
        <v>8472292.365</v>
      </c>
      <c r="J5" s="954">
        <f t="shared" ref="J5:K5" si="5">+I5</f>
        <v>8472292.365</v>
      </c>
      <c r="K5" s="954">
        <f t="shared" si="5"/>
        <v>8472292.365</v>
      </c>
      <c r="L5" s="956">
        <f>+I5*(1+L2)</f>
        <v>8472292.365</v>
      </c>
      <c r="M5" s="954">
        <f t="shared" ref="M5:N5" si="6">+L5</f>
        <v>8472292.365</v>
      </c>
      <c r="N5" s="954">
        <f t="shared" si="6"/>
        <v>8472292.365</v>
      </c>
      <c r="O5" s="956">
        <f>+L5*(1+O2)</f>
        <v>8472292.365</v>
      </c>
      <c r="P5" s="954">
        <f t="shared" ref="P5:Q5" si="7">+O5</f>
        <v>8472292.365</v>
      </c>
      <c r="Q5" s="954">
        <f t="shared" si="7"/>
        <v>8472292.365</v>
      </c>
      <c r="R5" s="956">
        <v>9767706.0</v>
      </c>
      <c r="S5" s="954">
        <f t="shared" ref="S5:T5" si="8">+R5</f>
        <v>9767706</v>
      </c>
      <c r="T5" s="954">
        <f t="shared" si="8"/>
        <v>9767706</v>
      </c>
      <c r="U5" s="956">
        <v>9767706.0</v>
      </c>
      <c r="V5" s="954">
        <f t="shared" ref="V5:W5" si="9">+U5</f>
        <v>9767706</v>
      </c>
      <c r="W5" s="957">
        <f t="shared" si="9"/>
        <v>9767706</v>
      </c>
      <c r="X5" s="958">
        <f>+X13</f>
        <v>11164531.6</v>
      </c>
      <c r="Y5" s="957">
        <f t="shared" ref="Y5:Z5" si="10">+X5</f>
        <v>11164531.6</v>
      </c>
      <c r="Z5" s="957">
        <f t="shared" si="10"/>
        <v>11164531.6</v>
      </c>
      <c r="AA5" s="959">
        <f>+Z5*AA19</f>
        <v>11882736.98</v>
      </c>
      <c r="AB5" s="957">
        <f t="shared" ref="AB5:AC5" si="11">+AA5</f>
        <v>11882736.98</v>
      </c>
      <c r="AC5" s="957">
        <f t="shared" si="11"/>
        <v>11882736.98</v>
      </c>
      <c r="AD5" s="959">
        <f>+AC5*AD19</f>
        <v>12425521.1</v>
      </c>
      <c r="AE5" s="957">
        <f t="shared" ref="AE5:AF5" si="12">+AD5</f>
        <v>12425521.1</v>
      </c>
      <c r="AF5" s="957">
        <f t="shared" si="12"/>
        <v>12425521.1</v>
      </c>
      <c r="AG5" s="959">
        <f>+AF5*AG19</f>
        <v>12993098.71</v>
      </c>
      <c r="AH5" s="957">
        <f t="shared" ref="AH5:AI5" si="13">+AG5</f>
        <v>12993098.71</v>
      </c>
      <c r="AI5" s="957">
        <f t="shared" si="13"/>
        <v>12993098.71</v>
      </c>
      <c r="AJ5" s="959">
        <f>+AI5*AJ19</f>
        <v>13586602.34</v>
      </c>
      <c r="AK5" s="957">
        <f t="shared" ref="AK5:AL5" si="14">+AJ5</f>
        <v>13586602.34</v>
      </c>
      <c r="AL5" s="957">
        <f t="shared" si="14"/>
        <v>13586602.34</v>
      </c>
      <c r="AM5" s="960"/>
    </row>
    <row r="6" ht="12.0" customHeight="1">
      <c r="A6" s="961" t="s">
        <v>1818</v>
      </c>
      <c r="B6" s="962"/>
      <c r="C6" s="963">
        <v>61433.0</v>
      </c>
      <c r="D6" s="964">
        <v>60301.0</v>
      </c>
      <c r="E6" s="964">
        <v>66283.0</v>
      </c>
      <c r="F6" s="963">
        <v>71760.0</v>
      </c>
      <c r="G6" s="964">
        <v>76379.0</v>
      </c>
      <c r="H6" s="965">
        <v>61932.0</v>
      </c>
      <c r="I6" s="963">
        <f t="shared" ref="I6:J6" si="15">70000+I7</f>
        <v>71195</v>
      </c>
      <c r="J6" s="963">
        <f t="shared" si="15"/>
        <v>71883</v>
      </c>
      <c r="K6" s="963">
        <v>67978.0</v>
      </c>
      <c r="L6" s="963">
        <v>71178.0</v>
      </c>
      <c r="M6" s="964">
        <v>65631.0</v>
      </c>
      <c r="N6" s="964">
        <v>62378.0</v>
      </c>
      <c r="O6" s="963">
        <v>62369.0</v>
      </c>
      <c r="P6" s="963">
        <v>60426.0</v>
      </c>
      <c r="Q6" s="964">
        <v>65677.0</v>
      </c>
      <c r="R6" s="963">
        <v>70989.0</v>
      </c>
      <c r="S6" s="964">
        <v>69445.0</v>
      </c>
      <c r="T6" s="964">
        <v>67278.0</v>
      </c>
      <c r="U6" s="963">
        <v>73360.0</v>
      </c>
      <c r="V6" s="964">
        <v>69061.0</v>
      </c>
      <c r="W6" s="966">
        <v>69485.0</v>
      </c>
      <c r="X6" s="966">
        <v>69457.0</v>
      </c>
      <c r="Y6" s="966"/>
      <c r="Z6" s="966"/>
      <c r="AA6" s="966"/>
      <c r="AB6" s="966"/>
      <c r="AC6" s="966"/>
      <c r="AD6" s="966"/>
      <c r="AE6" s="966"/>
      <c r="AF6" s="966"/>
      <c r="AG6" s="966"/>
      <c r="AH6" s="966"/>
      <c r="AI6" s="966"/>
      <c r="AJ6" s="966"/>
      <c r="AK6" s="966"/>
      <c r="AL6" s="966"/>
      <c r="AM6" s="303"/>
    </row>
    <row r="7" ht="12.0" customHeight="1">
      <c r="A7" s="961" t="s">
        <v>1819</v>
      </c>
      <c r="B7" s="962"/>
      <c r="C7" s="963">
        <v>0.0</v>
      </c>
      <c r="D7" s="964">
        <v>0.0</v>
      </c>
      <c r="E7" s="964">
        <v>0.0</v>
      </c>
      <c r="F7" s="963">
        <f t="shared" ref="F7:G7" si="16">+F6-$A$3</f>
        <v>1760</v>
      </c>
      <c r="G7" s="963">
        <f t="shared" si="16"/>
        <v>6379</v>
      </c>
      <c r="H7" s="963">
        <v>0.0</v>
      </c>
      <c r="I7" s="963">
        <v>1195.0</v>
      </c>
      <c r="J7" s="964">
        <v>1883.0</v>
      </c>
      <c r="K7" s="964">
        <v>0.0</v>
      </c>
      <c r="L7" s="963">
        <f>+L6-70000</f>
        <v>1178</v>
      </c>
      <c r="M7" s="964">
        <v>0.0</v>
      </c>
      <c r="N7" s="965">
        <v>0.0</v>
      </c>
      <c r="O7" s="963">
        <v>0.0</v>
      </c>
      <c r="P7" s="964">
        <v>0.0</v>
      </c>
      <c r="Q7" s="965">
        <v>0.0</v>
      </c>
      <c r="R7" s="967">
        <f>+R6-70000</f>
        <v>989</v>
      </c>
      <c r="S7" s="965">
        <v>0.0</v>
      </c>
      <c r="T7" s="965">
        <v>0.0</v>
      </c>
      <c r="U7" s="967">
        <f>+U6-70000</f>
        <v>3360</v>
      </c>
      <c r="V7" s="965">
        <v>0.0</v>
      </c>
      <c r="W7" s="968">
        <v>0.0</v>
      </c>
      <c r="X7" s="968">
        <v>0.0</v>
      </c>
      <c r="Y7" s="968"/>
      <c r="Z7" s="968"/>
      <c r="AA7" s="968"/>
      <c r="AB7" s="968"/>
      <c r="AC7" s="968"/>
      <c r="AD7" s="968"/>
      <c r="AE7" s="968"/>
      <c r="AF7" s="968"/>
      <c r="AG7" s="968"/>
      <c r="AH7" s="968"/>
      <c r="AI7" s="968"/>
      <c r="AJ7" s="968"/>
      <c r="AK7" s="968"/>
      <c r="AL7" s="968"/>
      <c r="AM7" s="303"/>
    </row>
    <row r="8" ht="12.0" customHeight="1">
      <c r="A8" s="961" t="s">
        <v>1820</v>
      </c>
      <c r="B8" s="969"/>
      <c r="C8" s="970">
        <v>44.43</v>
      </c>
      <c r="D8" s="969">
        <v>44.43</v>
      </c>
      <c r="E8" s="969">
        <v>44.43</v>
      </c>
      <c r="F8" s="970">
        <v>67.33</v>
      </c>
      <c r="G8" s="971">
        <v>67.33</v>
      </c>
      <c r="H8" s="971">
        <v>67.33</v>
      </c>
      <c r="I8" s="970">
        <v>80.86</v>
      </c>
      <c r="J8" s="969">
        <f t="shared" ref="J8:Q8" si="17">+I8</f>
        <v>80.86</v>
      </c>
      <c r="K8" s="969">
        <f t="shared" si="17"/>
        <v>80.86</v>
      </c>
      <c r="L8" s="971">
        <f t="shared" si="17"/>
        <v>80.86</v>
      </c>
      <c r="M8" s="971">
        <f t="shared" si="17"/>
        <v>80.86</v>
      </c>
      <c r="N8" s="971">
        <f t="shared" si="17"/>
        <v>80.86</v>
      </c>
      <c r="O8" s="971">
        <f t="shared" si="17"/>
        <v>80.86</v>
      </c>
      <c r="P8" s="971">
        <f t="shared" si="17"/>
        <v>80.86</v>
      </c>
      <c r="Q8" s="971">
        <f t="shared" si="17"/>
        <v>80.86</v>
      </c>
      <c r="R8" s="971">
        <v>93.22</v>
      </c>
      <c r="S8" s="971">
        <f t="shared" ref="S8:T8" si="18">+R8</f>
        <v>93.22</v>
      </c>
      <c r="T8" s="971">
        <f t="shared" si="18"/>
        <v>93.22</v>
      </c>
      <c r="U8" s="971">
        <v>93.22</v>
      </c>
      <c r="V8" s="971">
        <f t="shared" ref="V8:W8" si="19">+U8</f>
        <v>93.22</v>
      </c>
      <c r="W8" s="972">
        <f t="shared" si="19"/>
        <v>93.22</v>
      </c>
      <c r="X8" s="972">
        <f>+W8*X2</f>
        <v>106.5508765</v>
      </c>
      <c r="Y8" s="972">
        <f t="shared" ref="Y8:Z8" si="20">+X8</f>
        <v>106.5508765</v>
      </c>
      <c r="Z8" s="972">
        <f t="shared" si="20"/>
        <v>106.5508765</v>
      </c>
      <c r="AA8" s="972">
        <f>+Z8*AA19</f>
        <v>113.4052091</v>
      </c>
      <c r="AB8" s="973">
        <f t="shared" ref="AB8:AC8" si="21">+AA8</f>
        <v>113.4052091</v>
      </c>
      <c r="AC8" s="973">
        <f t="shared" si="21"/>
        <v>113.4052091</v>
      </c>
      <c r="AD8" s="972">
        <f>+AC8*AD19</f>
        <v>118.5853748</v>
      </c>
      <c r="AE8" s="973">
        <f t="shared" ref="AE8:AF8" si="22">+AD8</f>
        <v>118.5853748</v>
      </c>
      <c r="AF8" s="973">
        <f t="shared" si="22"/>
        <v>118.5853748</v>
      </c>
      <c r="AG8" s="972">
        <f>+AF8*AG19</f>
        <v>124.002162</v>
      </c>
      <c r="AH8" s="973">
        <f t="shared" ref="AH8:AI8" si="23">+AG8</f>
        <v>124.002162</v>
      </c>
      <c r="AI8" s="973">
        <f t="shared" si="23"/>
        <v>124.002162</v>
      </c>
      <c r="AJ8" s="972">
        <f>+AI8*AJ19</f>
        <v>129.6663792</v>
      </c>
      <c r="AK8" s="973">
        <f t="shared" ref="AK8:AL8" si="24">+AJ8</f>
        <v>129.6663792</v>
      </c>
      <c r="AL8" s="973">
        <f t="shared" si="24"/>
        <v>129.6663792</v>
      </c>
      <c r="AM8" s="303"/>
    </row>
    <row r="9" ht="12.0" customHeight="1">
      <c r="A9" s="953" t="s">
        <v>1821</v>
      </c>
      <c r="B9" s="974"/>
      <c r="C9" s="975"/>
      <c r="D9" s="976"/>
      <c r="E9" s="976"/>
      <c r="F9" s="956">
        <f t="shared" ref="F9:AL9" si="25">+F8*F7</f>
        <v>118500.8</v>
      </c>
      <c r="G9" s="956">
        <f t="shared" si="25"/>
        <v>429498.07</v>
      </c>
      <c r="H9" s="956">
        <f t="shared" si="25"/>
        <v>0</v>
      </c>
      <c r="I9" s="956">
        <f t="shared" si="25"/>
        <v>96627.7</v>
      </c>
      <c r="J9" s="956">
        <f t="shared" si="25"/>
        <v>152259.38</v>
      </c>
      <c r="K9" s="956">
        <f t="shared" si="25"/>
        <v>0</v>
      </c>
      <c r="L9" s="956">
        <f t="shared" si="25"/>
        <v>95253.08</v>
      </c>
      <c r="M9" s="956">
        <f t="shared" si="25"/>
        <v>0</v>
      </c>
      <c r="N9" s="956">
        <f t="shared" si="25"/>
        <v>0</v>
      </c>
      <c r="O9" s="956">
        <f t="shared" si="25"/>
        <v>0</v>
      </c>
      <c r="P9" s="956">
        <f t="shared" si="25"/>
        <v>0</v>
      </c>
      <c r="Q9" s="956">
        <f t="shared" si="25"/>
        <v>0</v>
      </c>
      <c r="R9" s="956">
        <f t="shared" si="25"/>
        <v>92194.58</v>
      </c>
      <c r="S9" s="956">
        <f t="shared" si="25"/>
        <v>0</v>
      </c>
      <c r="T9" s="956">
        <f t="shared" si="25"/>
        <v>0</v>
      </c>
      <c r="U9" s="956">
        <f t="shared" si="25"/>
        <v>313219.2</v>
      </c>
      <c r="V9" s="956">
        <f t="shared" si="25"/>
        <v>0</v>
      </c>
      <c r="W9" s="977">
        <f t="shared" si="25"/>
        <v>0</v>
      </c>
      <c r="X9" s="972">
        <f t="shared" si="25"/>
        <v>0</v>
      </c>
      <c r="Y9" s="972">
        <f t="shared" si="25"/>
        <v>0</v>
      </c>
      <c r="Z9" s="972">
        <f t="shared" si="25"/>
        <v>0</v>
      </c>
      <c r="AA9" s="972">
        <f t="shared" si="25"/>
        <v>0</v>
      </c>
      <c r="AB9" s="972">
        <f t="shared" si="25"/>
        <v>0</v>
      </c>
      <c r="AC9" s="972">
        <f t="shared" si="25"/>
        <v>0</v>
      </c>
      <c r="AD9" s="972">
        <f t="shared" si="25"/>
        <v>0</v>
      </c>
      <c r="AE9" s="972">
        <f t="shared" si="25"/>
        <v>0</v>
      </c>
      <c r="AF9" s="972">
        <f t="shared" si="25"/>
        <v>0</v>
      </c>
      <c r="AG9" s="972">
        <f t="shared" si="25"/>
        <v>0</v>
      </c>
      <c r="AH9" s="972">
        <f t="shared" si="25"/>
        <v>0</v>
      </c>
      <c r="AI9" s="972">
        <f t="shared" si="25"/>
        <v>0</v>
      </c>
      <c r="AJ9" s="972">
        <f t="shared" si="25"/>
        <v>0</v>
      </c>
      <c r="AK9" s="972">
        <f t="shared" si="25"/>
        <v>0</v>
      </c>
      <c r="AL9" s="972">
        <f t="shared" si="25"/>
        <v>0</v>
      </c>
      <c r="AM9" s="960"/>
    </row>
    <row r="10" ht="12.0" customHeight="1">
      <c r="A10" s="978" t="s">
        <v>1781</v>
      </c>
      <c r="B10" s="979"/>
      <c r="C10" s="980">
        <f t="shared" ref="C10:E10" si="26">+C5</f>
        <v>4655230.67</v>
      </c>
      <c r="D10" s="981">
        <f t="shared" si="26"/>
        <v>4655230.67</v>
      </c>
      <c r="E10" s="981">
        <f t="shared" si="26"/>
        <v>4655230.67</v>
      </c>
      <c r="F10" s="980">
        <f t="shared" ref="F10:AL10" si="27">+F5+F9</f>
        <v>7172865.8</v>
      </c>
      <c r="G10" s="980">
        <f t="shared" si="27"/>
        <v>7483863.07</v>
      </c>
      <c r="H10" s="980">
        <f t="shared" si="27"/>
        <v>7054365</v>
      </c>
      <c r="I10" s="980">
        <f t="shared" si="27"/>
        <v>8568920.065</v>
      </c>
      <c r="J10" s="980">
        <f t="shared" si="27"/>
        <v>8624551.745</v>
      </c>
      <c r="K10" s="980">
        <f t="shared" si="27"/>
        <v>8472292.365</v>
      </c>
      <c r="L10" s="980">
        <f t="shared" si="27"/>
        <v>8567545.445</v>
      </c>
      <c r="M10" s="980">
        <f t="shared" si="27"/>
        <v>8472292.365</v>
      </c>
      <c r="N10" s="980">
        <f t="shared" si="27"/>
        <v>8472292.365</v>
      </c>
      <c r="O10" s="980">
        <f t="shared" si="27"/>
        <v>8472292.365</v>
      </c>
      <c r="P10" s="980">
        <f t="shared" si="27"/>
        <v>8472292.365</v>
      </c>
      <c r="Q10" s="980">
        <f t="shared" si="27"/>
        <v>8472292.365</v>
      </c>
      <c r="R10" s="980">
        <f t="shared" si="27"/>
        <v>9859900.58</v>
      </c>
      <c r="S10" s="980">
        <f t="shared" si="27"/>
        <v>9767706</v>
      </c>
      <c r="T10" s="980">
        <f t="shared" si="27"/>
        <v>9767706</v>
      </c>
      <c r="U10" s="980">
        <f t="shared" si="27"/>
        <v>10080925.2</v>
      </c>
      <c r="V10" s="980">
        <f t="shared" si="27"/>
        <v>9767706</v>
      </c>
      <c r="W10" s="982">
        <f t="shared" si="27"/>
        <v>9767706</v>
      </c>
      <c r="X10" s="982">
        <f t="shared" si="27"/>
        <v>11164531.6</v>
      </c>
      <c r="Y10" s="983">
        <f t="shared" si="27"/>
        <v>11164531.6</v>
      </c>
      <c r="Z10" s="983">
        <f t="shared" si="27"/>
        <v>11164531.6</v>
      </c>
      <c r="AA10" s="983">
        <f t="shared" si="27"/>
        <v>11882736.98</v>
      </c>
      <c r="AB10" s="983">
        <f t="shared" si="27"/>
        <v>11882736.98</v>
      </c>
      <c r="AC10" s="983">
        <f t="shared" si="27"/>
        <v>11882736.98</v>
      </c>
      <c r="AD10" s="983">
        <f t="shared" si="27"/>
        <v>12425521.1</v>
      </c>
      <c r="AE10" s="983">
        <f t="shared" si="27"/>
        <v>12425521.1</v>
      </c>
      <c r="AF10" s="983">
        <f t="shared" si="27"/>
        <v>12425521.1</v>
      </c>
      <c r="AG10" s="983">
        <f t="shared" si="27"/>
        <v>12993098.71</v>
      </c>
      <c r="AH10" s="983">
        <f t="shared" si="27"/>
        <v>12993098.71</v>
      </c>
      <c r="AI10" s="983">
        <f t="shared" si="27"/>
        <v>12993098.71</v>
      </c>
      <c r="AJ10" s="983">
        <f t="shared" si="27"/>
        <v>13586602.34</v>
      </c>
      <c r="AK10" s="983">
        <f t="shared" si="27"/>
        <v>13586602.34</v>
      </c>
      <c r="AL10" s="983">
        <f t="shared" si="27"/>
        <v>13586602.34</v>
      </c>
      <c r="AM10" s="984">
        <f>SUM(AA10:AL10)</f>
        <v>152663877.4</v>
      </c>
    </row>
    <row r="11" ht="12.0" customHeight="1">
      <c r="A11" s="303"/>
      <c r="B11" s="303"/>
      <c r="C11" s="303"/>
      <c r="D11" s="303"/>
      <c r="E11" s="303"/>
      <c r="F11" s="303"/>
      <c r="G11" s="303"/>
      <c r="H11" s="303"/>
      <c r="I11" s="303"/>
      <c r="J11" s="303"/>
      <c r="K11" s="303"/>
      <c r="L11" s="303"/>
      <c r="M11" s="303"/>
      <c r="N11" s="303"/>
      <c r="O11" s="303"/>
      <c r="P11" s="303"/>
      <c r="Q11" s="303"/>
      <c r="R11" s="303"/>
      <c r="S11" s="303"/>
      <c r="T11" s="303"/>
      <c r="U11" s="303"/>
      <c r="V11" s="303"/>
      <c r="W11" s="303"/>
      <c r="X11" s="303"/>
      <c r="Y11" s="985"/>
      <c r="Z11" s="985"/>
      <c r="AA11" s="985"/>
      <c r="AB11" s="985"/>
      <c r="AC11" s="985"/>
      <c r="AD11" s="985"/>
      <c r="AE11" s="985"/>
      <c r="AF11" s="985"/>
      <c r="AG11" s="985"/>
      <c r="AH11" s="985"/>
      <c r="AI11" s="985"/>
      <c r="AJ11" s="985"/>
      <c r="AK11" s="985"/>
      <c r="AL11" s="985"/>
      <c r="AM11" s="303"/>
    </row>
    <row r="12" ht="12.0" customHeight="1">
      <c r="A12" s="303"/>
      <c r="B12" s="303"/>
      <c r="C12" s="303"/>
      <c r="D12" s="303"/>
      <c r="E12" s="303"/>
      <c r="F12" s="303"/>
      <c r="G12" s="303"/>
      <c r="H12" s="303"/>
      <c r="I12" s="986"/>
      <c r="J12" s="987"/>
      <c r="K12" s="987"/>
      <c r="L12" s="986"/>
      <c r="M12" s="303"/>
      <c r="N12" s="303"/>
      <c r="O12" s="986"/>
      <c r="P12" s="303"/>
      <c r="Q12" s="303"/>
      <c r="R12" s="303"/>
      <c r="S12" s="303"/>
      <c r="T12" s="303">
        <f>+T5/70000</f>
        <v>139.5386571</v>
      </c>
      <c r="U12" s="303"/>
      <c r="V12" s="303"/>
      <c r="W12" s="303"/>
      <c r="X12" s="303">
        <f>+X13/A3</f>
        <v>159.4933085</v>
      </c>
      <c r="Y12" s="985"/>
      <c r="Z12" s="985"/>
      <c r="AA12" s="985"/>
      <c r="AB12" s="985"/>
      <c r="AC12" s="985"/>
      <c r="AD12" s="985"/>
      <c r="AE12" s="985"/>
      <c r="AF12" s="985"/>
      <c r="AG12" s="985"/>
      <c r="AH12" s="985"/>
      <c r="AI12" s="985"/>
      <c r="AJ12" s="985"/>
      <c r="AK12" s="985"/>
      <c r="AL12" s="985"/>
      <c r="AM12" s="303"/>
    </row>
    <row r="13" ht="12.0" customHeight="1">
      <c r="A13" s="988" t="s">
        <v>1754</v>
      </c>
      <c r="B13" s="303"/>
      <c r="C13" s="303"/>
      <c r="D13" s="303"/>
      <c r="E13" s="303"/>
      <c r="F13" s="987">
        <v>0.098</v>
      </c>
      <c r="G13" s="987">
        <v>0.044</v>
      </c>
      <c r="H13" s="987">
        <v>0.048</v>
      </c>
      <c r="I13" s="987">
        <v>0.051</v>
      </c>
      <c r="J13" s="987">
        <v>0.042</v>
      </c>
      <c r="K13" s="987">
        <v>0.04</v>
      </c>
      <c r="L13" s="987">
        <v>0.032</v>
      </c>
      <c r="M13" s="987">
        <v>0.032</v>
      </c>
      <c r="N13" s="303"/>
      <c r="O13" s="987">
        <v>0.032</v>
      </c>
      <c r="P13" s="987">
        <v>0.032</v>
      </c>
      <c r="Q13" s="303"/>
      <c r="R13" s="303"/>
      <c r="S13" s="303"/>
      <c r="T13" s="303"/>
      <c r="U13" s="972">
        <f>+T5*U19</f>
        <v>10530922.02</v>
      </c>
      <c r="V13" s="303"/>
      <c r="W13" s="303"/>
      <c r="X13" s="989">
        <f>+U13*X19</f>
        <v>11164531.6</v>
      </c>
      <c r="Y13" s="985"/>
      <c r="Z13" s="985"/>
      <c r="AA13" s="985"/>
      <c r="AB13" s="985"/>
      <c r="AC13" s="985"/>
      <c r="AD13" s="985"/>
      <c r="AE13" s="985"/>
      <c r="AF13" s="985"/>
      <c r="AG13" s="985"/>
      <c r="AH13" s="985"/>
      <c r="AI13" s="985"/>
      <c r="AJ13" s="985"/>
      <c r="AK13" s="985"/>
      <c r="AL13" s="985"/>
      <c r="AM13" s="303"/>
    </row>
    <row r="14" ht="12.0" customHeight="1">
      <c r="A14" s="303"/>
      <c r="B14" s="303"/>
      <c r="C14" s="303"/>
      <c r="D14" s="303"/>
      <c r="E14" s="303"/>
      <c r="F14" s="990"/>
      <c r="G14" s="303"/>
      <c r="H14" s="991">
        <f>(1+F13)*(1+G13)*(1+H13)</f>
        <v>1.201334976</v>
      </c>
      <c r="I14" s="303"/>
      <c r="J14" s="303"/>
      <c r="K14" s="992">
        <f>(1+I13)*(1+J13)*(1+K13)</f>
        <v>1.13894768</v>
      </c>
      <c r="L14" s="303"/>
      <c r="M14" s="303"/>
      <c r="N14" s="303"/>
      <c r="O14" s="303"/>
      <c r="P14" s="303"/>
      <c r="Q14" s="303"/>
      <c r="R14" s="303"/>
      <c r="S14" s="303"/>
      <c r="T14" s="303"/>
      <c r="U14" s="303"/>
      <c r="V14" s="303"/>
      <c r="W14" s="303"/>
      <c r="X14" s="986">
        <f>+X13/T5</f>
        <v>1.143004468</v>
      </c>
      <c r="Y14" s="985"/>
      <c r="Z14" s="985"/>
      <c r="AA14" s="985"/>
      <c r="AB14" s="985"/>
      <c r="AC14" s="985"/>
      <c r="AD14" s="985"/>
      <c r="AE14" s="985"/>
      <c r="AF14" s="985"/>
      <c r="AG14" s="985"/>
      <c r="AH14" s="985"/>
      <c r="AI14" s="985"/>
      <c r="AJ14" s="985"/>
      <c r="AK14" s="985"/>
      <c r="AL14" s="985"/>
      <c r="AM14" s="303"/>
    </row>
    <row r="15" ht="12.0" customHeight="1">
      <c r="A15" s="303"/>
      <c r="B15" s="303"/>
      <c r="C15" s="303"/>
      <c r="D15" s="303"/>
      <c r="E15" s="303"/>
      <c r="F15" s="303"/>
      <c r="G15" s="303"/>
      <c r="H15" s="303"/>
      <c r="I15" s="303"/>
      <c r="J15" s="303"/>
      <c r="K15" s="303"/>
      <c r="L15" s="303"/>
      <c r="M15" s="303"/>
      <c r="N15" s="303"/>
      <c r="O15" s="303"/>
      <c r="P15" s="303"/>
      <c r="Q15" s="303"/>
      <c r="R15" s="303"/>
      <c r="S15" s="303"/>
      <c r="T15" s="303"/>
      <c r="U15" s="303"/>
      <c r="V15" s="303"/>
      <c r="W15" s="303"/>
      <c r="X15" s="303"/>
      <c r="Y15" s="985"/>
      <c r="Z15" s="985"/>
      <c r="AA15" s="985"/>
      <c r="AB15" s="985"/>
      <c r="AC15" s="985"/>
      <c r="AD15" s="985"/>
      <c r="AE15" s="985"/>
      <c r="AF15" s="985"/>
      <c r="AG15" s="985"/>
      <c r="AH15" s="985"/>
      <c r="AI15" s="985"/>
      <c r="AJ15" s="985"/>
      <c r="AK15" s="985"/>
      <c r="AL15" s="985"/>
      <c r="AM15" s="303"/>
    </row>
    <row r="16" ht="12.0" customHeight="1">
      <c r="A16" s="303"/>
      <c r="B16" s="303"/>
      <c r="C16" s="303"/>
      <c r="D16" s="303"/>
      <c r="E16" s="303"/>
      <c r="F16" s="303"/>
      <c r="G16" s="303"/>
      <c r="H16" s="303"/>
      <c r="I16" s="303"/>
      <c r="J16" s="303"/>
      <c r="K16" s="303"/>
      <c r="L16" s="303"/>
      <c r="M16" s="303"/>
      <c r="N16" s="303"/>
      <c r="O16" s="231">
        <v>0.022</v>
      </c>
      <c r="P16" s="231">
        <v>0.024</v>
      </c>
      <c r="Q16" s="231">
        <v>0.037</v>
      </c>
      <c r="R16" s="231">
        <v>0.028</v>
      </c>
      <c r="S16" s="231">
        <v>0.015</v>
      </c>
      <c r="T16" s="231">
        <v>0.016</v>
      </c>
      <c r="U16" s="231">
        <v>0.019</v>
      </c>
      <c r="V16" s="231">
        <v>0.019</v>
      </c>
      <c r="W16" s="231">
        <v>0.021</v>
      </c>
      <c r="X16" s="231">
        <v>0.023</v>
      </c>
      <c r="Y16" s="231">
        <v>0.02</v>
      </c>
      <c r="Z16" s="231">
        <f>+Y16</f>
        <v>0.02</v>
      </c>
      <c r="AA16" s="231">
        <v>0.015</v>
      </c>
      <c r="AB16" s="231">
        <f t="shared" ref="AB16:AL16" si="28">+AA16</f>
        <v>0.015</v>
      </c>
      <c r="AC16" s="231">
        <f t="shared" si="28"/>
        <v>0.015</v>
      </c>
      <c r="AD16" s="231">
        <f t="shared" si="28"/>
        <v>0.015</v>
      </c>
      <c r="AE16" s="231">
        <f t="shared" si="28"/>
        <v>0.015</v>
      </c>
      <c r="AF16" s="231">
        <f t="shared" si="28"/>
        <v>0.015</v>
      </c>
      <c r="AG16" s="231">
        <f t="shared" si="28"/>
        <v>0.015</v>
      </c>
      <c r="AH16" s="231">
        <f t="shared" si="28"/>
        <v>0.015</v>
      </c>
      <c r="AI16" s="231">
        <f t="shared" si="28"/>
        <v>0.015</v>
      </c>
      <c r="AJ16" s="231">
        <f t="shared" si="28"/>
        <v>0.015</v>
      </c>
      <c r="AK16" s="231">
        <f t="shared" si="28"/>
        <v>0.015</v>
      </c>
      <c r="AL16" s="231">
        <f t="shared" si="28"/>
        <v>0.015</v>
      </c>
      <c r="AM16" s="303"/>
    </row>
    <row r="17" ht="12.0" customHeight="1">
      <c r="A17" s="303"/>
      <c r="B17" s="303"/>
      <c r="C17" s="303"/>
      <c r="D17" s="303"/>
      <c r="E17" s="303"/>
      <c r="F17" s="303"/>
      <c r="G17" s="303"/>
      <c r="H17" s="303"/>
      <c r="I17" s="303"/>
      <c r="J17" s="303"/>
      <c r="K17" s="303"/>
      <c r="L17" s="303"/>
      <c r="M17" s="303"/>
      <c r="N17" s="303"/>
      <c r="O17" s="303"/>
      <c r="P17" s="303"/>
      <c r="Q17" s="303"/>
      <c r="R17" s="303"/>
      <c r="S17" s="303"/>
      <c r="T17" s="303"/>
      <c r="U17" s="303"/>
      <c r="V17" s="303"/>
      <c r="W17" s="303"/>
      <c r="X17" s="303"/>
      <c r="Y17" s="303"/>
      <c r="Z17" s="303"/>
      <c r="AA17" s="303"/>
      <c r="AB17" s="303"/>
      <c r="AC17" s="303"/>
      <c r="AD17" s="303"/>
      <c r="AE17" s="303"/>
      <c r="AF17" s="303"/>
      <c r="AG17" s="303"/>
      <c r="AH17" s="303"/>
      <c r="AI17" s="303"/>
      <c r="AJ17" s="303"/>
      <c r="AK17" s="303"/>
      <c r="AL17" s="303"/>
      <c r="AM17" s="303"/>
    </row>
    <row r="18" ht="12.0" customHeight="1">
      <c r="A18" s="303"/>
      <c r="B18" s="303"/>
      <c r="C18" s="303"/>
      <c r="D18" s="303"/>
      <c r="E18" s="303"/>
      <c r="F18" s="303"/>
      <c r="G18" s="303"/>
      <c r="H18" s="303"/>
      <c r="I18" s="303"/>
      <c r="J18" s="303"/>
      <c r="K18" s="303"/>
      <c r="L18" s="303"/>
      <c r="M18" s="303"/>
      <c r="N18" s="303"/>
      <c r="O18" s="303"/>
      <c r="P18" s="303"/>
      <c r="Q18" s="231">
        <v>0.02</v>
      </c>
      <c r="R18" s="303"/>
      <c r="S18" s="303"/>
      <c r="T18" s="303"/>
      <c r="U18" s="303"/>
      <c r="V18" s="303"/>
      <c r="W18" s="303"/>
      <c r="X18" s="303"/>
      <c r="Y18" s="303"/>
      <c r="Z18" s="303"/>
      <c r="AA18" s="303"/>
      <c r="AB18" s="303"/>
      <c r="AC18" s="303"/>
      <c r="AD18" s="303"/>
      <c r="AE18" s="303"/>
      <c r="AF18" s="303"/>
      <c r="AG18" s="303"/>
      <c r="AH18" s="303"/>
      <c r="AI18" s="303"/>
      <c r="AJ18" s="303"/>
      <c r="AK18" s="303"/>
      <c r="AL18" s="303"/>
      <c r="AM18" s="303"/>
    </row>
    <row r="19" ht="12.0" customHeight="1">
      <c r="A19" s="303"/>
      <c r="B19" s="303"/>
      <c r="C19" s="303"/>
      <c r="D19" s="303"/>
      <c r="E19" s="303"/>
      <c r="F19" s="303"/>
      <c r="G19" s="303"/>
      <c r="H19" s="303"/>
      <c r="I19" s="303"/>
      <c r="J19" s="303"/>
      <c r="K19" s="303"/>
      <c r="L19" s="303"/>
      <c r="M19" s="303"/>
      <c r="N19" s="303"/>
      <c r="O19" s="303"/>
      <c r="P19" s="303"/>
      <c r="Q19" s="231">
        <f>+Q16-Q18</f>
        <v>0.017</v>
      </c>
      <c r="R19" s="303"/>
      <c r="S19" s="303"/>
      <c r="T19" s="303"/>
      <c r="U19" s="937">
        <f>1*(1+Q19)*(1+R16)*(1+S16)*(1+T16)</f>
        <v>1.07813667</v>
      </c>
      <c r="V19" s="303"/>
      <c r="W19" s="303"/>
      <c r="X19" s="937">
        <f>1*(1+U16)*(1+V16)*(1+W16)</f>
        <v>1.060166581</v>
      </c>
      <c r="Y19" s="303"/>
      <c r="Z19" s="303"/>
      <c r="AA19" s="937">
        <f>1*(1+X16)*(1+Y16)*(1+Z16)</f>
        <v>1.0643292</v>
      </c>
      <c r="AB19" s="303"/>
      <c r="AC19" s="303"/>
      <c r="AD19" s="937">
        <f>1*(1+AA16)*(1+AB16)*(1+AC16)</f>
        <v>1.045678375</v>
      </c>
      <c r="AE19" s="303"/>
      <c r="AF19" s="303"/>
      <c r="AG19" s="937">
        <f>1*(1+AD16)*(1+AE16)*(1+AF16)</f>
        <v>1.045678375</v>
      </c>
      <c r="AH19" s="303"/>
      <c r="AI19" s="303"/>
      <c r="AJ19" s="937">
        <f>1*(1+AG16)*(1+AH16)*(1+AI16)</f>
        <v>1.045678375</v>
      </c>
      <c r="AK19" s="303"/>
      <c r="AL19" s="303"/>
      <c r="AM19" s="303"/>
    </row>
    <row r="20" ht="12.0" customHeight="1">
      <c r="A20" s="303"/>
      <c r="B20" s="303"/>
      <c r="C20" s="303"/>
      <c r="D20" s="303"/>
      <c r="E20" s="303"/>
      <c r="F20" s="303"/>
      <c r="G20" s="303"/>
      <c r="H20" s="303"/>
      <c r="I20" s="303"/>
      <c r="J20" s="303"/>
      <c r="K20" s="303"/>
      <c r="L20" s="303"/>
      <c r="M20" s="303"/>
      <c r="N20" s="303"/>
      <c r="O20" s="303"/>
      <c r="P20" s="303"/>
      <c r="Q20" s="303"/>
      <c r="R20" s="303"/>
      <c r="S20" s="303"/>
      <c r="T20" s="303"/>
      <c r="U20" s="303"/>
      <c r="V20" s="303"/>
      <c r="W20" s="303"/>
      <c r="X20" s="303"/>
      <c r="Y20" s="303"/>
      <c r="Z20" s="303"/>
      <c r="AA20" s="303"/>
      <c r="AB20" s="303"/>
      <c r="AC20" s="303"/>
      <c r="AD20" s="303"/>
      <c r="AE20" s="303"/>
      <c r="AF20" s="303"/>
      <c r="AG20" s="303"/>
      <c r="AH20" s="303"/>
      <c r="AI20" s="303"/>
      <c r="AJ20" s="303"/>
      <c r="AK20" s="303"/>
      <c r="AL20" s="303"/>
      <c r="AM20" s="303"/>
    </row>
    <row r="21" ht="12.0" customHeight="1">
      <c r="A21" s="303"/>
      <c r="B21" s="303"/>
      <c r="C21" s="303"/>
      <c r="D21" s="303"/>
      <c r="E21" s="303"/>
      <c r="F21" s="303"/>
      <c r="G21" s="303"/>
      <c r="H21" s="303"/>
      <c r="I21" s="303"/>
      <c r="J21" s="303"/>
      <c r="K21" s="303"/>
      <c r="L21" s="303"/>
      <c r="M21" s="303"/>
      <c r="N21" s="303"/>
      <c r="O21" s="303"/>
      <c r="P21" s="303"/>
      <c r="Q21" s="303"/>
      <c r="R21" s="303"/>
      <c r="S21" s="303"/>
      <c r="T21" s="303"/>
      <c r="U21" s="303"/>
      <c r="V21" s="303"/>
      <c r="W21" s="303"/>
      <c r="X21" s="303"/>
      <c r="Y21" s="303"/>
      <c r="Z21" s="303"/>
      <c r="AA21" s="303"/>
      <c r="AB21" s="303"/>
      <c r="AC21" s="303"/>
      <c r="AD21" s="303"/>
      <c r="AE21" s="303"/>
      <c r="AF21" s="303"/>
      <c r="AG21" s="303"/>
      <c r="AH21" s="303"/>
      <c r="AI21" s="303"/>
      <c r="AJ21" s="303"/>
      <c r="AK21" s="303"/>
      <c r="AL21" s="303"/>
      <c r="AM21" s="303"/>
    </row>
    <row r="22" ht="12.0" customHeight="1">
      <c r="A22" s="303"/>
      <c r="B22" s="303"/>
      <c r="C22" s="303"/>
      <c r="D22" s="303"/>
      <c r="E22" s="303"/>
      <c r="F22" s="303"/>
      <c r="G22" s="303"/>
      <c r="H22" s="303"/>
      <c r="I22" s="303"/>
      <c r="J22" s="303"/>
      <c r="K22" s="303"/>
      <c r="L22" s="303"/>
      <c r="M22" s="303"/>
      <c r="N22" s="303"/>
      <c r="O22" s="303"/>
      <c r="P22" s="303"/>
      <c r="Q22" s="303"/>
      <c r="R22" s="303"/>
      <c r="S22" s="303"/>
      <c r="T22" s="303"/>
      <c r="U22" s="303"/>
      <c r="V22" s="303"/>
      <c r="W22" s="303"/>
      <c r="X22" s="303"/>
      <c r="Y22" s="303"/>
      <c r="Z22" s="303"/>
      <c r="AA22" s="303"/>
      <c r="AB22" s="303"/>
      <c r="AC22" s="303"/>
      <c r="AD22" s="303"/>
      <c r="AE22" s="303"/>
      <c r="AF22" s="303"/>
      <c r="AG22" s="303"/>
      <c r="AH22" s="303"/>
      <c r="AI22" s="303"/>
      <c r="AJ22" s="303"/>
      <c r="AK22" s="303"/>
      <c r="AL22" s="303"/>
      <c r="AM22" s="303"/>
    </row>
    <row r="23" ht="12.0" customHeight="1">
      <c r="A23" s="303"/>
      <c r="B23" s="303"/>
      <c r="C23" s="303"/>
      <c r="D23" s="303"/>
      <c r="E23" s="303"/>
      <c r="F23" s="303"/>
      <c r="G23" s="303"/>
      <c r="H23" s="303"/>
      <c r="I23" s="303"/>
      <c r="J23" s="303"/>
      <c r="K23" s="303"/>
      <c r="L23" s="303"/>
      <c r="M23" s="303"/>
      <c r="N23" s="303"/>
      <c r="O23" s="303"/>
      <c r="P23" s="303"/>
      <c r="Q23" s="303"/>
      <c r="R23" s="303"/>
      <c r="S23" s="303"/>
      <c r="T23" s="303"/>
      <c r="U23" s="303"/>
      <c r="V23" s="303"/>
      <c r="W23" s="303"/>
      <c r="X23" s="303"/>
      <c r="Y23" s="303"/>
      <c r="Z23" s="303"/>
      <c r="AA23" s="303"/>
      <c r="AB23" s="303"/>
      <c r="AC23" s="303"/>
      <c r="AD23" s="303"/>
      <c r="AE23" s="303"/>
      <c r="AF23" s="303"/>
      <c r="AG23" s="303"/>
      <c r="AH23" s="303"/>
      <c r="AI23" s="303"/>
      <c r="AJ23" s="303"/>
      <c r="AK23" s="303"/>
      <c r="AL23" s="303"/>
      <c r="AM23" s="303"/>
    </row>
    <row r="24" ht="12.0" customHeight="1">
      <c r="A24" s="303"/>
      <c r="B24" s="303"/>
      <c r="C24" s="303"/>
      <c r="D24" s="303"/>
      <c r="E24" s="303"/>
      <c r="F24" s="303"/>
      <c r="G24" s="303"/>
      <c r="H24" s="303"/>
      <c r="I24" s="303"/>
      <c r="J24" s="303"/>
      <c r="K24" s="303"/>
      <c r="L24" s="303"/>
      <c r="M24" s="303"/>
      <c r="N24" s="303"/>
      <c r="O24" s="303"/>
      <c r="P24" s="303"/>
      <c r="Q24" s="303"/>
      <c r="R24" s="303"/>
      <c r="S24" s="303"/>
      <c r="T24" s="303"/>
      <c r="U24" s="303"/>
      <c r="V24" s="303"/>
      <c r="W24" s="303"/>
      <c r="X24" s="303"/>
      <c r="Y24" s="303"/>
      <c r="Z24" s="303"/>
      <c r="AA24" s="303"/>
      <c r="AB24" s="303"/>
      <c r="AC24" s="303"/>
      <c r="AD24" s="303"/>
      <c r="AE24" s="303"/>
      <c r="AF24" s="303"/>
      <c r="AG24" s="303"/>
      <c r="AH24" s="303"/>
      <c r="AI24" s="303"/>
      <c r="AJ24" s="303"/>
      <c r="AK24" s="303"/>
      <c r="AL24" s="303"/>
      <c r="AM24" s="303"/>
    </row>
    <row r="25" ht="12.0" customHeight="1">
      <c r="A25" s="303"/>
      <c r="B25" s="303"/>
      <c r="C25" s="303"/>
      <c r="D25" s="303"/>
      <c r="E25" s="303"/>
      <c r="F25" s="303"/>
      <c r="G25" s="303"/>
      <c r="H25" s="303"/>
      <c r="I25" s="303"/>
      <c r="J25" s="303"/>
      <c r="K25" s="303"/>
      <c r="L25" s="303"/>
      <c r="M25" s="303"/>
      <c r="N25" s="303"/>
      <c r="O25" s="303"/>
      <c r="P25" s="303"/>
      <c r="Q25" s="303"/>
      <c r="R25" s="303"/>
      <c r="S25" s="303"/>
      <c r="T25" s="303"/>
      <c r="U25" s="303"/>
      <c r="V25" s="303"/>
      <c r="W25" s="303"/>
      <c r="X25" s="303"/>
      <c r="Y25" s="303"/>
      <c r="Z25" s="303"/>
      <c r="AA25" s="303"/>
      <c r="AB25" s="303"/>
      <c r="AC25" s="303"/>
      <c r="AD25" s="303"/>
      <c r="AE25" s="303"/>
      <c r="AF25" s="303"/>
      <c r="AG25" s="303"/>
      <c r="AH25" s="303"/>
      <c r="AI25" s="303"/>
      <c r="AJ25" s="303"/>
      <c r="AK25" s="303"/>
      <c r="AL25" s="303"/>
      <c r="AM25" s="303"/>
    </row>
    <row r="26" ht="12.0" customHeight="1">
      <c r="A26" s="303"/>
      <c r="B26" s="303"/>
      <c r="C26" s="303"/>
      <c r="D26" s="303"/>
      <c r="E26" s="303"/>
      <c r="F26" s="303"/>
      <c r="G26" s="303"/>
      <c r="H26" s="303"/>
      <c r="I26" s="303"/>
      <c r="J26" s="303"/>
      <c r="K26" s="303"/>
      <c r="L26" s="303"/>
      <c r="M26" s="303"/>
      <c r="N26" s="303"/>
      <c r="O26" s="303"/>
      <c r="P26" s="303"/>
      <c r="Q26" s="303"/>
      <c r="R26" s="303"/>
      <c r="S26" s="303"/>
      <c r="T26" s="303"/>
      <c r="U26" s="303"/>
      <c r="V26" s="303"/>
      <c r="W26" s="303"/>
      <c r="X26" s="303"/>
      <c r="Y26" s="303"/>
      <c r="Z26" s="303"/>
      <c r="AA26" s="303"/>
      <c r="AB26" s="303"/>
      <c r="AC26" s="303"/>
      <c r="AD26" s="303"/>
      <c r="AE26" s="303"/>
      <c r="AF26" s="303"/>
      <c r="AG26" s="303"/>
      <c r="AH26" s="303"/>
      <c r="AI26" s="303"/>
      <c r="AJ26" s="303"/>
      <c r="AK26" s="303"/>
      <c r="AL26" s="303"/>
      <c r="AM26" s="303"/>
    </row>
    <row r="27" ht="12.0" customHeight="1">
      <c r="A27" s="303"/>
      <c r="B27" s="303"/>
      <c r="C27" s="303"/>
      <c r="D27" s="303"/>
      <c r="E27" s="303"/>
      <c r="F27" s="303"/>
      <c r="G27" s="303"/>
      <c r="H27" s="303"/>
      <c r="I27" s="303"/>
      <c r="J27" s="303"/>
      <c r="K27" s="303"/>
      <c r="L27" s="303"/>
      <c r="M27" s="303"/>
      <c r="N27" s="303"/>
      <c r="O27" s="303"/>
      <c r="P27" s="303"/>
      <c r="Q27" s="303"/>
      <c r="R27" s="303"/>
      <c r="S27" s="303"/>
      <c r="T27" s="303"/>
      <c r="U27" s="303"/>
      <c r="V27" s="303"/>
      <c r="W27" s="303"/>
      <c r="X27" s="303"/>
      <c r="Y27" s="303"/>
      <c r="Z27" s="303"/>
      <c r="AA27" s="303"/>
      <c r="AB27" s="303"/>
      <c r="AC27" s="303"/>
      <c r="AD27" s="303"/>
      <c r="AE27" s="303"/>
      <c r="AF27" s="303"/>
      <c r="AG27" s="303"/>
      <c r="AH27" s="303"/>
      <c r="AI27" s="303"/>
      <c r="AJ27" s="303"/>
      <c r="AK27" s="303"/>
      <c r="AL27" s="303"/>
      <c r="AM27" s="303"/>
    </row>
    <row r="28" ht="12.0" customHeight="1">
      <c r="A28" s="303"/>
      <c r="B28" s="303"/>
      <c r="C28" s="303"/>
      <c r="D28" s="303"/>
      <c r="E28" s="303"/>
      <c r="F28" s="303"/>
      <c r="G28" s="303"/>
      <c r="H28" s="303"/>
      <c r="I28" s="303"/>
      <c r="J28" s="303"/>
      <c r="K28" s="303"/>
      <c r="L28" s="303"/>
      <c r="M28" s="303"/>
      <c r="N28" s="303"/>
      <c r="O28" s="303"/>
      <c r="P28" s="303"/>
      <c r="Q28" s="303"/>
      <c r="R28" s="303"/>
      <c r="S28" s="303"/>
      <c r="T28" s="303"/>
      <c r="U28" s="303"/>
      <c r="V28" s="303"/>
      <c r="W28" s="303"/>
      <c r="X28" s="303"/>
      <c r="Y28" s="303"/>
      <c r="Z28" s="303"/>
      <c r="AA28" s="303"/>
      <c r="AB28" s="303"/>
      <c r="AC28" s="303"/>
      <c r="AD28" s="303"/>
      <c r="AE28" s="303"/>
      <c r="AF28" s="303"/>
      <c r="AG28" s="303"/>
      <c r="AH28" s="303"/>
      <c r="AI28" s="303"/>
      <c r="AJ28" s="303"/>
      <c r="AK28" s="303"/>
      <c r="AL28" s="303"/>
      <c r="AM28" s="303"/>
    </row>
    <row r="29" ht="12.0" customHeight="1">
      <c r="A29" s="303"/>
      <c r="B29" s="303"/>
      <c r="C29" s="303"/>
      <c r="D29" s="303"/>
      <c r="E29" s="303"/>
      <c r="F29" s="303"/>
      <c r="G29" s="303"/>
      <c r="H29" s="303"/>
      <c r="I29" s="303"/>
      <c r="J29" s="303"/>
      <c r="K29" s="303"/>
      <c r="L29" s="303"/>
      <c r="M29" s="303"/>
      <c r="N29" s="303"/>
      <c r="O29" s="303"/>
      <c r="P29" s="303"/>
      <c r="Q29" s="303"/>
      <c r="R29" s="303"/>
      <c r="S29" s="303"/>
      <c r="T29" s="303"/>
      <c r="U29" s="303"/>
      <c r="V29" s="303"/>
      <c r="W29" s="303"/>
      <c r="X29" s="303"/>
      <c r="Y29" s="303"/>
      <c r="Z29" s="303"/>
      <c r="AA29" s="303"/>
      <c r="AB29" s="303"/>
      <c r="AC29" s="303"/>
      <c r="AD29" s="303"/>
      <c r="AE29" s="303"/>
      <c r="AF29" s="303"/>
      <c r="AG29" s="303"/>
      <c r="AH29" s="303"/>
      <c r="AI29" s="303"/>
      <c r="AJ29" s="303"/>
      <c r="AK29" s="303"/>
      <c r="AL29" s="303"/>
      <c r="AM29" s="303"/>
    </row>
    <row r="30" ht="12.0" customHeight="1">
      <c r="A30" s="303"/>
      <c r="B30" s="303"/>
      <c r="C30" s="303"/>
      <c r="D30" s="303"/>
      <c r="E30" s="303"/>
      <c r="F30" s="303"/>
      <c r="G30" s="303"/>
      <c r="H30" s="303"/>
      <c r="I30" s="303"/>
      <c r="J30" s="303"/>
      <c r="K30" s="303"/>
      <c r="L30" s="303"/>
      <c r="M30" s="303"/>
      <c r="N30" s="303"/>
      <c r="O30" s="303"/>
      <c r="P30" s="303"/>
      <c r="Q30" s="303"/>
      <c r="R30" s="303"/>
      <c r="S30" s="303"/>
      <c r="T30" s="303"/>
      <c r="U30" s="303"/>
      <c r="V30" s="303"/>
      <c r="W30" s="303"/>
      <c r="X30" s="303"/>
      <c r="Y30" s="303"/>
      <c r="Z30" s="303"/>
      <c r="AA30" s="303"/>
      <c r="AB30" s="303"/>
      <c r="AC30" s="303"/>
      <c r="AD30" s="303"/>
      <c r="AE30" s="303"/>
      <c r="AF30" s="303"/>
      <c r="AG30" s="303"/>
      <c r="AH30" s="303"/>
      <c r="AI30" s="303"/>
      <c r="AJ30" s="303"/>
      <c r="AK30" s="303"/>
      <c r="AL30" s="303"/>
      <c r="AM30" s="303"/>
    </row>
    <row r="31" ht="12.0" customHeight="1">
      <c r="A31" s="303"/>
      <c r="B31" s="303"/>
      <c r="C31" s="303"/>
      <c r="D31" s="303"/>
      <c r="E31" s="303"/>
      <c r="F31" s="303"/>
      <c r="G31" s="303"/>
      <c r="H31" s="303"/>
      <c r="I31" s="303"/>
      <c r="J31" s="303"/>
      <c r="K31" s="303"/>
      <c r="L31" s="303"/>
      <c r="M31" s="303"/>
      <c r="N31" s="303"/>
      <c r="O31" s="303"/>
      <c r="P31" s="303"/>
      <c r="Q31" s="303"/>
      <c r="R31" s="303"/>
      <c r="S31" s="303"/>
      <c r="T31" s="303"/>
      <c r="U31" s="303"/>
      <c r="V31" s="303"/>
      <c r="W31" s="303"/>
      <c r="X31" s="303"/>
      <c r="Y31" s="303"/>
      <c r="Z31" s="303"/>
      <c r="AA31" s="303"/>
      <c r="AB31" s="303"/>
      <c r="AC31" s="303"/>
      <c r="AD31" s="303"/>
      <c r="AE31" s="303"/>
      <c r="AF31" s="303"/>
      <c r="AG31" s="303"/>
      <c r="AH31" s="303"/>
      <c r="AI31" s="303"/>
      <c r="AJ31" s="303"/>
      <c r="AK31" s="303"/>
      <c r="AL31" s="303"/>
      <c r="AM31" s="303"/>
    </row>
    <row r="32" ht="12.0" customHeight="1">
      <c r="A32" s="303"/>
      <c r="B32" s="303"/>
      <c r="C32" s="303"/>
      <c r="D32" s="303"/>
      <c r="E32" s="303"/>
      <c r="F32" s="303"/>
      <c r="G32" s="303"/>
      <c r="H32" s="303"/>
      <c r="I32" s="303"/>
      <c r="J32" s="303"/>
      <c r="K32" s="303"/>
      <c r="L32" s="303"/>
      <c r="M32" s="303"/>
      <c r="N32" s="303"/>
      <c r="O32" s="303"/>
      <c r="P32" s="303"/>
      <c r="Q32" s="303"/>
      <c r="R32" s="303"/>
      <c r="S32" s="303"/>
      <c r="T32" s="303"/>
      <c r="U32" s="303"/>
      <c r="V32" s="303"/>
      <c r="W32" s="303"/>
      <c r="X32" s="303"/>
      <c r="Y32" s="303"/>
      <c r="Z32" s="303"/>
      <c r="AA32" s="303"/>
      <c r="AB32" s="303"/>
      <c r="AC32" s="303"/>
      <c r="AD32" s="303"/>
      <c r="AE32" s="303"/>
      <c r="AF32" s="303"/>
      <c r="AG32" s="303"/>
      <c r="AH32" s="303"/>
      <c r="AI32" s="303"/>
      <c r="AJ32" s="303"/>
      <c r="AK32" s="303"/>
      <c r="AL32" s="303"/>
      <c r="AM32" s="303"/>
    </row>
    <row r="33" ht="12.0" customHeight="1">
      <c r="A33" s="303"/>
      <c r="B33" s="303"/>
      <c r="C33" s="303"/>
      <c r="D33" s="303"/>
      <c r="E33" s="303"/>
      <c r="F33" s="303"/>
      <c r="G33" s="303"/>
      <c r="H33" s="303"/>
      <c r="I33" s="303"/>
      <c r="J33" s="303"/>
      <c r="K33" s="303"/>
      <c r="L33" s="303"/>
      <c r="M33" s="303"/>
      <c r="N33" s="303"/>
      <c r="O33" s="303"/>
      <c r="P33" s="303"/>
      <c r="Q33" s="303"/>
      <c r="R33" s="303"/>
      <c r="S33" s="303"/>
      <c r="T33" s="303"/>
      <c r="U33" s="303"/>
      <c r="V33" s="303"/>
      <c r="W33" s="303"/>
      <c r="X33" s="303"/>
      <c r="Y33" s="303"/>
      <c r="Z33" s="303"/>
      <c r="AA33" s="303"/>
      <c r="AB33" s="303"/>
      <c r="AC33" s="303"/>
      <c r="AD33" s="303"/>
      <c r="AE33" s="303"/>
      <c r="AF33" s="303"/>
      <c r="AG33" s="303"/>
      <c r="AH33" s="303"/>
      <c r="AI33" s="303"/>
      <c r="AJ33" s="303"/>
      <c r="AK33" s="303"/>
      <c r="AL33" s="303"/>
      <c r="AM33" s="303"/>
    </row>
    <row r="34" ht="12.0" customHeight="1">
      <c r="A34" s="303"/>
      <c r="B34" s="303"/>
      <c r="C34" s="303"/>
      <c r="D34" s="303"/>
      <c r="E34" s="303"/>
      <c r="F34" s="303"/>
      <c r="G34" s="303"/>
      <c r="H34" s="303"/>
      <c r="I34" s="303"/>
      <c r="J34" s="303"/>
      <c r="K34" s="303"/>
      <c r="L34" s="303"/>
      <c r="M34" s="303"/>
      <c r="N34" s="303"/>
      <c r="O34" s="303"/>
      <c r="P34" s="303"/>
      <c r="Q34" s="303"/>
      <c r="R34" s="303"/>
      <c r="S34" s="303"/>
      <c r="T34" s="303"/>
      <c r="U34" s="303"/>
      <c r="V34" s="303"/>
      <c r="W34" s="303"/>
      <c r="X34" s="303"/>
      <c r="Y34" s="303"/>
      <c r="Z34" s="303"/>
      <c r="AA34" s="303"/>
      <c r="AB34" s="303"/>
      <c r="AC34" s="303"/>
      <c r="AD34" s="303"/>
      <c r="AE34" s="303"/>
      <c r="AF34" s="303"/>
      <c r="AG34" s="303"/>
      <c r="AH34" s="303"/>
      <c r="AI34" s="303"/>
      <c r="AJ34" s="303"/>
      <c r="AK34" s="303"/>
      <c r="AL34" s="303"/>
      <c r="AM34" s="303"/>
    </row>
    <row r="35" ht="12.0" customHeight="1">
      <c r="A35" s="303"/>
      <c r="B35" s="303"/>
      <c r="C35" s="303"/>
      <c r="D35" s="303"/>
      <c r="E35" s="303"/>
      <c r="F35" s="303"/>
      <c r="G35" s="303"/>
      <c r="H35" s="303"/>
      <c r="I35" s="303"/>
      <c r="J35" s="303"/>
      <c r="K35" s="303"/>
      <c r="L35" s="303"/>
      <c r="M35" s="303"/>
      <c r="N35" s="303"/>
      <c r="O35" s="303"/>
      <c r="P35" s="303"/>
      <c r="Q35" s="303"/>
      <c r="R35" s="303"/>
      <c r="S35" s="303"/>
      <c r="T35" s="303"/>
      <c r="U35" s="303"/>
      <c r="V35" s="303"/>
      <c r="W35" s="303"/>
      <c r="X35" s="303"/>
      <c r="Y35" s="303"/>
      <c r="Z35" s="303"/>
      <c r="AA35" s="303"/>
      <c r="AB35" s="303"/>
      <c r="AC35" s="303"/>
      <c r="AD35" s="303"/>
      <c r="AE35" s="303"/>
      <c r="AF35" s="303"/>
      <c r="AG35" s="303"/>
      <c r="AH35" s="303"/>
      <c r="AI35" s="303"/>
      <c r="AJ35" s="303"/>
      <c r="AK35" s="303"/>
      <c r="AL35" s="303"/>
      <c r="AM35" s="303"/>
    </row>
    <row r="36" ht="12.0" customHeight="1">
      <c r="A36" s="303"/>
      <c r="B36" s="303"/>
      <c r="C36" s="303"/>
      <c r="D36" s="303"/>
      <c r="E36" s="303"/>
      <c r="F36" s="303"/>
      <c r="G36" s="303"/>
      <c r="H36" s="303"/>
      <c r="I36" s="303"/>
      <c r="J36" s="303"/>
      <c r="K36" s="303"/>
      <c r="L36" s="303"/>
      <c r="M36" s="303"/>
      <c r="N36" s="303"/>
      <c r="O36" s="303"/>
      <c r="P36" s="303"/>
      <c r="Q36" s="303"/>
      <c r="R36" s="303"/>
      <c r="S36" s="303"/>
      <c r="T36" s="303"/>
      <c r="U36" s="303"/>
      <c r="V36" s="303"/>
      <c r="W36" s="303"/>
      <c r="X36" s="303"/>
      <c r="Y36" s="303"/>
      <c r="Z36" s="303"/>
      <c r="AA36" s="303"/>
      <c r="AB36" s="303"/>
      <c r="AC36" s="303"/>
      <c r="AD36" s="303"/>
      <c r="AE36" s="303"/>
      <c r="AF36" s="303"/>
      <c r="AG36" s="303"/>
      <c r="AH36" s="303"/>
      <c r="AI36" s="303"/>
      <c r="AJ36" s="303"/>
      <c r="AK36" s="303"/>
      <c r="AL36" s="303"/>
      <c r="AM36" s="303"/>
    </row>
    <row r="37" ht="12.0" customHeight="1">
      <c r="A37" s="303"/>
      <c r="B37" s="303"/>
      <c r="C37" s="303"/>
      <c r="D37" s="303"/>
      <c r="E37" s="303"/>
      <c r="F37" s="303"/>
      <c r="G37" s="303"/>
      <c r="H37" s="303"/>
      <c r="I37" s="303"/>
      <c r="J37" s="303"/>
      <c r="K37" s="303"/>
      <c r="L37" s="303"/>
      <c r="M37" s="303"/>
      <c r="N37" s="303"/>
      <c r="O37" s="303"/>
      <c r="P37" s="303"/>
      <c r="Q37" s="303"/>
      <c r="R37" s="303"/>
      <c r="S37" s="303"/>
      <c r="T37" s="303"/>
      <c r="U37" s="303"/>
      <c r="V37" s="303"/>
      <c r="W37" s="303"/>
      <c r="X37" s="303"/>
      <c r="Y37" s="303"/>
      <c r="Z37" s="303"/>
      <c r="AA37" s="303"/>
      <c r="AB37" s="303"/>
      <c r="AC37" s="303"/>
      <c r="AD37" s="303"/>
      <c r="AE37" s="303"/>
      <c r="AF37" s="303"/>
      <c r="AG37" s="303"/>
      <c r="AH37" s="303"/>
      <c r="AI37" s="303"/>
      <c r="AJ37" s="303"/>
      <c r="AK37" s="303"/>
      <c r="AL37" s="303"/>
      <c r="AM37" s="303"/>
    </row>
    <row r="38" ht="12.0" customHeight="1">
      <c r="A38" s="303"/>
      <c r="B38" s="303"/>
      <c r="C38" s="303"/>
      <c r="D38" s="303"/>
      <c r="E38" s="303"/>
      <c r="F38" s="303"/>
      <c r="G38" s="303"/>
      <c r="H38" s="303"/>
      <c r="I38" s="303"/>
      <c r="J38" s="303"/>
      <c r="K38" s="303"/>
      <c r="L38" s="303"/>
      <c r="M38" s="303"/>
      <c r="N38" s="303"/>
      <c r="O38" s="303"/>
      <c r="P38" s="303"/>
      <c r="Q38" s="303"/>
      <c r="R38" s="303"/>
      <c r="S38" s="303"/>
      <c r="T38" s="303"/>
      <c r="U38" s="303"/>
      <c r="V38" s="303"/>
      <c r="W38" s="303"/>
      <c r="X38" s="303"/>
      <c r="Y38" s="303"/>
      <c r="Z38" s="303"/>
      <c r="AA38" s="303"/>
      <c r="AB38" s="303"/>
      <c r="AC38" s="303"/>
      <c r="AD38" s="303"/>
      <c r="AE38" s="303"/>
      <c r="AF38" s="303"/>
      <c r="AG38" s="303"/>
      <c r="AH38" s="303"/>
      <c r="AI38" s="303"/>
      <c r="AJ38" s="303"/>
      <c r="AK38" s="303"/>
      <c r="AL38" s="303"/>
      <c r="AM38" s="303"/>
    </row>
    <row r="39" ht="12.0" customHeight="1">
      <c r="A39" s="303"/>
      <c r="B39" s="303"/>
      <c r="C39" s="303"/>
      <c r="D39" s="303"/>
      <c r="E39" s="303"/>
      <c r="F39" s="303"/>
      <c r="G39" s="303"/>
      <c r="H39" s="303"/>
      <c r="I39" s="303"/>
      <c r="J39" s="303"/>
      <c r="K39" s="303"/>
      <c r="L39" s="303"/>
      <c r="M39" s="303"/>
      <c r="N39" s="303"/>
      <c r="O39" s="303"/>
      <c r="P39" s="303"/>
      <c r="Q39" s="303"/>
      <c r="R39" s="303"/>
      <c r="S39" s="303"/>
      <c r="T39" s="303"/>
      <c r="U39" s="303"/>
      <c r="V39" s="303"/>
      <c r="W39" s="303"/>
      <c r="X39" s="303"/>
      <c r="Y39" s="303"/>
      <c r="Z39" s="303"/>
      <c r="AA39" s="303"/>
      <c r="AB39" s="303"/>
      <c r="AC39" s="303"/>
      <c r="AD39" s="303"/>
      <c r="AE39" s="303"/>
      <c r="AF39" s="303"/>
      <c r="AG39" s="303"/>
      <c r="AH39" s="303"/>
      <c r="AI39" s="303"/>
      <c r="AJ39" s="303"/>
      <c r="AK39" s="303"/>
      <c r="AL39" s="303"/>
      <c r="AM39" s="303"/>
    </row>
    <row r="40" ht="12.0" customHeight="1">
      <c r="A40" s="303"/>
      <c r="B40" s="303"/>
      <c r="C40" s="303"/>
      <c r="D40" s="303"/>
      <c r="E40" s="303"/>
      <c r="F40" s="303"/>
      <c r="G40" s="303"/>
      <c r="H40" s="303"/>
      <c r="I40" s="303"/>
      <c r="J40" s="303"/>
      <c r="K40" s="303"/>
      <c r="L40" s="303"/>
      <c r="M40" s="303"/>
      <c r="N40" s="303"/>
      <c r="O40" s="303"/>
      <c r="P40" s="303"/>
      <c r="Q40" s="303"/>
      <c r="R40" s="303"/>
      <c r="S40" s="303"/>
      <c r="T40" s="303"/>
      <c r="U40" s="303"/>
      <c r="V40" s="303"/>
      <c r="W40" s="303"/>
      <c r="X40" s="303"/>
      <c r="Y40" s="303"/>
      <c r="Z40" s="303"/>
      <c r="AA40" s="303"/>
      <c r="AB40" s="303"/>
      <c r="AC40" s="303"/>
      <c r="AD40" s="303"/>
      <c r="AE40" s="303"/>
      <c r="AF40" s="303"/>
      <c r="AG40" s="303"/>
      <c r="AH40" s="303"/>
      <c r="AI40" s="303"/>
      <c r="AJ40" s="303"/>
      <c r="AK40" s="303"/>
      <c r="AL40" s="303"/>
      <c r="AM40" s="303"/>
    </row>
    <row r="41" ht="12.0" customHeight="1">
      <c r="A41" s="303"/>
      <c r="B41" s="303"/>
      <c r="C41" s="303"/>
      <c r="D41" s="303"/>
      <c r="E41" s="303"/>
      <c r="F41" s="303"/>
      <c r="G41" s="303"/>
      <c r="H41" s="303"/>
      <c r="I41" s="303"/>
      <c r="J41" s="303"/>
      <c r="K41" s="303"/>
      <c r="L41" s="303"/>
      <c r="M41" s="303"/>
      <c r="N41" s="303"/>
      <c r="O41" s="303"/>
      <c r="P41" s="303"/>
      <c r="Q41" s="303"/>
      <c r="R41" s="303"/>
      <c r="S41" s="303"/>
      <c r="T41" s="303"/>
      <c r="U41" s="303"/>
      <c r="V41" s="303"/>
      <c r="W41" s="303"/>
      <c r="X41" s="303"/>
      <c r="Y41" s="303"/>
      <c r="Z41" s="303"/>
      <c r="AA41" s="303"/>
      <c r="AB41" s="303"/>
      <c r="AC41" s="303"/>
      <c r="AD41" s="303"/>
      <c r="AE41" s="303"/>
      <c r="AF41" s="303"/>
      <c r="AG41" s="303"/>
      <c r="AH41" s="303"/>
      <c r="AI41" s="303"/>
      <c r="AJ41" s="303"/>
      <c r="AK41" s="303"/>
      <c r="AL41" s="303"/>
      <c r="AM41" s="303"/>
    </row>
    <row r="42" ht="12.0" customHeight="1">
      <c r="A42" s="303"/>
      <c r="B42" s="303"/>
      <c r="C42" s="303"/>
      <c r="D42" s="303"/>
      <c r="E42" s="303"/>
      <c r="F42" s="303"/>
      <c r="G42" s="303"/>
      <c r="H42" s="303"/>
      <c r="I42" s="303"/>
      <c r="J42" s="303"/>
      <c r="K42" s="303"/>
      <c r="L42" s="303"/>
      <c r="M42" s="303"/>
      <c r="N42" s="303"/>
      <c r="O42" s="303"/>
      <c r="P42" s="303"/>
      <c r="Q42" s="303"/>
      <c r="R42" s="303"/>
      <c r="S42" s="303"/>
      <c r="T42" s="303"/>
      <c r="U42" s="303"/>
      <c r="V42" s="303"/>
      <c r="W42" s="303"/>
      <c r="X42" s="303"/>
      <c r="Y42" s="303"/>
      <c r="Z42" s="303"/>
      <c r="AA42" s="303"/>
      <c r="AB42" s="303"/>
      <c r="AC42" s="303"/>
      <c r="AD42" s="303"/>
      <c r="AE42" s="303"/>
      <c r="AF42" s="303"/>
      <c r="AG42" s="303"/>
      <c r="AH42" s="303"/>
      <c r="AI42" s="303"/>
      <c r="AJ42" s="303"/>
      <c r="AK42" s="303"/>
      <c r="AL42" s="303"/>
      <c r="AM42" s="303"/>
    </row>
    <row r="43" ht="12.0" customHeight="1">
      <c r="A43" s="303"/>
      <c r="B43" s="303"/>
      <c r="C43" s="303"/>
      <c r="D43" s="303"/>
      <c r="E43" s="303"/>
      <c r="F43" s="303"/>
      <c r="G43" s="303"/>
      <c r="H43" s="303"/>
      <c r="I43" s="303"/>
      <c r="J43" s="303"/>
      <c r="K43" s="303"/>
      <c r="L43" s="303"/>
      <c r="M43" s="303"/>
      <c r="N43" s="303"/>
      <c r="O43" s="303"/>
      <c r="P43" s="303"/>
      <c r="Q43" s="303"/>
      <c r="R43" s="303"/>
      <c r="S43" s="303"/>
      <c r="T43" s="303"/>
      <c r="U43" s="303"/>
      <c r="V43" s="303"/>
      <c r="W43" s="303"/>
      <c r="X43" s="303"/>
      <c r="Y43" s="303"/>
      <c r="Z43" s="303"/>
      <c r="AA43" s="303"/>
      <c r="AB43" s="303"/>
      <c r="AC43" s="303"/>
      <c r="AD43" s="303"/>
      <c r="AE43" s="303"/>
      <c r="AF43" s="303"/>
      <c r="AG43" s="303"/>
      <c r="AH43" s="303"/>
      <c r="AI43" s="303"/>
      <c r="AJ43" s="303"/>
      <c r="AK43" s="303"/>
      <c r="AL43" s="303"/>
      <c r="AM43" s="303"/>
    </row>
    <row r="44" ht="12.0" customHeight="1">
      <c r="A44" s="303"/>
      <c r="B44" s="303"/>
      <c r="C44" s="303"/>
      <c r="D44" s="303"/>
      <c r="E44" s="303"/>
      <c r="F44" s="303"/>
      <c r="G44" s="303"/>
      <c r="H44" s="303"/>
      <c r="I44" s="303"/>
      <c r="J44" s="303"/>
      <c r="K44" s="303"/>
      <c r="L44" s="303"/>
      <c r="M44" s="303"/>
      <c r="N44" s="303"/>
      <c r="O44" s="303"/>
      <c r="P44" s="303"/>
      <c r="Q44" s="303"/>
      <c r="R44" s="303"/>
      <c r="S44" s="303"/>
      <c r="T44" s="303"/>
      <c r="U44" s="303"/>
      <c r="V44" s="303"/>
      <c r="W44" s="303"/>
      <c r="X44" s="303"/>
      <c r="Y44" s="303"/>
      <c r="Z44" s="303"/>
      <c r="AA44" s="303"/>
      <c r="AB44" s="303"/>
      <c r="AC44" s="303"/>
      <c r="AD44" s="303"/>
      <c r="AE44" s="303"/>
      <c r="AF44" s="303"/>
      <c r="AG44" s="303"/>
      <c r="AH44" s="303"/>
      <c r="AI44" s="303"/>
      <c r="AJ44" s="303"/>
      <c r="AK44" s="303"/>
      <c r="AL44" s="303"/>
      <c r="AM44" s="303"/>
    </row>
    <row r="45" ht="12.0" customHeight="1">
      <c r="A45" s="303"/>
      <c r="B45" s="303"/>
      <c r="C45" s="303"/>
      <c r="D45" s="303"/>
      <c r="E45" s="303"/>
      <c r="F45" s="303"/>
      <c r="G45" s="303"/>
      <c r="H45" s="303"/>
      <c r="I45" s="303"/>
      <c r="J45" s="303"/>
      <c r="K45" s="303"/>
      <c r="L45" s="303"/>
      <c r="M45" s="303"/>
      <c r="N45" s="303"/>
      <c r="O45" s="303"/>
      <c r="P45" s="303"/>
      <c r="Q45" s="303"/>
      <c r="R45" s="303"/>
      <c r="S45" s="303"/>
      <c r="T45" s="303"/>
      <c r="U45" s="303"/>
      <c r="V45" s="303"/>
      <c r="W45" s="303"/>
      <c r="X45" s="303"/>
      <c r="Y45" s="303"/>
      <c r="Z45" s="303"/>
      <c r="AA45" s="303"/>
      <c r="AB45" s="303"/>
      <c r="AC45" s="303"/>
      <c r="AD45" s="303"/>
      <c r="AE45" s="303"/>
      <c r="AF45" s="303"/>
      <c r="AG45" s="303"/>
      <c r="AH45" s="303"/>
      <c r="AI45" s="303"/>
      <c r="AJ45" s="303"/>
      <c r="AK45" s="303"/>
      <c r="AL45" s="303"/>
      <c r="AM45" s="303"/>
    </row>
    <row r="46" ht="12.0" customHeight="1">
      <c r="A46" s="303"/>
      <c r="B46" s="303"/>
      <c r="C46" s="303"/>
      <c r="D46" s="303"/>
      <c r="E46" s="303"/>
      <c r="F46" s="303"/>
      <c r="G46" s="303"/>
      <c r="H46" s="303"/>
      <c r="I46" s="303"/>
      <c r="J46" s="303"/>
      <c r="K46" s="303"/>
      <c r="L46" s="303"/>
      <c r="M46" s="303"/>
      <c r="N46" s="303"/>
      <c r="O46" s="303"/>
      <c r="P46" s="303"/>
      <c r="Q46" s="303"/>
      <c r="R46" s="303"/>
      <c r="S46" s="303"/>
      <c r="T46" s="303"/>
      <c r="U46" s="303"/>
      <c r="V46" s="303"/>
      <c r="W46" s="303"/>
      <c r="X46" s="303"/>
      <c r="Y46" s="303"/>
      <c r="Z46" s="303"/>
      <c r="AA46" s="303"/>
      <c r="AB46" s="303"/>
      <c r="AC46" s="303"/>
      <c r="AD46" s="303"/>
      <c r="AE46" s="303"/>
      <c r="AF46" s="303"/>
      <c r="AG46" s="303"/>
      <c r="AH46" s="303"/>
      <c r="AI46" s="303"/>
      <c r="AJ46" s="303"/>
      <c r="AK46" s="303"/>
      <c r="AL46" s="303"/>
      <c r="AM46" s="303"/>
    </row>
    <row r="47" ht="12.0" customHeight="1">
      <c r="A47" s="303"/>
      <c r="B47" s="303"/>
      <c r="C47" s="303"/>
      <c r="D47" s="303"/>
      <c r="E47" s="303"/>
      <c r="F47" s="303"/>
      <c r="G47" s="303"/>
      <c r="H47" s="303"/>
      <c r="I47" s="303"/>
      <c r="J47" s="303"/>
      <c r="K47" s="303"/>
      <c r="L47" s="303"/>
      <c r="M47" s="303"/>
      <c r="N47" s="303"/>
      <c r="O47" s="303"/>
      <c r="P47" s="303"/>
      <c r="Q47" s="303"/>
      <c r="R47" s="303"/>
      <c r="S47" s="303"/>
      <c r="T47" s="303"/>
      <c r="U47" s="303"/>
      <c r="V47" s="303"/>
      <c r="W47" s="303"/>
      <c r="X47" s="303"/>
      <c r="Y47" s="303"/>
      <c r="Z47" s="303"/>
      <c r="AA47" s="303"/>
      <c r="AB47" s="303"/>
      <c r="AC47" s="303"/>
      <c r="AD47" s="303"/>
      <c r="AE47" s="303"/>
      <c r="AF47" s="303"/>
      <c r="AG47" s="303"/>
      <c r="AH47" s="303"/>
      <c r="AI47" s="303"/>
      <c r="AJ47" s="303"/>
      <c r="AK47" s="303"/>
      <c r="AL47" s="303"/>
      <c r="AM47" s="303"/>
    </row>
    <row r="48" ht="12.0" customHeight="1">
      <c r="A48" s="303"/>
      <c r="B48" s="303"/>
      <c r="C48" s="303"/>
      <c r="D48" s="303"/>
      <c r="E48" s="303"/>
      <c r="F48" s="303"/>
      <c r="G48" s="303"/>
      <c r="H48" s="303"/>
      <c r="I48" s="303"/>
      <c r="J48" s="303"/>
      <c r="K48" s="303"/>
      <c r="L48" s="303"/>
      <c r="M48" s="303"/>
      <c r="N48" s="303"/>
      <c r="O48" s="303"/>
      <c r="P48" s="303"/>
      <c r="Q48" s="303"/>
      <c r="R48" s="303"/>
      <c r="S48" s="303"/>
      <c r="T48" s="303"/>
      <c r="U48" s="303"/>
      <c r="V48" s="303"/>
      <c r="W48" s="303"/>
      <c r="X48" s="303"/>
      <c r="Y48" s="303"/>
      <c r="Z48" s="303"/>
      <c r="AA48" s="303"/>
      <c r="AB48" s="303"/>
      <c r="AC48" s="303"/>
      <c r="AD48" s="303"/>
      <c r="AE48" s="303"/>
      <c r="AF48" s="303"/>
      <c r="AG48" s="303"/>
      <c r="AH48" s="303"/>
      <c r="AI48" s="303"/>
      <c r="AJ48" s="303"/>
      <c r="AK48" s="303"/>
      <c r="AL48" s="303"/>
      <c r="AM48" s="303"/>
    </row>
    <row r="49" ht="12.0" customHeight="1">
      <c r="A49" s="303"/>
      <c r="B49" s="303"/>
      <c r="C49" s="303"/>
      <c r="D49" s="303"/>
      <c r="E49" s="303"/>
      <c r="F49" s="303"/>
      <c r="G49" s="303"/>
      <c r="H49" s="303"/>
      <c r="I49" s="303"/>
      <c r="J49" s="303"/>
      <c r="K49" s="303"/>
      <c r="L49" s="303"/>
      <c r="M49" s="303"/>
      <c r="N49" s="303"/>
      <c r="O49" s="303"/>
      <c r="P49" s="303"/>
      <c r="Q49" s="303"/>
      <c r="R49" s="303"/>
      <c r="S49" s="303"/>
      <c r="T49" s="303"/>
      <c r="U49" s="303"/>
      <c r="V49" s="303"/>
      <c r="W49" s="303"/>
      <c r="X49" s="303"/>
      <c r="Y49" s="303"/>
      <c r="Z49" s="303"/>
      <c r="AA49" s="303"/>
      <c r="AB49" s="303"/>
      <c r="AC49" s="303"/>
      <c r="AD49" s="303"/>
      <c r="AE49" s="303"/>
      <c r="AF49" s="303"/>
      <c r="AG49" s="303"/>
      <c r="AH49" s="303"/>
      <c r="AI49" s="303"/>
      <c r="AJ49" s="303"/>
      <c r="AK49" s="303"/>
      <c r="AL49" s="303"/>
      <c r="AM49" s="303"/>
    </row>
    <row r="50" ht="12.0" customHeight="1">
      <c r="A50" s="303"/>
      <c r="B50" s="303"/>
      <c r="C50" s="303"/>
      <c r="D50" s="303"/>
      <c r="E50" s="303"/>
      <c r="F50" s="303"/>
      <c r="G50" s="303"/>
      <c r="H50" s="303"/>
      <c r="I50" s="303"/>
      <c r="J50" s="303"/>
      <c r="K50" s="303"/>
      <c r="L50" s="303"/>
      <c r="M50" s="303"/>
      <c r="N50" s="303"/>
      <c r="O50" s="303"/>
      <c r="P50" s="303"/>
      <c r="Q50" s="303"/>
      <c r="R50" s="303"/>
      <c r="S50" s="303"/>
      <c r="T50" s="303"/>
      <c r="U50" s="303"/>
      <c r="V50" s="303"/>
      <c r="W50" s="303"/>
      <c r="X50" s="303"/>
      <c r="Y50" s="303"/>
      <c r="Z50" s="303"/>
      <c r="AA50" s="303"/>
      <c r="AB50" s="303"/>
      <c r="AC50" s="303"/>
      <c r="AD50" s="303"/>
      <c r="AE50" s="303"/>
      <c r="AF50" s="303"/>
      <c r="AG50" s="303"/>
      <c r="AH50" s="303"/>
      <c r="AI50" s="303"/>
      <c r="AJ50" s="303"/>
      <c r="AK50" s="303"/>
      <c r="AL50" s="303"/>
      <c r="AM50" s="303"/>
    </row>
    <row r="51" ht="12.0" customHeight="1">
      <c r="A51" s="303"/>
      <c r="B51" s="303"/>
      <c r="C51" s="303"/>
      <c r="D51" s="303"/>
      <c r="E51" s="303"/>
      <c r="F51" s="303"/>
      <c r="G51" s="303"/>
      <c r="H51" s="303"/>
      <c r="I51" s="303"/>
      <c r="J51" s="303"/>
      <c r="K51" s="303"/>
      <c r="L51" s="303"/>
      <c r="M51" s="303"/>
      <c r="N51" s="303"/>
      <c r="O51" s="303"/>
      <c r="P51" s="303"/>
      <c r="Q51" s="303"/>
      <c r="R51" s="303"/>
      <c r="S51" s="303"/>
      <c r="T51" s="303"/>
      <c r="U51" s="303"/>
      <c r="V51" s="303"/>
      <c r="W51" s="303"/>
      <c r="X51" s="303"/>
      <c r="Y51" s="303"/>
      <c r="Z51" s="303"/>
      <c r="AA51" s="303"/>
      <c r="AB51" s="303"/>
      <c r="AC51" s="303"/>
      <c r="AD51" s="303"/>
      <c r="AE51" s="303"/>
      <c r="AF51" s="303"/>
      <c r="AG51" s="303"/>
      <c r="AH51" s="303"/>
      <c r="AI51" s="303"/>
      <c r="AJ51" s="303"/>
      <c r="AK51" s="303"/>
      <c r="AL51" s="303"/>
      <c r="AM51" s="303"/>
    </row>
    <row r="52" ht="12.0" customHeight="1">
      <c r="A52" s="303"/>
      <c r="B52" s="303"/>
      <c r="C52" s="303"/>
      <c r="D52" s="303"/>
      <c r="E52" s="303"/>
      <c r="F52" s="303"/>
      <c r="G52" s="303"/>
      <c r="H52" s="303"/>
      <c r="I52" s="303"/>
      <c r="J52" s="303"/>
      <c r="K52" s="303"/>
      <c r="L52" s="303"/>
      <c r="M52" s="303"/>
      <c r="N52" s="303"/>
      <c r="O52" s="303"/>
      <c r="P52" s="303"/>
      <c r="Q52" s="303"/>
      <c r="R52" s="303"/>
      <c r="S52" s="303"/>
      <c r="T52" s="303"/>
      <c r="U52" s="303"/>
      <c r="V52" s="303"/>
      <c r="W52" s="303"/>
      <c r="X52" s="303"/>
      <c r="Y52" s="303"/>
      <c r="Z52" s="303"/>
      <c r="AA52" s="303"/>
      <c r="AB52" s="303"/>
      <c r="AC52" s="303"/>
      <c r="AD52" s="303"/>
      <c r="AE52" s="303"/>
      <c r="AF52" s="303"/>
      <c r="AG52" s="303"/>
      <c r="AH52" s="303"/>
      <c r="AI52" s="303"/>
      <c r="AJ52" s="303"/>
      <c r="AK52" s="303"/>
      <c r="AL52" s="303"/>
      <c r="AM52" s="303"/>
    </row>
    <row r="53" ht="12.0" customHeight="1">
      <c r="A53" s="303"/>
      <c r="B53" s="303"/>
      <c r="C53" s="303"/>
      <c r="D53" s="303"/>
      <c r="E53" s="303"/>
      <c r="F53" s="303"/>
      <c r="G53" s="303"/>
      <c r="H53" s="303"/>
      <c r="I53" s="303"/>
      <c r="J53" s="303"/>
      <c r="K53" s="303"/>
      <c r="L53" s="303"/>
      <c r="M53" s="303"/>
      <c r="N53" s="303"/>
      <c r="O53" s="303"/>
      <c r="P53" s="303"/>
      <c r="Q53" s="303"/>
      <c r="R53" s="303"/>
      <c r="S53" s="303"/>
      <c r="T53" s="303"/>
      <c r="U53" s="303"/>
      <c r="V53" s="303"/>
      <c r="W53" s="303"/>
      <c r="X53" s="303"/>
      <c r="Y53" s="303"/>
      <c r="Z53" s="303"/>
      <c r="AA53" s="303"/>
      <c r="AB53" s="303"/>
      <c r="AC53" s="303"/>
      <c r="AD53" s="303"/>
      <c r="AE53" s="303"/>
      <c r="AF53" s="303"/>
      <c r="AG53" s="303"/>
      <c r="AH53" s="303"/>
      <c r="AI53" s="303"/>
      <c r="AJ53" s="303"/>
      <c r="AK53" s="303"/>
      <c r="AL53" s="303"/>
      <c r="AM53" s="303"/>
    </row>
    <row r="54" ht="12.0" customHeight="1">
      <c r="A54" s="303"/>
      <c r="B54" s="303"/>
      <c r="C54" s="303"/>
      <c r="D54" s="303"/>
      <c r="E54" s="303"/>
      <c r="F54" s="303"/>
      <c r="G54" s="303"/>
      <c r="H54" s="303"/>
      <c r="I54" s="303"/>
      <c r="J54" s="303"/>
      <c r="K54" s="303"/>
      <c r="L54" s="303"/>
      <c r="M54" s="303"/>
      <c r="N54" s="303"/>
      <c r="O54" s="303"/>
      <c r="P54" s="303"/>
      <c r="Q54" s="303"/>
      <c r="R54" s="303"/>
      <c r="S54" s="303"/>
      <c r="T54" s="303"/>
      <c r="U54" s="303"/>
      <c r="V54" s="303"/>
      <c r="W54" s="303"/>
      <c r="X54" s="303"/>
      <c r="Y54" s="303"/>
      <c r="Z54" s="303"/>
      <c r="AA54" s="303"/>
      <c r="AB54" s="303"/>
      <c r="AC54" s="303"/>
      <c r="AD54" s="303"/>
      <c r="AE54" s="303"/>
      <c r="AF54" s="303"/>
      <c r="AG54" s="303"/>
      <c r="AH54" s="303"/>
      <c r="AI54" s="303"/>
      <c r="AJ54" s="303"/>
      <c r="AK54" s="303"/>
      <c r="AL54" s="303"/>
      <c r="AM54" s="303"/>
    </row>
    <row r="55" ht="12.0" customHeight="1">
      <c r="A55" s="303"/>
      <c r="B55" s="303"/>
      <c r="C55" s="303"/>
      <c r="D55" s="303"/>
      <c r="E55" s="303"/>
      <c r="F55" s="303"/>
      <c r="G55" s="303"/>
      <c r="H55" s="303"/>
      <c r="I55" s="303"/>
      <c r="J55" s="303"/>
      <c r="K55" s="303"/>
      <c r="L55" s="303"/>
      <c r="M55" s="303"/>
      <c r="N55" s="303"/>
      <c r="O55" s="303"/>
      <c r="P55" s="303"/>
      <c r="Q55" s="303"/>
      <c r="R55" s="303"/>
      <c r="S55" s="303"/>
      <c r="T55" s="303"/>
      <c r="U55" s="303"/>
      <c r="V55" s="303"/>
      <c r="W55" s="303"/>
      <c r="X55" s="303"/>
      <c r="Y55" s="303"/>
      <c r="Z55" s="303"/>
      <c r="AA55" s="303"/>
      <c r="AB55" s="303"/>
      <c r="AC55" s="303"/>
      <c r="AD55" s="303"/>
      <c r="AE55" s="303"/>
      <c r="AF55" s="303"/>
      <c r="AG55" s="303"/>
      <c r="AH55" s="303"/>
      <c r="AI55" s="303"/>
      <c r="AJ55" s="303"/>
      <c r="AK55" s="303"/>
      <c r="AL55" s="303"/>
      <c r="AM55" s="303"/>
    </row>
    <row r="56" ht="12.0" customHeight="1">
      <c r="A56" s="303"/>
      <c r="B56" s="303"/>
      <c r="C56" s="303"/>
      <c r="D56" s="303"/>
      <c r="E56" s="303"/>
      <c r="F56" s="303"/>
      <c r="G56" s="303"/>
      <c r="H56" s="303"/>
      <c r="I56" s="303"/>
      <c r="J56" s="303"/>
      <c r="K56" s="303"/>
      <c r="L56" s="303"/>
      <c r="M56" s="303"/>
      <c r="N56" s="303"/>
      <c r="O56" s="303"/>
      <c r="P56" s="303"/>
      <c r="Q56" s="303"/>
      <c r="R56" s="303"/>
      <c r="S56" s="303"/>
      <c r="T56" s="303"/>
      <c r="U56" s="303"/>
      <c r="V56" s="303"/>
      <c r="W56" s="303"/>
      <c r="X56" s="303"/>
      <c r="Y56" s="303"/>
      <c r="Z56" s="303"/>
      <c r="AA56" s="303"/>
      <c r="AB56" s="303"/>
      <c r="AC56" s="303"/>
      <c r="AD56" s="303"/>
      <c r="AE56" s="303"/>
      <c r="AF56" s="303"/>
      <c r="AG56" s="303"/>
      <c r="AH56" s="303"/>
      <c r="AI56" s="303"/>
      <c r="AJ56" s="303"/>
      <c r="AK56" s="303"/>
      <c r="AL56" s="303"/>
      <c r="AM56" s="303"/>
    </row>
    <row r="57" ht="12.0" customHeight="1">
      <c r="A57" s="303"/>
      <c r="B57" s="303"/>
      <c r="C57" s="303"/>
      <c r="D57" s="303"/>
      <c r="E57" s="303"/>
      <c r="F57" s="303"/>
      <c r="G57" s="303"/>
      <c r="H57" s="303"/>
      <c r="I57" s="303"/>
      <c r="J57" s="303"/>
      <c r="K57" s="303"/>
      <c r="L57" s="303"/>
      <c r="M57" s="303"/>
      <c r="N57" s="303"/>
      <c r="O57" s="303"/>
      <c r="P57" s="303"/>
      <c r="Q57" s="303"/>
      <c r="R57" s="303"/>
      <c r="S57" s="303"/>
      <c r="T57" s="303"/>
      <c r="U57" s="303"/>
      <c r="V57" s="303"/>
      <c r="W57" s="303"/>
      <c r="X57" s="303"/>
      <c r="Y57" s="303"/>
      <c r="Z57" s="303"/>
      <c r="AA57" s="303"/>
      <c r="AB57" s="303"/>
      <c r="AC57" s="303"/>
      <c r="AD57" s="303"/>
      <c r="AE57" s="303"/>
      <c r="AF57" s="303"/>
      <c r="AG57" s="303"/>
      <c r="AH57" s="303"/>
      <c r="AI57" s="303"/>
      <c r="AJ57" s="303"/>
      <c r="AK57" s="303"/>
      <c r="AL57" s="303"/>
      <c r="AM57" s="303"/>
    </row>
    <row r="58" ht="12.0" customHeight="1">
      <c r="A58" s="303"/>
      <c r="B58" s="303"/>
      <c r="C58" s="303"/>
      <c r="D58" s="303"/>
      <c r="E58" s="303"/>
      <c r="F58" s="303"/>
      <c r="G58" s="303"/>
      <c r="H58" s="303"/>
      <c r="I58" s="303"/>
      <c r="J58" s="303"/>
      <c r="K58" s="303"/>
      <c r="L58" s="303"/>
      <c r="M58" s="303"/>
      <c r="N58" s="303"/>
      <c r="O58" s="303"/>
      <c r="P58" s="303"/>
      <c r="Q58" s="303"/>
      <c r="R58" s="303"/>
      <c r="S58" s="303"/>
      <c r="T58" s="303"/>
      <c r="U58" s="303"/>
      <c r="V58" s="303"/>
      <c r="W58" s="303"/>
      <c r="X58" s="303"/>
      <c r="Y58" s="303"/>
      <c r="Z58" s="303"/>
      <c r="AA58" s="303"/>
      <c r="AB58" s="303"/>
      <c r="AC58" s="303"/>
      <c r="AD58" s="303"/>
      <c r="AE58" s="303"/>
      <c r="AF58" s="303"/>
      <c r="AG58" s="303"/>
      <c r="AH58" s="303"/>
      <c r="AI58" s="303"/>
      <c r="AJ58" s="303"/>
      <c r="AK58" s="303"/>
      <c r="AL58" s="303"/>
      <c r="AM58" s="303"/>
    </row>
    <row r="59" ht="12.0" customHeight="1">
      <c r="A59" s="303"/>
      <c r="B59" s="303"/>
      <c r="C59" s="303"/>
      <c r="D59" s="303"/>
      <c r="E59" s="303"/>
      <c r="F59" s="303"/>
      <c r="G59" s="303"/>
      <c r="H59" s="303"/>
      <c r="I59" s="303"/>
      <c r="J59" s="303"/>
      <c r="K59" s="303"/>
      <c r="L59" s="303"/>
      <c r="M59" s="303"/>
      <c r="N59" s="303"/>
      <c r="O59" s="303"/>
      <c r="P59" s="303"/>
      <c r="Q59" s="303"/>
      <c r="R59" s="303"/>
      <c r="S59" s="303"/>
      <c r="T59" s="303"/>
      <c r="U59" s="303"/>
      <c r="V59" s="303"/>
      <c r="W59" s="303"/>
      <c r="X59" s="303"/>
      <c r="Y59" s="303"/>
      <c r="Z59" s="303"/>
      <c r="AA59" s="303"/>
      <c r="AB59" s="303"/>
      <c r="AC59" s="303"/>
      <c r="AD59" s="303"/>
      <c r="AE59" s="303"/>
      <c r="AF59" s="303"/>
      <c r="AG59" s="303"/>
      <c r="AH59" s="303"/>
      <c r="AI59" s="303"/>
      <c r="AJ59" s="303"/>
      <c r="AK59" s="303"/>
      <c r="AL59" s="303"/>
      <c r="AM59" s="303"/>
    </row>
    <row r="60" ht="12.0" customHeight="1">
      <c r="A60" s="303"/>
      <c r="B60" s="303"/>
      <c r="C60" s="303"/>
      <c r="D60" s="303"/>
      <c r="E60" s="303"/>
      <c r="F60" s="303"/>
      <c r="G60" s="303"/>
      <c r="H60" s="303"/>
      <c r="I60" s="303"/>
      <c r="J60" s="303"/>
      <c r="K60" s="303"/>
      <c r="L60" s="303"/>
      <c r="M60" s="303"/>
      <c r="N60" s="303"/>
      <c r="O60" s="303"/>
      <c r="P60" s="303"/>
      <c r="Q60" s="303"/>
      <c r="R60" s="303"/>
      <c r="S60" s="303"/>
      <c r="T60" s="303"/>
      <c r="U60" s="303"/>
      <c r="V60" s="303"/>
      <c r="W60" s="303"/>
      <c r="X60" s="303"/>
      <c r="Y60" s="303"/>
      <c r="Z60" s="303"/>
      <c r="AA60" s="303"/>
      <c r="AB60" s="303"/>
      <c r="AC60" s="303"/>
      <c r="AD60" s="303"/>
      <c r="AE60" s="303"/>
      <c r="AF60" s="303"/>
      <c r="AG60" s="303"/>
      <c r="AH60" s="303"/>
      <c r="AI60" s="303"/>
      <c r="AJ60" s="303"/>
      <c r="AK60" s="303"/>
      <c r="AL60" s="303"/>
      <c r="AM60" s="303"/>
    </row>
    <row r="61" ht="12.0" customHeight="1">
      <c r="A61" s="303"/>
      <c r="B61" s="303"/>
      <c r="C61" s="303"/>
      <c r="D61" s="303"/>
      <c r="E61" s="303"/>
      <c r="F61" s="303"/>
      <c r="G61" s="303"/>
      <c r="H61" s="303"/>
      <c r="I61" s="303"/>
      <c r="J61" s="303"/>
      <c r="K61" s="303"/>
      <c r="L61" s="303"/>
      <c r="M61" s="303"/>
      <c r="N61" s="303"/>
      <c r="O61" s="303"/>
      <c r="P61" s="303"/>
      <c r="Q61" s="303"/>
      <c r="R61" s="303"/>
      <c r="S61" s="303"/>
      <c r="T61" s="303"/>
      <c r="U61" s="303"/>
      <c r="V61" s="303"/>
      <c r="W61" s="303"/>
      <c r="X61" s="303"/>
      <c r="Y61" s="303"/>
      <c r="Z61" s="303"/>
      <c r="AA61" s="303"/>
      <c r="AB61" s="303"/>
      <c r="AC61" s="303"/>
      <c r="AD61" s="303"/>
      <c r="AE61" s="303"/>
      <c r="AF61" s="303"/>
      <c r="AG61" s="303"/>
      <c r="AH61" s="303"/>
      <c r="AI61" s="303"/>
      <c r="AJ61" s="303"/>
      <c r="AK61" s="303"/>
      <c r="AL61" s="303"/>
      <c r="AM61" s="303"/>
    </row>
    <row r="62" ht="12.0" customHeight="1">
      <c r="A62" s="303"/>
      <c r="B62" s="303"/>
      <c r="C62" s="303"/>
      <c r="D62" s="303"/>
      <c r="E62" s="303"/>
      <c r="F62" s="303"/>
      <c r="G62" s="303"/>
      <c r="H62" s="303"/>
      <c r="I62" s="303"/>
      <c r="J62" s="303"/>
      <c r="K62" s="303"/>
      <c r="L62" s="303"/>
      <c r="M62" s="303"/>
      <c r="N62" s="303"/>
      <c r="O62" s="303"/>
      <c r="P62" s="303"/>
      <c r="Q62" s="303"/>
      <c r="R62" s="303"/>
      <c r="S62" s="303"/>
      <c r="T62" s="303"/>
      <c r="U62" s="303"/>
      <c r="V62" s="303"/>
      <c r="W62" s="303"/>
      <c r="X62" s="303"/>
      <c r="Y62" s="303"/>
      <c r="Z62" s="303"/>
      <c r="AA62" s="303"/>
      <c r="AB62" s="303"/>
      <c r="AC62" s="303"/>
      <c r="AD62" s="303"/>
      <c r="AE62" s="303"/>
      <c r="AF62" s="303"/>
      <c r="AG62" s="303"/>
      <c r="AH62" s="303"/>
      <c r="AI62" s="303"/>
      <c r="AJ62" s="303"/>
      <c r="AK62" s="303"/>
      <c r="AL62" s="303"/>
      <c r="AM62" s="303"/>
    </row>
    <row r="63" ht="12.0" customHeight="1">
      <c r="A63" s="303"/>
      <c r="B63" s="303"/>
      <c r="C63" s="303"/>
      <c r="D63" s="303"/>
      <c r="E63" s="303"/>
      <c r="F63" s="303"/>
      <c r="G63" s="303"/>
      <c r="H63" s="303"/>
      <c r="I63" s="303"/>
      <c r="J63" s="303"/>
      <c r="K63" s="303"/>
      <c r="L63" s="303"/>
      <c r="M63" s="303"/>
      <c r="N63" s="303"/>
      <c r="O63" s="303"/>
      <c r="P63" s="303"/>
      <c r="Q63" s="303"/>
      <c r="R63" s="303"/>
      <c r="S63" s="303"/>
      <c r="T63" s="303"/>
      <c r="U63" s="303"/>
      <c r="V63" s="303"/>
      <c r="W63" s="303"/>
      <c r="X63" s="303"/>
      <c r="Y63" s="303"/>
      <c r="Z63" s="303"/>
      <c r="AA63" s="303"/>
      <c r="AB63" s="303"/>
      <c r="AC63" s="303"/>
      <c r="AD63" s="303"/>
      <c r="AE63" s="303"/>
      <c r="AF63" s="303"/>
      <c r="AG63" s="303"/>
      <c r="AH63" s="303"/>
      <c r="AI63" s="303"/>
      <c r="AJ63" s="303"/>
      <c r="AK63" s="303"/>
      <c r="AL63" s="303"/>
      <c r="AM63" s="303"/>
    </row>
    <row r="64" ht="12.0" customHeight="1">
      <c r="A64" s="303"/>
      <c r="B64" s="303"/>
      <c r="C64" s="303"/>
      <c r="D64" s="303"/>
      <c r="E64" s="303"/>
      <c r="F64" s="303"/>
      <c r="G64" s="303"/>
      <c r="H64" s="303"/>
      <c r="I64" s="303"/>
      <c r="J64" s="303"/>
      <c r="K64" s="303"/>
      <c r="L64" s="303"/>
      <c r="M64" s="303"/>
      <c r="N64" s="303"/>
      <c r="O64" s="303"/>
      <c r="P64" s="303"/>
      <c r="Q64" s="303"/>
      <c r="R64" s="303"/>
      <c r="S64" s="303"/>
      <c r="T64" s="303"/>
      <c r="U64" s="303"/>
      <c r="V64" s="303"/>
      <c r="W64" s="303"/>
      <c r="X64" s="303"/>
      <c r="Y64" s="303"/>
      <c r="Z64" s="303"/>
      <c r="AA64" s="303"/>
      <c r="AB64" s="303"/>
      <c r="AC64" s="303"/>
      <c r="AD64" s="303"/>
      <c r="AE64" s="303"/>
      <c r="AF64" s="303"/>
      <c r="AG64" s="303"/>
      <c r="AH64" s="303"/>
      <c r="AI64" s="303"/>
      <c r="AJ64" s="303"/>
      <c r="AK64" s="303"/>
      <c r="AL64" s="303"/>
      <c r="AM64" s="303"/>
    </row>
    <row r="65" ht="12.0" customHeight="1">
      <c r="A65" s="303"/>
      <c r="B65" s="303"/>
      <c r="C65" s="303"/>
      <c r="D65" s="303"/>
      <c r="E65" s="303"/>
      <c r="F65" s="303"/>
      <c r="G65" s="303"/>
      <c r="H65" s="303"/>
      <c r="I65" s="303"/>
      <c r="J65" s="303"/>
      <c r="K65" s="303"/>
      <c r="L65" s="303"/>
      <c r="M65" s="303"/>
      <c r="N65" s="303"/>
      <c r="O65" s="303"/>
      <c r="P65" s="303"/>
      <c r="Q65" s="303"/>
      <c r="R65" s="303"/>
      <c r="S65" s="303"/>
      <c r="T65" s="303"/>
      <c r="U65" s="303"/>
      <c r="V65" s="303"/>
      <c r="W65" s="303"/>
      <c r="X65" s="303"/>
      <c r="Y65" s="303"/>
      <c r="Z65" s="303"/>
      <c r="AA65" s="303"/>
      <c r="AB65" s="303"/>
      <c r="AC65" s="303"/>
      <c r="AD65" s="303"/>
      <c r="AE65" s="303"/>
      <c r="AF65" s="303"/>
      <c r="AG65" s="303"/>
      <c r="AH65" s="303"/>
      <c r="AI65" s="303"/>
      <c r="AJ65" s="303"/>
      <c r="AK65" s="303"/>
      <c r="AL65" s="303"/>
      <c r="AM65" s="303"/>
    </row>
    <row r="66" ht="12.0" customHeight="1">
      <c r="A66" s="303"/>
      <c r="B66" s="303"/>
      <c r="C66" s="303"/>
      <c r="D66" s="303"/>
      <c r="E66" s="303"/>
      <c r="F66" s="303"/>
      <c r="G66" s="303"/>
      <c r="H66" s="303"/>
      <c r="I66" s="303"/>
      <c r="J66" s="303"/>
      <c r="K66" s="303"/>
      <c r="L66" s="303"/>
      <c r="M66" s="303"/>
      <c r="N66" s="303"/>
      <c r="O66" s="303"/>
      <c r="P66" s="303"/>
      <c r="Q66" s="303"/>
      <c r="R66" s="303"/>
      <c r="S66" s="303"/>
      <c r="T66" s="303"/>
      <c r="U66" s="303"/>
      <c r="V66" s="303"/>
      <c r="W66" s="303"/>
      <c r="X66" s="303"/>
      <c r="Y66" s="303"/>
      <c r="Z66" s="303"/>
      <c r="AA66" s="303"/>
      <c r="AB66" s="303"/>
      <c r="AC66" s="303"/>
      <c r="AD66" s="303"/>
      <c r="AE66" s="303"/>
      <c r="AF66" s="303"/>
      <c r="AG66" s="303"/>
      <c r="AH66" s="303"/>
      <c r="AI66" s="303"/>
      <c r="AJ66" s="303"/>
      <c r="AK66" s="303"/>
      <c r="AL66" s="303"/>
      <c r="AM66" s="303"/>
    </row>
    <row r="67" ht="12.0" customHeight="1">
      <c r="A67" s="303"/>
      <c r="B67" s="303"/>
      <c r="C67" s="303"/>
      <c r="D67" s="303"/>
      <c r="E67" s="303"/>
      <c r="F67" s="303"/>
      <c r="G67" s="303"/>
      <c r="H67" s="303"/>
      <c r="I67" s="303"/>
      <c r="J67" s="303"/>
      <c r="K67" s="303"/>
      <c r="L67" s="303"/>
      <c r="M67" s="303"/>
      <c r="N67" s="303"/>
      <c r="O67" s="303"/>
      <c r="P67" s="303"/>
      <c r="Q67" s="303"/>
      <c r="R67" s="303"/>
      <c r="S67" s="303"/>
      <c r="T67" s="303"/>
      <c r="U67" s="303"/>
      <c r="V67" s="303"/>
      <c r="W67" s="303"/>
      <c r="X67" s="303"/>
      <c r="Y67" s="303"/>
      <c r="Z67" s="303"/>
      <c r="AA67" s="303"/>
      <c r="AB67" s="303"/>
      <c r="AC67" s="303"/>
      <c r="AD67" s="303"/>
      <c r="AE67" s="303"/>
      <c r="AF67" s="303"/>
      <c r="AG67" s="303"/>
      <c r="AH67" s="303"/>
      <c r="AI67" s="303"/>
      <c r="AJ67" s="303"/>
      <c r="AK67" s="303"/>
      <c r="AL67" s="303"/>
      <c r="AM67" s="303"/>
    </row>
    <row r="68" ht="12.0" customHeight="1">
      <c r="A68" s="303"/>
      <c r="B68" s="303"/>
      <c r="C68" s="303"/>
      <c r="D68" s="303"/>
      <c r="E68" s="303"/>
      <c r="F68" s="303"/>
      <c r="G68" s="303"/>
      <c r="H68" s="303"/>
      <c r="I68" s="303"/>
      <c r="J68" s="303"/>
      <c r="K68" s="303"/>
      <c r="L68" s="303"/>
      <c r="M68" s="303"/>
      <c r="N68" s="303"/>
      <c r="O68" s="303"/>
      <c r="P68" s="303"/>
      <c r="Q68" s="303"/>
      <c r="R68" s="303"/>
      <c r="S68" s="303"/>
      <c r="T68" s="303"/>
      <c r="U68" s="303"/>
      <c r="V68" s="303"/>
      <c r="W68" s="303"/>
      <c r="X68" s="303"/>
      <c r="Y68" s="303"/>
      <c r="Z68" s="303"/>
      <c r="AA68" s="303"/>
      <c r="AB68" s="303"/>
      <c r="AC68" s="303"/>
      <c r="AD68" s="303"/>
      <c r="AE68" s="303"/>
      <c r="AF68" s="303"/>
      <c r="AG68" s="303"/>
      <c r="AH68" s="303"/>
      <c r="AI68" s="303"/>
      <c r="AJ68" s="303"/>
      <c r="AK68" s="303"/>
      <c r="AL68" s="303"/>
      <c r="AM68" s="303"/>
    </row>
    <row r="69" ht="12.0" customHeight="1">
      <c r="A69" s="303"/>
      <c r="B69" s="303"/>
      <c r="C69" s="303"/>
      <c r="D69" s="303"/>
      <c r="E69" s="303"/>
      <c r="F69" s="303"/>
      <c r="G69" s="303"/>
      <c r="H69" s="303"/>
      <c r="I69" s="303"/>
      <c r="J69" s="303"/>
      <c r="K69" s="303"/>
      <c r="L69" s="303"/>
      <c r="M69" s="303"/>
      <c r="N69" s="303"/>
      <c r="O69" s="303"/>
      <c r="P69" s="303"/>
      <c r="Q69" s="303"/>
      <c r="R69" s="303"/>
      <c r="S69" s="303"/>
      <c r="T69" s="303"/>
      <c r="U69" s="303"/>
      <c r="V69" s="303"/>
      <c r="W69" s="303"/>
      <c r="X69" s="303"/>
      <c r="Y69" s="303"/>
      <c r="Z69" s="303"/>
      <c r="AA69" s="303"/>
      <c r="AB69" s="303"/>
      <c r="AC69" s="303"/>
      <c r="AD69" s="303"/>
      <c r="AE69" s="303"/>
      <c r="AF69" s="303"/>
      <c r="AG69" s="303"/>
      <c r="AH69" s="303"/>
      <c r="AI69" s="303"/>
      <c r="AJ69" s="303"/>
      <c r="AK69" s="303"/>
      <c r="AL69" s="303"/>
      <c r="AM69" s="303"/>
    </row>
    <row r="70" ht="12.0" customHeight="1">
      <c r="A70" s="303"/>
      <c r="B70" s="303"/>
      <c r="C70" s="303"/>
      <c r="D70" s="303"/>
      <c r="E70" s="303"/>
      <c r="F70" s="303"/>
      <c r="G70" s="303"/>
      <c r="H70" s="303"/>
      <c r="I70" s="303"/>
      <c r="J70" s="303"/>
      <c r="K70" s="303"/>
      <c r="L70" s="303"/>
      <c r="M70" s="303"/>
      <c r="N70" s="303"/>
      <c r="O70" s="303"/>
      <c r="P70" s="303"/>
      <c r="Q70" s="303"/>
      <c r="R70" s="303"/>
      <c r="S70" s="303"/>
      <c r="T70" s="303"/>
      <c r="U70" s="303"/>
      <c r="V70" s="303"/>
      <c r="W70" s="303"/>
      <c r="X70" s="303"/>
      <c r="Y70" s="303"/>
      <c r="Z70" s="303"/>
      <c r="AA70" s="303"/>
      <c r="AB70" s="303"/>
      <c r="AC70" s="303"/>
      <c r="AD70" s="303"/>
      <c r="AE70" s="303"/>
      <c r="AF70" s="303"/>
      <c r="AG70" s="303"/>
      <c r="AH70" s="303"/>
      <c r="AI70" s="303"/>
      <c r="AJ70" s="303"/>
      <c r="AK70" s="303"/>
      <c r="AL70" s="303"/>
      <c r="AM70" s="303"/>
    </row>
    <row r="71" ht="12.0" customHeight="1">
      <c r="A71" s="303"/>
      <c r="B71" s="303"/>
      <c r="C71" s="303"/>
      <c r="D71" s="303"/>
      <c r="E71" s="303"/>
      <c r="F71" s="303"/>
      <c r="G71" s="303"/>
      <c r="H71" s="303"/>
      <c r="I71" s="303"/>
      <c r="J71" s="303"/>
      <c r="K71" s="303"/>
      <c r="L71" s="303"/>
      <c r="M71" s="303"/>
      <c r="N71" s="303"/>
      <c r="O71" s="303"/>
      <c r="P71" s="303"/>
      <c r="Q71" s="303"/>
      <c r="R71" s="303"/>
      <c r="S71" s="303"/>
      <c r="T71" s="303"/>
      <c r="U71" s="303"/>
      <c r="V71" s="303"/>
      <c r="W71" s="303"/>
      <c r="X71" s="303"/>
      <c r="Y71" s="303"/>
      <c r="Z71" s="303"/>
      <c r="AA71" s="303"/>
      <c r="AB71" s="303"/>
      <c r="AC71" s="303"/>
      <c r="AD71" s="303"/>
      <c r="AE71" s="303"/>
      <c r="AF71" s="303"/>
      <c r="AG71" s="303"/>
      <c r="AH71" s="303"/>
      <c r="AI71" s="303"/>
      <c r="AJ71" s="303"/>
      <c r="AK71" s="303"/>
      <c r="AL71" s="303"/>
      <c r="AM71" s="303"/>
    </row>
    <row r="72" ht="12.0" customHeight="1">
      <c r="A72" s="303"/>
      <c r="B72" s="303"/>
      <c r="C72" s="303"/>
      <c r="D72" s="303"/>
      <c r="E72" s="303"/>
      <c r="F72" s="303"/>
      <c r="G72" s="303"/>
      <c r="H72" s="303"/>
      <c r="I72" s="303"/>
      <c r="J72" s="303"/>
      <c r="K72" s="303"/>
      <c r="L72" s="303"/>
      <c r="M72" s="303"/>
      <c r="N72" s="303"/>
      <c r="O72" s="303"/>
      <c r="P72" s="303"/>
      <c r="Q72" s="303"/>
      <c r="R72" s="303"/>
      <c r="S72" s="303"/>
      <c r="T72" s="303"/>
      <c r="U72" s="303"/>
      <c r="V72" s="303"/>
      <c r="W72" s="303"/>
      <c r="X72" s="303"/>
      <c r="Y72" s="303"/>
      <c r="Z72" s="303"/>
      <c r="AA72" s="303"/>
      <c r="AB72" s="303"/>
      <c r="AC72" s="303"/>
      <c r="AD72" s="303"/>
      <c r="AE72" s="303"/>
      <c r="AF72" s="303"/>
      <c r="AG72" s="303"/>
      <c r="AH72" s="303"/>
      <c r="AI72" s="303"/>
      <c r="AJ72" s="303"/>
      <c r="AK72" s="303"/>
      <c r="AL72" s="303"/>
      <c r="AM72" s="303"/>
    </row>
    <row r="73" ht="12.0" customHeight="1">
      <c r="A73" s="303"/>
      <c r="B73" s="303"/>
      <c r="C73" s="303"/>
      <c r="D73" s="303"/>
      <c r="E73" s="303"/>
      <c r="F73" s="303"/>
      <c r="G73" s="303"/>
      <c r="H73" s="303"/>
      <c r="I73" s="303"/>
      <c r="J73" s="303"/>
      <c r="K73" s="303"/>
      <c r="L73" s="303"/>
      <c r="M73" s="303"/>
      <c r="N73" s="303"/>
      <c r="O73" s="303"/>
      <c r="P73" s="303"/>
      <c r="Q73" s="303"/>
      <c r="R73" s="303"/>
      <c r="S73" s="303"/>
      <c r="T73" s="303"/>
      <c r="U73" s="303"/>
      <c r="V73" s="303"/>
      <c r="W73" s="303"/>
      <c r="X73" s="303"/>
      <c r="Y73" s="303"/>
      <c r="Z73" s="303"/>
      <c r="AA73" s="303"/>
      <c r="AB73" s="303"/>
      <c r="AC73" s="303"/>
      <c r="AD73" s="303"/>
      <c r="AE73" s="303"/>
      <c r="AF73" s="303"/>
      <c r="AG73" s="303"/>
      <c r="AH73" s="303"/>
      <c r="AI73" s="303"/>
      <c r="AJ73" s="303"/>
      <c r="AK73" s="303"/>
      <c r="AL73" s="303"/>
      <c r="AM73" s="303"/>
    </row>
    <row r="74" ht="12.0" customHeight="1">
      <c r="A74" s="303"/>
      <c r="B74" s="303"/>
      <c r="C74" s="303"/>
      <c r="D74" s="303"/>
      <c r="E74" s="303"/>
      <c r="F74" s="303"/>
      <c r="G74" s="303"/>
      <c r="H74" s="303"/>
      <c r="I74" s="303"/>
      <c r="J74" s="303"/>
      <c r="K74" s="303"/>
      <c r="L74" s="303"/>
      <c r="M74" s="303"/>
      <c r="N74" s="303"/>
      <c r="O74" s="303"/>
      <c r="P74" s="303"/>
      <c r="Q74" s="303"/>
      <c r="R74" s="303"/>
      <c r="S74" s="303"/>
      <c r="T74" s="303"/>
      <c r="U74" s="303"/>
      <c r="V74" s="303"/>
      <c r="W74" s="303"/>
      <c r="X74" s="303"/>
      <c r="Y74" s="303"/>
      <c r="Z74" s="303"/>
      <c r="AA74" s="303"/>
      <c r="AB74" s="303"/>
      <c r="AC74" s="303"/>
      <c r="AD74" s="303"/>
      <c r="AE74" s="303"/>
      <c r="AF74" s="303"/>
      <c r="AG74" s="303"/>
      <c r="AH74" s="303"/>
      <c r="AI74" s="303"/>
      <c r="AJ74" s="303"/>
      <c r="AK74" s="303"/>
      <c r="AL74" s="303"/>
      <c r="AM74" s="303"/>
    </row>
    <row r="75" ht="12.0" customHeight="1">
      <c r="A75" s="303"/>
      <c r="B75" s="303"/>
      <c r="C75" s="303"/>
      <c r="D75" s="303"/>
      <c r="E75" s="303"/>
      <c r="F75" s="303"/>
      <c r="G75" s="303"/>
      <c r="H75" s="303"/>
      <c r="I75" s="303"/>
      <c r="J75" s="303"/>
      <c r="K75" s="303"/>
      <c r="L75" s="303"/>
      <c r="M75" s="303"/>
      <c r="N75" s="303"/>
      <c r="O75" s="303"/>
      <c r="P75" s="303"/>
      <c r="Q75" s="303"/>
      <c r="R75" s="303"/>
      <c r="S75" s="303"/>
      <c r="T75" s="303"/>
      <c r="U75" s="303"/>
      <c r="V75" s="303"/>
      <c r="W75" s="303"/>
      <c r="X75" s="303"/>
      <c r="Y75" s="303"/>
      <c r="Z75" s="303"/>
      <c r="AA75" s="303"/>
      <c r="AB75" s="303"/>
      <c r="AC75" s="303"/>
      <c r="AD75" s="303"/>
      <c r="AE75" s="303"/>
      <c r="AF75" s="303"/>
      <c r="AG75" s="303"/>
      <c r="AH75" s="303"/>
      <c r="AI75" s="303"/>
      <c r="AJ75" s="303"/>
      <c r="AK75" s="303"/>
      <c r="AL75" s="303"/>
      <c r="AM75" s="303"/>
    </row>
    <row r="76" ht="12.0" customHeight="1">
      <c r="A76" s="303"/>
      <c r="B76" s="303"/>
      <c r="C76" s="303"/>
      <c r="D76" s="303"/>
      <c r="E76" s="303"/>
      <c r="F76" s="303"/>
      <c r="G76" s="303"/>
      <c r="H76" s="303"/>
      <c r="I76" s="303"/>
      <c r="J76" s="303"/>
      <c r="K76" s="303"/>
      <c r="L76" s="303"/>
      <c r="M76" s="303"/>
      <c r="N76" s="303"/>
      <c r="O76" s="303"/>
      <c r="P76" s="303"/>
      <c r="Q76" s="303"/>
      <c r="R76" s="303"/>
      <c r="S76" s="303"/>
      <c r="T76" s="303"/>
      <c r="U76" s="303"/>
      <c r="V76" s="303"/>
      <c r="W76" s="303"/>
      <c r="X76" s="303"/>
      <c r="Y76" s="303"/>
      <c r="Z76" s="303"/>
      <c r="AA76" s="303"/>
      <c r="AB76" s="303"/>
      <c r="AC76" s="303"/>
      <c r="AD76" s="303"/>
      <c r="AE76" s="303"/>
      <c r="AF76" s="303"/>
      <c r="AG76" s="303"/>
      <c r="AH76" s="303"/>
      <c r="AI76" s="303"/>
      <c r="AJ76" s="303"/>
      <c r="AK76" s="303"/>
      <c r="AL76" s="303"/>
      <c r="AM76" s="303"/>
    </row>
    <row r="77" ht="12.0" customHeight="1">
      <c r="A77" s="303"/>
      <c r="B77" s="303"/>
      <c r="C77" s="303"/>
      <c r="D77" s="303"/>
      <c r="E77" s="303"/>
      <c r="F77" s="303"/>
      <c r="G77" s="303"/>
      <c r="H77" s="303"/>
      <c r="I77" s="303"/>
      <c r="J77" s="303"/>
      <c r="K77" s="303"/>
      <c r="L77" s="303"/>
      <c r="M77" s="303"/>
      <c r="N77" s="303"/>
      <c r="O77" s="303"/>
      <c r="P77" s="303"/>
      <c r="Q77" s="303"/>
      <c r="R77" s="303"/>
      <c r="S77" s="303"/>
      <c r="T77" s="303"/>
      <c r="U77" s="303"/>
      <c r="V77" s="303"/>
      <c r="W77" s="303"/>
      <c r="X77" s="303"/>
      <c r="Y77" s="303"/>
      <c r="Z77" s="303"/>
      <c r="AA77" s="303"/>
      <c r="AB77" s="303"/>
      <c r="AC77" s="303"/>
      <c r="AD77" s="303"/>
      <c r="AE77" s="303"/>
      <c r="AF77" s="303"/>
      <c r="AG77" s="303"/>
      <c r="AH77" s="303"/>
      <c r="AI77" s="303"/>
      <c r="AJ77" s="303"/>
      <c r="AK77" s="303"/>
      <c r="AL77" s="303"/>
      <c r="AM77" s="303"/>
    </row>
    <row r="78" ht="12.0" customHeight="1">
      <c r="A78" s="303"/>
      <c r="B78" s="303"/>
      <c r="C78" s="303"/>
      <c r="D78" s="303"/>
      <c r="E78" s="303"/>
      <c r="F78" s="303"/>
      <c r="G78" s="303"/>
      <c r="H78" s="303"/>
      <c r="I78" s="303"/>
      <c r="J78" s="303"/>
      <c r="K78" s="303"/>
      <c r="L78" s="303"/>
      <c r="M78" s="303"/>
      <c r="N78" s="303"/>
      <c r="O78" s="303"/>
      <c r="P78" s="303"/>
      <c r="Q78" s="303"/>
      <c r="R78" s="303"/>
      <c r="S78" s="303"/>
      <c r="T78" s="303"/>
      <c r="U78" s="303"/>
      <c r="V78" s="303"/>
      <c r="W78" s="303"/>
      <c r="X78" s="303"/>
      <c r="Y78" s="303"/>
      <c r="Z78" s="303"/>
      <c r="AA78" s="303"/>
      <c r="AB78" s="303"/>
      <c r="AC78" s="303"/>
      <c r="AD78" s="303"/>
      <c r="AE78" s="303"/>
      <c r="AF78" s="303"/>
      <c r="AG78" s="303"/>
      <c r="AH78" s="303"/>
      <c r="AI78" s="303"/>
      <c r="AJ78" s="303"/>
      <c r="AK78" s="303"/>
      <c r="AL78" s="303"/>
      <c r="AM78" s="303"/>
    </row>
    <row r="79" ht="12.0" customHeight="1">
      <c r="A79" s="303"/>
      <c r="B79" s="303"/>
      <c r="C79" s="303"/>
      <c r="D79" s="303"/>
      <c r="E79" s="303"/>
      <c r="F79" s="303"/>
      <c r="G79" s="303"/>
      <c r="H79" s="303"/>
      <c r="I79" s="303"/>
      <c r="J79" s="303"/>
      <c r="K79" s="303"/>
      <c r="L79" s="303"/>
      <c r="M79" s="303"/>
      <c r="N79" s="303"/>
      <c r="O79" s="303"/>
      <c r="P79" s="303"/>
      <c r="Q79" s="303"/>
      <c r="R79" s="303"/>
      <c r="S79" s="303"/>
      <c r="T79" s="303"/>
      <c r="U79" s="303"/>
      <c r="V79" s="303"/>
      <c r="W79" s="303"/>
      <c r="X79" s="303"/>
      <c r="Y79" s="303"/>
      <c r="Z79" s="303"/>
      <c r="AA79" s="303"/>
      <c r="AB79" s="303"/>
      <c r="AC79" s="303"/>
      <c r="AD79" s="303"/>
      <c r="AE79" s="303"/>
      <c r="AF79" s="303"/>
      <c r="AG79" s="303"/>
      <c r="AH79" s="303"/>
      <c r="AI79" s="303"/>
      <c r="AJ79" s="303"/>
      <c r="AK79" s="303"/>
      <c r="AL79" s="303"/>
      <c r="AM79" s="303"/>
    </row>
    <row r="80" ht="12.0" customHeight="1">
      <c r="A80" s="303"/>
      <c r="B80" s="303"/>
      <c r="C80" s="303"/>
      <c r="D80" s="303"/>
      <c r="E80" s="303"/>
      <c r="F80" s="303"/>
      <c r="G80" s="303"/>
      <c r="H80" s="303"/>
      <c r="I80" s="303"/>
      <c r="J80" s="303"/>
      <c r="K80" s="303"/>
      <c r="L80" s="303"/>
      <c r="M80" s="303"/>
      <c r="N80" s="303"/>
      <c r="O80" s="303"/>
      <c r="P80" s="303"/>
      <c r="Q80" s="303"/>
      <c r="R80" s="303"/>
      <c r="S80" s="303"/>
      <c r="T80" s="303"/>
      <c r="U80" s="303"/>
      <c r="V80" s="303"/>
      <c r="W80" s="303"/>
      <c r="X80" s="303"/>
      <c r="Y80" s="303"/>
      <c r="Z80" s="303"/>
      <c r="AA80" s="303"/>
      <c r="AB80" s="303"/>
      <c r="AC80" s="303"/>
      <c r="AD80" s="303"/>
      <c r="AE80" s="303"/>
      <c r="AF80" s="303"/>
      <c r="AG80" s="303"/>
      <c r="AH80" s="303"/>
      <c r="AI80" s="303"/>
      <c r="AJ80" s="303"/>
      <c r="AK80" s="303"/>
      <c r="AL80" s="303"/>
      <c r="AM80" s="303"/>
    </row>
    <row r="81" ht="12.0" customHeight="1">
      <c r="A81" s="303"/>
      <c r="B81" s="303"/>
      <c r="C81" s="303"/>
      <c r="D81" s="303"/>
      <c r="E81" s="303"/>
      <c r="F81" s="303"/>
      <c r="G81" s="303"/>
      <c r="H81" s="303"/>
      <c r="I81" s="303"/>
      <c r="J81" s="303"/>
      <c r="K81" s="303"/>
      <c r="L81" s="303"/>
      <c r="M81" s="303"/>
      <c r="N81" s="303"/>
      <c r="O81" s="303"/>
      <c r="P81" s="303"/>
      <c r="Q81" s="303"/>
      <c r="R81" s="303"/>
      <c r="S81" s="303"/>
      <c r="T81" s="303"/>
      <c r="U81" s="303"/>
      <c r="V81" s="303"/>
      <c r="W81" s="303"/>
      <c r="X81" s="303"/>
      <c r="Y81" s="303"/>
      <c r="Z81" s="303"/>
      <c r="AA81" s="303"/>
      <c r="AB81" s="303"/>
      <c r="AC81" s="303"/>
      <c r="AD81" s="303"/>
      <c r="AE81" s="303"/>
      <c r="AF81" s="303"/>
      <c r="AG81" s="303"/>
      <c r="AH81" s="303"/>
      <c r="AI81" s="303"/>
      <c r="AJ81" s="303"/>
      <c r="AK81" s="303"/>
      <c r="AL81" s="303"/>
      <c r="AM81" s="303"/>
    </row>
    <row r="82" ht="12.0" customHeight="1">
      <c r="A82" s="303"/>
      <c r="B82" s="303"/>
      <c r="C82" s="303"/>
      <c r="D82" s="303"/>
      <c r="E82" s="303"/>
      <c r="F82" s="303"/>
      <c r="G82" s="303"/>
      <c r="H82" s="303"/>
      <c r="I82" s="303"/>
      <c r="J82" s="303"/>
      <c r="K82" s="303"/>
      <c r="L82" s="303"/>
      <c r="M82" s="303"/>
      <c r="N82" s="303"/>
      <c r="O82" s="303"/>
      <c r="P82" s="303"/>
      <c r="Q82" s="303"/>
      <c r="R82" s="303"/>
      <c r="S82" s="303"/>
      <c r="T82" s="303"/>
      <c r="U82" s="303"/>
      <c r="V82" s="303"/>
      <c r="W82" s="303"/>
      <c r="X82" s="303"/>
      <c r="Y82" s="303"/>
      <c r="Z82" s="303"/>
      <c r="AA82" s="303"/>
      <c r="AB82" s="303"/>
      <c r="AC82" s="303"/>
      <c r="AD82" s="303"/>
      <c r="AE82" s="303"/>
      <c r="AF82" s="303"/>
      <c r="AG82" s="303"/>
      <c r="AH82" s="303"/>
      <c r="AI82" s="303"/>
      <c r="AJ82" s="303"/>
      <c r="AK82" s="303"/>
      <c r="AL82" s="303"/>
      <c r="AM82" s="303"/>
    </row>
    <row r="83" ht="12.0" customHeight="1">
      <c r="A83" s="303"/>
      <c r="B83" s="303"/>
      <c r="C83" s="303"/>
      <c r="D83" s="303"/>
      <c r="E83" s="303"/>
      <c r="F83" s="303"/>
      <c r="G83" s="303"/>
      <c r="H83" s="303"/>
      <c r="I83" s="303"/>
      <c r="J83" s="303"/>
      <c r="K83" s="303"/>
      <c r="L83" s="303"/>
      <c r="M83" s="303"/>
      <c r="N83" s="303"/>
      <c r="O83" s="303"/>
      <c r="P83" s="303"/>
      <c r="Q83" s="303"/>
      <c r="R83" s="303"/>
      <c r="S83" s="303"/>
      <c r="T83" s="303"/>
      <c r="U83" s="303"/>
      <c r="V83" s="303"/>
      <c r="W83" s="303"/>
      <c r="X83" s="303"/>
      <c r="Y83" s="303"/>
      <c r="Z83" s="303"/>
      <c r="AA83" s="303"/>
      <c r="AB83" s="303"/>
      <c r="AC83" s="303"/>
      <c r="AD83" s="303"/>
      <c r="AE83" s="303"/>
      <c r="AF83" s="303"/>
      <c r="AG83" s="303"/>
      <c r="AH83" s="303"/>
      <c r="AI83" s="303"/>
      <c r="AJ83" s="303"/>
      <c r="AK83" s="303"/>
      <c r="AL83" s="303"/>
      <c r="AM83" s="303"/>
    </row>
    <row r="84" ht="12.0" customHeight="1">
      <c r="A84" s="303"/>
      <c r="B84" s="303"/>
      <c r="C84" s="303"/>
      <c r="D84" s="303"/>
      <c r="E84" s="303"/>
      <c r="F84" s="303"/>
      <c r="G84" s="303"/>
      <c r="H84" s="303"/>
      <c r="I84" s="303"/>
      <c r="J84" s="303"/>
      <c r="K84" s="303"/>
      <c r="L84" s="303"/>
      <c r="M84" s="303"/>
      <c r="N84" s="303"/>
      <c r="O84" s="303"/>
      <c r="P84" s="303"/>
      <c r="Q84" s="303"/>
      <c r="R84" s="303"/>
      <c r="S84" s="303"/>
      <c r="T84" s="303"/>
      <c r="U84" s="303"/>
      <c r="V84" s="303"/>
      <c r="W84" s="303"/>
      <c r="X84" s="303"/>
      <c r="Y84" s="303"/>
      <c r="Z84" s="303"/>
      <c r="AA84" s="303"/>
      <c r="AB84" s="303"/>
      <c r="AC84" s="303"/>
      <c r="AD84" s="303"/>
      <c r="AE84" s="303"/>
      <c r="AF84" s="303"/>
      <c r="AG84" s="303"/>
      <c r="AH84" s="303"/>
      <c r="AI84" s="303"/>
      <c r="AJ84" s="303"/>
      <c r="AK84" s="303"/>
      <c r="AL84" s="303"/>
      <c r="AM84" s="303"/>
    </row>
    <row r="85" ht="12.0" customHeight="1">
      <c r="A85" s="303"/>
      <c r="B85" s="303"/>
      <c r="C85" s="303"/>
      <c r="D85" s="303"/>
      <c r="E85" s="303"/>
      <c r="F85" s="303"/>
      <c r="G85" s="303"/>
      <c r="H85" s="303"/>
      <c r="I85" s="303"/>
      <c r="J85" s="303"/>
      <c r="K85" s="303"/>
      <c r="L85" s="303"/>
      <c r="M85" s="303"/>
      <c r="N85" s="303"/>
      <c r="O85" s="303"/>
      <c r="P85" s="303"/>
      <c r="Q85" s="303"/>
      <c r="R85" s="303"/>
      <c r="S85" s="303"/>
      <c r="T85" s="303"/>
      <c r="U85" s="303"/>
      <c r="V85" s="303"/>
      <c r="W85" s="303"/>
      <c r="X85" s="303"/>
      <c r="Y85" s="303"/>
      <c r="Z85" s="303"/>
      <c r="AA85" s="303"/>
      <c r="AB85" s="303"/>
      <c r="AC85" s="303"/>
      <c r="AD85" s="303"/>
      <c r="AE85" s="303"/>
      <c r="AF85" s="303"/>
      <c r="AG85" s="303"/>
      <c r="AH85" s="303"/>
      <c r="AI85" s="303"/>
      <c r="AJ85" s="303"/>
      <c r="AK85" s="303"/>
      <c r="AL85" s="303"/>
      <c r="AM85" s="303"/>
    </row>
    <row r="86" ht="12.0" customHeight="1">
      <c r="A86" s="303"/>
      <c r="B86" s="303"/>
      <c r="C86" s="303"/>
      <c r="D86" s="303"/>
      <c r="E86" s="303"/>
      <c r="F86" s="303"/>
      <c r="G86" s="303"/>
      <c r="H86" s="303"/>
      <c r="I86" s="303"/>
      <c r="J86" s="303"/>
      <c r="K86" s="303"/>
      <c r="L86" s="303"/>
      <c r="M86" s="303"/>
      <c r="N86" s="303"/>
      <c r="O86" s="303"/>
      <c r="P86" s="303"/>
      <c r="Q86" s="303"/>
      <c r="R86" s="303"/>
      <c r="S86" s="303"/>
      <c r="T86" s="303"/>
      <c r="U86" s="303"/>
      <c r="V86" s="303"/>
      <c r="W86" s="303"/>
      <c r="X86" s="303"/>
      <c r="Y86" s="303"/>
      <c r="Z86" s="303"/>
      <c r="AA86" s="303"/>
      <c r="AB86" s="303"/>
      <c r="AC86" s="303"/>
      <c r="AD86" s="303"/>
      <c r="AE86" s="303"/>
      <c r="AF86" s="303"/>
      <c r="AG86" s="303"/>
      <c r="AH86" s="303"/>
      <c r="AI86" s="303"/>
      <c r="AJ86" s="303"/>
      <c r="AK86" s="303"/>
      <c r="AL86" s="303"/>
      <c r="AM86" s="303"/>
    </row>
    <row r="87" ht="12.0" customHeight="1">
      <c r="A87" s="303"/>
      <c r="B87" s="303"/>
      <c r="C87" s="303"/>
      <c r="D87" s="303"/>
      <c r="E87" s="303"/>
      <c r="F87" s="303"/>
      <c r="G87" s="303"/>
      <c r="H87" s="303"/>
      <c r="I87" s="303"/>
      <c r="J87" s="303"/>
      <c r="K87" s="303"/>
      <c r="L87" s="303"/>
      <c r="M87" s="303"/>
      <c r="N87" s="303"/>
      <c r="O87" s="303"/>
      <c r="P87" s="303"/>
      <c r="Q87" s="303"/>
      <c r="R87" s="303"/>
      <c r="S87" s="303"/>
      <c r="T87" s="303"/>
      <c r="U87" s="303"/>
      <c r="V87" s="303"/>
      <c r="W87" s="303"/>
      <c r="X87" s="303"/>
      <c r="Y87" s="303"/>
      <c r="Z87" s="303"/>
      <c r="AA87" s="303"/>
      <c r="AB87" s="303"/>
      <c r="AC87" s="303"/>
      <c r="AD87" s="303"/>
      <c r="AE87" s="303"/>
      <c r="AF87" s="303"/>
      <c r="AG87" s="303"/>
      <c r="AH87" s="303"/>
      <c r="AI87" s="303"/>
      <c r="AJ87" s="303"/>
      <c r="AK87" s="303"/>
      <c r="AL87" s="303"/>
      <c r="AM87" s="303"/>
    </row>
    <row r="88" ht="12.0" customHeight="1">
      <c r="A88" s="303"/>
      <c r="B88" s="303"/>
      <c r="C88" s="303"/>
      <c r="D88" s="303"/>
      <c r="E88" s="303"/>
      <c r="F88" s="303"/>
      <c r="G88" s="303"/>
      <c r="H88" s="303"/>
      <c r="I88" s="303"/>
      <c r="J88" s="303"/>
      <c r="K88" s="303"/>
      <c r="L88" s="303"/>
      <c r="M88" s="303"/>
      <c r="N88" s="303"/>
      <c r="O88" s="303"/>
      <c r="P88" s="303"/>
      <c r="Q88" s="303"/>
      <c r="R88" s="303"/>
      <c r="S88" s="303"/>
      <c r="T88" s="303"/>
      <c r="U88" s="303"/>
      <c r="V88" s="303"/>
      <c r="W88" s="303"/>
      <c r="X88" s="303"/>
      <c r="Y88" s="303"/>
      <c r="Z88" s="303"/>
      <c r="AA88" s="303"/>
      <c r="AB88" s="303"/>
      <c r="AC88" s="303"/>
      <c r="AD88" s="303"/>
      <c r="AE88" s="303"/>
      <c r="AF88" s="303"/>
      <c r="AG88" s="303"/>
      <c r="AH88" s="303"/>
      <c r="AI88" s="303"/>
      <c r="AJ88" s="303"/>
      <c r="AK88" s="303"/>
      <c r="AL88" s="303"/>
      <c r="AM88" s="303"/>
    </row>
    <row r="89" ht="12.0" customHeight="1">
      <c r="A89" s="303"/>
      <c r="B89" s="303"/>
      <c r="C89" s="303"/>
      <c r="D89" s="303"/>
      <c r="E89" s="303"/>
      <c r="F89" s="303"/>
      <c r="G89" s="303"/>
      <c r="H89" s="303"/>
      <c r="I89" s="303"/>
      <c r="J89" s="303"/>
      <c r="K89" s="303"/>
      <c r="L89" s="303"/>
      <c r="M89" s="303"/>
      <c r="N89" s="303"/>
      <c r="O89" s="303"/>
      <c r="P89" s="303"/>
      <c r="Q89" s="303"/>
      <c r="R89" s="303"/>
      <c r="S89" s="303"/>
      <c r="T89" s="303"/>
      <c r="U89" s="303"/>
      <c r="V89" s="303"/>
      <c r="W89" s="303"/>
      <c r="X89" s="303"/>
      <c r="Y89" s="303"/>
      <c r="Z89" s="303"/>
      <c r="AA89" s="303"/>
      <c r="AB89" s="303"/>
      <c r="AC89" s="303"/>
      <c r="AD89" s="303"/>
      <c r="AE89" s="303"/>
      <c r="AF89" s="303"/>
      <c r="AG89" s="303"/>
      <c r="AH89" s="303"/>
      <c r="AI89" s="303"/>
      <c r="AJ89" s="303"/>
      <c r="AK89" s="303"/>
      <c r="AL89" s="303"/>
      <c r="AM89" s="303"/>
    </row>
    <row r="90" ht="12.0" customHeight="1">
      <c r="A90" s="303"/>
      <c r="B90" s="303"/>
      <c r="C90" s="303"/>
      <c r="D90" s="303"/>
      <c r="E90" s="303"/>
      <c r="F90" s="303"/>
      <c r="G90" s="303"/>
      <c r="H90" s="303"/>
      <c r="I90" s="303"/>
      <c r="J90" s="303"/>
      <c r="K90" s="303"/>
      <c r="L90" s="303"/>
      <c r="M90" s="303"/>
      <c r="N90" s="303"/>
      <c r="O90" s="303"/>
      <c r="P90" s="303"/>
      <c r="Q90" s="303"/>
      <c r="R90" s="303"/>
      <c r="S90" s="303"/>
      <c r="T90" s="303"/>
      <c r="U90" s="303"/>
      <c r="V90" s="303"/>
      <c r="W90" s="303"/>
      <c r="X90" s="303"/>
      <c r="Y90" s="303"/>
      <c r="Z90" s="303"/>
      <c r="AA90" s="303"/>
      <c r="AB90" s="303"/>
      <c r="AC90" s="303"/>
      <c r="AD90" s="303"/>
      <c r="AE90" s="303"/>
      <c r="AF90" s="303"/>
      <c r="AG90" s="303"/>
      <c r="AH90" s="303"/>
      <c r="AI90" s="303"/>
      <c r="AJ90" s="303"/>
      <c r="AK90" s="303"/>
      <c r="AL90" s="303"/>
      <c r="AM90" s="303"/>
    </row>
    <row r="91" ht="12.0" customHeight="1">
      <c r="A91" s="303"/>
      <c r="B91" s="303"/>
      <c r="C91" s="303"/>
      <c r="D91" s="303"/>
      <c r="E91" s="303"/>
      <c r="F91" s="303"/>
      <c r="G91" s="303"/>
      <c r="H91" s="303"/>
      <c r="I91" s="303"/>
      <c r="J91" s="303"/>
      <c r="K91" s="303"/>
      <c r="L91" s="303"/>
      <c r="M91" s="303"/>
      <c r="N91" s="303"/>
      <c r="O91" s="303"/>
      <c r="P91" s="303"/>
      <c r="Q91" s="303"/>
      <c r="R91" s="303"/>
      <c r="S91" s="303"/>
      <c r="T91" s="303"/>
      <c r="U91" s="303"/>
      <c r="V91" s="303"/>
      <c r="W91" s="303"/>
      <c r="X91" s="303"/>
      <c r="Y91" s="303"/>
      <c r="Z91" s="303"/>
      <c r="AA91" s="303"/>
      <c r="AB91" s="303"/>
      <c r="AC91" s="303"/>
      <c r="AD91" s="303"/>
      <c r="AE91" s="303"/>
      <c r="AF91" s="303"/>
      <c r="AG91" s="303"/>
      <c r="AH91" s="303"/>
      <c r="AI91" s="303"/>
      <c r="AJ91" s="303"/>
      <c r="AK91" s="303"/>
      <c r="AL91" s="303"/>
      <c r="AM91" s="303"/>
    </row>
    <row r="92" ht="12.0" customHeight="1">
      <c r="A92" s="303"/>
      <c r="B92" s="303"/>
      <c r="C92" s="303"/>
      <c r="D92" s="303"/>
      <c r="E92" s="303"/>
      <c r="F92" s="303"/>
      <c r="G92" s="303"/>
      <c r="H92" s="303"/>
      <c r="I92" s="303"/>
      <c r="J92" s="303"/>
      <c r="K92" s="303"/>
      <c r="L92" s="303"/>
      <c r="M92" s="303"/>
      <c r="N92" s="303"/>
      <c r="O92" s="303"/>
      <c r="P92" s="303"/>
      <c r="Q92" s="303"/>
      <c r="R92" s="303"/>
      <c r="S92" s="303"/>
      <c r="T92" s="303"/>
      <c r="U92" s="303"/>
      <c r="V92" s="303"/>
      <c r="W92" s="303"/>
      <c r="X92" s="303"/>
      <c r="Y92" s="303"/>
      <c r="Z92" s="303"/>
      <c r="AA92" s="303"/>
      <c r="AB92" s="303"/>
      <c r="AC92" s="303"/>
      <c r="AD92" s="303"/>
      <c r="AE92" s="303"/>
      <c r="AF92" s="303"/>
      <c r="AG92" s="303"/>
      <c r="AH92" s="303"/>
      <c r="AI92" s="303"/>
      <c r="AJ92" s="303"/>
      <c r="AK92" s="303"/>
      <c r="AL92" s="303"/>
      <c r="AM92" s="303"/>
    </row>
    <row r="93" ht="12.0" customHeight="1">
      <c r="A93" s="303"/>
      <c r="B93" s="303"/>
      <c r="C93" s="303"/>
      <c r="D93" s="303"/>
      <c r="E93" s="303"/>
      <c r="F93" s="303"/>
      <c r="G93" s="303"/>
      <c r="H93" s="303"/>
      <c r="I93" s="303"/>
      <c r="J93" s="303"/>
      <c r="K93" s="303"/>
      <c r="L93" s="303"/>
      <c r="M93" s="303"/>
      <c r="N93" s="303"/>
      <c r="O93" s="303"/>
      <c r="P93" s="303"/>
      <c r="Q93" s="303"/>
      <c r="R93" s="303"/>
      <c r="S93" s="303"/>
      <c r="T93" s="303"/>
      <c r="U93" s="303"/>
      <c r="V93" s="303"/>
      <c r="W93" s="303"/>
      <c r="X93" s="303"/>
      <c r="Y93" s="303"/>
      <c r="Z93" s="303"/>
      <c r="AA93" s="303"/>
      <c r="AB93" s="303"/>
      <c r="AC93" s="303"/>
      <c r="AD93" s="303"/>
      <c r="AE93" s="303"/>
      <c r="AF93" s="303"/>
      <c r="AG93" s="303"/>
      <c r="AH93" s="303"/>
      <c r="AI93" s="303"/>
      <c r="AJ93" s="303"/>
      <c r="AK93" s="303"/>
      <c r="AL93" s="303"/>
      <c r="AM93" s="303"/>
    </row>
    <row r="94" ht="12.0" customHeight="1">
      <c r="A94" s="303"/>
      <c r="B94" s="303"/>
      <c r="C94" s="303"/>
      <c r="D94" s="303"/>
      <c r="E94" s="303"/>
      <c r="F94" s="303"/>
      <c r="G94" s="303"/>
      <c r="H94" s="303"/>
      <c r="I94" s="303"/>
      <c r="J94" s="303"/>
      <c r="K94" s="303"/>
      <c r="L94" s="303"/>
      <c r="M94" s="303"/>
      <c r="N94" s="303"/>
      <c r="O94" s="303"/>
      <c r="P94" s="303"/>
      <c r="Q94" s="303"/>
      <c r="R94" s="303"/>
      <c r="S94" s="303"/>
      <c r="T94" s="303"/>
      <c r="U94" s="303"/>
      <c r="V94" s="303"/>
      <c r="W94" s="303"/>
      <c r="X94" s="303"/>
      <c r="Y94" s="303"/>
      <c r="Z94" s="303"/>
      <c r="AA94" s="303"/>
      <c r="AB94" s="303"/>
      <c r="AC94" s="303"/>
      <c r="AD94" s="303"/>
      <c r="AE94" s="303"/>
      <c r="AF94" s="303"/>
      <c r="AG94" s="303"/>
      <c r="AH94" s="303"/>
      <c r="AI94" s="303"/>
      <c r="AJ94" s="303"/>
      <c r="AK94" s="303"/>
      <c r="AL94" s="303"/>
      <c r="AM94" s="303"/>
    </row>
    <row r="95" ht="12.0" customHeight="1">
      <c r="A95" s="303"/>
      <c r="B95" s="303"/>
      <c r="C95" s="303"/>
      <c r="D95" s="303"/>
      <c r="E95" s="303"/>
      <c r="F95" s="303"/>
      <c r="G95" s="303"/>
      <c r="H95" s="303"/>
      <c r="I95" s="303"/>
      <c r="J95" s="303"/>
      <c r="K95" s="303"/>
      <c r="L95" s="303"/>
      <c r="M95" s="303"/>
      <c r="N95" s="303"/>
      <c r="O95" s="303"/>
      <c r="P95" s="303"/>
      <c r="Q95" s="303"/>
      <c r="R95" s="303"/>
      <c r="S95" s="303"/>
      <c r="T95" s="303"/>
      <c r="U95" s="303"/>
      <c r="V95" s="303"/>
      <c r="W95" s="303"/>
      <c r="X95" s="303"/>
      <c r="Y95" s="303"/>
      <c r="Z95" s="303"/>
      <c r="AA95" s="303"/>
      <c r="AB95" s="303"/>
      <c r="AC95" s="303"/>
      <c r="AD95" s="303"/>
      <c r="AE95" s="303"/>
      <c r="AF95" s="303"/>
      <c r="AG95" s="303"/>
      <c r="AH95" s="303"/>
      <c r="AI95" s="303"/>
      <c r="AJ95" s="303"/>
      <c r="AK95" s="303"/>
      <c r="AL95" s="303"/>
      <c r="AM95" s="303"/>
    </row>
    <row r="96" ht="12.0" customHeight="1">
      <c r="A96" s="303"/>
      <c r="B96" s="303"/>
      <c r="C96" s="303"/>
      <c r="D96" s="303"/>
      <c r="E96" s="303"/>
      <c r="F96" s="303"/>
      <c r="G96" s="303"/>
      <c r="H96" s="303"/>
      <c r="I96" s="303"/>
      <c r="J96" s="303"/>
      <c r="K96" s="303"/>
      <c r="L96" s="303"/>
      <c r="M96" s="303"/>
      <c r="N96" s="303"/>
      <c r="O96" s="303"/>
      <c r="P96" s="303"/>
      <c r="Q96" s="303"/>
      <c r="R96" s="303"/>
      <c r="S96" s="303"/>
      <c r="T96" s="303"/>
      <c r="U96" s="303"/>
      <c r="V96" s="303"/>
      <c r="W96" s="303"/>
      <c r="X96" s="303"/>
      <c r="Y96" s="303"/>
      <c r="Z96" s="303"/>
      <c r="AA96" s="303"/>
      <c r="AB96" s="303"/>
      <c r="AC96" s="303"/>
      <c r="AD96" s="303"/>
      <c r="AE96" s="303"/>
      <c r="AF96" s="303"/>
      <c r="AG96" s="303"/>
      <c r="AH96" s="303"/>
      <c r="AI96" s="303"/>
      <c r="AJ96" s="303"/>
      <c r="AK96" s="303"/>
      <c r="AL96" s="303"/>
      <c r="AM96" s="303"/>
    </row>
    <row r="97" ht="12.0" customHeight="1">
      <c r="A97" s="303"/>
      <c r="B97" s="303"/>
      <c r="C97" s="303"/>
      <c r="D97" s="303"/>
      <c r="E97" s="303"/>
      <c r="F97" s="303"/>
      <c r="G97" s="303"/>
      <c r="H97" s="303"/>
      <c r="I97" s="303"/>
      <c r="J97" s="303"/>
      <c r="K97" s="303"/>
      <c r="L97" s="303"/>
      <c r="M97" s="303"/>
      <c r="N97" s="303"/>
      <c r="O97" s="303"/>
      <c r="P97" s="303"/>
      <c r="Q97" s="303"/>
      <c r="R97" s="303"/>
      <c r="S97" s="303"/>
      <c r="T97" s="303"/>
      <c r="U97" s="303"/>
      <c r="V97" s="303"/>
      <c r="W97" s="303"/>
      <c r="X97" s="303"/>
      <c r="Y97" s="303"/>
      <c r="Z97" s="303"/>
      <c r="AA97" s="303"/>
      <c r="AB97" s="303"/>
      <c r="AC97" s="303"/>
      <c r="AD97" s="303"/>
      <c r="AE97" s="303"/>
      <c r="AF97" s="303"/>
      <c r="AG97" s="303"/>
      <c r="AH97" s="303"/>
      <c r="AI97" s="303"/>
      <c r="AJ97" s="303"/>
      <c r="AK97" s="303"/>
      <c r="AL97" s="303"/>
      <c r="AM97" s="303"/>
    </row>
    <row r="98" ht="12.0" customHeight="1">
      <c r="A98" s="303"/>
      <c r="B98" s="303"/>
      <c r="C98" s="303"/>
      <c r="D98" s="303"/>
      <c r="E98" s="303"/>
      <c r="F98" s="303"/>
      <c r="G98" s="303"/>
      <c r="H98" s="303"/>
      <c r="I98" s="303"/>
      <c r="J98" s="303"/>
      <c r="K98" s="303"/>
      <c r="L98" s="303"/>
      <c r="M98" s="303"/>
      <c r="N98" s="303"/>
      <c r="O98" s="303"/>
      <c r="P98" s="303"/>
      <c r="Q98" s="303"/>
      <c r="R98" s="303"/>
      <c r="S98" s="303"/>
      <c r="T98" s="303"/>
      <c r="U98" s="303"/>
      <c r="V98" s="303"/>
      <c r="W98" s="303"/>
      <c r="X98" s="303"/>
      <c r="Y98" s="303"/>
      <c r="Z98" s="303"/>
      <c r="AA98" s="303"/>
      <c r="AB98" s="303"/>
      <c r="AC98" s="303"/>
      <c r="AD98" s="303"/>
      <c r="AE98" s="303"/>
      <c r="AF98" s="303"/>
      <c r="AG98" s="303"/>
      <c r="AH98" s="303"/>
      <c r="AI98" s="303"/>
      <c r="AJ98" s="303"/>
      <c r="AK98" s="303"/>
      <c r="AL98" s="303"/>
      <c r="AM98" s="303"/>
    </row>
    <row r="99" ht="12.0" customHeight="1">
      <c r="A99" s="303"/>
      <c r="B99" s="303"/>
      <c r="C99" s="303"/>
      <c r="D99" s="303"/>
      <c r="E99" s="303"/>
      <c r="F99" s="303"/>
      <c r="G99" s="303"/>
      <c r="H99" s="303"/>
      <c r="I99" s="303"/>
      <c r="J99" s="303"/>
      <c r="K99" s="303"/>
      <c r="L99" s="303"/>
      <c r="M99" s="303"/>
      <c r="N99" s="303"/>
      <c r="O99" s="303"/>
      <c r="P99" s="303"/>
      <c r="Q99" s="303"/>
      <c r="R99" s="303"/>
      <c r="S99" s="303"/>
      <c r="T99" s="303"/>
      <c r="U99" s="303"/>
      <c r="V99" s="303"/>
      <c r="W99" s="303"/>
      <c r="X99" s="303"/>
      <c r="Y99" s="303"/>
      <c r="Z99" s="303"/>
      <c r="AA99" s="303"/>
      <c r="AB99" s="303"/>
      <c r="AC99" s="303"/>
      <c r="AD99" s="303"/>
      <c r="AE99" s="303"/>
      <c r="AF99" s="303"/>
      <c r="AG99" s="303"/>
      <c r="AH99" s="303"/>
      <c r="AI99" s="303"/>
      <c r="AJ99" s="303"/>
      <c r="AK99" s="303"/>
      <c r="AL99" s="303"/>
      <c r="AM99" s="303"/>
    </row>
    <row r="100" ht="12.0" customHeight="1">
      <c r="A100" s="303"/>
      <c r="B100" s="303"/>
      <c r="C100" s="303"/>
      <c r="D100" s="303"/>
      <c r="E100" s="303"/>
      <c r="F100" s="303"/>
      <c r="G100" s="303"/>
      <c r="H100" s="303"/>
      <c r="I100" s="303"/>
      <c r="J100" s="303"/>
      <c r="K100" s="303"/>
      <c r="L100" s="303"/>
      <c r="M100" s="303"/>
      <c r="N100" s="303"/>
      <c r="O100" s="303"/>
      <c r="P100" s="303"/>
      <c r="Q100" s="303"/>
      <c r="R100" s="303"/>
      <c r="S100" s="303"/>
      <c r="T100" s="303"/>
      <c r="U100" s="303"/>
      <c r="V100" s="303"/>
      <c r="W100" s="303"/>
      <c r="X100" s="303"/>
      <c r="Y100" s="303"/>
      <c r="Z100" s="303"/>
      <c r="AA100" s="303"/>
      <c r="AB100" s="303"/>
      <c r="AC100" s="303"/>
      <c r="AD100" s="303"/>
      <c r="AE100" s="303"/>
      <c r="AF100" s="303"/>
      <c r="AG100" s="303"/>
      <c r="AH100" s="303"/>
      <c r="AI100" s="303"/>
      <c r="AJ100" s="303"/>
      <c r="AK100" s="303"/>
      <c r="AL100" s="303"/>
      <c r="AM100" s="303"/>
    </row>
    <row r="101" ht="12.0" customHeight="1">
      <c r="A101" s="303"/>
      <c r="B101" s="303"/>
      <c r="C101" s="303"/>
      <c r="D101" s="303"/>
      <c r="E101" s="303"/>
      <c r="F101" s="303"/>
      <c r="G101" s="303"/>
      <c r="H101" s="303"/>
      <c r="I101" s="303"/>
      <c r="J101" s="303"/>
      <c r="K101" s="303"/>
      <c r="L101" s="303"/>
      <c r="M101" s="303"/>
      <c r="N101" s="303"/>
      <c r="O101" s="303"/>
      <c r="P101" s="303"/>
      <c r="Q101" s="303"/>
      <c r="R101" s="303"/>
      <c r="S101" s="303"/>
      <c r="T101" s="303"/>
      <c r="U101" s="303"/>
      <c r="V101" s="303"/>
      <c r="W101" s="303"/>
      <c r="X101" s="303"/>
      <c r="Y101" s="303"/>
      <c r="Z101" s="303"/>
      <c r="AA101" s="303"/>
      <c r="AB101" s="303"/>
      <c r="AC101" s="303"/>
      <c r="AD101" s="303"/>
      <c r="AE101" s="303"/>
      <c r="AF101" s="303"/>
      <c r="AG101" s="303"/>
      <c r="AH101" s="303"/>
      <c r="AI101" s="303"/>
      <c r="AJ101" s="303"/>
      <c r="AK101" s="303"/>
      <c r="AL101" s="303"/>
      <c r="AM101" s="303"/>
    </row>
    <row r="102" ht="12.0" customHeight="1">
      <c r="A102" s="303"/>
      <c r="B102" s="303"/>
      <c r="C102" s="303"/>
      <c r="D102" s="303"/>
      <c r="E102" s="303"/>
      <c r="F102" s="303"/>
      <c r="G102" s="303"/>
      <c r="H102" s="303"/>
      <c r="I102" s="303"/>
      <c r="J102" s="303"/>
      <c r="K102" s="303"/>
      <c r="L102" s="303"/>
      <c r="M102" s="303"/>
      <c r="N102" s="303"/>
      <c r="O102" s="303"/>
      <c r="P102" s="303"/>
      <c r="Q102" s="303"/>
      <c r="R102" s="303"/>
      <c r="S102" s="303"/>
      <c r="T102" s="303"/>
      <c r="U102" s="303"/>
      <c r="V102" s="303"/>
      <c r="W102" s="303"/>
      <c r="X102" s="303"/>
      <c r="Y102" s="303"/>
      <c r="Z102" s="303"/>
      <c r="AA102" s="303"/>
      <c r="AB102" s="303"/>
      <c r="AC102" s="303"/>
      <c r="AD102" s="303"/>
      <c r="AE102" s="303"/>
      <c r="AF102" s="303"/>
      <c r="AG102" s="303"/>
      <c r="AH102" s="303"/>
      <c r="AI102" s="303"/>
      <c r="AJ102" s="303"/>
      <c r="AK102" s="303"/>
      <c r="AL102" s="303"/>
      <c r="AM102" s="303"/>
    </row>
    <row r="103" ht="12.0" customHeight="1">
      <c r="A103" s="303"/>
      <c r="B103" s="303"/>
      <c r="C103" s="303"/>
      <c r="D103" s="303"/>
      <c r="E103" s="303"/>
      <c r="F103" s="303"/>
      <c r="G103" s="303"/>
      <c r="H103" s="303"/>
      <c r="I103" s="303"/>
      <c r="J103" s="303"/>
      <c r="K103" s="303"/>
      <c r="L103" s="303"/>
      <c r="M103" s="303"/>
      <c r="N103" s="303"/>
      <c r="O103" s="303"/>
      <c r="P103" s="303"/>
      <c r="Q103" s="303"/>
      <c r="R103" s="303"/>
      <c r="S103" s="303"/>
      <c r="T103" s="303"/>
      <c r="U103" s="303"/>
      <c r="V103" s="303"/>
      <c r="W103" s="303"/>
      <c r="X103" s="303"/>
      <c r="Y103" s="303"/>
      <c r="Z103" s="303"/>
      <c r="AA103" s="303"/>
      <c r="AB103" s="303"/>
      <c r="AC103" s="303"/>
      <c r="AD103" s="303"/>
      <c r="AE103" s="303"/>
      <c r="AF103" s="303"/>
      <c r="AG103" s="303"/>
      <c r="AH103" s="303"/>
      <c r="AI103" s="303"/>
      <c r="AJ103" s="303"/>
      <c r="AK103" s="303"/>
      <c r="AL103" s="303"/>
      <c r="AM103" s="303"/>
    </row>
    <row r="104" ht="12.0" customHeight="1">
      <c r="A104" s="303"/>
      <c r="B104" s="303"/>
      <c r="C104" s="303"/>
      <c r="D104" s="303"/>
      <c r="E104" s="303"/>
      <c r="F104" s="303"/>
      <c r="G104" s="303"/>
      <c r="H104" s="303"/>
      <c r="I104" s="303"/>
      <c r="J104" s="303"/>
      <c r="K104" s="303"/>
      <c r="L104" s="303"/>
      <c r="M104" s="303"/>
      <c r="N104" s="303"/>
      <c r="O104" s="303"/>
      <c r="P104" s="303"/>
      <c r="Q104" s="303"/>
      <c r="R104" s="303"/>
      <c r="S104" s="303"/>
      <c r="T104" s="303"/>
      <c r="U104" s="303"/>
      <c r="V104" s="303"/>
      <c r="W104" s="303"/>
      <c r="X104" s="303"/>
      <c r="Y104" s="303"/>
      <c r="Z104" s="303"/>
      <c r="AA104" s="303"/>
      <c r="AB104" s="303"/>
      <c r="AC104" s="303"/>
      <c r="AD104" s="303"/>
      <c r="AE104" s="303"/>
      <c r="AF104" s="303"/>
      <c r="AG104" s="303"/>
      <c r="AH104" s="303"/>
      <c r="AI104" s="303"/>
      <c r="AJ104" s="303"/>
      <c r="AK104" s="303"/>
      <c r="AL104" s="303"/>
      <c r="AM104" s="303"/>
    </row>
    <row r="105" ht="12.0" customHeight="1">
      <c r="A105" s="303"/>
      <c r="B105" s="303"/>
      <c r="C105" s="303"/>
      <c r="D105" s="303"/>
      <c r="E105" s="303"/>
      <c r="F105" s="303"/>
      <c r="G105" s="303"/>
      <c r="H105" s="303"/>
      <c r="I105" s="303"/>
      <c r="J105" s="303"/>
      <c r="K105" s="303"/>
      <c r="L105" s="303"/>
      <c r="M105" s="303"/>
      <c r="N105" s="303"/>
      <c r="O105" s="303"/>
      <c r="P105" s="303"/>
      <c r="Q105" s="303"/>
      <c r="R105" s="303"/>
      <c r="S105" s="303"/>
      <c r="T105" s="303"/>
      <c r="U105" s="303"/>
      <c r="V105" s="303"/>
      <c r="W105" s="303"/>
      <c r="X105" s="303"/>
      <c r="Y105" s="303"/>
      <c r="Z105" s="303"/>
      <c r="AA105" s="303"/>
      <c r="AB105" s="303"/>
      <c r="AC105" s="303"/>
      <c r="AD105" s="303"/>
      <c r="AE105" s="303"/>
      <c r="AF105" s="303"/>
      <c r="AG105" s="303"/>
      <c r="AH105" s="303"/>
      <c r="AI105" s="303"/>
      <c r="AJ105" s="303"/>
      <c r="AK105" s="303"/>
      <c r="AL105" s="303"/>
      <c r="AM105" s="303"/>
    </row>
    <row r="106" ht="12.0" customHeight="1">
      <c r="A106" s="303"/>
      <c r="B106" s="303"/>
      <c r="C106" s="303"/>
      <c r="D106" s="303"/>
      <c r="E106" s="303"/>
      <c r="F106" s="303"/>
      <c r="G106" s="303"/>
      <c r="H106" s="303"/>
      <c r="I106" s="303"/>
      <c r="J106" s="303"/>
      <c r="K106" s="303"/>
      <c r="L106" s="303"/>
      <c r="M106" s="303"/>
      <c r="N106" s="303"/>
      <c r="O106" s="303"/>
      <c r="P106" s="303"/>
      <c r="Q106" s="303"/>
      <c r="R106" s="303"/>
      <c r="S106" s="303"/>
      <c r="T106" s="303"/>
      <c r="U106" s="303"/>
      <c r="V106" s="303"/>
      <c r="W106" s="303"/>
      <c r="X106" s="303"/>
      <c r="Y106" s="303"/>
      <c r="Z106" s="303"/>
      <c r="AA106" s="303"/>
      <c r="AB106" s="303"/>
      <c r="AC106" s="303"/>
      <c r="AD106" s="303"/>
      <c r="AE106" s="303"/>
      <c r="AF106" s="303"/>
      <c r="AG106" s="303"/>
      <c r="AH106" s="303"/>
      <c r="AI106" s="303"/>
      <c r="AJ106" s="303"/>
      <c r="AK106" s="303"/>
      <c r="AL106" s="303"/>
      <c r="AM106" s="303"/>
    </row>
    <row r="107" ht="12.0" customHeight="1">
      <c r="A107" s="303"/>
      <c r="B107" s="303"/>
      <c r="C107" s="303"/>
      <c r="D107" s="303"/>
      <c r="E107" s="303"/>
      <c r="F107" s="303"/>
      <c r="G107" s="303"/>
      <c r="H107" s="303"/>
      <c r="I107" s="303"/>
      <c r="J107" s="303"/>
      <c r="K107" s="303"/>
      <c r="L107" s="303"/>
      <c r="M107" s="303"/>
      <c r="N107" s="303"/>
      <c r="O107" s="303"/>
      <c r="P107" s="303"/>
      <c r="Q107" s="303"/>
      <c r="R107" s="303"/>
      <c r="S107" s="303"/>
      <c r="T107" s="303"/>
      <c r="U107" s="303"/>
      <c r="V107" s="303"/>
      <c r="W107" s="303"/>
      <c r="X107" s="303"/>
      <c r="Y107" s="303"/>
      <c r="Z107" s="303"/>
      <c r="AA107" s="303"/>
      <c r="AB107" s="303"/>
      <c r="AC107" s="303"/>
      <c r="AD107" s="303"/>
      <c r="AE107" s="303"/>
      <c r="AF107" s="303"/>
      <c r="AG107" s="303"/>
      <c r="AH107" s="303"/>
      <c r="AI107" s="303"/>
      <c r="AJ107" s="303"/>
      <c r="AK107" s="303"/>
      <c r="AL107" s="303"/>
      <c r="AM107" s="303"/>
    </row>
    <row r="108" ht="12.0" customHeight="1">
      <c r="A108" s="303"/>
      <c r="B108" s="303"/>
      <c r="C108" s="303"/>
      <c r="D108" s="303"/>
      <c r="E108" s="303"/>
      <c r="F108" s="303"/>
      <c r="G108" s="303"/>
      <c r="H108" s="303"/>
      <c r="I108" s="303"/>
      <c r="J108" s="303"/>
      <c r="K108" s="303"/>
      <c r="L108" s="303"/>
      <c r="M108" s="303"/>
      <c r="N108" s="303"/>
      <c r="O108" s="303"/>
      <c r="P108" s="303"/>
      <c r="Q108" s="303"/>
      <c r="R108" s="303"/>
      <c r="S108" s="303"/>
      <c r="T108" s="303"/>
      <c r="U108" s="303"/>
      <c r="V108" s="303"/>
      <c r="W108" s="303"/>
      <c r="X108" s="303"/>
      <c r="Y108" s="303"/>
      <c r="Z108" s="303"/>
      <c r="AA108" s="303"/>
      <c r="AB108" s="303"/>
      <c r="AC108" s="303"/>
      <c r="AD108" s="303"/>
      <c r="AE108" s="303"/>
      <c r="AF108" s="303"/>
      <c r="AG108" s="303"/>
      <c r="AH108" s="303"/>
      <c r="AI108" s="303"/>
      <c r="AJ108" s="303"/>
      <c r="AK108" s="303"/>
      <c r="AL108" s="303"/>
      <c r="AM108" s="303"/>
    </row>
    <row r="109" ht="12.0" customHeight="1">
      <c r="A109" s="303"/>
      <c r="B109" s="303"/>
      <c r="C109" s="303"/>
      <c r="D109" s="303"/>
      <c r="E109" s="303"/>
      <c r="F109" s="303"/>
      <c r="G109" s="303"/>
      <c r="H109" s="303"/>
      <c r="I109" s="303"/>
      <c r="J109" s="303"/>
      <c r="K109" s="303"/>
      <c r="L109" s="303"/>
      <c r="M109" s="303"/>
      <c r="N109" s="303"/>
      <c r="O109" s="303"/>
      <c r="P109" s="303"/>
      <c r="Q109" s="303"/>
      <c r="R109" s="303"/>
      <c r="S109" s="303"/>
      <c r="T109" s="303"/>
      <c r="U109" s="303"/>
      <c r="V109" s="303"/>
      <c r="W109" s="303"/>
      <c r="X109" s="303"/>
      <c r="Y109" s="303"/>
      <c r="Z109" s="303"/>
      <c r="AA109" s="303"/>
      <c r="AB109" s="303"/>
      <c r="AC109" s="303"/>
      <c r="AD109" s="303"/>
      <c r="AE109" s="303"/>
      <c r="AF109" s="303"/>
      <c r="AG109" s="303"/>
      <c r="AH109" s="303"/>
      <c r="AI109" s="303"/>
      <c r="AJ109" s="303"/>
      <c r="AK109" s="303"/>
      <c r="AL109" s="303"/>
      <c r="AM109" s="303"/>
    </row>
    <row r="110" ht="12.0" customHeight="1">
      <c r="A110" s="303"/>
      <c r="B110" s="303"/>
      <c r="C110" s="303"/>
      <c r="D110" s="303"/>
      <c r="E110" s="303"/>
      <c r="F110" s="303"/>
      <c r="G110" s="303"/>
      <c r="H110" s="303"/>
      <c r="I110" s="303"/>
      <c r="J110" s="303"/>
      <c r="K110" s="303"/>
      <c r="L110" s="303"/>
      <c r="M110" s="303"/>
      <c r="N110" s="303"/>
      <c r="O110" s="303"/>
      <c r="P110" s="303"/>
      <c r="Q110" s="303"/>
      <c r="R110" s="303"/>
      <c r="S110" s="303"/>
      <c r="T110" s="303"/>
      <c r="U110" s="303"/>
      <c r="V110" s="303"/>
      <c r="W110" s="303"/>
      <c r="X110" s="303"/>
      <c r="Y110" s="303"/>
      <c r="Z110" s="303"/>
      <c r="AA110" s="303"/>
      <c r="AB110" s="303"/>
      <c r="AC110" s="303"/>
      <c r="AD110" s="303"/>
      <c r="AE110" s="303"/>
      <c r="AF110" s="303"/>
      <c r="AG110" s="303"/>
      <c r="AH110" s="303"/>
      <c r="AI110" s="303"/>
      <c r="AJ110" s="303"/>
      <c r="AK110" s="303"/>
      <c r="AL110" s="303"/>
      <c r="AM110" s="303"/>
    </row>
    <row r="111" ht="12.0" customHeight="1">
      <c r="A111" s="303"/>
      <c r="B111" s="303"/>
      <c r="C111" s="303"/>
      <c r="D111" s="303"/>
      <c r="E111" s="303"/>
      <c r="F111" s="303"/>
      <c r="G111" s="303"/>
      <c r="H111" s="303"/>
      <c r="I111" s="303"/>
      <c r="J111" s="303"/>
      <c r="K111" s="303"/>
      <c r="L111" s="303"/>
      <c r="M111" s="303"/>
      <c r="N111" s="303"/>
      <c r="O111" s="303"/>
      <c r="P111" s="303"/>
      <c r="Q111" s="303"/>
      <c r="R111" s="303"/>
      <c r="S111" s="303"/>
      <c r="T111" s="303"/>
      <c r="U111" s="303"/>
      <c r="V111" s="303"/>
      <c r="W111" s="303"/>
      <c r="X111" s="303"/>
      <c r="Y111" s="303"/>
      <c r="Z111" s="303"/>
      <c r="AA111" s="303"/>
      <c r="AB111" s="303"/>
      <c r="AC111" s="303"/>
      <c r="AD111" s="303"/>
      <c r="AE111" s="303"/>
      <c r="AF111" s="303"/>
      <c r="AG111" s="303"/>
      <c r="AH111" s="303"/>
      <c r="AI111" s="303"/>
      <c r="AJ111" s="303"/>
      <c r="AK111" s="303"/>
      <c r="AL111" s="303"/>
      <c r="AM111" s="303"/>
    </row>
    <row r="112" ht="12.0" customHeight="1">
      <c r="A112" s="303"/>
      <c r="B112" s="303"/>
      <c r="C112" s="303"/>
      <c r="D112" s="303"/>
      <c r="E112" s="303"/>
      <c r="F112" s="303"/>
      <c r="G112" s="303"/>
      <c r="H112" s="303"/>
      <c r="I112" s="303"/>
      <c r="J112" s="303"/>
      <c r="K112" s="303"/>
      <c r="L112" s="303"/>
      <c r="M112" s="303"/>
      <c r="N112" s="303"/>
      <c r="O112" s="303"/>
      <c r="P112" s="303"/>
      <c r="Q112" s="303"/>
      <c r="R112" s="303"/>
      <c r="S112" s="303"/>
      <c r="T112" s="303"/>
      <c r="U112" s="303"/>
      <c r="V112" s="303"/>
      <c r="W112" s="303"/>
      <c r="X112" s="303"/>
      <c r="Y112" s="303"/>
      <c r="Z112" s="303"/>
      <c r="AA112" s="303"/>
      <c r="AB112" s="303"/>
      <c r="AC112" s="303"/>
      <c r="AD112" s="303"/>
      <c r="AE112" s="303"/>
      <c r="AF112" s="303"/>
      <c r="AG112" s="303"/>
      <c r="AH112" s="303"/>
      <c r="AI112" s="303"/>
      <c r="AJ112" s="303"/>
      <c r="AK112" s="303"/>
      <c r="AL112" s="303"/>
      <c r="AM112" s="303"/>
    </row>
    <row r="113" ht="12.0" customHeight="1">
      <c r="A113" s="303"/>
      <c r="B113" s="303"/>
      <c r="C113" s="303"/>
      <c r="D113" s="303"/>
      <c r="E113" s="303"/>
      <c r="F113" s="303"/>
      <c r="G113" s="303"/>
      <c r="H113" s="303"/>
      <c r="I113" s="303"/>
      <c r="J113" s="303"/>
      <c r="K113" s="303"/>
      <c r="L113" s="303"/>
      <c r="M113" s="303"/>
      <c r="N113" s="303"/>
      <c r="O113" s="303"/>
      <c r="P113" s="303"/>
      <c r="Q113" s="303"/>
      <c r="R113" s="303"/>
      <c r="S113" s="303"/>
      <c r="T113" s="303"/>
      <c r="U113" s="303"/>
      <c r="V113" s="303"/>
      <c r="W113" s="303"/>
      <c r="X113" s="303"/>
      <c r="Y113" s="303"/>
      <c r="Z113" s="303"/>
      <c r="AA113" s="303"/>
      <c r="AB113" s="303"/>
      <c r="AC113" s="303"/>
      <c r="AD113" s="303"/>
      <c r="AE113" s="303"/>
      <c r="AF113" s="303"/>
      <c r="AG113" s="303"/>
      <c r="AH113" s="303"/>
      <c r="AI113" s="303"/>
      <c r="AJ113" s="303"/>
      <c r="AK113" s="303"/>
      <c r="AL113" s="303"/>
      <c r="AM113" s="303"/>
    </row>
    <row r="114" ht="12.0" customHeight="1">
      <c r="A114" s="303"/>
      <c r="B114" s="303"/>
      <c r="C114" s="303"/>
      <c r="D114" s="303"/>
      <c r="E114" s="303"/>
      <c r="F114" s="303"/>
      <c r="G114" s="303"/>
      <c r="H114" s="303"/>
      <c r="I114" s="303"/>
      <c r="J114" s="303"/>
      <c r="K114" s="303"/>
      <c r="L114" s="303"/>
      <c r="M114" s="303"/>
      <c r="N114" s="303"/>
      <c r="O114" s="303"/>
      <c r="P114" s="303"/>
      <c r="Q114" s="303"/>
      <c r="R114" s="303"/>
      <c r="S114" s="303"/>
      <c r="T114" s="303"/>
      <c r="U114" s="303"/>
      <c r="V114" s="303"/>
      <c r="W114" s="303"/>
      <c r="X114" s="303"/>
      <c r="Y114" s="303"/>
      <c r="Z114" s="303"/>
      <c r="AA114" s="303"/>
      <c r="AB114" s="303"/>
      <c r="AC114" s="303"/>
      <c r="AD114" s="303"/>
      <c r="AE114" s="303"/>
      <c r="AF114" s="303"/>
      <c r="AG114" s="303"/>
      <c r="AH114" s="303"/>
      <c r="AI114" s="303"/>
      <c r="AJ114" s="303"/>
      <c r="AK114" s="303"/>
      <c r="AL114" s="303"/>
      <c r="AM114" s="303"/>
    </row>
    <row r="115" ht="12.0" customHeight="1">
      <c r="A115" s="303"/>
      <c r="B115" s="303"/>
      <c r="C115" s="303"/>
      <c r="D115" s="303"/>
      <c r="E115" s="303"/>
      <c r="F115" s="303"/>
      <c r="G115" s="303"/>
      <c r="H115" s="303"/>
      <c r="I115" s="303"/>
      <c r="J115" s="303"/>
      <c r="K115" s="303"/>
      <c r="L115" s="303"/>
      <c r="M115" s="303"/>
      <c r="N115" s="303"/>
      <c r="O115" s="303"/>
      <c r="P115" s="303"/>
      <c r="Q115" s="303"/>
      <c r="R115" s="303"/>
      <c r="S115" s="303"/>
      <c r="T115" s="303"/>
      <c r="U115" s="303"/>
      <c r="V115" s="303"/>
      <c r="W115" s="303"/>
      <c r="X115" s="303"/>
      <c r="Y115" s="303"/>
      <c r="Z115" s="303"/>
      <c r="AA115" s="303"/>
      <c r="AB115" s="303"/>
      <c r="AC115" s="303"/>
      <c r="AD115" s="303"/>
      <c r="AE115" s="303"/>
      <c r="AF115" s="303"/>
      <c r="AG115" s="303"/>
      <c r="AH115" s="303"/>
      <c r="AI115" s="303"/>
      <c r="AJ115" s="303"/>
      <c r="AK115" s="303"/>
      <c r="AL115" s="303"/>
      <c r="AM115" s="303"/>
    </row>
    <row r="116" ht="12.0" customHeight="1">
      <c r="A116" s="303"/>
      <c r="B116" s="303"/>
      <c r="C116" s="303"/>
      <c r="D116" s="303"/>
      <c r="E116" s="303"/>
      <c r="F116" s="303"/>
      <c r="G116" s="303"/>
      <c r="H116" s="303"/>
      <c r="I116" s="303"/>
      <c r="J116" s="303"/>
      <c r="K116" s="303"/>
      <c r="L116" s="303"/>
      <c r="M116" s="303"/>
      <c r="N116" s="303"/>
      <c r="O116" s="303"/>
      <c r="P116" s="303"/>
      <c r="Q116" s="303"/>
      <c r="R116" s="303"/>
      <c r="S116" s="303"/>
      <c r="T116" s="303"/>
      <c r="U116" s="303"/>
      <c r="V116" s="303"/>
      <c r="W116" s="303"/>
      <c r="X116" s="303"/>
      <c r="Y116" s="303"/>
      <c r="Z116" s="303"/>
      <c r="AA116" s="303"/>
      <c r="AB116" s="303"/>
      <c r="AC116" s="303"/>
      <c r="AD116" s="303"/>
      <c r="AE116" s="303"/>
      <c r="AF116" s="303"/>
      <c r="AG116" s="303"/>
      <c r="AH116" s="303"/>
      <c r="AI116" s="303"/>
      <c r="AJ116" s="303"/>
      <c r="AK116" s="303"/>
      <c r="AL116" s="303"/>
      <c r="AM116" s="303"/>
    </row>
    <row r="117" ht="12.0" customHeight="1">
      <c r="A117" s="303"/>
      <c r="B117" s="303"/>
      <c r="C117" s="303"/>
      <c r="D117" s="303"/>
      <c r="E117" s="303"/>
      <c r="F117" s="303"/>
      <c r="G117" s="303"/>
      <c r="H117" s="303"/>
      <c r="I117" s="303"/>
      <c r="J117" s="303"/>
      <c r="K117" s="303"/>
      <c r="L117" s="303"/>
      <c r="M117" s="303"/>
      <c r="N117" s="303"/>
      <c r="O117" s="303"/>
      <c r="P117" s="303"/>
      <c r="Q117" s="303"/>
      <c r="R117" s="303"/>
      <c r="S117" s="303"/>
      <c r="T117" s="303"/>
      <c r="U117" s="303"/>
      <c r="V117" s="303"/>
      <c r="W117" s="303"/>
      <c r="X117" s="303"/>
      <c r="Y117" s="303"/>
      <c r="Z117" s="303"/>
      <c r="AA117" s="303"/>
      <c r="AB117" s="303"/>
      <c r="AC117" s="303"/>
      <c r="AD117" s="303"/>
      <c r="AE117" s="303"/>
      <c r="AF117" s="303"/>
      <c r="AG117" s="303"/>
      <c r="AH117" s="303"/>
      <c r="AI117" s="303"/>
      <c r="AJ117" s="303"/>
      <c r="AK117" s="303"/>
      <c r="AL117" s="303"/>
      <c r="AM117" s="303"/>
    </row>
    <row r="118" ht="12.0" customHeight="1">
      <c r="A118" s="303"/>
      <c r="B118" s="303"/>
      <c r="C118" s="303"/>
      <c r="D118" s="303"/>
      <c r="E118" s="303"/>
      <c r="F118" s="303"/>
      <c r="G118" s="303"/>
      <c r="H118" s="303"/>
      <c r="I118" s="303"/>
      <c r="J118" s="303"/>
      <c r="K118" s="303"/>
      <c r="L118" s="303"/>
      <c r="M118" s="303"/>
      <c r="N118" s="303"/>
      <c r="O118" s="303"/>
      <c r="P118" s="303"/>
      <c r="Q118" s="303"/>
      <c r="R118" s="303"/>
      <c r="S118" s="303"/>
      <c r="T118" s="303"/>
      <c r="U118" s="303"/>
      <c r="V118" s="303"/>
      <c r="W118" s="303"/>
      <c r="X118" s="303"/>
      <c r="Y118" s="303"/>
      <c r="Z118" s="303"/>
      <c r="AA118" s="303"/>
      <c r="AB118" s="303"/>
      <c r="AC118" s="303"/>
      <c r="AD118" s="303"/>
      <c r="AE118" s="303"/>
      <c r="AF118" s="303"/>
      <c r="AG118" s="303"/>
      <c r="AH118" s="303"/>
      <c r="AI118" s="303"/>
      <c r="AJ118" s="303"/>
      <c r="AK118" s="303"/>
      <c r="AL118" s="303"/>
      <c r="AM118" s="303"/>
    </row>
    <row r="119" ht="12.0" customHeight="1">
      <c r="A119" s="303"/>
      <c r="B119" s="303"/>
      <c r="C119" s="303"/>
      <c r="D119" s="303"/>
      <c r="E119" s="303"/>
      <c r="F119" s="303"/>
      <c r="G119" s="303"/>
      <c r="H119" s="303"/>
      <c r="I119" s="303"/>
      <c r="J119" s="303"/>
      <c r="K119" s="303"/>
      <c r="L119" s="303"/>
      <c r="M119" s="303"/>
      <c r="N119" s="303"/>
      <c r="O119" s="303"/>
      <c r="P119" s="303"/>
      <c r="Q119" s="303"/>
      <c r="R119" s="303"/>
      <c r="S119" s="303"/>
      <c r="T119" s="303"/>
      <c r="U119" s="303"/>
      <c r="V119" s="303"/>
      <c r="W119" s="303"/>
      <c r="X119" s="303"/>
      <c r="Y119" s="303"/>
      <c r="Z119" s="303"/>
      <c r="AA119" s="303"/>
      <c r="AB119" s="303"/>
      <c r="AC119" s="303"/>
      <c r="AD119" s="303"/>
      <c r="AE119" s="303"/>
      <c r="AF119" s="303"/>
      <c r="AG119" s="303"/>
      <c r="AH119" s="303"/>
      <c r="AI119" s="303"/>
      <c r="AJ119" s="303"/>
      <c r="AK119" s="303"/>
      <c r="AL119" s="303"/>
      <c r="AM119" s="303"/>
    </row>
    <row r="120" ht="12.0" customHeight="1">
      <c r="A120" s="303"/>
      <c r="B120" s="303"/>
      <c r="C120" s="303"/>
      <c r="D120" s="303"/>
      <c r="E120" s="303"/>
      <c r="F120" s="303"/>
      <c r="G120" s="303"/>
      <c r="H120" s="303"/>
      <c r="I120" s="303"/>
      <c r="J120" s="303"/>
      <c r="K120" s="303"/>
      <c r="L120" s="303"/>
      <c r="M120" s="303"/>
      <c r="N120" s="303"/>
      <c r="O120" s="303"/>
      <c r="P120" s="303"/>
      <c r="Q120" s="303"/>
      <c r="R120" s="303"/>
      <c r="S120" s="303"/>
      <c r="T120" s="303"/>
      <c r="U120" s="303"/>
      <c r="V120" s="303"/>
      <c r="W120" s="303"/>
      <c r="X120" s="303"/>
      <c r="Y120" s="303"/>
      <c r="Z120" s="303"/>
      <c r="AA120" s="303"/>
      <c r="AB120" s="303"/>
      <c r="AC120" s="303"/>
      <c r="AD120" s="303"/>
      <c r="AE120" s="303"/>
      <c r="AF120" s="303"/>
      <c r="AG120" s="303"/>
      <c r="AH120" s="303"/>
      <c r="AI120" s="303"/>
      <c r="AJ120" s="303"/>
      <c r="AK120" s="303"/>
      <c r="AL120" s="303"/>
      <c r="AM120" s="303"/>
    </row>
    <row r="121" ht="12.0" customHeight="1">
      <c r="A121" s="303"/>
      <c r="B121" s="303"/>
      <c r="C121" s="303"/>
      <c r="D121" s="303"/>
      <c r="E121" s="303"/>
      <c r="F121" s="303"/>
      <c r="G121" s="303"/>
      <c r="H121" s="303"/>
      <c r="I121" s="303"/>
      <c r="J121" s="303"/>
      <c r="K121" s="303"/>
      <c r="L121" s="303"/>
      <c r="M121" s="303"/>
      <c r="N121" s="303"/>
      <c r="O121" s="303"/>
      <c r="P121" s="303"/>
      <c r="Q121" s="303"/>
      <c r="R121" s="303"/>
      <c r="S121" s="303"/>
      <c r="T121" s="303"/>
      <c r="U121" s="303"/>
      <c r="V121" s="303"/>
      <c r="W121" s="303"/>
      <c r="X121" s="303"/>
      <c r="Y121" s="303"/>
      <c r="Z121" s="303"/>
      <c r="AA121" s="303"/>
      <c r="AB121" s="303"/>
      <c r="AC121" s="303"/>
      <c r="AD121" s="303"/>
      <c r="AE121" s="303"/>
      <c r="AF121" s="303"/>
      <c r="AG121" s="303"/>
      <c r="AH121" s="303"/>
      <c r="AI121" s="303"/>
      <c r="AJ121" s="303"/>
      <c r="AK121" s="303"/>
      <c r="AL121" s="303"/>
      <c r="AM121" s="303"/>
    </row>
    <row r="122" ht="12.0" customHeight="1">
      <c r="A122" s="303"/>
      <c r="B122" s="303"/>
      <c r="C122" s="303"/>
      <c r="D122" s="303"/>
      <c r="E122" s="303"/>
      <c r="F122" s="303"/>
      <c r="G122" s="303"/>
      <c r="H122" s="303"/>
      <c r="I122" s="303"/>
      <c r="J122" s="303"/>
      <c r="K122" s="303"/>
      <c r="L122" s="303"/>
      <c r="M122" s="303"/>
      <c r="N122" s="303"/>
      <c r="O122" s="303"/>
      <c r="P122" s="303"/>
      <c r="Q122" s="303"/>
      <c r="R122" s="303"/>
      <c r="S122" s="303"/>
      <c r="T122" s="303"/>
      <c r="U122" s="303"/>
      <c r="V122" s="303"/>
      <c r="W122" s="303"/>
      <c r="X122" s="303"/>
      <c r="Y122" s="303"/>
      <c r="Z122" s="303"/>
      <c r="AA122" s="303"/>
      <c r="AB122" s="303"/>
      <c r="AC122" s="303"/>
      <c r="AD122" s="303"/>
      <c r="AE122" s="303"/>
      <c r="AF122" s="303"/>
      <c r="AG122" s="303"/>
      <c r="AH122" s="303"/>
      <c r="AI122" s="303"/>
      <c r="AJ122" s="303"/>
      <c r="AK122" s="303"/>
      <c r="AL122" s="303"/>
      <c r="AM122" s="303"/>
    </row>
    <row r="123" ht="12.0" customHeight="1">
      <c r="A123" s="303"/>
      <c r="B123" s="303"/>
      <c r="C123" s="303"/>
      <c r="D123" s="303"/>
      <c r="E123" s="303"/>
      <c r="F123" s="303"/>
      <c r="G123" s="303"/>
      <c r="H123" s="303"/>
      <c r="I123" s="303"/>
      <c r="J123" s="303"/>
      <c r="K123" s="303"/>
      <c r="L123" s="303"/>
      <c r="M123" s="303"/>
      <c r="N123" s="303"/>
      <c r="O123" s="303"/>
      <c r="P123" s="303"/>
      <c r="Q123" s="303"/>
      <c r="R123" s="303"/>
      <c r="S123" s="303"/>
      <c r="T123" s="303"/>
      <c r="U123" s="303"/>
      <c r="V123" s="303"/>
      <c r="W123" s="303"/>
      <c r="X123" s="303"/>
      <c r="Y123" s="303"/>
      <c r="Z123" s="303"/>
      <c r="AA123" s="303"/>
      <c r="AB123" s="303"/>
      <c r="AC123" s="303"/>
      <c r="AD123" s="303"/>
      <c r="AE123" s="303"/>
      <c r="AF123" s="303"/>
      <c r="AG123" s="303"/>
      <c r="AH123" s="303"/>
      <c r="AI123" s="303"/>
      <c r="AJ123" s="303"/>
      <c r="AK123" s="303"/>
      <c r="AL123" s="303"/>
      <c r="AM123" s="303"/>
    </row>
    <row r="124" ht="12.0" customHeight="1">
      <c r="A124" s="303"/>
      <c r="B124" s="303"/>
      <c r="C124" s="303"/>
      <c r="D124" s="303"/>
      <c r="E124" s="303"/>
      <c r="F124" s="303"/>
      <c r="G124" s="303"/>
      <c r="H124" s="303"/>
      <c r="I124" s="303"/>
      <c r="J124" s="303"/>
      <c r="K124" s="303"/>
      <c r="L124" s="303"/>
      <c r="M124" s="303"/>
      <c r="N124" s="303"/>
      <c r="O124" s="303"/>
      <c r="P124" s="303"/>
      <c r="Q124" s="303"/>
      <c r="R124" s="303"/>
      <c r="S124" s="303"/>
      <c r="T124" s="303"/>
      <c r="U124" s="303"/>
      <c r="V124" s="303"/>
      <c r="W124" s="303"/>
      <c r="X124" s="303"/>
      <c r="Y124" s="303"/>
      <c r="Z124" s="303"/>
      <c r="AA124" s="303"/>
      <c r="AB124" s="303"/>
      <c r="AC124" s="303"/>
      <c r="AD124" s="303"/>
      <c r="AE124" s="303"/>
      <c r="AF124" s="303"/>
      <c r="AG124" s="303"/>
      <c r="AH124" s="303"/>
      <c r="AI124" s="303"/>
      <c r="AJ124" s="303"/>
      <c r="AK124" s="303"/>
      <c r="AL124" s="303"/>
      <c r="AM124" s="303"/>
    </row>
    <row r="125" ht="12.0" customHeight="1">
      <c r="A125" s="303"/>
      <c r="B125" s="303"/>
      <c r="C125" s="303"/>
      <c r="D125" s="303"/>
      <c r="E125" s="303"/>
      <c r="F125" s="303"/>
      <c r="G125" s="303"/>
      <c r="H125" s="303"/>
      <c r="I125" s="303"/>
      <c r="J125" s="303"/>
      <c r="K125" s="303"/>
      <c r="L125" s="303"/>
      <c r="M125" s="303"/>
      <c r="N125" s="303"/>
      <c r="O125" s="303"/>
      <c r="P125" s="303"/>
      <c r="Q125" s="303"/>
      <c r="R125" s="303"/>
      <c r="S125" s="303"/>
      <c r="T125" s="303"/>
      <c r="U125" s="303"/>
      <c r="V125" s="303"/>
      <c r="W125" s="303"/>
      <c r="X125" s="303"/>
      <c r="Y125" s="303"/>
      <c r="Z125" s="303"/>
      <c r="AA125" s="303"/>
      <c r="AB125" s="303"/>
      <c r="AC125" s="303"/>
      <c r="AD125" s="303"/>
      <c r="AE125" s="303"/>
      <c r="AF125" s="303"/>
      <c r="AG125" s="303"/>
      <c r="AH125" s="303"/>
      <c r="AI125" s="303"/>
      <c r="AJ125" s="303"/>
      <c r="AK125" s="303"/>
      <c r="AL125" s="303"/>
      <c r="AM125" s="303"/>
    </row>
    <row r="126" ht="12.0" customHeight="1">
      <c r="A126" s="303"/>
      <c r="B126" s="303"/>
      <c r="C126" s="303"/>
      <c r="D126" s="303"/>
      <c r="E126" s="303"/>
      <c r="F126" s="303"/>
      <c r="G126" s="303"/>
      <c r="H126" s="303"/>
      <c r="I126" s="303"/>
      <c r="J126" s="303"/>
      <c r="K126" s="303"/>
      <c r="L126" s="303"/>
      <c r="M126" s="303"/>
      <c r="N126" s="303"/>
      <c r="O126" s="303"/>
      <c r="P126" s="303"/>
      <c r="Q126" s="303"/>
      <c r="R126" s="303"/>
      <c r="S126" s="303"/>
      <c r="T126" s="303"/>
      <c r="U126" s="303"/>
      <c r="V126" s="303"/>
      <c r="W126" s="303"/>
      <c r="X126" s="303"/>
      <c r="Y126" s="303"/>
      <c r="Z126" s="303"/>
      <c r="AA126" s="303"/>
      <c r="AB126" s="303"/>
      <c r="AC126" s="303"/>
      <c r="AD126" s="303"/>
      <c r="AE126" s="303"/>
      <c r="AF126" s="303"/>
      <c r="AG126" s="303"/>
      <c r="AH126" s="303"/>
      <c r="AI126" s="303"/>
      <c r="AJ126" s="303"/>
      <c r="AK126" s="303"/>
      <c r="AL126" s="303"/>
      <c r="AM126" s="303"/>
    </row>
    <row r="127" ht="12.0" customHeight="1">
      <c r="A127" s="303"/>
      <c r="B127" s="303"/>
      <c r="C127" s="303"/>
      <c r="D127" s="303"/>
      <c r="E127" s="303"/>
      <c r="F127" s="303"/>
      <c r="G127" s="303"/>
      <c r="H127" s="303"/>
      <c r="I127" s="303"/>
      <c r="J127" s="303"/>
      <c r="K127" s="303"/>
      <c r="L127" s="303"/>
      <c r="M127" s="303"/>
      <c r="N127" s="303"/>
      <c r="O127" s="303"/>
      <c r="P127" s="303"/>
      <c r="Q127" s="303"/>
      <c r="R127" s="303"/>
      <c r="S127" s="303"/>
      <c r="T127" s="303"/>
      <c r="U127" s="303"/>
      <c r="V127" s="303"/>
      <c r="W127" s="303"/>
      <c r="X127" s="303"/>
      <c r="Y127" s="303"/>
      <c r="Z127" s="303"/>
      <c r="AA127" s="303"/>
      <c r="AB127" s="303"/>
      <c r="AC127" s="303"/>
      <c r="AD127" s="303"/>
      <c r="AE127" s="303"/>
      <c r="AF127" s="303"/>
      <c r="AG127" s="303"/>
      <c r="AH127" s="303"/>
      <c r="AI127" s="303"/>
      <c r="AJ127" s="303"/>
      <c r="AK127" s="303"/>
      <c r="AL127" s="303"/>
      <c r="AM127" s="303"/>
    </row>
    <row r="128" ht="12.0" customHeight="1">
      <c r="A128" s="303"/>
      <c r="B128" s="303"/>
      <c r="C128" s="303"/>
      <c r="D128" s="303"/>
      <c r="E128" s="303"/>
      <c r="F128" s="303"/>
      <c r="G128" s="303"/>
      <c r="H128" s="303"/>
      <c r="I128" s="303"/>
      <c r="J128" s="303"/>
      <c r="K128" s="303"/>
      <c r="L128" s="303"/>
      <c r="M128" s="303"/>
      <c r="N128" s="303"/>
      <c r="O128" s="303"/>
      <c r="P128" s="303"/>
      <c r="Q128" s="303"/>
      <c r="R128" s="303"/>
      <c r="S128" s="303"/>
      <c r="T128" s="303"/>
      <c r="U128" s="303"/>
      <c r="V128" s="303"/>
      <c r="W128" s="303"/>
      <c r="X128" s="303"/>
      <c r="Y128" s="303"/>
      <c r="Z128" s="303"/>
      <c r="AA128" s="303"/>
      <c r="AB128" s="303"/>
      <c r="AC128" s="303"/>
      <c r="AD128" s="303"/>
      <c r="AE128" s="303"/>
      <c r="AF128" s="303"/>
      <c r="AG128" s="303"/>
      <c r="AH128" s="303"/>
      <c r="AI128" s="303"/>
      <c r="AJ128" s="303"/>
      <c r="AK128" s="303"/>
      <c r="AL128" s="303"/>
      <c r="AM128" s="303"/>
    </row>
    <row r="129" ht="12.0" customHeight="1">
      <c r="A129" s="303"/>
      <c r="B129" s="303"/>
      <c r="C129" s="303"/>
      <c r="D129" s="303"/>
      <c r="E129" s="303"/>
      <c r="F129" s="303"/>
      <c r="G129" s="303"/>
      <c r="H129" s="303"/>
      <c r="I129" s="303"/>
      <c r="J129" s="303"/>
      <c r="K129" s="303"/>
      <c r="L129" s="303"/>
      <c r="M129" s="303"/>
      <c r="N129" s="303"/>
      <c r="O129" s="303"/>
      <c r="P129" s="303"/>
      <c r="Q129" s="303"/>
      <c r="R129" s="303"/>
      <c r="S129" s="303"/>
      <c r="T129" s="303"/>
      <c r="U129" s="303"/>
      <c r="V129" s="303"/>
      <c r="W129" s="303"/>
      <c r="X129" s="303"/>
      <c r="Y129" s="303"/>
      <c r="Z129" s="303"/>
      <c r="AA129" s="303"/>
      <c r="AB129" s="303"/>
      <c r="AC129" s="303"/>
      <c r="AD129" s="303"/>
      <c r="AE129" s="303"/>
      <c r="AF129" s="303"/>
      <c r="AG129" s="303"/>
      <c r="AH129" s="303"/>
      <c r="AI129" s="303"/>
      <c r="AJ129" s="303"/>
      <c r="AK129" s="303"/>
      <c r="AL129" s="303"/>
      <c r="AM129" s="303"/>
    </row>
    <row r="130" ht="12.0" customHeight="1">
      <c r="A130" s="303"/>
      <c r="B130" s="303"/>
      <c r="C130" s="303"/>
      <c r="D130" s="303"/>
      <c r="E130" s="303"/>
      <c r="F130" s="303"/>
      <c r="G130" s="303"/>
      <c r="H130" s="303"/>
      <c r="I130" s="303"/>
      <c r="J130" s="303"/>
      <c r="K130" s="303"/>
      <c r="L130" s="303"/>
      <c r="M130" s="303"/>
      <c r="N130" s="303"/>
      <c r="O130" s="303"/>
      <c r="P130" s="303"/>
      <c r="Q130" s="303"/>
      <c r="R130" s="303"/>
      <c r="S130" s="303"/>
      <c r="T130" s="303"/>
      <c r="U130" s="303"/>
      <c r="V130" s="303"/>
      <c r="W130" s="303"/>
      <c r="X130" s="303"/>
      <c r="Y130" s="303"/>
      <c r="Z130" s="303"/>
      <c r="AA130" s="303"/>
      <c r="AB130" s="303"/>
      <c r="AC130" s="303"/>
      <c r="AD130" s="303"/>
      <c r="AE130" s="303"/>
      <c r="AF130" s="303"/>
      <c r="AG130" s="303"/>
      <c r="AH130" s="303"/>
      <c r="AI130" s="303"/>
      <c r="AJ130" s="303"/>
      <c r="AK130" s="303"/>
      <c r="AL130" s="303"/>
      <c r="AM130" s="303"/>
    </row>
    <row r="131" ht="12.0" customHeight="1">
      <c r="A131" s="303"/>
      <c r="B131" s="303"/>
      <c r="C131" s="303"/>
      <c r="D131" s="303"/>
      <c r="E131" s="303"/>
      <c r="F131" s="303"/>
      <c r="G131" s="303"/>
      <c r="H131" s="303"/>
      <c r="I131" s="303"/>
      <c r="J131" s="303"/>
      <c r="K131" s="303"/>
      <c r="L131" s="303"/>
      <c r="M131" s="303"/>
      <c r="N131" s="303"/>
      <c r="O131" s="303"/>
      <c r="P131" s="303"/>
      <c r="Q131" s="303"/>
      <c r="R131" s="303"/>
      <c r="S131" s="303"/>
      <c r="T131" s="303"/>
      <c r="U131" s="303"/>
      <c r="V131" s="303"/>
      <c r="W131" s="303"/>
      <c r="X131" s="303"/>
      <c r="Y131" s="303"/>
      <c r="Z131" s="303"/>
      <c r="AA131" s="303"/>
      <c r="AB131" s="303"/>
      <c r="AC131" s="303"/>
      <c r="AD131" s="303"/>
      <c r="AE131" s="303"/>
      <c r="AF131" s="303"/>
      <c r="AG131" s="303"/>
      <c r="AH131" s="303"/>
      <c r="AI131" s="303"/>
      <c r="AJ131" s="303"/>
      <c r="AK131" s="303"/>
      <c r="AL131" s="303"/>
      <c r="AM131" s="303"/>
    </row>
    <row r="132" ht="12.0" customHeight="1">
      <c r="A132" s="303"/>
      <c r="B132" s="303"/>
      <c r="C132" s="303"/>
      <c r="D132" s="303"/>
      <c r="E132" s="303"/>
      <c r="F132" s="303"/>
      <c r="G132" s="303"/>
      <c r="H132" s="303"/>
      <c r="I132" s="303"/>
      <c r="J132" s="303"/>
      <c r="K132" s="303"/>
      <c r="L132" s="303"/>
      <c r="M132" s="303"/>
      <c r="N132" s="303"/>
      <c r="O132" s="303"/>
      <c r="P132" s="303"/>
      <c r="Q132" s="303"/>
      <c r="R132" s="303"/>
      <c r="S132" s="303"/>
      <c r="T132" s="303"/>
      <c r="U132" s="303"/>
      <c r="V132" s="303"/>
      <c r="W132" s="303"/>
      <c r="X132" s="303"/>
      <c r="Y132" s="303"/>
      <c r="Z132" s="303"/>
      <c r="AA132" s="303"/>
      <c r="AB132" s="303"/>
      <c r="AC132" s="303"/>
      <c r="AD132" s="303"/>
      <c r="AE132" s="303"/>
      <c r="AF132" s="303"/>
      <c r="AG132" s="303"/>
      <c r="AH132" s="303"/>
      <c r="AI132" s="303"/>
      <c r="AJ132" s="303"/>
      <c r="AK132" s="303"/>
      <c r="AL132" s="303"/>
      <c r="AM132" s="303"/>
    </row>
    <row r="133" ht="12.0" customHeight="1">
      <c r="A133" s="303"/>
      <c r="B133" s="303"/>
      <c r="C133" s="303"/>
      <c r="D133" s="303"/>
      <c r="E133" s="303"/>
      <c r="F133" s="303"/>
      <c r="G133" s="303"/>
      <c r="H133" s="303"/>
      <c r="I133" s="303"/>
      <c r="J133" s="303"/>
      <c r="K133" s="303"/>
      <c r="L133" s="303"/>
      <c r="M133" s="303"/>
      <c r="N133" s="303"/>
      <c r="O133" s="303"/>
      <c r="P133" s="303"/>
      <c r="Q133" s="303"/>
      <c r="R133" s="303"/>
      <c r="S133" s="303"/>
      <c r="T133" s="303"/>
      <c r="U133" s="303"/>
      <c r="V133" s="303"/>
      <c r="W133" s="303"/>
      <c r="X133" s="303"/>
      <c r="Y133" s="303"/>
      <c r="Z133" s="303"/>
      <c r="AA133" s="303"/>
      <c r="AB133" s="303"/>
      <c r="AC133" s="303"/>
      <c r="AD133" s="303"/>
      <c r="AE133" s="303"/>
      <c r="AF133" s="303"/>
      <c r="AG133" s="303"/>
      <c r="AH133" s="303"/>
      <c r="AI133" s="303"/>
      <c r="AJ133" s="303"/>
      <c r="AK133" s="303"/>
      <c r="AL133" s="303"/>
      <c r="AM133" s="303"/>
    </row>
    <row r="134" ht="12.0" customHeight="1">
      <c r="A134" s="303"/>
      <c r="B134" s="303"/>
      <c r="C134" s="303"/>
      <c r="D134" s="303"/>
      <c r="E134" s="303"/>
      <c r="F134" s="303"/>
      <c r="G134" s="303"/>
      <c r="H134" s="303"/>
      <c r="I134" s="303"/>
      <c r="J134" s="303"/>
      <c r="K134" s="303"/>
      <c r="L134" s="303"/>
      <c r="M134" s="303"/>
      <c r="N134" s="303"/>
      <c r="O134" s="303"/>
      <c r="P134" s="303"/>
      <c r="Q134" s="303"/>
      <c r="R134" s="303"/>
      <c r="S134" s="303"/>
      <c r="T134" s="303"/>
      <c r="U134" s="303"/>
      <c r="V134" s="303"/>
      <c r="W134" s="303"/>
      <c r="X134" s="303"/>
      <c r="Y134" s="303"/>
      <c r="Z134" s="303"/>
      <c r="AA134" s="303"/>
      <c r="AB134" s="303"/>
      <c r="AC134" s="303"/>
      <c r="AD134" s="303"/>
      <c r="AE134" s="303"/>
      <c r="AF134" s="303"/>
      <c r="AG134" s="303"/>
      <c r="AH134" s="303"/>
      <c r="AI134" s="303"/>
      <c r="AJ134" s="303"/>
      <c r="AK134" s="303"/>
      <c r="AL134" s="303"/>
      <c r="AM134" s="303"/>
    </row>
    <row r="135" ht="12.0" customHeight="1">
      <c r="A135" s="303"/>
      <c r="B135" s="303"/>
      <c r="C135" s="303"/>
      <c r="D135" s="303"/>
      <c r="E135" s="303"/>
      <c r="F135" s="303"/>
      <c r="G135" s="303"/>
      <c r="H135" s="303"/>
      <c r="I135" s="303"/>
      <c r="J135" s="303"/>
      <c r="K135" s="303"/>
      <c r="L135" s="303"/>
      <c r="M135" s="303"/>
      <c r="N135" s="303"/>
      <c r="O135" s="303"/>
      <c r="P135" s="303"/>
      <c r="Q135" s="303"/>
      <c r="R135" s="303"/>
      <c r="S135" s="303"/>
      <c r="T135" s="303"/>
      <c r="U135" s="303"/>
      <c r="V135" s="303"/>
      <c r="W135" s="303"/>
      <c r="X135" s="303"/>
      <c r="Y135" s="303"/>
      <c r="Z135" s="303"/>
      <c r="AA135" s="303"/>
      <c r="AB135" s="303"/>
      <c r="AC135" s="303"/>
      <c r="AD135" s="303"/>
      <c r="AE135" s="303"/>
      <c r="AF135" s="303"/>
      <c r="AG135" s="303"/>
      <c r="AH135" s="303"/>
      <c r="AI135" s="303"/>
      <c r="AJ135" s="303"/>
      <c r="AK135" s="303"/>
      <c r="AL135" s="303"/>
      <c r="AM135" s="303"/>
    </row>
    <row r="136" ht="12.0" customHeight="1">
      <c r="A136" s="303"/>
      <c r="B136" s="303"/>
      <c r="C136" s="303"/>
      <c r="D136" s="303"/>
      <c r="E136" s="303"/>
      <c r="F136" s="303"/>
      <c r="G136" s="303"/>
      <c r="H136" s="303"/>
      <c r="I136" s="303"/>
      <c r="J136" s="303"/>
      <c r="K136" s="303"/>
      <c r="L136" s="303"/>
      <c r="M136" s="303"/>
      <c r="N136" s="303"/>
      <c r="O136" s="303"/>
      <c r="P136" s="303"/>
      <c r="Q136" s="303"/>
      <c r="R136" s="303"/>
      <c r="S136" s="303"/>
      <c r="T136" s="303"/>
      <c r="U136" s="303"/>
      <c r="V136" s="303"/>
      <c r="W136" s="303"/>
      <c r="X136" s="303"/>
      <c r="Y136" s="303"/>
      <c r="Z136" s="303"/>
      <c r="AA136" s="303"/>
      <c r="AB136" s="303"/>
      <c r="AC136" s="303"/>
      <c r="AD136" s="303"/>
      <c r="AE136" s="303"/>
      <c r="AF136" s="303"/>
      <c r="AG136" s="303"/>
      <c r="AH136" s="303"/>
      <c r="AI136" s="303"/>
      <c r="AJ136" s="303"/>
      <c r="AK136" s="303"/>
      <c r="AL136" s="303"/>
      <c r="AM136" s="303"/>
    </row>
    <row r="137" ht="12.0" customHeight="1">
      <c r="A137" s="303"/>
      <c r="B137" s="303"/>
      <c r="C137" s="303"/>
      <c r="D137" s="303"/>
      <c r="E137" s="303"/>
      <c r="F137" s="303"/>
      <c r="G137" s="303"/>
      <c r="H137" s="303"/>
      <c r="I137" s="303"/>
      <c r="J137" s="303"/>
      <c r="K137" s="303"/>
      <c r="L137" s="303"/>
      <c r="M137" s="303"/>
      <c r="N137" s="303"/>
      <c r="O137" s="303"/>
      <c r="P137" s="303"/>
      <c r="Q137" s="303"/>
      <c r="R137" s="303"/>
      <c r="S137" s="303"/>
      <c r="T137" s="303"/>
      <c r="U137" s="303"/>
      <c r="V137" s="303"/>
      <c r="W137" s="303"/>
      <c r="X137" s="303"/>
      <c r="Y137" s="303"/>
      <c r="Z137" s="303"/>
      <c r="AA137" s="303"/>
      <c r="AB137" s="303"/>
      <c r="AC137" s="303"/>
      <c r="AD137" s="303"/>
      <c r="AE137" s="303"/>
      <c r="AF137" s="303"/>
      <c r="AG137" s="303"/>
      <c r="AH137" s="303"/>
      <c r="AI137" s="303"/>
      <c r="AJ137" s="303"/>
      <c r="AK137" s="303"/>
      <c r="AL137" s="303"/>
      <c r="AM137" s="303"/>
    </row>
    <row r="138" ht="12.0" customHeight="1">
      <c r="A138" s="303"/>
      <c r="B138" s="303"/>
      <c r="C138" s="303"/>
      <c r="D138" s="303"/>
      <c r="E138" s="303"/>
      <c r="F138" s="303"/>
      <c r="G138" s="303"/>
      <c r="H138" s="303"/>
      <c r="I138" s="303"/>
      <c r="J138" s="303"/>
      <c r="K138" s="303"/>
      <c r="L138" s="303"/>
      <c r="M138" s="303"/>
      <c r="N138" s="303"/>
      <c r="O138" s="303"/>
      <c r="P138" s="303"/>
      <c r="Q138" s="303"/>
      <c r="R138" s="303"/>
      <c r="S138" s="303"/>
      <c r="T138" s="303"/>
      <c r="U138" s="303"/>
      <c r="V138" s="303"/>
      <c r="W138" s="303"/>
      <c r="X138" s="303"/>
      <c r="Y138" s="303"/>
      <c r="Z138" s="303"/>
      <c r="AA138" s="303"/>
      <c r="AB138" s="303"/>
      <c r="AC138" s="303"/>
      <c r="AD138" s="303"/>
      <c r="AE138" s="303"/>
      <c r="AF138" s="303"/>
      <c r="AG138" s="303"/>
      <c r="AH138" s="303"/>
      <c r="AI138" s="303"/>
      <c r="AJ138" s="303"/>
      <c r="AK138" s="303"/>
      <c r="AL138" s="303"/>
      <c r="AM138" s="303"/>
    </row>
    <row r="139" ht="12.0" customHeight="1">
      <c r="A139" s="303"/>
      <c r="B139" s="303"/>
      <c r="C139" s="303"/>
      <c r="D139" s="303"/>
      <c r="E139" s="303"/>
      <c r="F139" s="303"/>
      <c r="G139" s="303"/>
      <c r="H139" s="303"/>
      <c r="I139" s="303"/>
      <c r="J139" s="303"/>
      <c r="K139" s="303"/>
      <c r="L139" s="303"/>
      <c r="M139" s="303"/>
      <c r="N139" s="303"/>
      <c r="O139" s="303"/>
      <c r="P139" s="303"/>
      <c r="Q139" s="303"/>
      <c r="R139" s="303"/>
      <c r="S139" s="303"/>
      <c r="T139" s="303"/>
      <c r="U139" s="303"/>
      <c r="V139" s="303"/>
      <c r="W139" s="303"/>
      <c r="X139" s="303"/>
      <c r="Y139" s="303"/>
      <c r="Z139" s="303"/>
      <c r="AA139" s="303"/>
      <c r="AB139" s="303"/>
      <c r="AC139" s="303"/>
      <c r="AD139" s="303"/>
      <c r="AE139" s="303"/>
      <c r="AF139" s="303"/>
      <c r="AG139" s="303"/>
      <c r="AH139" s="303"/>
      <c r="AI139" s="303"/>
      <c r="AJ139" s="303"/>
      <c r="AK139" s="303"/>
      <c r="AL139" s="303"/>
      <c r="AM139" s="303"/>
    </row>
    <row r="140" ht="12.0" customHeight="1">
      <c r="A140" s="303"/>
      <c r="B140" s="303"/>
      <c r="C140" s="303"/>
      <c r="D140" s="303"/>
      <c r="E140" s="303"/>
      <c r="F140" s="303"/>
      <c r="G140" s="303"/>
      <c r="H140" s="303"/>
      <c r="I140" s="303"/>
      <c r="J140" s="303"/>
      <c r="K140" s="303"/>
      <c r="L140" s="303"/>
      <c r="M140" s="303"/>
      <c r="N140" s="303"/>
      <c r="O140" s="303"/>
      <c r="P140" s="303"/>
      <c r="Q140" s="303"/>
      <c r="R140" s="303"/>
      <c r="S140" s="303"/>
      <c r="T140" s="303"/>
      <c r="U140" s="303"/>
      <c r="V140" s="303"/>
      <c r="W140" s="303"/>
      <c r="X140" s="303"/>
      <c r="Y140" s="303"/>
      <c r="Z140" s="303"/>
      <c r="AA140" s="303"/>
      <c r="AB140" s="303"/>
      <c r="AC140" s="303"/>
      <c r="AD140" s="303"/>
      <c r="AE140" s="303"/>
      <c r="AF140" s="303"/>
      <c r="AG140" s="303"/>
      <c r="AH140" s="303"/>
      <c r="AI140" s="303"/>
      <c r="AJ140" s="303"/>
      <c r="AK140" s="303"/>
      <c r="AL140" s="303"/>
      <c r="AM140" s="303"/>
    </row>
    <row r="141" ht="12.0" customHeight="1">
      <c r="A141" s="303"/>
      <c r="B141" s="303"/>
      <c r="C141" s="303"/>
      <c r="D141" s="303"/>
      <c r="E141" s="303"/>
      <c r="F141" s="303"/>
      <c r="G141" s="303"/>
      <c r="H141" s="303"/>
      <c r="I141" s="303"/>
      <c r="J141" s="303"/>
      <c r="K141" s="303"/>
      <c r="L141" s="303"/>
      <c r="M141" s="303"/>
      <c r="N141" s="303"/>
      <c r="O141" s="303"/>
      <c r="P141" s="303"/>
      <c r="Q141" s="303"/>
      <c r="R141" s="303"/>
      <c r="S141" s="303"/>
      <c r="T141" s="303"/>
      <c r="U141" s="303"/>
      <c r="V141" s="303"/>
      <c r="W141" s="303"/>
      <c r="X141" s="303"/>
      <c r="Y141" s="303"/>
      <c r="Z141" s="303"/>
      <c r="AA141" s="303"/>
      <c r="AB141" s="303"/>
      <c r="AC141" s="303"/>
      <c r="AD141" s="303"/>
      <c r="AE141" s="303"/>
      <c r="AF141" s="303"/>
      <c r="AG141" s="303"/>
      <c r="AH141" s="303"/>
      <c r="AI141" s="303"/>
      <c r="AJ141" s="303"/>
      <c r="AK141" s="303"/>
      <c r="AL141" s="303"/>
      <c r="AM141" s="303"/>
    </row>
    <row r="142" ht="12.0" customHeight="1">
      <c r="A142" s="303"/>
      <c r="B142" s="303"/>
      <c r="C142" s="303"/>
      <c r="D142" s="303"/>
      <c r="E142" s="303"/>
      <c r="F142" s="303"/>
      <c r="G142" s="303"/>
      <c r="H142" s="303"/>
      <c r="I142" s="303"/>
      <c r="J142" s="303"/>
      <c r="K142" s="303"/>
      <c r="L142" s="303"/>
      <c r="M142" s="303"/>
      <c r="N142" s="303"/>
      <c r="O142" s="303"/>
      <c r="P142" s="303"/>
      <c r="Q142" s="303"/>
      <c r="R142" s="303"/>
      <c r="S142" s="303"/>
      <c r="T142" s="303"/>
      <c r="U142" s="303"/>
      <c r="V142" s="303"/>
      <c r="W142" s="303"/>
      <c r="X142" s="303"/>
      <c r="Y142" s="303"/>
      <c r="Z142" s="303"/>
      <c r="AA142" s="303"/>
      <c r="AB142" s="303"/>
      <c r="AC142" s="303"/>
      <c r="AD142" s="303"/>
      <c r="AE142" s="303"/>
      <c r="AF142" s="303"/>
      <c r="AG142" s="303"/>
      <c r="AH142" s="303"/>
      <c r="AI142" s="303"/>
      <c r="AJ142" s="303"/>
      <c r="AK142" s="303"/>
      <c r="AL142" s="303"/>
      <c r="AM142" s="303"/>
    </row>
    <row r="143" ht="12.0" customHeight="1">
      <c r="A143" s="303"/>
      <c r="B143" s="303"/>
      <c r="C143" s="303"/>
      <c r="D143" s="303"/>
      <c r="E143" s="303"/>
      <c r="F143" s="303"/>
      <c r="G143" s="303"/>
      <c r="H143" s="303"/>
      <c r="I143" s="303"/>
      <c r="J143" s="303"/>
      <c r="K143" s="303"/>
      <c r="L143" s="303"/>
      <c r="M143" s="303"/>
      <c r="N143" s="303"/>
      <c r="O143" s="303"/>
      <c r="P143" s="303"/>
      <c r="Q143" s="303"/>
      <c r="R143" s="303"/>
      <c r="S143" s="303"/>
      <c r="T143" s="303"/>
      <c r="U143" s="303"/>
      <c r="V143" s="303"/>
      <c r="W143" s="303"/>
      <c r="X143" s="303"/>
      <c r="Y143" s="303"/>
      <c r="Z143" s="303"/>
      <c r="AA143" s="303"/>
      <c r="AB143" s="303"/>
      <c r="AC143" s="303"/>
      <c r="AD143" s="303"/>
      <c r="AE143" s="303"/>
      <c r="AF143" s="303"/>
      <c r="AG143" s="303"/>
      <c r="AH143" s="303"/>
      <c r="AI143" s="303"/>
      <c r="AJ143" s="303"/>
      <c r="AK143" s="303"/>
      <c r="AL143" s="303"/>
      <c r="AM143" s="303"/>
    </row>
    <row r="144" ht="12.0" customHeight="1">
      <c r="A144" s="303"/>
      <c r="B144" s="303"/>
      <c r="C144" s="303"/>
      <c r="D144" s="303"/>
      <c r="E144" s="303"/>
      <c r="F144" s="303"/>
      <c r="G144" s="303"/>
      <c r="H144" s="303"/>
      <c r="I144" s="303"/>
      <c r="J144" s="303"/>
      <c r="K144" s="303"/>
      <c r="L144" s="303"/>
      <c r="M144" s="303"/>
      <c r="N144" s="303"/>
      <c r="O144" s="303"/>
      <c r="P144" s="303"/>
      <c r="Q144" s="303"/>
      <c r="R144" s="303"/>
      <c r="S144" s="303"/>
      <c r="T144" s="303"/>
      <c r="U144" s="303"/>
      <c r="V144" s="303"/>
      <c r="W144" s="303"/>
      <c r="X144" s="303"/>
      <c r="Y144" s="303"/>
      <c r="Z144" s="303"/>
      <c r="AA144" s="303"/>
      <c r="AB144" s="303"/>
      <c r="AC144" s="303"/>
      <c r="AD144" s="303"/>
      <c r="AE144" s="303"/>
      <c r="AF144" s="303"/>
      <c r="AG144" s="303"/>
      <c r="AH144" s="303"/>
      <c r="AI144" s="303"/>
      <c r="AJ144" s="303"/>
      <c r="AK144" s="303"/>
      <c r="AL144" s="303"/>
      <c r="AM144" s="303"/>
    </row>
    <row r="145" ht="12.0" customHeight="1">
      <c r="A145" s="303"/>
      <c r="B145" s="303"/>
      <c r="C145" s="303"/>
      <c r="D145" s="303"/>
      <c r="E145" s="303"/>
      <c r="F145" s="303"/>
      <c r="G145" s="303"/>
      <c r="H145" s="303"/>
      <c r="I145" s="303"/>
      <c r="J145" s="303"/>
      <c r="K145" s="303"/>
      <c r="L145" s="303"/>
      <c r="M145" s="303"/>
      <c r="N145" s="303"/>
      <c r="O145" s="303"/>
      <c r="P145" s="303"/>
      <c r="Q145" s="303"/>
      <c r="R145" s="303"/>
      <c r="S145" s="303"/>
      <c r="T145" s="303"/>
      <c r="U145" s="303"/>
      <c r="V145" s="303"/>
      <c r="W145" s="303"/>
      <c r="X145" s="303"/>
      <c r="Y145" s="303"/>
      <c r="Z145" s="303"/>
      <c r="AA145" s="303"/>
      <c r="AB145" s="303"/>
      <c r="AC145" s="303"/>
      <c r="AD145" s="303"/>
      <c r="AE145" s="303"/>
      <c r="AF145" s="303"/>
      <c r="AG145" s="303"/>
      <c r="AH145" s="303"/>
      <c r="AI145" s="303"/>
      <c r="AJ145" s="303"/>
      <c r="AK145" s="303"/>
      <c r="AL145" s="303"/>
      <c r="AM145" s="303"/>
    </row>
    <row r="146" ht="12.0" customHeight="1">
      <c r="A146" s="303"/>
      <c r="B146" s="303"/>
      <c r="C146" s="303"/>
      <c r="D146" s="303"/>
      <c r="E146" s="303"/>
      <c r="F146" s="303"/>
      <c r="G146" s="303"/>
      <c r="H146" s="303"/>
      <c r="I146" s="303"/>
      <c r="J146" s="303"/>
      <c r="K146" s="303"/>
      <c r="L146" s="303"/>
      <c r="M146" s="303"/>
      <c r="N146" s="303"/>
      <c r="O146" s="303"/>
      <c r="P146" s="303"/>
      <c r="Q146" s="303"/>
      <c r="R146" s="303"/>
      <c r="S146" s="303"/>
      <c r="T146" s="303"/>
      <c r="U146" s="303"/>
      <c r="V146" s="303"/>
      <c r="W146" s="303"/>
      <c r="X146" s="303"/>
      <c r="Y146" s="303"/>
      <c r="Z146" s="303"/>
      <c r="AA146" s="303"/>
      <c r="AB146" s="303"/>
      <c r="AC146" s="303"/>
      <c r="AD146" s="303"/>
      <c r="AE146" s="303"/>
      <c r="AF146" s="303"/>
      <c r="AG146" s="303"/>
      <c r="AH146" s="303"/>
      <c r="AI146" s="303"/>
      <c r="AJ146" s="303"/>
      <c r="AK146" s="303"/>
      <c r="AL146" s="303"/>
      <c r="AM146" s="303"/>
    </row>
    <row r="147" ht="12.0" customHeight="1">
      <c r="A147" s="303"/>
      <c r="B147" s="303"/>
      <c r="C147" s="303"/>
      <c r="D147" s="303"/>
      <c r="E147" s="303"/>
      <c r="F147" s="303"/>
      <c r="G147" s="303"/>
      <c r="H147" s="303"/>
      <c r="I147" s="303"/>
      <c r="J147" s="303"/>
      <c r="K147" s="303"/>
      <c r="L147" s="303"/>
      <c r="M147" s="303"/>
      <c r="N147" s="303"/>
      <c r="O147" s="303"/>
      <c r="P147" s="303"/>
      <c r="Q147" s="303"/>
      <c r="R147" s="303"/>
      <c r="S147" s="303"/>
      <c r="T147" s="303"/>
      <c r="U147" s="303"/>
      <c r="V147" s="303"/>
      <c r="W147" s="303"/>
      <c r="X147" s="303"/>
      <c r="Y147" s="303"/>
      <c r="Z147" s="303"/>
      <c r="AA147" s="303"/>
      <c r="AB147" s="303"/>
      <c r="AC147" s="303"/>
      <c r="AD147" s="303"/>
      <c r="AE147" s="303"/>
      <c r="AF147" s="303"/>
      <c r="AG147" s="303"/>
      <c r="AH147" s="303"/>
      <c r="AI147" s="303"/>
      <c r="AJ147" s="303"/>
      <c r="AK147" s="303"/>
      <c r="AL147" s="303"/>
      <c r="AM147" s="303"/>
    </row>
    <row r="148" ht="12.0" customHeight="1">
      <c r="A148" s="303"/>
      <c r="B148" s="303"/>
      <c r="C148" s="303"/>
      <c r="D148" s="303"/>
      <c r="E148" s="303"/>
      <c r="F148" s="303"/>
      <c r="G148" s="303"/>
      <c r="H148" s="303"/>
      <c r="I148" s="303"/>
      <c r="J148" s="303"/>
      <c r="K148" s="303"/>
      <c r="L148" s="303"/>
      <c r="M148" s="303"/>
      <c r="N148" s="303"/>
      <c r="O148" s="303"/>
      <c r="P148" s="303"/>
      <c r="Q148" s="303"/>
      <c r="R148" s="303"/>
      <c r="S148" s="303"/>
      <c r="T148" s="303"/>
      <c r="U148" s="303"/>
      <c r="V148" s="303"/>
      <c r="W148" s="303"/>
      <c r="X148" s="303"/>
      <c r="Y148" s="303"/>
      <c r="Z148" s="303"/>
      <c r="AA148" s="303"/>
      <c r="AB148" s="303"/>
      <c r="AC148" s="303"/>
      <c r="AD148" s="303"/>
      <c r="AE148" s="303"/>
      <c r="AF148" s="303"/>
      <c r="AG148" s="303"/>
      <c r="AH148" s="303"/>
      <c r="AI148" s="303"/>
      <c r="AJ148" s="303"/>
      <c r="AK148" s="303"/>
      <c r="AL148" s="303"/>
      <c r="AM148" s="303"/>
    </row>
    <row r="149" ht="12.0" customHeight="1">
      <c r="A149" s="303"/>
      <c r="B149" s="303"/>
      <c r="C149" s="303"/>
      <c r="D149" s="303"/>
      <c r="E149" s="303"/>
      <c r="F149" s="303"/>
      <c r="G149" s="303"/>
      <c r="H149" s="303"/>
      <c r="I149" s="303"/>
      <c r="J149" s="303"/>
      <c r="K149" s="303"/>
      <c r="L149" s="303"/>
      <c r="M149" s="303"/>
      <c r="N149" s="303"/>
      <c r="O149" s="303"/>
      <c r="P149" s="303"/>
      <c r="Q149" s="303"/>
      <c r="R149" s="303"/>
      <c r="S149" s="303"/>
      <c r="T149" s="303"/>
      <c r="U149" s="303"/>
      <c r="V149" s="303"/>
      <c r="W149" s="303"/>
      <c r="X149" s="303"/>
      <c r="Y149" s="303"/>
      <c r="Z149" s="303"/>
      <c r="AA149" s="303"/>
      <c r="AB149" s="303"/>
      <c r="AC149" s="303"/>
      <c r="AD149" s="303"/>
      <c r="AE149" s="303"/>
      <c r="AF149" s="303"/>
      <c r="AG149" s="303"/>
      <c r="AH149" s="303"/>
      <c r="AI149" s="303"/>
      <c r="AJ149" s="303"/>
      <c r="AK149" s="303"/>
      <c r="AL149" s="303"/>
      <c r="AM149" s="303"/>
    </row>
    <row r="150" ht="12.0" customHeight="1">
      <c r="A150" s="303"/>
      <c r="B150" s="303"/>
      <c r="C150" s="303"/>
      <c r="D150" s="303"/>
      <c r="E150" s="303"/>
      <c r="F150" s="303"/>
      <c r="G150" s="303"/>
      <c r="H150" s="303"/>
      <c r="I150" s="303"/>
      <c r="J150" s="303"/>
      <c r="K150" s="303"/>
      <c r="L150" s="303"/>
      <c r="M150" s="303"/>
      <c r="N150" s="303"/>
      <c r="O150" s="303"/>
      <c r="P150" s="303"/>
      <c r="Q150" s="303"/>
      <c r="R150" s="303"/>
      <c r="S150" s="303"/>
      <c r="T150" s="303"/>
      <c r="U150" s="303"/>
      <c r="V150" s="303"/>
      <c r="W150" s="303"/>
      <c r="X150" s="303"/>
      <c r="Y150" s="303"/>
      <c r="Z150" s="303"/>
      <c r="AA150" s="303"/>
      <c r="AB150" s="303"/>
      <c r="AC150" s="303"/>
      <c r="AD150" s="303"/>
      <c r="AE150" s="303"/>
      <c r="AF150" s="303"/>
      <c r="AG150" s="303"/>
      <c r="AH150" s="303"/>
      <c r="AI150" s="303"/>
      <c r="AJ150" s="303"/>
      <c r="AK150" s="303"/>
      <c r="AL150" s="303"/>
      <c r="AM150" s="303"/>
    </row>
    <row r="151" ht="12.0" customHeight="1">
      <c r="A151" s="303"/>
      <c r="B151" s="303"/>
      <c r="C151" s="303"/>
      <c r="D151" s="303"/>
      <c r="E151" s="303"/>
      <c r="F151" s="303"/>
      <c r="G151" s="303"/>
      <c r="H151" s="303"/>
      <c r="I151" s="303"/>
      <c r="J151" s="303"/>
      <c r="K151" s="303"/>
      <c r="L151" s="303"/>
      <c r="M151" s="303"/>
      <c r="N151" s="303"/>
      <c r="O151" s="303"/>
      <c r="P151" s="303"/>
      <c r="Q151" s="303"/>
      <c r="R151" s="303"/>
      <c r="S151" s="303"/>
      <c r="T151" s="303"/>
      <c r="U151" s="303"/>
      <c r="V151" s="303"/>
      <c r="W151" s="303"/>
      <c r="X151" s="303"/>
      <c r="Y151" s="303"/>
      <c r="Z151" s="303"/>
      <c r="AA151" s="303"/>
      <c r="AB151" s="303"/>
      <c r="AC151" s="303"/>
      <c r="AD151" s="303"/>
      <c r="AE151" s="303"/>
      <c r="AF151" s="303"/>
      <c r="AG151" s="303"/>
      <c r="AH151" s="303"/>
      <c r="AI151" s="303"/>
      <c r="AJ151" s="303"/>
      <c r="AK151" s="303"/>
      <c r="AL151" s="303"/>
      <c r="AM151" s="303"/>
    </row>
    <row r="152" ht="12.0" customHeight="1">
      <c r="A152" s="303"/>
      <c r="B152" s="303"/>
      <c r="C152" s="303"/>
      <c r="D152" s="303"/>
      <c r="E152" s="303"/>
      <c r="F152" s="303"/>
      <c r="G152" s="303"/>
      <c r="H152" s="303"/>
      <c r="I152" s="303"/>
      <c r="J152" s="303"/>
      <c r="K152" s="303"/>
      <c r="L152" s="303"/>
      <c r="M152" s="303"/>
      <c r="N152" s="303"/>
      <c r="O152" s="303"/>
      <c r="P152" s="303"/>
      <c r="Q152" s="303"/>
      <c r="R152" s="303"/>
      <c r="S152" s="303"/>
      <c r="T152" s="303"/>
      <c r="U152" s="303"/>
      <c r="V152" s="303"/>
      <c r="W152" s="303"/>
      <c r="X152" s="303"/>
      <c r="Y152" s="303"/>
      <c r="Z152" s="303"/>
      <c r="AA152" s="303"/>
      <c r="AB152" s="303"/>
      <c r="AC152" s="303"/>
      <c r="AD152" s="303"/>
      <c r="AE152" s="303"/>
      <c r="AF152" s="303"/>
      <c r="AG152" s="303"/>
      <c r="AH152" s="303"/>
      <c r="AI152" s="303"/>
      <c r="AJ152" s="303"/>
      <c r="AK152" s="303"/>
      <c r="AL152" s="303"/>
      <c r="AM152" s="303"/>
    </row>
    <row r="153" ht="12.0" customHeight="1">
      <c r="A153" s="303"/>
      <c r="B153" s="303"/>
      <c r="C153" s="303"/>
      <c r="D153" s="303"/>
      <c r="E153" s="303"/>
      <c r="F153" s="303"/>
      <c r="G153" s="303"/>
      <c r="H153" s="303"/>
      <c r="I153" s="303"/>
      <c r="J153" s="303"/>
      <c r="K153" s="303"/>
      <c r="L153" s="303"/>
      <c r="M153" s="303"/>
      <c r="N153" s="303"/>
      <c r="O153" s="303"/>
      <c r="P153" s="303"/>
      <c r="Q153" s="303"/>
      <c r="R153" s="303"/>
      <c r="S153" s="303"/>
      <c r="T153" s="303"/>
      <c r="U153" s="303"/>
      <c r="V153" s="303"/>
      <c r="W153" s="303"/>
      <c r="X153" s="303"/>
      <c r="Y153" s="303"/>
      <c r="Z153" s="303"/>
      <c r="AA153" s="303"/>
      <c r="AB153" s="303"/>
      <c r="AC153" s="303"/>
      <c r="AD153" s="303"/>
      <c r="AE153" s="303"/>
      <c r="AF153" s="303"/>
      <c r="AG153" s="303"/>
      <c r="AH153" s="303"/>
      <c r="AI153" s="303"/>
      <c r="AJ153" s="303"/>
      <c r="AK153" s="303"/>
      <c r="AL153" s="303"/>
      <c r="AM153" s="303"/>
    </row>
    <row r="154" ht="12.0" customHeight="1">
      <c r="A154" s="303"/>
      <c r="B154" s="303"/>
      <c r="C154" s="303"/>
      <c r="D154" s="303"/>
      <c r="E154" s="303"/>
      <c r="F154" s="303"/>
      <c r="G154" s="303"/>
      <c r="H154" s="303"/>
      <c r="I154" s="303"/>
      <c r="J154" s="303"/>
      <c r="K154" s="303"/>
      <c r="L154" s="303"/>
      <c r="M154" s="303"/>
      <c r="N154" s="303"/>
      <c r="O154" s="303"/>
      <c r="P154" s="303"/>
      <c r="Q154" s="303"/>
      <c r="R154" s="303"/>
      <c r="S154" s="303"/>
      <c r="T154" s="303"/>
      <c r="U154" s="303"/>
      <c r="V154" s="303"/>
      <c r="W154" s="303"/>
      <c r="X154" s="303"/>
      <c r="Y154" s="303"/>
      <c r="Z154" s="303"/>
      <c r="AA154" s="303"/>
      <c r="AB154" s="303"/>
      <c r="AC154" s="303"/>
      <c r="AD154" s="303"/>
      <c r="AE154" s="303"/>
      <c r="AF154" s="303"/>
      <c r="AG154" s="303"/>
      <c r="AH154" s="303"/>
      <c r="AI154" s="303"/>
      <c r="AJ154" s="303"/>
      <c r="AK154" s="303"/>
      <c r="AL154" s="303"/>
      <c r="AM154" s="303"/>
    </row>
    <row r="155" ht="12.0" customHeight="1">
      <c r="A155" s="303"/>
      <c r="B155" s="303"/>
      <c r="C155" s="303"/>
      <c r="D155" s="303"/>
      <c r="E155" s="303"/>
      <c r="F155" s="303"/>
      <c r="G155" s="303"/>
      <c r="H155" s="303"/>
      <c r="I155" s="303"/>
      <c r="J155" s="303"/>
      <c r="K155" s="303"/>
      <c r="L155" s="303"/>
      <c r="M155" s="303"/>
      <c r="N155" s="303"/>
      <c r="O155" s="303"/>
      <c r="P155" s="303"/>
      <c r="Q155" s="303"/>
      <c r="R155" s="303"/>
      <c r="S155" s="303"/>
      <c r="T155" s="303"/>
      <c r="U155" s="303"/>
      <c r="V155" s="303"/>
      <c r="W155" s="303"/>
      <c r="X155" s="303"/>
      <c r="Y155" s="303"/>
      <c r="Z155" s="303"/>
      <c r="AA155" s="303"/>
      <c r="AB155" s="303"/>
      <c r="AC155" s="303"/>
      <c r="AD155" s="303"/>
      <c r="AE155" s="303"/>
      <c r="AF155" s="303"/>
      <c r="AG155" s="303"/>
      <c r="AH155" s="303"/>
      <c r="AI155" s="303"/>
      <c r="AJ155" s="303"/>
      <c r="AK155" s="303"/>
      <c r="AL155" s="303"/>
      <c r="AM155" s="303"/>
    </row>
    <row r="156" ht="12.0" customHeight="1">
      <c r="A156" s="303"/>
      <c r="B156" s="303"/>
      <c r="C156" s="303"/>
      <c r="D156" s="303"/>
      <c r="E156" s="303"/>
      <c r="F156" s="303"/>
      <c r="G156" s="303"/>
      <c r="H156" s="303"/>
      <c r="I156" s="303"/>
      <c r="J156" s="303"/>
      <c r="K156" s="303"/>
      <c r="L156" s="303"/>
      <c r="M156" s="303"/>
      <c r="N156" s="303"/>
      <c r="O156" s="303"/>
      <c r="P156" s="303"/>
      <c r="Q156" s="303"/>
      <c r="R156" s="303"/>
      <c r="S156" s="303"/>
      <c r="T156" s="303"/>
      <c r="U156" s="303"/>
      <c r="V156" s="303"/>
      <c r="W156" s="303"/>
      <c r="X156" s="303"/>
      <c r="Y156" s="303"/>
      <c r="Z156" s="303"/>
      <c r="AA156" s="303"/>
      <c r="AB156" s="303"/>
      <c r="AC156" s="303"/>
      <c r="AD156" s="303"/>
      <c r="AE156" s="303"/>
      <c r="AF156" s="303"/>
      <c r="AG156" s="303"/>
      <c r="AH156" s="303"/>
      <c r="AI156" s="303"/>
      <c r="AJ156" s="303"/>
      <c r="AK156" s="303"/>
      <c r="AL156" s="303"/>
      <c r="AM156" s="303"/>
    </row>
    <row r="157" ht="12.0" customHeight="1">
      <c r="A157" s="303"/>
      <c r="B157" s="303"/>
      <c r="C157" s="303"/>
      <c r="D157" s="303"/>
      <c r="E157" s="303"/>
      <c r="F157" s="303"/>
      <c r="G157" s="303"/>
      <c r="H157" s="303"/>
      <c r="I157" s="303"/>
      <c r="J157" s="303"/>
      <c r="K157" s="303"/>
      <c r="L157" s="303"/>
      <c r="M157" s="303"/>
      <c r="N157" s="303"/>
      <c r="O157" s="303"/>
      <c r="P157" s="303"/>
      <c r="Q157" s="303"/>
      <c r="R157" s="303"/>
      <c r="S157" s="303"/>
      <c r="T157" s="303"/>
      <c r="U157" s="303"/>
      <c r="V157" s="303"/>
      <c r="W157" s="303"/>
      <c r="X157" s="303"/>
      <c r="Y157" s="303"/>
      <c r="Z157" s="303"/>
      <c r="AA157" s="303"/>
      <c r="AB157" s="303"/>
      <c r="AC157" s="303"/>
      <c r="AD157" s="303"/>
      <c r="AE157" s="303"/>
      <c r="AF157" s="303"/>
      <c r="AG157" s="303"/>
      <c r="AH157" s="303"/>
      <c r="AI157" s="303"/>
      <c r="AJ157" s="303"/>
      <c r="AK157" s="303"/>
      <c r="AL157" s="303"/>
      <c r="AM157" s="303"/>
    </row>
    <row r="158" ht="12.0" customHeight="1">
      <c r="A158" s="303"/>
      <c r="B158" s="303"/>
      <c r="C158" s="303"/>
      <c r="D158" s="303"/>
      <c r="E158" s="303"/>
      <c r="F158" s="303"/>
      <c r="G158" s="303"/>
      <c r="H158" s="303"/>
      <c r="I158" s="303"/>
      <c r="J158" s="303"/>
      <c r="K158" s="303"/>
      <c r="L158" s="303"/>
      <c r="M158" s="303"/>
      <c r="N158" s="303"/>
      <c r="O158" s="303"/>
      <c r="P158" s="303"/>
      <c r="Q158" s="303"/>
      <c r="R158" s="303"/>
      <c r="S158" s="303"/>
      <c r="T158" s="303"/>
      <c r="U158" s="303"/>
      <c r="V158" s="303"/>
      <c r="W158" s="303"/>
      <c r="X158" s="303"/>
      <c r="Y158" s="303"/>
      <c r="Z158" s="303"/>
      <c r="AA158" s="303"/>
      <c r="AB158" s="303"/>
      <c r="AC158" s="303"/>
      <c r="AD158" s="303"/>
      <c r="AE158" s="303"/>
      <c r="AF158" s="303"/>
      <c r="AG158" s="303"/>
      <c r="AH158" s="303"/>
      <c r="AI158" s="303"/>
      <c r="AJ158" s="303"/>
      <c r="AK158" s="303"/>
      <c r="AL158" s="303"/>
      <c r="AM158" s="303"/>
    </row>
    <row r="159" ht="12.0" customHeight="1">
      <c r="A159" s="303"/>
      <c r="B159" s="303"/>
      <c r="C159" s="303"/>
      <c r="D159" s="303"/>
      <c r="E159" s="303"/>
      <c r="F159" s="303"/>
      <c r="G159" s="303"/>
      <c r="H159" s="303"/>
      <c r="I159" s="303"/>
      <c r="J159" s="303"/>
      <c r="K159" s="303"/>
      <c r="L159" s="303"/>
      <c r="M159" s="303"/>
      <c r="N159" s="303"/>
      <c r="O159" s="303"/>
      <c r="P159" s="303"/>
      <c r="Q159" s="303"/>
      <c r="R159" s="303"/>
      <c r="S159" s="303"/>
      <c r="T159" s="303"/>
      <c r="U159" s="303"/>
      <c r="V159" s="303"/>
      <c r="W159" s="303"/>
      <c r="X159" s="303"/>
      <c r="Y159" s="303"/>
      <c r="Z159" s="303"/>
      <c r="AA159" s="303"/>
      <c r="AB159" s="303"/>
      <c r="AC159" s="303"/>
      <c r="AD159" s="303"/>
      <c r="AE159" s="303"/>
      <c r="AF159" s="303"/>
      <c r="AG159" s="303"/>
      <c r="AH159" s="303"/>
      <c r="AI159" s="303"/>
      <c r="AJ159" s="303"/>
      <c r="AK159" s="303"/>
      <c r="AL159" s="303"/>
      <c r="AM159" s="303"/>
    </row>
    <row r="160" ht="12.0" customHeight="1">
      <c r="A160" s="303"/>
      <c r="B160" s="303"/>
      <c r="C160" s="303"/>
      <c r="D160" s="303"/>
      <c r="E160" s="303"/>
      <c r="F160" s="303"/>
      <c r="G160" s="303"/>
      <c r="H160" s="303"/>
      <c r="I160" s="303"/>
      <c r="J160" s="303"/>
      <c r="K160" s="303"/>
      <c r="L160" s="303"/>
      <c r="M160" s="303"/>
      <c r="N160" s="303"/>
      <c r="O160" s="303"/>
      <c r="P160" s="303"/>
      <c r="Q160" s="303"/>
      <c r="R160" s="303"/>
      <c r="S160" s="303"/>
      <c r="T160" s="303"/>
      <c r="U160" s="303"/>
      <c r="V160" s="303"/>
      <c r="W160" s="303"/>
      <c r="X160" s="303"/>
      <c r="Y160" s="303"/>
      <c r="Z160" s="303"/>
      <c r="AA160" s="303"/>
      <c r="AB160" s="303"/>
      <c r="AC160" s="303"/>
      <c r="AD160" s="303"/>
      <c r="AE160" s="303"/>
      <c r="AF160" s="303"/>
      <c r="AG160" s="303"/>
      <c r="AH160" s="303"/>
      <c r="AI160" s="303"/>
      <c r="AJ160" s="303"/>
      <c r="AK160" s="303"/>
      <c r="AL160" s="303"/>
      <c r="AM160" s="303"/>
    </row>
    <row r="161" ht="12.0" customHeight="1">
      <c r="A161" s="303"/>
      <c r="B161" s="303"/>
      <c r="C161" s="303"/>
      <c r="D161" s="303"/>
      <c r="E161" s="303"/>
      <c r="F161" s="303"/>
      <c r="G161" s="303"/>
      <c r="H161" s="303"/>
      <c r="I161" s="303"/>
      <c r="J161" s="303"/>
      <c r="K161" s="303"/>
      <c r="L161" s="303"/>
      <c r="M161" s="303"/>
      <c r="N161" s="303"/>
      <c r="O161" s="303"/>
      <c r="P161" s="303"/>
      <c r="Q161" s="303"/>
      <c r="R161" s="303"/>
      <c r="S161" s="303"/>
      <c r="T161" s="303"/>
      <c r="U161" s="303"/>
      <c r="V161" s="303"/>
      <c r="W161" s="303"/>
      <c r="X161" s="303"/>
      <c r="Y161" s="303"/>
      <c r="Z161" s="303"/>
      <c r="AA161" s="303"/>
      <c r="AB161" s="303"/>
      <c r="AC161" s="303"/>
      <c r="AD161" s="303"/>
      <c r="AE161" s="303"/>
      <c r="AF161" s="303"/>
      <c r="AG161" s="303"/>
      <c r="AH161" s="303"/>
      <c r="AI161" s="303"/>
      <c r="AJ161" s="303"/>
      <c r="AK161" s="303"/>
      <c r="AL161" s="303"/>
      <c r="AM161" s="303"/>
    </row>
    <row r="162" ht="12.0" customHeight="1">
      <c r="A162" s="303"/>
      <c r="B162" s="303"/>
      <c r="C162" s="303"/>
      <c r="D162" s="303"/>
      <c r="E162" s="303"/>
      <c r="F162" s="303"/>
      <c r="G162" s="303"/>
      <c r="H162" s="303"/>
      <c r="I162" s="303"/>
      <c r="J162" s="303"/>
      <c r="K162" s="303"/>
      <c r="L162" s="303"/>
      <c r="M162" s="303"/>
      <c r="N162" s="303"/>
      <c r="O162" s="303"/>
      <c r="P162" s="303"/>
      <c r="Q162" s="303"/>
      <c r="R162" s="303"/>
      <c r="S162" s="303"/>
      <c r="T162" s="303"/>
      <c r="U162" s="303"/>
      <c r="V162" s="303"/>
      <c r="W162" s="303"/>
      <c r="X162" s="303"/>
      <c r="Y162" s="303"/>
      <c r="Z162" s="303"/>
      <c r="AA162" s="303"/>
      <c r="AB162" s="303"/>
      <c r="AC162" s="303"/>
      <c r="AD162" s="303"/>
      <c r="AE162" s="303"/>
      <c r="AF162" s="303"/>
      <c r="AG162" s="303"/>
      <c r="AH162" s="303"/>
      <c r="AI162" s="303"/>
      <c r="AJ162" s="303"/>
      <c r="AK162" s="303"/>
      <c r="AL162" s="303"/>
      <c r="AM162" s="303"/>
    </row>
    <row r="163" ht="12.0" customHeight="1">
      <c r="A163" s="303"/>
      <c r="B163" s="303"/>
      <c r="C163" s="303"/>
      <c r="D163" s="303"/>
      <c r="E163" s="303"/>
      <c r="F163" s="303"/>
      <c r="G163" s="303"/>
      <c r="H163" s="303"/>
      <c r="I163" s="303"/>
      <c r="J163" s="303"/>
      <c r="K163" s="303"/>
      <c r="L163" s="303"/>
      <c r="M163" s="303"/>
      <c r="N163" s="303"/>
      <c r="O163" s="303"/>
      <c r="P163" s="303"/>
      <c r="Q163" s="303"/>
      <c r="R163" s="303"/>
      <c r="S163" s="303"/>
      <c r="T163" s="303"/>
      <c r="U163" s="303"/>
      <c r="V163" s="303"/>
      <c r="W163" s="303"/>
      <c r="X163" s="303"/>
      <c r="Y163" s="303"/>
      <c r="Z163" s="303"/>
      <c r="AA163" s="303"/>
      <c r="AB163" s="303"/>
      <c r="AC163" s="303"/>
      <c r="AD163" s="303"/>
      <c r="AE163" s="303"/>
      <c r="AF163" s="303"/>
      <c r="AG163" s="303"/>
      <c r="AH163" s="303"/>
      <c r="AI163" s="303"/>
      <c r="AJ163" s="303"/>
      <c r="AK163" s="303"/>
      <c r="AL163" s="303"/>
      <c r="AM163" s="303"/>
    </row>
    <row r="164" ht="12.0" customHeight="1">
      <c r="A164" s="303"/>
      <c r="B164" s="303"/>
      <c r="C164" s="303"/>
      <c r="D164" s="303"/>
      <c r="E164" s="303"/>
      <c r="F164" s="303"/>
      <c r="G164" s="303"/>
      <c r="H164" s="303"/>
      <c r="I164" s="303"/>
      <c r="J164" s="303"/>
      <c r="K164" s="303"/>
      <c r="L164" s="303"/>
      <c r="M164" s="303"/>
      <c r="N164" s="303"/>
      <c r="O164" s="303"/>
      <c r="P164" s="303"/>
      <c r="Q164" s="303"/>
      <c r="R164" s="303"/>
      <c r="S164" s="303"/>
      <c r="T164" s="303"/>
      <c r="U164" s="303"/>
      <c r="V164" s="303"/>
      <c r="W164" s="303"/>
      <c r="X164" s="303"/>
      <c r="Y164" s="303"/>
      <c r="Z164" s="303"/>
      <c r="AA164" s="303"/>
      <c r="AB164" s="303"/>
      <c r="AC164" s="303"/>
      <c r="AD164" s="303"/>
      <c r="AE164" s="303"/>
      <c r="AF164" s="303"/>
      <c r="AG164" s="303"/>
      <c r="AH164" s="303"/>
      <c r="AI164" s="303"/>
      <c r="AJ164" s="303"/>
      <c r="AK164" s="303"/>
      <c r="AL164" s="303"/>
      <c r="AM164" s="303"/>
    </row>
    <row r="165" ht="12.0" customHeight="1">
      <c r="A165" s="303"/>
      <c r="B165" s="303"/>
      <c r="C165" s="303"/>
      <c r="D165" s="303"/>
      <c r="E165" s="303"/>
      <c r="F165" s="303"/>
      <c r="G165" s="303"/>
      <c r="H165" s="303"/>
      <c r="I165" s="303"/>
      <c r="J165" s="303"/>
      <c r="K165" s="303"/>
      <c r="L165" s="303"/>
      <c r="M165" s="303"/>
      <c r="N165" s="303"/>
      <c r="O165" s="303"/>
      <c r="P165" s="303"/>
      <c r="Q165" s="303"/>
      <c r="R165" s="303"/>
      <c r="S165" s="303"/>
      <c r="T165" s="303"/>
      <c r="U165" s="303"/>
      <c r="V165" s="303"/>
      <c r="W165" s="303"/>
      <c r="X165" s="303"/>
      <c r="Y165" s="303"/>
      <c r="Z165" s="303"/>
      <c r="AA165" s="303"/>
      <c r="AB165" s="303"/>
      <c r="AC165" s="303"/>
      <c r="AD165" s="303"/>
      <c r="AE165" s="303"/>
      <c r="AF165" s="303"/>
      <c r="AG165" s="303"/>
      <c r="AH165" s="303"/>
      <c r="AI165" s="303"/>
      <c r="AJ165" s="303"/>
      <c r="AK165" s="303"/>
      <c r="AL165" s="303"/>
      <c r="AM165" s="303"/>
    </row>
    <row r="166" ht="12.0" customHeight="1">
      <c r="A166" s="303"/>
      <c r="B166" s="303"/>
      <c r="C166" s="303"/>
      <c r="D166" s="303"/>
      <c r="E166" s="303"/>
      <c r="F166" s="303"/>
      <c r="G166" s="303"/>
      <c r="H166" s="303"/>
      <c r="I166" s="303"/>
      <c r="J166" s="303"/>
      <c r="K166" s="303"/>
      <c r="L166" s="303"/>
      <c r="M166" s="303"/>
      <c r="N166" s="303"/>
      <c r="O166" s="303"/>
      <c r="P166" s="303"/>
      <c r="Q166" s="303"/>
      <c r="R166" s="303"/>
      <c r="S166" s="303"/>
      <c r="T166" s="303"/>
      <c r="U166" s="303"/>
      <c r="V166" s="303"/>
      <c r="W166" s="303"/>
      <c r="X166" s="303"/>
      <c r="Y166" s="303"/>
      <c r="Z166" s="303"/>
      <c r="AA166" s="303"/>
      <c r="AB166" s="303"/>
      <c r="AC166" s="303"/>
      <c r="AD166" s="303"/>
      <c r="AE166" s="303"/>
      <c r="AF166" s="303"/>
      <c r="AG166" s="303"/>
      <c r="AH166" s="303"/>
      <c r="AI166" s="303"/>
      <c r="AJ166" s="303"/>
      <c r="AK166" s="303"/>
      <c r="AL166" s="303"/>
      <c r="AM166" s="303"/>
    </row>
    <row r="167" ht="12.0" customHeight="1">
      <c r="A167" s="303"/>
      <c r="B167" s="303"/>
      <c r="C167" s="303"/>
      <c r="D167" s="303"/>
      <c r="E167" s="303"/>
      <c r="F167" s="303"/>
      <c r="G167" s="303"/>
      <c r="H167" s="303"/>
      <c r="I167" s="303"/>
      <c r="J167" s="303"/>
      <c r="K167" s="303"/>
      <c r="L167" s="303"/>
      <c r="M167" s="303"/>
      <c r="N167" s="303"/>
      <c r="O167" s="303"/>
      <c r="P167" s="303"/>
      <c r="Q167" s="303"/>
      <c r="R167" s="303"/>
      <c r="S167" s="303"/>
      <c r="T167" s="303"/>
      <c r="U167" s="303"/>
      <c r="V167" s="303"/>
      <c r="W167" s="303"/>
      <c r="X167" s="303"/>
      <c r="Y167" s="303"/>
      <c r="Z167" s="303"/>
      <c r="AA167" s="303"/>
      <c r="AB167" s="303"/>
      <c r="AC167" s="303"/>
      <c r="AD167" s="303"/>
      <c r="AE167" s="303"/>
      <c r="AF167" s="303"/>
      <c r="AG167" s="303"/>
      <c r="AH167" s="303"/>
      <c r="AI167" s="303"/>
      <c r="AJ167" s="303"/>
      <c r="AK167" s="303"/>
      <c r="AL167" s="303"/>
      <c r="AM167" s="303"/>
    </row>
    <row r="168" ht="12.0" customHeight="1">
      <c r="A168" s="303"/>
      <c r="B168" s="303"/>
      <c r="C168" s="303"/>
      <c r="D168" s="303"/>
      <c r="E168" s="303"/>
      <c r="F168" s="303"/>
      <c r="G168" s="303"/>
      <c r="H168" s="303"/>
      <c r="I168" s="303"/>
      <c r="J168" s="303"/>
      <c r="K168" s="303"/>
      <c r="L168" s="303"/>
      <c r="M168" s="303"/>
      <c r="N168" s="303"/>
      <c r="O168" s="303"/>
      <c r="P168" s="303"/>
      <c r="Q168" s="303"/>
      <c r="R168" s="303"/>
      <c r="S168" s="303"/>
      <c r="T168" s="303"/>
      <c r="U168" s="303"/>
      <c r="V168" s="303"/>
      <c r="W168" s="303"/>
      <c r="X168" s="303"/>
      <c r="Y168" s="303"/>
      <c r="Z168" s="303"/>
      <c r="AA168" s="303"/>
      <c r="AB168" s="303"/>
      <c r="AC168" s="303"/>
      <c r="AD168" s="303"/>
      <c r="AE168" s="303"/>
      <c r="AF168" s="303"/>
      <c r="AG168" s="303"/>
      <c r="AH168" s="303"/>
      <c r="AI168" s="303"/>
      <c r="AJ168" s="303"/>
      <c r="AK168" s="303"/>
      <c r="AL168" s="303"/>
      <c r="AM168" s="303"/>
    </row>
    <row r="169" ht="12.0" customHeight="1">
      <c r="A169" s="303"/>
      <c r="B169" s="303"/>
      <c r="C169" s="303"/>
      <c r="D169" s="303"/>
      <c r="E169" s="303"/>
      <c r="F169" s="303"/>
      <c r="G169" s="303"/>
      <c r="H169" s="303"/>
      <c r="I169" s="303"/>
      <c r="J169" s="303"/>
      <c r="K169" s="303"/>
      <c r="L169" s="303"/>
      <c r="M169" s="303"/>
      <c r="N169" s="303"/>
      <c r="O169" s="303"/>
      <c r="P169" s="303"/>
      <c r="Q169" s="303"/>
      <c r="R169" s="303"/>
      <c r="S169" s="303"/>
      <c r="T169" s="303"/>
      <c r="U169" s="303"/>
      <c r="V169" s="303"/>
      <c r="W169" s="303"/>
      <c r="X169" s="303"/>
      <c r="Y169" s="303"/>
      <c r="Z169" s="303"/>
      <c r="AA169" s="303"/>
      <c r="AB169" s="303"/>
      <c r="AC169" s="303"/>
      <c r="AD169" s="303"/>
      <c r="AE169" s="303"/>
      <c r="AF169" s="303"/>
      <c r="AG169" s="303"/>
      <c r="AH169" s="303"/>
      <c r="AI169" s="303"/>
      <c r="AJ169" s="303"/>
      <c r="AK169" s="303"/>
      <c r="AL169" s="303"/>
      <c r="AM169" s="303"/>
    </row>
    <row r="170" ht="12.0" customHeight="1">
      <c r="A170" s="303"/>
      <c r="B170" s="303"/>
      <c r="C170" s="303"/>
      <c r="D170" s="303"/>
      <c r="E170" s="303"/>
      <c r="F170" s="303"/>
      <c r="G170" s="303"/>
      <c r="H170" s="303"/>
      <c r="I170" s="303"/>
      <c r="J170" s="303"/>
      <c r="K170" s="303"/>
      <c r="L170" s="303"/>
      <c r="M170" s="303"/>
      <c r="N170" s="303"/>
      <c r="O170" s="303"/>
      <c r="P170" s="303"/>
      <c r="Q170" s="303"/>
      <c r="R170" s="303"/>
      <c r="S170" s="303"/>
      <c r="T170" s="303"/>
      <c r="U170" s="303"/>
      <c r="V170" s="303"/>
      <c r="W170" s="303"/>
      <c r="X170" s="303"/>
      <c r="Y170" s="303"/>
      <c r="Z170" s="303"/>
      <c r="AA170" s="303"/>
      <c r="AB170" s="303"/>
      <c r="AC170" s="303"/>
      <c r="AD170" s="303"/>
      <c r="AE170" s="303"/>
      <c r="AF170" s="303"/>
      <c r="AG170" s="303"/>
      <c r="AH170" s="303"/>
      <c r="AI170" s="303"/>
      <c r="AJ170" s="303"/>
      <c r="AK170" s="303"/>
      <c r="AL170" s="303"/>
      <c r="AM170" s="303"/>
    </row>
    <row r="171" ht="12.0" customHeight="1">
      <c r="A171" s="303"/>
      <c r="B171" s="303"/>
      <c r="C171" s="303"/>
      <c r="D171" s="303"/>
      <c r="E171" s="303"/>
      <c r="F171" s="303"/>
      <c r="G171" s="303"/>
      <c r="H171" s="303"/>
      <c r="I171" s="303"/>
      <c r="J171" s="303"/>
      <c r="K171" s="303"/>
      <c r="L171" s="303"/>
      <c r="M171" s="303"/>
      <c r="N171" s="303"/>
      <c r="O171" s="303"/>
      <c r="P171" s="303"/>
      <c r="Q171" s="303"/>
      <c r="R171" s="303"/>
      <c r="S171" s="303"/>
      <c r="T171" s="303"/>
      <c r="U171" s="303"/>
      <c r="V171" s="303"/>
      <c r="W171" s="303"/>
      <c r="X171" s="303"/>
      <c r="Y171" s="303"/>
      <c r="Z171" s="303"/>
      <c r="AA171" s="303"/>
      <c r="AB171" s="303"/>
      <c r="AC171" s="303"/>
      <c r="AD171" s="303"/>
      <c r="AE171" s="303"/>
      <c r="AF171" s="303"/>
      <c r="AG171" s="303"/>
      <c r="AH171" s="303"/>
      <c r="AI171" s="303"/>
      <c r="AJ171" s="303"/>
      <c r="AK171" s="303"/>
      <c r="AL171" s="303"/>
      <c r="AM171" s="303"/>
    </row>
    <row r="172" ht="12.0" customHeight="1">
      <c r="A172" s="303"/>
      <c r="B172" s="303"/>
      <c r="C172" s="303"/>
      <c r="D172" s="303"/>
      <c r="E172" s="303"/>
      <c r="F172" s="303"/>
      <c r="G172" s="303"/>
      <c r="H172" s="303"/>
      <c r="I172" s="303"/>
      <c r="J172" s="303"/>
      <c r="K172" s="303"/>
      <c r="L172" s="303"/>
      <c r="M172" s="303"/>
      <c r="N172" s="303"/>
      <c r="O172" s="303"/>
      <c r="P172" s="303"/>
      <c r="Q172" s="303"/>
      <c r="R172" s="303"/>
      <c r="S172" s="303"/>
      <c r="T172" s="303"/>
      <c r="U172" s="303"/>
      <c r="V172" s="303"/>
      <c r="W172" s="303"/>
      <c r="X172" s="303"/>
      <c r="Y172" s="303"/>
      <c r="Z172" s="303"/>
      <c r="AA172" s="303"/>
      <c r="AB172" s="303"/>
      <c r="AC172" s="303"/>
      <c r="AD172" s="303"/>
      <c r="AE172" s="303"/>
      <c r="AF172" s="303"/>
      <c r="AG172" s="303"/>
      <c r="AH172" s="303"/>
      <c r="AI172" s="303"/>
      <c r="AJ172" s="303"/>
      <c r="AK172" s="303"/>
      <c r="AL172" s="303"/>
      <c r="AM172" s="303"/>
    </row>
    <row r="173" ht="12.0" customHeight="1">
      <c r="A173" s="303"/>
      <c r="B173" s="303"/>
      <c r="C173" s="303"/>
      <c r="D173" s="303"/>
      <c r="E173" s="303"/>
      <c r="F173" s="303"/>
      <c r="G173" s="303"/>
      <c r="H173" s="303"/>
      <c r="I173" s="303"/>
      <c r="J173" s="303"/>
      <c r="K173" s="303"/>
      <c r="L173" s="303"/>
      <c r="M173" s="303"/>
      <c r="N173" s="303"/>
      <c r="O173" s="303"/>
      <c r="P173" s="303"/>
      <c r="Q173" s="303"/>
      <c r="R173" s="303"/>
      <c r="S173" s="303"/>
      <c r="T173" s="303"/>
      <c r="U173" s="303"/>
      <c r="V173" s="303"/>
      <c r="W173" s="303"/>
      <c r="X173" s="303"/>
      <c r="Y173" s="303"/>
      <c r="Z173" s="303"/>
      <c r="AA173" s="303"/>
      <c r="AB173" s="303"/>
      <c r="AC173" s="303"/>
      <c r="AD173" s="303"/>
      <c r="AE173" s="303"/>
      <c r="AF173" s="303"/>
      <c r="AG173" s="303"/>
      <c r="AH173" s="303"/>
      <c r="AI173" s="303"/>
      <c r="AJ173" s="303"/>
      <c r="AK173" s="303"/>
      <c r="AL173" s="303"/>
      <c r="AM173" s="303"/>
    </row>
    <row r="174" ht="12.0" customHeight="1">
      <c r="A174" s="303"/>
      <c r="B174" s="303"/>
      <c r="C174" s="303"/>
      <c r="D174" s="303"/>
      <c r="E174" s="303"/>
      <c r="F174" s="303"/>
      <c r="G174" s="303"/>
      <c r="H174" s="303"/>
      <c r="I174" s="303"/>
      <c r="J174" s="303"/>
      <c r="K174" s="303"/>
      <c r="L174" s="303"/>
      <c r="M174" s="303"/>
      <c r="N174" s="303"/>
      <c r="O174" s="303"/>
      <c r="P174" s="303"/>
      <c r="Q174" s="303"/>
      <c r="R174" s="303"/>
      <c r="S174" s="303"/>
      <c r="T174" s="303"/>
      <c r="U174" s="303"/>
      <c r="V174" s="303"/>
      <c r="W174" s="303"/>
      <c r="X174" s="303"/>
      <c r="Y174" s="303"/>
      <c r="Z174" s="303"/>
      <c r="AA174" s="303"/>
      <c r="AB174" s="303"/>
      <c r="AC174" s="303"/>
      <c r="AD174" s="303"/>
      <c r="AE174" s="303"/>
      <c r="AF174" s="303"/>
      <c r="AG174" s="303"/>
      <c r="AH174" s="303"/>
      <c r="AI174" s="303"/>
      <c r="AJ174" s="303"/>
      <c r="AK174" s="303"/>
      <c r="AL174" s="303"/>
      <c r="AM174" s="303"/>
    </row>
    <row r="175" ht="12.0" customHeight="1">
      <c r="A175" s="303"/>
      <c r="B175" s="303"/>
      <c r="C175" s="303"/>
      <c r="D175" s="303"/>
      <c r="E175" s="303"/>
      <c r="F175" s="303"/>
      <c r="G175" s="303"/>
      <c r="H175" s="303"/>
      <c r="I175" s="303"/>
      <c r="J175" s="303"/>
      <c r="K175" s="303"/>
      <c r="L175" s="303"/>
      <c r="M175" s="303"/>
      <c r="N175" s="303"/>
      <c r="O175" s="303"/>
      <c r="P175" s="303"/>
      <c r="Q175" s="303"/>
      <c r="R175" s="303"/>
      <c r="S175" s="303"/>
      <c r="T175" s="303"/>
      <c r="U175" s="303"/>
      <c r="V175" s="303"/>
      <c r="W175" s="303"/>
      <c r="X175" s="303"/>
      <c r="Y175" s="303"/>
      <c r="Z175" s="303"/>
      <c r="AA175" s="303"/>
      <c r="AB175" s="303"/>
      <c r="AC175" s="303"/>
      <c r="AD175" s="303"/>
      <c r="AE175" s="303"/>
      <c r="AF175" s="303"/>
      <c r="AG175" s="303"/>
      <c r="AH175" s="303"/>
      <c r="AI175" s="303"/>
      <c r="AJ175" s="303"/>
      <c r="AK175" s="303"/>
      <c r="AL175" s="303"/>
      <c r="AM175" s="303"/>
    </row>
    <row r="176" ht="12.0" customHeight="1">
      <c r="A176" s="303"/>
      <c r="B176" s="303"/>
      <c r="C176" s="303"/>
      <c r="D176" s="303"/>
      <c r="E176" s="303"/>
      <c r="F176" s="303"/>
      <c r="G176" s="303"/>
      <c r="H176" s="303"/>
      <c r="I176" s="303"/>
      <c r="J176" s="303"/>
      <c r="K176" s="303"/>
      <c r="L176" s="303"/>
      <c r="M176" s="303"/>
      <c r="N176" s="303"/>
      <c r="O176" s="303"/>
      <c r="P176" s="303"/>
      <c r="Q176" s="303"/>
      <c r="R176" s="303"/>
      <c r="S176" s="303"/>
      <c r="T176" s="303"/>
      <c r="U176" s="303"/>
      <c r="V176" s="303"/>
      <c r="W176" s="303"/>
      <c r="X176" s="303"/>
      <c r="Y176" s="303"/>
      <c r="Z176" s="303"/>
      <c r="AA176" s="303"/>
      <c r="AB176" s="303"/>
      <c r="AC176" s="303"/>
      <c r="AD176" s="303"/>
      <c r="AE176" s="303"/>
      <c r="AF176" s="303"/>
      <c r="AG176" s="303"/>
      <c r="AH176" s="303"/>
      <c r="AI176" s="303"/>
      <c r="AJ176" s="303"/>
      <c r="AK176" s="303"/>
      <c r="AL176" s="303"/>
      <c r="AM176" s="303"/>
    </row>
    <row r="177" ht="12.0" customHeight="1">
      <c r="A177" s="303"/>
      <c r="B177" s="303"/>
      <c r="C177" s="303"/>
      <c r="D177" s="303"/>
      <c r="E177" s="303"/>
      <c r="F177" s="303"/>
      <c r="G177" s="303"/>
      <c r="H177" s="303"/>
      <c r="I177" s="303"/>
      <c r="J177" s="303"/>
      <c r="K177" s="303"/>
      <c r="L177" s="303"/>
      <c r="M177" s="303"/>
      <c r="N177" s="303"/>
      <c r="O177" s="303"/>
      <c r="P177" s="303"/>
      <c r="Q177" s="303"/>
      <c r="R177" s="303"/>
      <c r="S177" s="303"/>
      <c r="T177" s="303"/>
      <c r="U177" s="303"/>
      <c r="V177" s="303"/>
      <c r="W177" s="303"/>
      <c r="X177" s="303"/>
      <c r="Y177" s="303"/>
      <c r="Z177" s="303"/>
      <c r="AA177" s="303"/>
      <c r="AB177" s="303"/>
      <c r="AC177" s="303"/>
      <c r="AD177" s="303"/>
      <c r="AE177" s="303"/>
      <c r="AF177" s="303"/>
      <c r="AG177" s="303"/>
      <c r="AH177" s="303"/>
      <c r="AI177" s="303"/>
      <c r="AJ177" s="303"/>
      <c r="AK177" s="303"/>
      <c r="AL177" s="303"/>
      <c r="AM177" s="303"/>
    </row>
    <row r="178" ht="12.0" customHeight="1">
      <c r="A178" s="303"/>
      <c r="B178" s="303"/>
      <c r="C178" s="303"/>
      <c r="D178" s="303"/>
      <c r="E178" s="303"/>
      <c r="F178" s="303"/>
      <c r="G178" s="303"/>
      <c r="H178" s="303"/>
      <c r="I178" s="303"/>
      <c r="J178" s="303"/>
      <c r="K178" s="303"/>
      <c r="L178" s="303"/>
      <c r="M178" s="303"/>
      <c r="N178" s="303"/>
      <c r="O178" s="303"/>
      <c r="P178" s="303"/>
      <c r="Q178" s="303"/>
      <c r="R178" s="303"/>
      <c r="S178" s="303"/>
      <c r="T178" s="303"/>
      <c r="U178" s="303"/>
      <c r="V178" s="303"/>
      <c r="W178" s="303"/>
      <c r="X178" s="303"/>
      <c r="Y178" s="303"/>
      <c r="Z178" s="303"/>
      <c r="AA178" s="303"/>
      <c r="AB178" s="303"/>
      <c r="AC178" s="303"/>
      <c r="AD178" s="303"/>
      <c r="AE178" s="303"/>
      <c r="AF178" s="303"/>
      <c r="AG178" s="303"/>
      <c r="AH178" s="303"/>
      <c r="AI178" s="303"/>
      <c r="AJ178" s="303"/>
      <c r="AK178" s="303"/>
      <c r="AL178" s="303"/>
      <c r="AM178" s="303"/>
    </row>
    <row r="179" ht="12.0" customHeight="1">
      <c r="A179" s="303"/>
      <c r="B179" s="303"/>
      <c r="C179" s="303"/>
      <c r="D179" s="303"/>
      <c r="E179" s="303"/>
      <c r="F179" s="303"/>
      <c r="G179" s="303"/>
      <c r="H179" s="303"/>
      <c r="I179" s="303"/>
      <c r="J179" s="303"/>
      <c r="K179" s="303"/>
      <c r="L179" s="303"/>
      <c r="M179" s="303"/>
      <c r="N179" s="303"/>
      <c r="O179" s="303"/>
      <c r="P179" s="303"/>
      <c r="Q179" s="303"/>
      <c r="R179" s="303"/>
      <c r="S179" s="303"/>
      <c r="T179" s="303"/>
      <c r="U179" s="303"/>
      <c r="V179" s="303"/>
      <c r="W179" s="303"/>
      <c r="X179" s="303"/>
      <c r="Y179" s="303"/>
      <c r="Z179" s="303"/>
      <c r="AA179" s="303"/>
      <c r="AB179" s="303"/>
      <c r="AC179" s="303"/>
      <c r="AD179" s="303"/>
      <c r="AE179" s="303"/>
      <c r="AF179" s="303"/>
      <c r="AG179" s="303"/>
      <c r="AH179" s="303"/>
      <c r="AI179" s="303"/>
      <c r="AJ179" s="303"/>
      <c r="AK179" s="303"/>
      <c r="AL179" s="303"/>
      <c r="AM179" s="303"/>
    </row>
    <row r="180" ht="12.0" customHeight="1">
      <c r="A180" s="303"/>
      <c r="B180" s="303"/>
      <c r="C180" s="303"/>
      <c r="D180" s="303"/>
      <c r="E180" s="303"/>
      <c r="F180" s="303"/>
      <c r="G180" s="303"/>
      <c r="H180" s="303"/>
      <c r="I180" s="303"/>
      <c r="J180" s="303"/>
      <c r="K180" s="303"/>
      <c r="L180" s="303"/>
      <c r="M180" s="303"/>
      <c r="N180" s="303"/>
      <c r="O180" s="303"/>
      <c r="P180" s="303"/>
      <c r="Q180" s="303"/>
      <c r="R180" s="303"/>
      <c r="S180" s="303"/>
      <c r="T180" s="303"/>
      <c r="U180" s="303"/>
      <c r="V180" s="303"/>
      <c r="W180" s="303"/>
      <c r="X180" s="303"/>
      <c r="Y180" s="303"/>
      <c r="Z180" s="303"/>
      <c r="AA180" s="303"/>
      <c r="AB180" s="303"/>
      <c r="AC180" s="303"/>
      <c r="AD180" s="303"/>
      <c r="AE180" s="303"/>
      <c r="AF180" s="303"/>
      <c r="AG180" s="303"/>
      <c r="AH180" s="303"/>
      <c r="AI180" s="303"/>
      <c r="AJ180" s="303"/>
      <c r="AK180" s="303"/>
      <c r="AL180" s="303"/>
      <c r="AM180" s="303"/>
    </row>
    <row r="181" ht="12.0" customHeight="1">
      <c r="A181" s="303"/>
      <c r="B181" s="303"/>
      <c r="C181" s="303"/>
      <c r="D181" s="303"/>
      <c r="E181" s="303"/>
      <c r="F181" s="303"/>
      <c r="G181" s="303"/>
      <c r="H181" s="303"/>
      <c r="I181" s="303"/>
      <c r="J181" s="303"/>
      <c r="K181" s="303"/>
      <c r="L181" s="303"/>
      <c r="M181" s="303"/>
      <c r="N181" s="303"/>
      <c r="O181" s="303"/>
      <c r="P181" s="303"/>
      <c r="Q181" s="303"/>
      <c r="R181" s="303"/>
      <c r="S181" s="303"/>
      <c r="T181" s="303"/>
      <c r="U181" s="303"/>
      <c r="V181" s="303"/>
      <c r="W181" s="303"/>
      <c r="X181" s="303"/>
      <c r="Y181" s="303"/>
      <c r="Z181" s="303"/>
      <c r="AA181" s="303"/>
      <c r="AB181" s="303"/>
      <c r="AC181" s="303"/>
      <c r="AD181" s="303"/>
      <c r="AE181" s="303"/>
      <c r="AF181" s="303"/>
      <c r="AG181" s="303"/>
      <c r="AH181" s="303"/>
      <c r="AI181" s="303"/>
      <c r="AJ181" s="303"/>
      <c r="AK181" s="303"/>
      <c r="AL181" s="303"/>
      <c r="AM181" s="303"/>
    </row>
    <row r="182" ht="12.0" customHeight="1">
      <c r="A182" s="303"/>
      <c r="B182" s="303"/>
      <c r="C182" s="303"/>
      <c r="D182" s="303"/>
      <c r="E182" s="303"/>
      <c r="F182" s="303"/>
      <c r="G182" s="303"/>
      <c r="H182" s="303"/>
      <c r="I182" s="303"/>
      <c r="J182" s="303"/>
      <c r="K182" s="303"/>
      <c r="L182" s="303"/>
      <c r="M182" s="303"/>
      <c r="N182" s="303"/>
      <c r="O182" s="303"/>
      <c r="P182" s="303"/>
      <c r="Q182" s="303"/>
      <c r="R182" s="303"/>
      <c r="S182" s="303"/>
      <c r="T182" s="303"/>
      <c r="U182" s="303"/>
      <c r="V182" s="303"/>
      <c r="W182" s="303"/>
      <c r="X182" s="303"/>
      <c r="Y182" s="303"/>
      <c r="Z182" s="303"/>
      <c r="AA182" s="303"/>
      <c r="AB182" s="303"/>
      <c r="AC182" s="303"/>
      <c r="AD182" s="303"/>
      <c r="AE182" s="303"/>
      <c r="AF182" s="303"/>
      <c r="AG182" s="303"/>
      <c r="AH182" s="303"/>
      <c r="AI182" s="303"/>
      <c r="AJ182" s="303"/>
      <c r="AK182" s="303"/>
      <c r="AL182" s="303"/>
      <c r="AM182" s="303"/>
    </row>
    <row r="183" ht="12.0" customHeight="1">
      <c r="A183" s="303"/>
      <c r="B183" s="303"/>
      <c r="C183" s="303"/>
      <c r="D183" s="303"/>
      <c r="E183" s="303"/>
      <c r="F183" s="303"/>
      <c r="G183" s="303"/>
      <c r="H183" s="303"/>
      <c r="I183" s="303"/>
      <c r="J183" s="303"/>
      <c r="K183" s="303"/>
      <c r="L183" s="303"/>
      <c r="M183" s="303"/>
      <c r="N183" s="303"/>
      <c r="O183" s="303"/>
      <c r="P183" s="303"/>
      <c r="Q183" s="303"/>
      <c r="R183" s="303"/>
      <c r="S183" s="303"/>
      <c r="T183" s="303"/>
      <c r="U183" s="303"/>
      <c r="V183" s="303"/>
      <c r="W183" s="303"/>
      <c r="X183" s="303"/>
      <c r="Y183" s="303"/>
      <c r="Z183" s="303"/>
      <c r="AA183" s="303"/>
      <c r="AB183" s="303"/>
      <c r="AC183" s="303"/>
      <c r="AD183" s="303"/>
      <c r="AE183" s="303"/>
      <c r="AF183" s="303"/>
      <c r="AG183" s="303"/>
      <c r="AH183" s="303"/>
      <c r="AI183" s="303"/>
      <c r="AJ183" s="303"/>
      <c r="AK183" s="303"/>
      <c r="AL183" s="303"/>
      <c r="AM183" s="303"/>
    </row>
    <row r="184" ht="12.0" customHeight="1">
      <c r="A184" s="303"/>
      <c r="B184" s="303"/>
      <c r="C184" s="303"/>
      <c r="D184" s="303"/>
      <c r="E184" s="303"/>
      <c r="F184" s="303"/>
      <c r="G184" s="303"/>
      <c r="H184" s="303"/>
      <c r="I184" s="303"/>
      <c r="J184" s="303"/>
      <c r="K184" s="303"/>
      <c r="L184" s="303"/>
      <c r="M184" s="303"/>
      <c r="N184" s="303"/>
      <c r="O184" s="303"/>
      <c r="P184" s="303"/>
      <c r="Q184" s="303"/>
      <c r="R184" s="303"/>
      <c r="S184" s="303"/>
      <c r="T184" s="303"/>
      <c r="U184" s="303"/>
      <c r="V184" s="303"/>
      <c r="W184" s="303"/>
      <c r="X184" s="303"/>
      <c r="Y184" s="303"/>
      <c r="Z184" s="303"/>
      <c r="AA184" s="303"/>
      <c r="AB184" s="303"/>
      <c r="AC184" s="303"/>
      <c r="AD184" s="303"/>
      <c r="AE184" s="303"/>
      <c r="AF184" s="303"/>
      <c r="AG184" s="303"/>
      <c r="AH184" s="303"/>
      <c r="AI184" s="303"/>
      <c r="AJ184" s="303"/>
      <c r="AK184" s="303"/>
      <c r="AL184" s="303"/>
      <c r="AM184" s="303"/>
    </row>
    <row r="185" ht="12.0" customHeight="1">
      <c r="A185" s="303"/>
      <c r="B185" s="303"/>
      <c r="C185" s="303"/>
      <c r="D185" s="303"/>
      <c r="E185" s="303"/>
      <c r="F185" s="303"/>
      <c r="G185" s="303"/>
      <c r="H185" s="303"/>
      <c r="I185" s="303"/>
      <c r="J185" s="303"/>
      <c r="K185" s="303"/>
      <c r="L185" s="303"/>
      <c r="M185" s="303"/>
      <c r="N185" s="303"/>
      <c r="O185" s="303"/>
      <c r="P185" s="303"/>
      <c r="Q185" s="303"/>
      <c r="R185" s="303"/>
      <c r="S185" s="303"/>
      <c r="T185" s="303"/>
      <c r="U185" s="303"/>
      <c r="V185" s="303"/>
      <c r="W185" s="303"/>
      <c r="X185" s="303"/>
      <c r="Y185" s="303"/>
      <c r="Z185" s="303"/>
      <c r="AA185" s="303"/>
      <c r="AB185" s="303"/>
      <c r="AC185" s="303"/>
      <c r="AD185" s="303"/>
      <c r="AE185" s="303"/>
      <c r="AF185" s="303"/>
      <c r="AG185" s="303"/>
      <c r="AH185" s="303"/>
      <c r="AI185" s="303"/>
      <c r="AJ185" s="303"/>
      <c r="AK185" s="303"/>
      <c r="AL185" s="303"/>
      <c r="AM185" s="303"/>
    </row>
    <row r="186" ht="12.0" customHeight="1">
      <c r="A186" s="303"/>
      <c r="B186" s="303"/>
      <c r="C186" s="303"/>
      <c r="D186" s="303"/>
      <c r="E186" s="303"/>
      <c r="F186" s="303"/>
      <c r="G186" s="303"/>
      <c r="H186" s="303"/>
      <c r="I186" s="303"/>
      <c r="J186" s="303"/>
      <c r="K186" s="303"/>
      <c r="L186" s="303"/>
      <c r="M186" s="303"/>
      <c r="N186" s="303"/>
      <c r="O186" s="303"/>
      <c r="P186" s="303"/>
      <c r="Q186" s="303"/>
      <c r="R186" s="303"/>
      <c r="S186" s="303"/>
      <c r="T186" s="303"/>
      <c r="U186" s="303"/>
      <c r="V186" s="303"/>
      <c r="W186" s="303"/>
      <c r="X186" s="303"/>
      <c r="Y186" s="303"/>
      <c r="Z186" s="303"/>
      <c r="AA186" s="303"/>
      <c r="AB186" s="303"/>
      <c r="AC186" s="303"/>
      <c r="AD186" s="303"/>
      <c r="AE186" s="303"/>
      <c r="AF186" s="303"/>
      <c r="AG186" s="303"/>
      <c r="AH186" s="303"/>
      <c r="AI186" s="303"/>
      <c r="AJ186" s="303"/>
      <c r="AK186" s="303"/>
      <c r="AL186" s="303"/>
      <c r="AM186" s="303"/>
    </row>
    <row r="187" ht="12.0" customHeight="1">
      <c r="A187" s="303"/>
      <c r="B187" s="303"/>
      <c r="C187" s="303"/>
      <c r="D187" s="303"/>
      <c r="E187" s="303"/>
      <c r="F187" s="303"/>
      <c r="G187" s="303"/>
      <c r="H187" s="303"/>
      <c r="I187" s="303"/>
      <c r="J187" s="303"/>
      <c r="K187" s="303"/>
      <c r="L187" s="303"/>
      <c r="M187" s="303"/>
      <c r="N187" s="303"/>
      <c r="O187" s="303"/>
      <c r="P187" s="303"/>
      <c r="Q187" s="303"/>
      <c r="R187" s="303"/>
      <c r="S187" s="303"/>
      <c r="T187" s="303"/>
      <c r="U187" s="303"/>
      <c r="V187" s="303"/>
      <c r="W187" s="303"/>
      <c r="X187" s="303"/>
      <c r="Y187" s="303"/>
      <c r="Z187" s="303"/>
      <c r="AA187" s="303"/>
      <c r="AB187" s="303"/>
      <c r="AC187" s="303"/>
      <c r="AD187" s="303"/>
      <c r="AE187" s="303"/>
      <c r="AF187" s="303"/>
      <c r="AG187" s="303"/>
      <c r="AH187" s="303"/>
      <c r="AI187" s="303"/>
      <c r="AJ187" s="303"/>
      <c r="AK187" s="303"/>
      <c r="AL187" s="303"/>
      <c r="AM187" s="303"/>
    </row>
    <row r="188" ht="12.0" customHeight="1">
      <c r="A188" s="303"/>
      <c r="B188" s="303"/>
      <c r="C188" s="303"/>
      <c r="D188" s="303"/>
      <c r="E188" s="303"/>
      <c r="F188" s="303"/>
      <c r="G188" s="303"/>
      <c r="H188" s="303"/>
      <c r="I188" s="303"/>
      <c r="J188" s="303"/>
      <c r="K188" s="303"/>
      <c r="L188" s="303"/>
      <c r="M188" s="303"/>
      <c r="N188" s="303"/>
      <c r="O188" s="303"/>
      <c r="P188" s="303"/>
      <c r="Q188" s="303"/>
      <c r="R188" s="303"/>
      <c r="S188" s="303"/>
      <c r="T188" s="303"/>
      <c r="U188" s="303"/>
      <c r="V188" s="303"/>
      <c r="W188" s="303"/>
      <c r="X188" s="303"/>
      <c r="Y188" s="303"/>
      <c r="Z188" s="303"/>
      <c r="AA188" s="303"/>
      <c r="AB188" s="303"/>
      <c r="AC188" s="303"/>
      <c r="AD188" s="303"/>
      <c r="AE188" s="303"/>
      <c r="AF188" s="303"/>
      <c r="AG188" s="303"/>
      <c r="AH188" s="303"/>
      <c r="AI188" s="303"/>
      <c r="AJ188" s="303"/>
      <c r="AK188" s="303"/>
      <c r="AL188" s="303"/>
      <c r="AM188" s="303"/>
    </row>
    <row r="189" ht="12.0" customHeight="1">
      <c r="A189" s="303"/>
      <c r="B189" s="303"/>
      <c r="C189" s="303"/>
      <c r="D189" s="303"/>
      <c r="E189" s="303"/>
      <c r="F189" s="303"/>
      <c r="G189" s="303"/>
      <c r="H189" s="303"/>
      <c r="I189" s="303"/>
      <c r="J189" s="303"/>
      <c r="K189" s="303"/>
      <c r="L189" s="303"/>
      <c r="M189" s="303"/>
      <c r="N189" s="303"/>
      <c r="O189" s="303"/>
      <c r="P189" s="303"/>
      <c r="Q189" s="303"/>
      <c r="R189" s="303"/>
      <c r="S189" s="303"/>
      <c r="T189" s="303"/>
      <c r="U189" s="303"/>
      <c r="V189" s="303"/>
      <c r="W189" s="303"/>
      <c r="X189" s="303"/>
      <c r="Y189" s="303"/>
      <c r="Z189" s="303"/>
      <c r="AA189" s="303"/>
      <c r="AB189" s="303"/>
      <c r="AC189" s="303"/>
      <c r="AD189" s="303"/>
      <c r="AE189" s="303"/>
      <c r="AF189" s="303"/>
      <c r="AG189" s="303"/>
      <c r="AH189" s="303"/>
      <c r="AI189" s="303"/>
      <c r="AJ189" s="303"/>
      <c r="AK189" s="303"/>
      <c r="AL189" s="303"/>
      <c r="AM189" s="303"/>
    </row>
    <row r="190" ht="12.0" customHeight="1">
      <c r="A190" s="303"/>
      <c r="B190" s="303"/>
      <c r="C190" s="303"/>
      <c r="D190" s="303"/>
      <c r="E190" s="303"/>
      <c r="F190" s="303"/>
      <c r="G190" s="303"/>
      <c r="H190" s="303"/>
      <c r="I190" s="303"/>
      <c r="J190" s="303"/>
      <c r="K190" s="303"/>
      <c r="L190" s="303"/>
      <c r="M190" s="303"/>
      <c r="N190" s="303"/>
      <c r="O190" s="303"/>
      <c r="P190" s="303"/>
      <c r="Q190" s="303"/>
      <c r="R190" s="303"/>
      <c r="S190" s="303"/>
      <c r="T190" s="303"/>
      <c r="U190" s="303"/>
      <c r="V190" s="303"/>
      <c r="W190" s="303"/>
      <c r="X190" s="303"/>
      <c r="Y190" s="303"/>
      <c r="Z190" s="303"/>
      <c r="AA190" s="303"/>
      <c r="AB190" s="303"/>
      <c r="AC190" s="303"/>
      <c r="AD190" s="303"/>
      <c r="AE190" s="303"/>
      <c r="AF190" s="303"/>
      <c r="AG190" s="303"/>
      <c r="AH190" s="303"/>
      <c r="AI190" s="303"/>
      <c r="AJ190" s="303"/>
      <c r="AK190" s="303"/>
      <c r="AL190" s="303"/>
      <c r="AM190" s="303"/>
    </row>
    <row r="191" ht="12.0" customHeight="1">
      <c r="A191" s="303"/>
      <c r="B191" s="303"/>
      <c r="C191" s="303"/>
      <c r="D191" s="303"/>
      <c r="E191" s="303"/>
      <c r="F191" s="303"/>
      <c r="G191" s="303"/>
      <c r="H191" s="303"/>
      <c r="I191" s="303"/>
      <c r="J191" s="303"/>
      <c r="K191" s="303"/>
      <c r="L191" s="303"/>
      <c r="M191" s="303"/>
      <c r="N191" s="303"/>
      <c r="O191" s="303"/>
      <c r="P191" s="303"/>
      <c r="Q191" s="303"/>
      <c r="R191" s="303"/>
      <c r="S191" s="303"/>
      <c r="T191" s="303"/>
      <c r="U191" s="303"/>
      <c r="V191" s="303"/>
      <c r="W191" s="303"/>
      <c r="X191" s="303"/>
      <c r="Y191" s="303"/>
      <c r="Z191" s="303"/>
      <c r="AA191" s="303"/>
      <c r="AB191" s="303"/>
      <c r="AC191" s="303"/>
      <c r="AD191" s="303"/>
      <c r="AE191" s="303"/>
      <c r="AF191" s="303"/>
      <c r="AG191" s="303"/>
      <c r="AH191" s="303"/>
      <c r="AI191" s="303"/>
      <c r="AJ191" s="303"/>
      <c r="AK191" s="303"/>
      <c r="AL191" s="303"/>
      <c r="AM191" s="303"/>
    </row>
    <row r="192" ht="12.0" customHeight="1">
      <c r="A192" s="303"/>
      <c r="B192" s="303"/>
      <c r="C192" s="303"/>
      <c r="D192" s="303"/>
      <c r="E192" s="303"/>
      <c r="F192" s="303"/>
      <c r="G192" s="303"/>
      <c r="H192" s="303"/>
      <c r="I192" s="303"/>
      <c r="J192" s="303"/>
      <c r="K192" s="303"/>
      <c r="L192" s="303"/>
      <c r="M192" s="303"/>
      <c r="N192" s="303"/>
      <c r="O192" s="303"/>
      <c r="P192" s="303"/>
      <c r="Q192" s="303"/>
      <c r="R192" s="303"/>
      <c r="S192" s="303"/>
      <c r="T192" s="303"/>
      <c r="U192" s="303"/>
      <c r="V192" s="303"/>
      <c r="W192" s="303"/>
      <c r="X192" s="303"/>
      <c r="Y192" s="303"/>
      <c r="Z192" s="303"/>
      <c r="AA192" s="303"/>
      <c r="AB192" s="303"/>
      <c r="AC192" s="303"/>
      <c r="AD192" s="303"/>
      <c r="AE192" s="303"/>
      <c r="AF192" s="303"/>
      <c r="AG192" s="303"/>
      <c r="AH192" s="303"/>
      <c r="AI192" s="303"/>
      <c r="AJ192" s="303"/>
      <c r="AK192" s="303"/>
      <c r="AL192" s="303"/>
      <c r="AM192" s="303"/>
    </row>
    <row r="193" ht="12.0" customHeight="1">
      <c r="A193" s="303"/>
      <c r="B193" s="303"/>
      <c r="C193" s="303"/>
      <c r="D193" s="303"/>
      <c r="E193" s="303"/>
      <c r="F193" s="303"/>
      <c r="G193" s="303"/>
      <c r="H193" s="303"/>
      <c r="I193" s="303"/>
      <c r="J193" s="303"/>
      <c r="K193" s="303"/>
      <c r="L193" s="303"/>
      <c r="M193" s="303"/>
      <c r="N193" s="303"/>
      <c r="O193" s="303"/>
      <c r="P193" s="303"/>
      <c r="Q193" s="303"/>
      <c r="R193" s="303"/>
      <c r="S193" s="303"/>
      <c r="T193" s="303"/>
      <c r="U193" s="303"/>
      <c r="V193" s="303"/>
      <c r="W193" s="303"/>
      <c r="X193" s="303"/>
      <c r="Y193" s="303"/>
      <c r="Z193" s="303"/>
      <c r="AA193" s="303"/>
      <c r="AB193" s="303"/>
      <c r="AC193" s="303"/>
      <c r="AD193" s="303"/>
      <c r="AE193" s="303"/>
      <c r="AF193" s="303"/>
      <c r="AG193" s="303"/>
      <c r="AH193" s="303"/>
      <c r="AI193" s="303"/>
      <c r="AJ193" s="303"/>
      <c r="AK193" s="303"/>
      <c r="AL193" s="303"/>
      <c r="AM193" s="303"/>
    </row>
    <row r="194" ht="12.0" customHeight="1">
      <c r="A194" s="303"/>
      <c r="B194" s="303"/>
      <c r="C194" s="303"/>
      <c r="D194" s="303"/>
      <c r="E194" s="303"/>
      <c r="F194" s="303"/>
      <c r="G194" s="303"/>
      <c r="H194" s="303"/>
      <c r="I194" s="303"/>
      <c r="J194" s="303"/>
      <c r="K194" s="303"/>
      <c r="L194" s="303"/>
      <c r="M194" s="303"/>
      <c r="N194" s="303"/>
      <c r="O194" s="303"/>
      <c r="P194" s="303"/>
      <c r="Q194" s="303"/>
      <c r="R194" s="303"/>
      <c r="S194" s="303"/>
      <c r="T194" s="303"/>
      <c r="U194" s="303"/>
      <c r="V194" s="303"/>
      <c r="W194" s="303"/>
      <c r="X194" s="303"/>
      <c r="Y194" s="303"/>
      <c r="Z194" s="303"/>
      <c r="AA194" s="303"/>
      <c r="AB194" s="303"/>
      <c r="AC194" s="303"/>
      <c r="AD194" s="303"/>
      <c r="AE194" s="303"/>
      <c r="AF194" s="303"/>
      <c r="AG194" s="303"/>
      <c r="AH194" s="303"/>
      <c r="AI194" s="303"/>
      <c r="AJ194" s="303"/>
      <c r="AK194" s="303"/>
      <c r="AL194" s="303"/>
      <c r="AM194" s="303"/>
    </row>
    <row r="195" ht="12.0" customHeight="1">
      <c r="A195" s="303"/>
      <c r="B195" s="303"/>
      <c r="C195" s="303"/>
      <c r="D195" s="303"/>
      <c r="E195" s="303"/>
      <c r="F195" s="303"/>
      <c r="G195" s="303"/>
      <c r="H195" s="303"/>
      <c r="I195" s="303"/>
      <c r="J195" s="303"/>
      <c r="K195" s="303"/>
      <c r="L195" s="303"/>
      <c r="M195" s="303"/>
      <c r="N195" s="303"/>
      <c r="O195" s="303"/>
      <c r="P195" s="303"/>
      <c r="Q195" s="303"/>
      <c r="R195" s="303"/>
      <c r="S195" s="303"/>
      <c r="T195" s="303"/>
      <c r="U195" s="303"/>
      <c r="V195" s="303"/>
      <c r="W195" s="303"/>
      <c r="X195" s="303"/>
      <c r="Y195" s="303"/>
      <c r="Z195" s="303"/>
      <c r="AA195" s="303"/>
      <c r="AB195" s="303"/>
      <c r="AC195" s="303"/>
      <c r="AD195" s="303"/>
      <c r="AE195" s="303"/>
      <c r="AF195" s="303"/>
      <c r="AG195" s="303"/>
      <c r="AH195" s="303"/>
      <c r="AI195" s="303"/>
      <c r="AJ195" s="303"/>
      <c r="AK195" s="303"/>
      <c r="AL195" s="303"/>
      <c r="AM195" s="303"/>
    </row>
    <row r="196" ht="12.0" customHeight="1">
      <c r="A196" s="303"/>
      <c r="B196" s="303"/>
      <c r="C196" s="303"/>
      <c r="D196" s="303"/>
      <c r="E196" s="303"/>
      <c r="F196" s="303"/>
      <c r="G196" s="303"/>
      <c r="H196" s="303"/>
      <c r="I196" s="303"/>
      <c r="J196" s="303"/>
      <c r="K196" s="303"/>
      <c r="L196" s="303"/>
      <c r="M196" s="303"/>
      <c r="N196" s="303"/>
      <c r="O196" s="303"/>
      <c r="P196" s="303"/>
      <c r="Q196" s="303"/>
      <c r="R196" s="303"/>
      <c r="S196" s="303"/>
      <c r="T196" s="303"/>
      <c r="U196" s="303"/>
      <c r="V196" s="303"/>
      <c r="W196" s="303"/>
      <c r="X196" s="303"/>
      <c r="Y196" s="303"/>
      <c r="Z196" s="303"/>
      <c r="AA196" s="303"/>
      <c r="AB196" s="303"/>
      <c r="AC196" s="303"/>
      <c r="AD196" s="303"/>
      <c r="AE196" s="303"/>
      <c r="AF196" s="303"/>
      <c r="AG196" s="303"/>
      <c r="AH196" s="303"/>
      <c r="AI196" s="303"/>
      <c r="AJ196" s="303"/>
      <c r="AK196" s="303"/>
      <c r="AL196" s="303"/>
      <c r="AM196" s="303"/>
    </row>
    <row r="197" ht="12.0" customHeight="1">
      <c r="A197" s="303"/>
      <c r="B197" s="303"/>
      <c r="C197" s="303"/>
      <c r="D197" s="303"/>
      <c r="E197" s="303"/>
      <c r="F197" s="303"/>
      <c r="G197" s="303"/>
      <c r="H197" s="303"/>
      <c r="I197" s="303"/>
      <c r="J197" s="303"/>
      <c r="K197" s="303"/>
      <c r="L197" s="303"/>
      <c r="M197" s="303"/>
      <c r="N197" s="303"/>
      <c r="O197" s="303"/>
      <c r="P197" s="303"/>
      <c r="Q197" s="303"/>
      <c r="R197" s="303"/>
      <c r="S197" s="303"/>
      <c r="T197" s="303"/>
      <c r="U197" s="303"/>
      <c r="V197" s="303"/>
      <c r="W197" s="303"/>
      <c r="X197" s="303"/>
      <c r="Y197" s="303"/>
      <c r="Z197" s="303"/>
      <c r="AA197" s="303"/>
      <c r="AB197" s="303"/>
      <c r="AC197" s="303"/>
      <c r="AD197" s="303"/>
      <c r="AE197" s="303"/>
      <c r="AF197" s="303"/>
      <c r="AG197" s="303"/>
      <c r="AH197" s="303"/>
      <c r="AI197" s="303"/>
      <c r="AJ197" s="303"/>
      <c r="AK197" s="303"/>
      <c r="AL197" s="303"/>
      <c r="AM197" s="303"/>
    </row>
    <row r="198" ht="12.0" customHeight="1">
      <c r="A198" s="303"/>
      <c r="B198" s="303"/>
      <c r="C198" s="303"/>
      <c r="D198" s="303"/>
      <c r="E198" s="303"/>
      <c r="F198" s="303"/>
      <c r="G198" s="303"/>
      <c r="H198" s="303"/>
      <c r="I198" s="303"/>
      <c r="J198" s="303"/>
      <c r="K198" s="303"/>
      <c r="L198" s="303"/>
      <c r="M198" s="303"/>
      <c r="N198" s="303"/>
      <c r="O198" s="303"/>
      <c r="P198" s="303"/>
      <c r="Q198" s="303"/>
      <c r="R198" s="303"/>
      <c r="S198" s="303"/>
      <c r="T198" s="303"/>
      <c r="U198" s="303"/>
      <c r="V198" s="303"/>
      <c r="W198" s="303"/>
      <c r="X198" s="303"/>
      <c r="Y198" s="303"/>
      <c r="Z198" s="303"/>
      <c r="AA198" s="303"/>
      <c r="AB198" s="303"/>
      <c r="AC198" s="303"/>
      <c r="AD198" s="303"/>
      <c r="AE198" s="303"/>
      <c r="AF198" s="303"/>
      <c r="AG198" s="303"/>
      <c r="AH198" s="303"/>
      <c r="AI198" s="303"/>
      <c r="AJ198" s="303"/>
      <c r="AK198" s="303"/>
      <c r="AL198" s="303"/>
      <c r="AM198" s="303"/>
    </row>
    <row r="199" ht="12.0" customHeight="1">
      <c r="A199" s="303"/>
      <c r="B199" s="303"/>
      <c r="C199" s="303"/>
      <c r="D199" s="303"/>
      <c r="E199" s="303"/>
      <c r="F199" s="303"/>
      <c r="G199" s="303"/>
      <c r="H199" s="303"/>
      <c r="I199" s="303"/>
      <c r="J199" s="303"/>
      <c r="K199" s="303"/>
      <c r="L199" s="303"/>
      <c r="M199" s="303"/>
      <c r="N199" s="303"/>
      <c r="O199" s="303"/>
      <c r="P199" s="303"/>
      <c r="Q199" s="303"/>
      <c r="R199" s="303"/>
      <c r="S199" s="303"/>
      <c r="T199" s="303"/>
      <c r="U199" s="303"/>
      <c r="V199" s="303"/>
      <c r="W199" s="303"/>
      <c r="X199" s="303"/>
      <c r="Y199" s="303"/>
      <c r="Z199" s="303"/>
      <c r="AA199" s="303"/>
      <c r="AB199" s="303"/>
      <c r="AC199" s="303"/>
      <c r="AD199" s="303"/>
      <c r="AE199" s="303"/>
      <c r="AF199" s="303"/>
      <c r="AG199" s="303"/>
      <c r="AH199" s="303"/>
      <c r="AI199" s="303"/>
      <c r="AJ199" s="303"/>
      <c r="AK199" s="303"/>
      <c r="AL199" s="303"/>
      <c r="AM199" s="303"/>
    </row>
    <row r="200" ht="12.0" customHeight="1">
      <c r="A200" s="303"/>
      <c r="B200" s="303"/>
      <c r="C200" s="303"/>
      <c r="D200" s="303"/>
      <c r="E200" s="303"/>
      <c r="F200" s="303"/>
      <c r="G200" s="303"/>
      <c r="H200" s="303"/>
      <c r="I200" s="303"/>
      <c r="J200" s="303"/>
      <c r="K200" s="303"/>
      <c r="L200" s="303"/>
      <c r="M200" s="303"/>
      <c r="N200" s="303"/>
      <c r="O200" s="303"/>
      <c r="P200" s="303"/>
      <c r="Q200" s="303"/>
      <c r="R200" s="303"/>
      <c r="S200" s="303"/>
      <c r="T200" s="303"/>
      <c r="U200" s="303"/>
      <c r="V200" s="303"/>
      <c r="W200" s="303"/>
      <c r="X200" s="303"/>
      <c r="Y200" s="303"/>
      <c r="Z200" s="303"/>
      <c r="AA200" s="303"/>
      <c r="AB200" s="303"/>
      <c r="AC200" s="303"/>
      <c r="AD200" s="303"/>
      <c r="AE200" s="303"/>
      <c r="AF200" s="303"/>
      <c r="AG200" s="303"/>
      <c r="AH200" s="303"/>
      <c r="AI200" s="303"/>
      <c r="AJ200" s="303"/>
      <c r="AK200" s="303"/>
      <c r="AL200" s="303"/>
      <c r="AM200" s="303"/>
    </row>
    <row r="201" ht="12.0" customHeight="1">
      <c r="A201" s="303"/>
      <c r="B201" s="303"/>
      <c r="C201" s="303"/>
      <c r="D201" s="303"/>
      <c r="E201" s="303"/>
      <c r="F201" s="303"/>
      <c r="G201" s="303"/>
      <c r="H201" s="303"/>
      <c r="I201" s="303"/>
      <c r="J201" s="303"/>
      <c r="K201" s="303"/>
      <c r="L201" s="303"/>
      <c r="M201" s="303"/>
      <c r="N201" s="303"/>
      <c r="O201" s="303"/>
      <c r="P201" s="303"/>
      <c r="Q201" s="303"/>
      <c r="R201" s="303"/>
      <c r="S201" s="303"/>
      <c r="T201" s="303"/>
      <c r="U201" s="303"/>
      <c r="V201" s="303"/>
      <c r="W201" s="303"/>
      <c r="X201" s="303"/>
      <c r="Y201" s="303"/>
      <c r="Z201" s="303"/>
      <c r="AA201" s="303"/>
      <c r="AB201" s="303"/>
      <c r="AC201" s="303"/>
      <c r="AD201" s="303"/>
      <c r="AE201" s="303"/>
      <c r="AF201" s="303"/>
      <c r="AG201" s="303"/>
      <c r="AH201" s="303"/>
      <c r="AI201" s="303"/>
      <c r="AJ201" s="303"/>
      <c r="AK201" s="303"/>
      <c r="AL201" s="303"/>
      <c r="AM201" s="303"/>
    </row>
    <row r="202" ht="12.0" customHeight="1">
      <c r="A202" s="303"/>
      <c r="B202" s="303"/>
      <c r="C202" s="303"/>
      <c r="D202" s="303"/>
      <c r="E202" s="303"/>
      <c r="F202" s="303"/>
      <c r="G202" s="303"/>
      <c r="H202" s="303"/>
      <c r="I202" s="303"/>
      <c r="J202" s="303"/>
      <c r="K202" s="303"/>
      <c r="L202" s="303"/>
      <c r="M202" s="303"/>
      <c r="N202" s="303"/>
      <c r="O202" s="303"/>
      <c r="P202" s="303"/>
      <c r="Q202" s="303"/>
      <c r="R202" s="303"/>
      <c r="S202" s="303"/>
      <c r="T202" s="303"/>
      <c r="U202" s="303"/>
      <c r="V202" s="303"/>
      <c r="W202" s="303"/>
      <c r="X202" s="303"/>
      <c r="Y202" s="303"/>
      <c r="Z202" s="303"/>
      <c r="AA202" s="303"/>
      <c r="AB202" s="303"/>
      <c r="AC202" s="303"/>
      <c r="AD202" s="303"/>
      <c r="AE202" s="303"/>
      <c r="AF202" s="303"/>
      <c r="AG202" s="303"/>
      <c r="AH202" s="303"/>
      <c r="AI202" s="303"/>
      <c r="AJ202" s="303"/>
      <c r="AK202" s="303"/>
      <c r="AL202" s="303"/>
      <c r="AM202" s="303"/>
    </row>
    <row r="203" ht="12.0" customHeight="1">
      <c r="A203" s="303"/>
      <c r="B203" s="303"/>
      <c r="C203" s="303"/>
      <c r="D203" s="303"/>
      <c r="E203" s="303"/>
      <c r="F203" s="303"/>
      <c r="G203" s="303"/>
      <c r="H203" s="303"/>
      <c r="I203" s="303"/>
      <c r="J203" s="303"/>
      <c r="K203" s="303"/>
      <c r="L203" s="303"/>
      <c r="M203" s="303"/>
      <c r="N203" s="303"/>
      <c r="O203" s="303"/>
      <c r="P203" s="303"/>
      <c r="Q203" s="303"/>
      <c r="R203" s="303"/>
      <c r="S203" s="303"/>
      <c r="T203" s="303"/>
      <c r="U203" s="303"/>
      <c r="V203" s="303"/>
      <c r="W203" s="303"/>
      <c r="X203" s="303"/>
      <c r="Y203" s="303"/>
      <c r="Z203" s="303"/>
      <c r="AA203" s="303"/>
      <c r="AB203" s="303"/>
      <c r="AC203" s="303"/>
      <c r="AD203" s="303"/>
      <c r="AE203" s="303"/>
      <c r="AF203" s="303"/>
      <c r="AG203" s="303"/>
      <c r="AH203" s="303"/>
      <c r="AI203" s="303"/>
      <c r="AJ203" s="303"/>
      <c r="AK203" s="303"/>
      <c r="AL203" s="303"/>
      <c r="AM203" s="303"/>
    </row>
    <row r="204" ht="12.0" customHeight="1">
      <c r="A204" s="303"/>
      <c r="B204" s="303"/>
      <c r="C204" s="303"/>
      <c r="D204" s="303"/>
      <c r="E204" s="303"/>
      <c r="F204" s="303"/>
      <c r="G204" s="303"/>
      <c r="H204" s="303"/>
      <c r="I204" s="303"/>
      <c r="J204" s="303"/>
      <c r="K204" s="303"/>
      <c r="L204" s="303"/>
      <c r="M204" s="303"/>
      <c r="N204" s="303"/>
      <c r="O204" s="303"/>
      <c r="P204" s="303"/>
      <c r="Q204" s="303"/>
      <c r="R204" s="303"/>
      <c r="S204" s="303"/>
      <c r="T204" s="303"/>
      <c r="U204" s="303"/>
      <c r="V204" s="303"/>
      <c r="W204" s="303"/>
      <c r="X204" s="303"/>
      <c r="Y204" s="303"/>
      <c r="Z204" s="303"/>
      <c r="AA204" s="303"/>
      <c r="AB204" s="303"/>
      <c r="AC204" s="303"/>
      <c r="AD204" s="303"/>
      <c r="AE204" s="303"/>
      <c r="AF204" s="303"/>
      <c r="AG204" s="303"/>
      <c r="AH204" s="303"/>
      <c r="AI204" s="303"/>
      <c r="AJ204" s="303"/>
      <c r="AK204" s="303"/>
      <c r="AL204" s="303"/>
      <c r="AM204" s="303"/>
    </row>
    <row r="205" ht="12.0" customHeight="1">
      <c r="A205" s="303"/>
      <c r="B205" s="303"/>
      <c r="C205" s="303"/>
      <c r="D205" s="303"/>
      <c r="E205" s="303"/>
      <c r="F205" s="303"/>
      <c r="G205" s="303"/>
      <c r="H205" s="303"/>
      <c r="I205" s="303"/>
      <c r="J205" s="303"/>
      <c r="K205" s="303"/>
      <c r="L205" s="303"/>
      <c r="M205" s="303"/>
      <c r="N205" s="303"/>
      <c r="O205" s="303"/>
      <c r="P205" s="303"/>
      <c r="Q205" s="303"/>
      <c r="R205" s="303"/>
      <c r="S205" s="303"/>
      <c r="T205" s="303"/>
      <c r="U205" s="303"/>
      <c r="V205" s="303"/>
      <c r="W205" s="303"/>
      <c r="X205" s="303"/>
      <c r="Y205" s="303"/>
      <c r="Z205" s="303"/>
      <c r="AA205" s="303"/>
      <c r="AB205" s="303"/>
      <c r="AC205" s="303"/>
      <c r="AD205" s="303"/>
      <c r="AE205" s="303"/>
      <c r="AF205" s="303"/>
      <c r="AG205" s="303"/>
      <c r="AH205" s="303"/>
      <c r="AI205" s="303"/>
      <c r="AJ205" s="303"/>
      <c r="AK205" s="303"/>
      <c r="AL205" s="303"/>
      <c r="AM205" s="303"/>
    </row>
    <row r="206" ht="12.0" customHeight="1">
      <c r="A206" s="303"/>
      <c r="B206" s="303"/>
      <c r="C206" s="303"/>
      <c r="D206" s="303"/>
      <c r="E206" s="303"/>
      <c r="F206" s="303"/>
      <c r="G206" s="303"/>
      <c r="H206" s="303"/>
      <c r="I206" s="303"/>
      <c r="J206" s="303"/>
      <c r="K206" s="303"/>
      <c r="L206" s="303"/>
      <c r="M206" s="303"/>
      <c r="N206" s="303"/>
      <c r="O206" s="303"/>
      <c r="P206" s="303"/>
      <c r="Q206" s="303"/>
      <c r="R206" s="303"/>
      <c r="S206" s="303"/>
      <c r="T206" s="303"/>
      <c r="U206" s="303"/>
      <c r="V206" s="303"/>
      <c r="W206" s="303"/>
      <c r="X206" s="303"/>
      <c r="Y206" s="303"/>
      <c r="Z206" s="303"/>
      <c r="AA206" s="303"/>
      <c r="AB206" s="303"/>
      <c r="AC206" s="303"/>
      <c r="AD206" s="303"/>
      <c r="AE206" s="303"/>
      <c r="AF206" s="303"/>
      <c r="AG206" s="303"/>
      <c r="AH206" s="303"/>
      <c r="AI206" s="303"/>
      <c r="AJ206" s="303"/>
      <c r="AK206" s="303"/>
      <c r="AL206" s="303"/>
      <c r="AM206" s="303"/>
    </row>
    <row r="207" ht="12.0" customHeight="1">
      <c r="A207" s="303"/>
      <c r="B207" s="303"/>
      <c r="C207" s="303"/>
      <c r="D207" s="303"/>
      <c r="E207" s="303"/>
      <c r="F207" s="303"/>
      <c r="G207" s="303"/>
      <c r="H207" s="303"/>
      <c r="I207" s="303"/>
      <c r="J207" s="303"/>
      <c r="K207" s="303"/>
      <c r="L207" s="303"/>
      <c r="M207" s="303"/>
      <c r="N207" s="303"/>
      <c r="O207" s="303"/>
      <c r="P207" s="303"/>
      <c r="Q207" s="303"/>
      <c r="R207" s="303"/>
      <c r="S207" s="303"/>
      <c r="T207" s="303"/>
      <c r="U207" s="303"/>
      <c r="V207" s="303"/>
      <c r="W207" s="303"/>
      <c r="X207" s="303"/>
      <c r="Y207" s="303"/>
      <c r="Z207" s="303"/>
      <c r="AA207" s="303"/>
      <c r="AB207" s="303"/>
      <c r="AC207" s="303"/>
      <c r="AD207" s="303"/>
      <c r="AE207" s="303"/>
      <c r="AF207" s="303"/>
      <c r="AG207" s="303"/>
      <c r="AH207" s="303"/>
      <c r="AI207" s="303"/>
      <c r="AJ207" s="303"/>
      <c r="AK207" s="303"/>
      <c r="AL207" s="303"/>
      <c r="AM207" s="303"/>
    </row>
    <row r="208" ht="12.0" customHeight="1">
      <c r="A208" s="303"/>
      <c r="B208" s="303"/>
      <c r="C208" s="303"/>
      <c r="D208" s="303"/>
      <c r="E208" s="303"/>
      <c r="F208" s="303"/>
      <c r="G208" s="303"/>
      <c r="H208" s="303"/>
      <c r="I208" s="303"/>
      <c r="J208" s="303"/>
      <c r="K208" s="303"/>
      <c r="L208" s="303"/>
      <c r="M208" s="303"/>
      <c r="N208" s="303"/>
      <c r="O208" s="303"/>
      <c r="P208" s="303"/>
      <c r="Q208" s="303"/>
      <c r="R208" s="303"/>
      <c r="S208" s="303"/>
      <c r="T208" s="303"/>
      <c r="U208" s="303"/>
      <c r="V208" s="303"/>
      <c r="W208" s="303"/>
      <c r="X208" s="303"/>
      <c r="Y208" s="303"/>
      <c r="Z208" s="303"/>
      <c r="AA208" s="303"/>
      <c r="AB208" s="303"/>
      <c r="AC208" s="303"/>
      <c r="AD208" s="303"/>
      <c r="AE208" s="303"/>
      <c r="AF208" s="303"/>
      <c r="AG208" s="303"/>
      <c r="AH208" s="303"/>
      <c r="AI208" s="303"/>
      <c r="AJ208" s="303"/>
      <c r="AK208" s="303"/>
      <c r="AL208" s="303"/>
      <c r="AM208" s="303"/>
    </row>
    <row r="209" ht="12.0" customHeight="1">
      <c r="A209" s="303"/>
      <c r="B209" s="303"/>
      <c r="C209" s="303"/>
      <c r="D209" s="303"/>
      <c r="E209" s="303"/>
      <c r="F209" s="303"/>
      <c r="G209" s="303"/>
      <c r="H209" s="303"/>
      <c r="I209" s="303"/>
      <c r="J209" s="303"/>
      <c r="K209" s="303"/>
      <c r="L209" s="303"/>
      <c r="M209" s="303"/>
      <c r="N209" s="303"/>
      <c r="O209" s="303"/>
      <c r="P209" s="303"/>
      <c r="Q209" s="303"/>
      <c r="R209" s="303"/>
      <c r="S209" s="303"/>
      <c r="T209" s="303"/>
      <c r="U209" s="303"/>
      <c r="V209" s="303"/>
      <c r="W209" s="303"/>
      <c r="X209" s="303"/>
      <c r="Y209" s="303"/>
      <c r="Z209" s="303"/>
      <c r="AA209" s="303"/>
      <c r="AB209" s="303"/>
      <c r="AC209" s="303"/>
      <c r="AD209" s="303"/>
      <c r="AE209" s="303"/>
      <c r="AF209" s="303"/>
      <c r="AG209" s="303"/>
      <c r="AH209" s="303"/>
      <c r="AI209" s="303"/>
      <c r="AJ209" s="303"/>
      <c r="AK209" s="303"/>
      <c r="AL209" s="303"/>
      <c r="AM209" s="303"/>
    </row>
    <row r="210" ht="12.0" customHeight="1">
      <c r="A210" s="303"/>
      <c r="B210" s="303"/>
      <c r="C210" s="303"/>
      <c r="D210" s="303"/>
      <c r="E210" s="303"/>
      <c r="F210" s="303"/>
      <c r="G210" s="303"/>
      <c r="H210" s="303"/>
      <c r="I210" s="303"/>
      <c r="J210" s="303"/>
      <c r="K210" s="303"/>
      <c r="L210" s="303"/>
      <c r="M210" s="303"/>
      <c r="N210" s="303"/>
      <c r="O210" s="303"/>
      <c r="P210" s="303"/>
      <c r="Q210" s="303"/>
      <c r="R210" s="303"/>
      <c r="S210" s="303"/>
      <c r="T210" s="303"/>
      <c r="U210" s="303"/>
      <c r="V210" s="303"/>
      <c r="W210" s="303"/>
      <c r="X210" s="303"/>
      <c r="Y210" s="303"/>
      <c r="Z210" s="303"/>
      <c r="AA210" s="303"/>
      <c r="AB210" s="303"/>
      <c r="AC210" s="303"/>
      <c r="AD210" s="303"/>
      <c r="AE210" s="303"/>
      <c r="AF210" s="303"/>
      <c r="AG210" s="303"/>
      <c r="AH210" s="303"/>
      <c r="AI210" s="303"/>
      <c r="AJ210" s="303"/>
      <c r="AK210" s="303"/>
      <c r="AL210" s="303"/>
      <c r="AM210" s="303"/>
    </row>
    <row r="211" ht="12.0" customHeight="1">
      <c r="A211" s="303"/>
      <c r="B211" s="303"/>
      <c r="C211" s="303"/>
      <c r="D211" s="303"/>
      <c r="E211" s="303"/>
      <c r="F211" s="303"/>
      <c r="G211" s="303"/>
      <c r="H211" s="303"/>
      <c r="I211" s="303"/>
      <c r="J211" s="303"/>
      <c r="K211" s="303"/>
      <c r="L211" s="303"/>
      <c r="M211" s="303"/>
      <c r="N211" s="303"/>
      <c r="O211" s="303"/>
      <c r="P211" s="303"/>
      <c r="Q211" s="303"/>
      <c r="R211" s="303"/>
      <c r="S211" s="303"/>
      <c r="T211" s="303"/>
      <c r="U211" s="303"/>
      <c r="V211" s="303"/>
      <c r="W211" s="303"/>
      <c r="X211" s="303"/>
      <c r="Y211" s="303"/>
      <c r="Z211" s="303"/>
      <c r="AA211" s="303"/>
      <c r="AB211" s="303"/>
      <c r="AC211" s="303"/>
      <c r="AD211" s="303"/>
      <c r="AE211" s="303"/>
      <c r="AF211" s="303"/>
      <c r="AG211" s="303"/>
      <c r="AH211" s="303"/>
      <c r="AI211" s="303"/>
      <c r="AJ211" s="303"/>
      <c r="AK211" s="303"/>
      <c r="AL211" s="303"/>
      <c r="AM211" s="303"/>
    </row>
    <row r="212" ht="12.0" customHeight="1">
      <c r="A212" s="303"/>
      <c r="B212" s="303"/>
      <c r="C212" s="303"/>
      <c r="D212" s="303"/>
      <c r="E212" s="303"/>
      <c r="F212" s="303"/>
      <c r="G212" s="303"/>
      <c r="H212" s="303"/>
      <c r="I212" s="303"/>
      <c r="J212" s="303"/>
      <c r="K212" s="303"/>
      <c r="L212" s="303"/>
      <c r="M212" s="303"/>
      <c r="N212" s="303"/>
      <c r="O212" s="303"/>
      <c r="P212" s="303"/>
      <c r="Q212" s="303"/>
      <c r="R212" s="303"/>
      <c r="S212" s="303"/>
      <c r="T212" s="303"/>
      <c r="U212" s="303"/>
      <c r="V212" s="303"/>
      <c r="W212" s="303"/>
      <c r="X212" s="303"/>
      <c r="Y212" s="303"/>
      <c r="Z212" s="303"/>
      <c r="AA212" s="303"/>
      <c r="AB212" s="303"/>
      <c r="AC212" s="303"/>
      <c r="AD212" s="303"/>
      <c r="AE212" s="303"/>
      <c r="AF212" s="303"/>
      <c r="AG212" s="303"/>
      <c r="AH212" s="303"/>
      <c r="AI212" s="303"/>
      <c r="AJ212" s="303"/>
      <c r="AK212" s="303"/>
      <c r="AL212" s="303"/>
      <c r="AM212" s="303"/>
    </row>
    <row r="213" ht="12.0" customHeight="1">
      <c r="A213" s="303"/>
      <c r="B213" s="303"/>
      <c r="C213" s="303"/>
      <c r="D213" s="303"/>
      <c r="E213" s="303"/>
      <c r="F213" s="303"/>
      <c r="G213" s="303"/>
      <c r="H213" s="303"/>
      <c r="I213" s="303"/>
      <c r="J213" s="303"/>
      <c r="K213" s="303"/>
      <c r="L213" s="303"/>
      <c r="M213" s="303"/>
      <c r="N213" s="303"/>
      <c r="O213" s="303"/>
      <c r="P213" s="303"/>
      <c r="Q213" s="303"/>
      <c r="R213" s="303"/>
      <c r="S213" s="303"/>
      <c r="T213" s="303"/>
      <c r="U213" s="303"/>
      <c r="V213" s="303"/>
      <c r="W213" s="303"/>
      <c r="X213" s="303"/>
      <c r="Y213" s="303"/>
      <c r="Z213" s="303"/>
      <c r="AA213" s="303"/>
      <c r="AB213" s="303"/>
      <c r="AC213" s="303"/>
      <c r="AD213" s="303"/>
      <c r="AE213" s="303"/>
      <c r="AF213" s="303"/>
      <c r="AG213" s="303"/>
      <c r="AH213" s="303"/>
      <c r="AI213" s="303"/>
      <c r="AJ213" s="303"/>
      <c r="AK213" s="303"/>
      <c r="AL213" s="303"/>
      <c r="AM213" s="303"/>
    </row>
    <row r="214" ht="12.0" customHeight="1">
      <c r="A214" s="303"/>
      <c r="B214" s="303"/>
      <c r="C214" s="303"/>
      <c r="D214" s="303"/>
      <c r="E214" s="303"/>
      <c r="F214" s="303"/>
      <c r="G214" s="303"/>
      <c r="H214" s="303"/>
      <c r="I214" s="303"/>
      <c r="J214" s="303"/>
      <c r="K214" s="303"/>
      <c r="L214" s="303"/>
      <c r="M214" s="303"/>
      <c r="N214" s="303"/>
      <c r="O214" s="303"/>
      <c r="P214" s="303"/>
      <c r="Q214" s="303"/>
      <c r="R214" s="303"/>
      <c r="S214" s="303"/>
      <c r="T214" s="303"/>
      <c r="U214" s="303"/>
      <c r="V214" s="303"/>
      <c r="W214" s="303"/>
      <c r="X214" s="303"/>
      <c r="Y214" s="303"/>
      <c r="Z214" s="303"/>
      <c r="AA214" s="303"/>
      <c r="AB214" s="303"/>
      <c r="AC214" s="303"/>
      <c r="AD214" s="303"/>
      <c r="AE214" s="303"/>
      <c r="AF214" s="303"/>
      <c r="AG214" s="303"/>
      <c r="AH214" s="303"/>
      <c r="AI214" s="303"/>
      <c r="AJ214" s="303"/>
      <c r="AK214" s="303"/>
      <c r="AL214" s="303"/>
      <c r="AM214" s="303"/>
    </row>
    <row r="215" ht="12.0" customHeight="1">
      <c r="A215" s="303"/>
      <c r="B215" s="303"/>
      <c r="C215" s="303"/>
      <c r="D215" s="303"/>
      <c r="E215" s="303"/>
      <c r="F215" s="303"/>
      <c r="G215" s="303"/>
      <c r="H215" s="303"/>
      <c r="I215" s="303"/>
      <c r="J215" s="303"/>
      <c r="K215" s="303"/>
      <c r="L215" s="303"/>
      <c r="M215" s="303"/>
      <c r="N215" s="303"/>
      <c r="O215" s="303"/>
      <c r="P215" s="303"/>
      <c r="Q215" s="303"/>
      <c r="R215" s="303"/>
      <c r="S215" s="303"/>
      <c r="T215" s="303"/>
      <c r="U215" s="303"/>
      <c r="V215" s="303"/>
      <c r="W215" s="303"/>
      <c r="X215" s="303"/>
      <c r="Y215" s="303"/>
      <c r="Z215" s="303"/>
      <c r="AA215" s="303"/>
      <c r="AB215" s="303"/>
      <c r="AC215" s="303"/>
      <c r="AD215" s="303"/>
      <c r="AE215" s="303"/>
      <c r="AF215" s="303"/>
      <c r="AG215" s="303"/>
      <c r="AH215" s="303"/>
      <c r="AI215" s="303"/>
      <c r="AJ215" s="303"/>
      <c r="AK215" s="303"/>
      <c r="AL215" s="303"/>
      <c r="AM215" s="303"/>
    </row>
    <row r="216" ht="12.0" customHeight="1">
      <c r="A216" s="303"/>
      <c r="B216" s="303"/>
      <c r="C216" s="303"/>
      <c r="D216" s="303"/>
      <c r="E216" s="303"/>
      <c r="F216" s="303"/>
      <c r="G216" s="303"/>
      <c r="H216" s="303"/>
      <c r="I216" s="303"/>
      <c r="J216" s="303"/>
      <c r="K216" s="303"/>
      <c r="L216" s="303"/>
      <c r="M216" s="303"/>
      <c r="N216" s="303"/>
      <c r="O216" s="303"/>
      <c r="P216" s="303"/>
      <c r="Q216" s="303"/>
      <c r="R216" s="303"/>
      <c r="S216" s="303"/>
      <c r="T216" s="303"/>
      <c r="U216" s="303"/>
      <c r="V216" s="303"/>
      <c r="W216" s="303"/>
      <c r="X216" s="303"/>
      <c r="Y216" s="303"/>
      <c r="Z216" s="303"/>
      <c r="AA216" s="303"/>
      <c r="AB216" s="303"/>
      <c r="AC216" s="303"/>
      <c r="AD216" s="303"/>
      <c r="AE216" s="303"/>
      <c r="AF216" s="303"/>
      <c r="AG216" s="303"/>
      <c r="AH216" s="303"/>
      <c r="AI216" s="303"/>
      <c r="AJ216" s="303"/>
      <c r="AK216" s="303"/>
      <c r="AL216" s="303"/>
      <c r="AM216" s="303"/>
    </row>
    <row r="217" ht="12.0" customHeight="1">
      <c r="A217" s="303"/>
      <c r="B217" s="303"/>
      <c r="C217" s="303"/>
      <c r="D217" s="303"/>
      <c r="E217" s="303"/>
      <c r="F217" s="303"/>
      <c r="G217" s="303"/>
      <c r="H217" s="303"/>
      <c r="I217" s="303"/>
      <c r="J217" s="303"/>
      <c r="K217" s="303"/>
      <c r="L217" s="303"/>
      <c r="M217" s="303"/>
      <c r="N217" s="303"/>
      <c r="O217" s="303"/>
      <c r="P217" s="303"/>
      <c r="Q217" s="303"/>
      <c r="R217" s="303"/>
      <c r="S217" s="303"/>
      <c r="T217" s="303"/>
      <c r="U217" s="303"/>
      <c r="V217" s="303"/>
      <c r="W217" s="303"/>
      <c r="X217" s="303"/>
      <c r="Y217" s="303"/>
      <c r="Z217" s="303"/>
      <c r="AA217" s="303"/>
      <c r="AB217" s="303"/>
      <c r="AC217" s="303"/>
      <c r="AD217" s="303"/>
      <c r="AE217" s="303"/>
      <c r="AF217" s="303"/>
      <c r="AG217" s="303"/>
      <c r="AH217" s="303"/>
      <c r="AI217" s="303"/>
      <c r="AJ217" s="303"/>
      <c r="AK217" s="303"/>
      <c r="AL217" s="303"/>
      <c r="AM217" s="303"/>
    </row>
    <row r="218" ht="12.0" customHeight="1">
      <c r="A218" s="303"/>
      <c r="B218" s="303"/>
      <c r="C218" s="303"/>
      <c r="D218" s="303"/>
      <c r="E218" s="303"/>
      <c r="F218" s="303"/>
      <c r="G218" s="303"/>
      <c r="H218" s="303"/>
      <c r="I218" s="303"/>
      <c r="J218" s="303"/>
      <c r="K218" s="303"/>
      <c r="L218" s="303"/>
      <c r="M218" s="303"/>
      <c r="N218" s="303"/>
      <c r="O218" s="303"/>
      <c r="P218" s="303"/>
      <c r="Q218" s="303"/>
      <c r="R218" s="303"/>
      <c r="S218" s="303"/>
      <c r="T218" s="303"/>
      <c r="U218" s="303"/>
      <c r="V218" s="303"/>
      <c r="W218" s="303"/>
      <c r="X218" s="303"/>
      <c r="Y218" s="303"/>
      <c r="Z218" s="303"/>
      <c r="AA218" s="303"/>
      <c r="AB218" s="303"/>
      <c r="AC218" s="303"/>
      <c r="AD218" s="303"/>
      <c r="AE218" s="303"/>
      <c r="AF218" s="303"/>
      <c r="AG218" s="303"/>
      <c r="AH218" s="303"/>
      <c r="AI218" s="303"/>
      <c r="AJ218" s="303"/>
      <c r="AK218" s="303"/>
      <c r="AL218" s="303"/>
      <c r="AM218" s="303"/>
    </row>
    <row r="219" ht="12.0" customHeight="1">
      <c r="A219" s="303"/>
      <c r="B219" s="303"/>
      <c r="C219" s="303"/>
      <c r="D219" s="303"/>
      <c r="E219" s="303"/>
      <c r="F219" s="303"/>
      <c r="G219" s="303"/>
      <c r="H219" s="303"/>
      <c r="I219" s="303"/>
      <c r="J219" s="303"/>
      <c r="K219" s="303"/>
      <c r="L219" s="303"/>
      <c r="M219" s="303"/>
      <c r="N219" s="303"/>
      <c r="O219" s="303"/>
      <c r="P219" s="303"/>
      <c r="Q219" s="303"/>
      <c r="R219" s="303"/>
      <c r="S219" s="303"/>
      <c r="T219" s="303"/>
      <c r="U219" s="303"/>
      <c r="V219" s="303"/>
      <c r="W219" s="303"/>
      <c r="X219" s="303"/>
      <c r="Y219" s="303"/>
      <c r="Z219" s="303"/>
      <c r="AA219" s="303"/>
      <c r="AB219" s="303"/>
      <c r="AC219" s="303"/>
      <c r="AD219" s="303"/>
      <c r="AE219" s="303"/>
      <c r="AF219" s="303"/>
      <c r="AG219" s="303"/>
      <c r="AH219" s="303"/>
      <c r="AI219" s="303"/>
      <c r="AJ219" s="303"/>
      <c r="AK219" s="303"/>
      <c r="AL219" s="303"/>
      <c r="AM219" s="303"/>
    </row>
    <row r="220" ht="12.0" customHeight="1">
      <c r="A220" s="303"/>
      <c r="B220" s="303"/>
      <c r="C220" s="303"/>
      <c r="D220" s="303"/>
      <c r="E220" s="303"/>
      <c r="F220" s="303"/>
      <c r="G220" s="303"/>
      <c r="H220" s="303"/>
      <c r="I220" s="303"/>
      <c r="J220" s="303"/>
      <c r="K220" s="303"/>
      <c r="L220" s="303"/>
      <c r="M220" s="303"/>
      <c r="N220" s="303"/>
      <c r="O220" s="303"/>
      <c r="P220" s="303"/>
      <c r="Q220" s="303"/>
      <c r="R220" s="303"/>
      <c r="S220" s="303"/>
      <c r="T220" s="303"/>
      <c r="U220" s="303"/>
      <c r="V220" s="303"/>
      <c r="W220" s="303"/>
      <c r="X220" s="303"/>
      <c r="Y220" s="303"/>
      <c r="Z220" s="303"/>
      <c r="AA220" s="303"/>
      <c r="AB220" s="303"/>
      <c r="AC220" s="303"/>
      <c r="AD220" s="303"/>
      <c r="AE220" s="303"/>
      <c r="AF220" s="303"/>
      <c r="AG220" s="303"/>
      <c r="AH220" s="303"/>
      <c r="AI220" s="303"/>
      <c r="AJ220" s="303"/>
      <c r="AK220" s="303"/>
      <c r="AL220" s="303"/>
      <c r="AM220" s="30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63"/>
    <col customWidth="1" min="2" max="2" width="11.5"/>
    <col customWidth="1" min="3" max="3" width="15.0"/>
    <col customWidth="1" min="4" max="4" width="5.0"/>
    <col customWidth="1" min="5" max="5" width="16.13"/>
    <col customWidth="1" min="6" max="20" width="11.5"/>
    <col customWidth="1" min="22" max="26" width="10.63"/>
  </cols>
  <sheetData>
    <row r="1" ht="14.25" customHeight="1">
      <c r="A1" s="993" t="s">
        <v>1822</v>
      </c>
      <c r="B1" s="277"/>
      <c r="C1" s="277"/>
      <c r="D1" s="277"/>
      <c r="E1" s="278"/>
      <c r="F1" s="7"/>
      <c r="G1" s="7"/>
      <c r="H1" s="7"/>
      <c r="I1" s="7"/>
      <c r="J1" s="7"/>
      <c r="K1" s="7"/>
      <c r="L1" s="7"/>
      <c r="M1" s="7"/>
      <c r="N1" s="7"/>
      <c r="O1" s="7"/>
      <c r="P1" s="7"/>
      <c r="Q1" s="7"/>
      <c r="R1" s="7"/>
      <c r="S1" s="7"/>
      <c r="T1" s="7"/>
      <c r="U1" s="7"/>
      <c r="V1" s="7"/>
      <c r="W1" s="7"/>
      <c r="X1" s="7"/>
      <c r="Y1" s="7"/>
      <c r="Z1" s="7"/>
    </row>
    <row r="2" ht="14.25" customHeight="1">
      <c r="A2" s="994" t="s">
        <v>1570</v>
      </c>
      <c r="B2" s="994" t="s">
        <v>1520</v>
      </c>
      <c r="C2" s="994" t="s">
        <v>1823</v>
      </c>
      <c r="D2" s="994" t="s">
        <v>247</v>
      </c>
      <c r="E2" s="994" t="s">
        <v>1824</v>
      </c>
      <c r="F2" s="642">
        <v>45957.0</v>
      </c>
      <c r="G2" s="642">
        <v>45987.0</v>
      </c>
      <c r="H2" s="642">
        <v>46017.0</v>
      </c>
      <c r="I2" s="642">
        <v>46023.0</v>
      </c>
      <c r="J2" s="642">
        <v>46054.0</v>
      </c>
      <c r="K2" s="642">
        <v>46112.0</v>
      </c>
      <c r="L2" s="642">
        <v>46142.0</v>
      </c>
      <c r="M2" s="642">
        <v>46172.0</v>
      </c>
      <c r="N2" s="642">
        <v>46202.0</v>
      </c>
      <c r="O2" s="642">
        <v>46232.0</v>
      </c>
      <c r="P2" s="642">
        <v>46262.0</v>
      </c>
      <c r="Q2" s="642">
        <v>46292.0</v>
      </c>
      <c r="R2" s="642">
        <v>46322.0</v>
      </c>
      <c r="S2" s="643">
        <v>46352.0</v>
      </c>
      <c r="T2" s="642">
        <v>46382.0</v>
      </c>
      <c r="U2" s="7"/>
      <c r="V2" s="7"/>
      <c r="W2" s="7"/>
      <c r="X2" s="7"/>
      <c r="Y2" s="7"/>
      <c r="Z2" s="7"/>
    </row>
    <row r="3" ht="14.25" customHeight="1">
      <c r="A3" s="593" t="s">
        <v>1640</v>
      </c>
      <c r="B3" s="596">
        <v>1.0</v>
      </c>
      <c r="C3" s="995">
        <v>3.3394172824E8</v>
      </c>
      <c r="D3" s="596">
        <v>0.35</v>
      </c>
      <c r="E3" s="996">
        <f>C3*D3%</f>
        <v>1168796.049</v>
      </c>
      <c r="F3" s="716">
        <f t="shared" ref="F3:H3" si="1">+E3</f>
        <v>1168796.049</v>
      </c>
      <c r="G3" s="716">
        <f t="shared" si="1"/>
        <v>1168796.049</v>
      </c>
      <c r="H3" s="716">
        <f t="shared" si="1"/>
        <v>1168796.049</v>
      </c>
      <c r="I3" s="716">
        <f>+H3*(I4)</f>
        <v>1243983.764</v>
      </c>
      <c r="J3" s="716">
        <f t="shared" ref="J3:K3" si="2">+I3</f>
        <v>1243983.764</v>
      </c>
      <c r="K3" s="716">
        <f t="shared" si="2"/>
        <v>1243983.764</v>
      </c>
      <c r="L3" s="716">
        <f>+K3*(L4)</f>
        <v>1300806.92</v>
      </c>
      <c r="M3" s="716">
        <f t="shared" ref="M3:N3" si="3">+L3</f>
        <v>1300806.92</v>
      </c>
      <c r="N3" s="716">
        <f t="shared" si="3"/>
        <v>1300806.92</v>
      </c>
      <c r="O3" s="716">
        <f>+N3*(O4)</f>
        <v>1360225.667</v>
      </c>
      <c r="P3" s="716">
        <f t="shared" ref="P3:Q3" si="4">+O3</f>
        <v>1360225.667</v>
      </c>
      <c r="Q3" s="716">
        <f t="shared" si="4"/>
        <v>1360225.667</v>
      </c>
      <c r="R3" s="716">
        <f>+Q3*(R4)</f>
        <v>1422358.565</v>
      </c>
      <c r="S3" s="716">
        <f t="shared" ref="S3:T3" si="5">+R3</f>
        <v>1422358.565</v>
      </c>
      <c r="T3" s="716">
        <f t="shared" si="5"/>
        <v>1422358.565</v>
      </c>
      <c r="U3" s="672">
        <f>SUM(I3:T3)</f>
        <v>15982124.75</v>
      </c>
      <c r="V3" s="7"/>
      <c r="W3" s="7"/>
      <c r="X3" s="7"/>
      <c r="Y3" s="7"/>
      <c r="Z3" s="7"/>
    </row>
    <row r="4" ht="21.0" customHeight="1">
      <c r="A4" s="7"/>
      <c r="B4" s="7"/>
      <c r="C4" s="7"/>
      <c r="D4" s="7"/>
      <c r="E4" s="7"/>
      <c r="F4" s="7"/>
      <c r="G4" s="53"/>
      <c r="H4" s="53"/>
      <c r="I4" s="605">
        <f>1*(1+F5)*(1+G5)*(1+H5)</f>
        <v>1.0643292</v>
      </c>
      <c r="J4" s="7"/>
      <c r="K4" s="7"/>
      <c r="L4" s="605">
        <f>1*(1+I5)*(1+J5)*(1+K5)</f>
        <v>1.045678375</v>
      </c>
      <c r="M4" s="7"/>
      <c r="N4" s="7"/>
      <c r="O4" s="605">
        <f>1*(1+L5)*(1+M5)*(1+N5)</f>
        <v>1.045678375</v>
      </c>
      <c r="P4" s="7"/>
      <c r="Q4" s="7"/>
      <c r="R4" s="605">
        <f>1*(1+O5)*(1+P5)*(1+Q5)</f>
        <v>1.045678375</v>
      </c>
      <c r="S4" s="7"/>
      <c r="T4" s="7"/>
      <c r="U4" s="7"/>
      <c r="V4" s="7"/>
      <c r="W4" s="7"/>
      <c r="X4" s="7"/>
      <c r="Y4" s="7"/>
      <c r="Z4" s="7"/>
    </row>
    <row r="5" ht="14.25" customHeight="1">
      <c r="A5" s="7"/>
      <c r="B5" s="393"/>
      <c r="C5" s="997"/>
      <c r="D5" s="997"/>
      <c r="E5" s="997" t="s">
        <v>1825</v>
      </c>
      <c r="F5" s="998">
        <v>0.023</v>
      </c>
      <c r="G5" s="998">
        <v>0.02</v>
      </c>
      <c r="H5" s="998">
        <v>0.02</v>
      </c>
      <c r="I5" s="998">
        <v>0.015</v>
      </c>
      <c r="J5" s="998">
        <f t="shared" ref="J5:T5" si="6">+I5</f>
        <v>0.015</v>
      </c>
      <c r="K5" s="998">
        <f t="shared" si="6"/>
        <v>0.015</v>
      </c>
      <c r="L5" s="998">
        <f t="shared" si="6"/>
        <v>0.015</v>
      </c>
      <c r="M5" s="998">
        <f t="shared" si="6"/>
        <v>0.015</v>
      </c>
      <c r="N5" s="998">
        <f t="shared" si="6"/>
        <v>0.015</v>
      </c>
      <c r="O5" s="998">
        <f t="shared" si="6"/>
        <v>0.015</v>
      </c>
      <c r="P5" s="998">
        <f t="shared" si="6"/>
        <v>0.015</v>
      </c>
      <c r="Q5" s="998">
        <f t="shared" si="6"/>
        <v>0.015</v>
      </c>
      <c r="R5" s="998">
        <f t="shared" si="6"/>
        <v>0.015</v>
      </c>
      <c r="S5" s="998">
        <f t="shared" si="6"/>
        <v>0.015</v>
      </c>
      <c r="T5" s="998">
        <f t="shared" si="6"/>
        <v>0.015</v>
      </c>
      <c r="U5" s="7"/>
      <c r="V5" s="7"/>
      <c r="W5" s="7"/>
      <c r="X5" s="7"/>
      <c r="Y5" s="7"/>
      <c r="Z5" s="7"/>
    </row>
    <row r="6" ht="14.25" customHeight="1">
      <c r="A6" s="7"/>
      <c r="B6" s="999" t="s">
        <v>1826</v>
      </c>
      <c r="C6" s="393"/>
      <c r="D6" s="393"/>
      <c r="E6" s="393"/>
      <c r="F6" s="7"/>
      <c r="G6" s="7"/>
      <c r="H6" s="7"/>
      <c r="I6" s="7"/>
      <c r="J6" s="7"/>
      <c r="K6" s="7"/>
      <c r="L6" s="7"/>
      <c r="M6" s="7"/>
      <c r="N6" s="7"/>
      <c r="O6" s="7"/>
      <c r="P6" s="7"/>
      <c r="Q6" s="7"/>
      <c r="R6" s="7"/>
      <c r="S6" s="7"/>
      <c r="T6" s="7"/>
      <c r="U6" s="7"/>
      <c r="V6" s="7"/>
      <c r="W6" s="7"/>
      <c r="X6" s="7"/>
      <c r="Y6" s="7"/>
      <c r="Z6" s="7"/>
    </row>
    <row r="7" ht="14.25" customHeight="1">
      <c r="A7" s="7"/>
      <c r="B7" s="7"/>
      <c r="C7" s="7"/>
      <c r="D7" s="7"/>
      <c r="E7" s="7"/>
      <c r="F7" s="7"/>
      <c r="G7" s="7"/>
      <c r="H7" s="7"/>
      <c r="I7" s="7"/>
      <c r="J7" s="7"/>
      <c r="K7" s="7"/>
      <c r="L7" s="7"/>
      <c r="M7" s="7"/>
      <c r="N7" s="7"/>
      <c r="O7" s="7"/>
      <c r="P7" s="7"/>
      <c r="Q7" s="7"/>
      <c r="R7" s="7"/>
      <c r="S7" s="7"/>
      <c r="T7" s="7"/>
      <c r="U7" s="7"/>
      <c r="V7" s="7"/>
      <c r="W7" s="7"/>
      <c r="X7" s="7"/>
      <c r="Y7" s="7"/>
      <c r="Z7" s="7"/>
    </row>
    <row r="8" ht="14.25" customHeight="1">
      <c r="A8" s="7"/>
      <c r="B8" s="7"/>
      <c r="C8" s="7" t="s">
        <v>1827</v>
      </c>
      <c r="D8" s="7"/>
      <c r="E8" s="7"/>
      <c r="F8" s="7"/>
      <c r="G8" s="7"/>
      <c r="H8" s="7"/>
      <c r="I8" s="7"/>
      <c r="J8" s="7"/>
      <c r="K8" s="7"/>
      <c r="L8" s="7"/>
      <c r="M8" s="7"/>
      <c r="N8" s="7"/>
      <c r="O8" s="7"/>
      <c r="P8" s="7"/>
      <c r="Q8" s="7"/>
      <c r="R8" s="7"/>
      <c r="S8" s="7"/>
      <c r="T8" s="7"/>
      <c r="U8" s="7"/>
      <c r="V8" s="7"/>
      <c r="W8" s="7"/>
      <c r="X8" s="7"/>
      <c r="Y8" s="7"/>
      <c r="Z8" s="7"/>
    </row>
    <row r="9" ht="14.25" customHeight="1">
      <c r="A9" s="7"/>
      <c r="B9" s="7"/>
      <c r="C9" s="7"/>
      <c r="D9" s="7"/>
      <c r="E9" s="7"/>
      <c r="F9" s="7"/>
      <c r="G9" s="7"/>
      <c r="H9" s="7"/>
      <c r="I9" s="7"/>
      <c r="J9" s="7"/>
      <c r="K9" s="7"/>
      <c r="L9" s="7"/>
      <c r="M9" s="7"/>
      <c r="N9" s="7"/>
      <c r="O9" s="7"/>
      <c r="P9" s="7"/>
      <c r="Q9" s="7"/>
      <c r="R9" s="7"/>
      <c r="S9" s="7"/>
      <c r="T9" s="7"/>
      <c r="U9" s="7"/>
      <c r="V9" s="7"/>
      <c r="W9" s="7"/>
      <c r="X9" s="7"/>
      <c r="Y9" s="7"/>
      <c r="Z9" s="7"/>
    </row>
    <row r="10" ht="14.25" customHeight="1">
      <c r="A10" s="7"/>
      <c r="B10" s="7" t="s">
        <v>1828</v>
      </c>
      <c r="C10" s="7"/>
      <c r="D10" s="7"/>
      <c r="E10" s="273" t="s">
        <v>1829</v>
      </c>
      <c r="F10" s="163">
        <v>1194509.56191448</v>
      </c>
      <c r="G10" s="163">
        <v>1218399.75315277</v>
      </c>
      <c r="H10" s="163">
        <v>1242767.748215825</v>
      </c>
      <c r="I10" s="163">
        <v>1261409.264439062</v>
      </c>
      <c r="J10" s="163">
        <v>1280330.403405648</v>
      </c>
      <c r="K10" s="163">
        <v>1299535.359456732</v>
      </c>
      <c r="L10" s="163">
        <v>1319028.389848583</v>
      </c>
      <c r="M10" s="163">
        <v>1338813.815696312</v>
      </c>
      <c r="N10" s="163">
        <v>1358896.022931757</v>
      </c>
      <c r="O10" s="163">
        <v>1379279.463275733</v>
      </c>
      <c r="P10" s="163">
        <v>1399968.655224869</v>
      </c>
      <c r="Q10" s="163">
        <v>1420968.185053242</v>
      </c>
      <c r="R10" s="163">
        <v>1442282.70782904</v>
      </c>
      <c r="S10" s="163">
        <v>1463916.948446476</v>
      </c>
      <c r="T10" s="163">
        <v>1485875.702673173</v>
      </c>
      <c r="U10" s="672">
        <f>SUM(I10:T10)</f>
        <v>16450304.92</v>
      </c>
      <c r="V10" s="7"/>
      <c r="W10" s="7"/>
      <c r="X10" s="7"/>
      <c r="Y10" s="7"/>
      <c r="Z10" s="7"/>
    </row>
    <row r="11" ht="14.25" customHeight="1">
      <c r="A11" s="7"/>
      <c r="B11" s="7"/>
      <c r="C11" s="7"/>
      <c r="D11" s="7"/>
      <c r="E11" s="7"/>
      <c r="F11" s="7"/>
      <c r="G11" s="7"/>
      <c r="H11" s="7"/>
      <c r="I11" s="7"/>
      <c r="J11" s="7"/>
      <c r="K11" s="7"/>
      <c r="L11" s="7"/>
      <c r="M11" s="7"/>
      <c r="N11" s="7"/>
      <c r="O11" s="7"/>
      <c r="P11" s="7"/>
      <c r="Q11" s="7"/>
      <c r="R11" s="7"/>
      <c r="S11" s="7"/>
      <c r="T11" s="7"/>
      <c r="U11" s="7"/>
      <c r="V11" s="7"/>
      <c r="W11" s="7"/>
      <c r="X11" s="7"/>
      <c r="Y11" s="7"/>
      <c r="Z11" s="7"/>
    </row>
    <row r="12" ht="14.2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ht="14.25"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ht="14.2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ht="14.2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4.2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ht="14.2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14.2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14.2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14.2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4.2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4.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4.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4.2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4.2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4.2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4.2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4.2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4.2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4.2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4.2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4.2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4.2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4.2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4.2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4.2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4.2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4.2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4.2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4.2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4.2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4.2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4.2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4.2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4.2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4.2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4.2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4.2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4.2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4.2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4.2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4.2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4.2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4.2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4.2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4.2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4.2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4.2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4.2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4.2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4.2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4.2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4.2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4.2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4.2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4.2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4.2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4.2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4.2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4.2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4.2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4.2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4.2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4.2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4.2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4.2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4.2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4.2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4.2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4.2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4.2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4.2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5"/>
    <col customWidth="1" min="2" max="2" width="21.38"/>
    <col customWidth="1" min="3" max="3" width="12.5"/>
    <col customWidth="1" min="4" max="4" width="10.88"/>
    <col customWidth="1" min="5" max="5" width="11.5"/>
    <col customWidth="1" min="6" max="6" width="7.75"/>
    <col customWidth="1" min="7" max="7" width="14.38"/>
    <col customWidth="1" min="8" max="22" width="7.5"/>
    <col customWidth="1" min="23" max="23" width="8.88"/>
    <col customWidth="1" min="24" max="26" width="10.63"/>
  </cols>
  <sheetData>
    <row r="1" ht="12.75" customHeight="1">
      <c r="A1" s="1000" t="s">
        <v>1830</v>
      </c>
      <c r="B1" s="277"/>
      <c r="C1" s="277"/>
      <c r="D1" s="277"/>
      <c r="E1" s="277"/>
      <c r="F1" s="277"/>
      <c r="G1" s="278"/>
      <c r="H1" s="393"/>
      <c r="I1" s="393"/>
      <c r="J1" s="393"/>
      <c r="K1" s="393"/>
      <c r="L1" s="393"/>
      <c r="M1" s="393"/>
      <c r="N1" s="393"/>
      <c r="O1" s="393"/>
      <c r="P1" s="393"/>
      <c r="Q1" s="393"/>
      <c r="R1" s="393"/>
      <c r="S1" s="393"/>
      <c r="T1" s="393"/>
      <c r="U1" s="393"/>
      <c r="V1" s="393"/>
      <c r="W1" s="393"/>
      <c r="X1" s="393"/>
      <c r="Y1" s="393"/>
      <c r="Z1" s="393"/>
    </row>
    <row r="2" ht="12.75" customHeight="1">
      <c r="A2" s="606" t="s">
        <v>1649</v>
      </c>
      <c r="B2" s="606" t="s">
        <v>1650</v>
      </c>
      <c r="C2" s="607" t="s">
        <v>1691</v>
      </c>
      <c r="D2" s="277"/>
      <c r="E2" s="277"/>
      <c r="F2" s="277"/>
      <c r="G2" s="278"/>
      <c r="H2" s="393"/>
      <c r="I2" s="393"/>
      <c r="J2" s="393"/>
      <c r="K2" s="393"/>
      <c r="L2" s="393"/>
      <c r="M2" s="393"/>
      <c r="N2" s="393"/>
      <c r="O2" s="393"/>
      <c r="P2" s="393"/>
      <c r="Q2" s="393"/>
      <c r="R2" s="393"/>
      <c r="S2" s="393"/>
      <c r="T2" s="393"/>
      <c r="U2" s="393"/>
      <c r="V2" s="393"/>
      <c r="W2" s="393"/>
      <c r="X2" s="393"/>
      <c r="Y2" s="393"/>
      <c r="Z2" s="393"/>
    </row>
    <row r="3" ht="12.75" customHeight="1">
      <c r="A3" s="612"/>
      <c r="B3" s="612"/>
      <c r="C3" s="613">
        <v>45901.0</v>
      </c>
      <c r="D3" s="277"/>
      <c r="E3" s="277"/>
      <c r="F3" s="277"/>
      <c r="G3" s="278"/>
      <c r="H3" s="393"/>
      <c r="I3" s="393"/>
      <c r="J3" s="393"/>
      <c r="K3" s="393"/>
      <c r="L3" s="393"/>
      <c r="M3" s="393"/>
      <c r="N3" s="393"/>
      <c r="O3" s="393"/>
      <c r="P3" s="393"/>
      <c r="Q3" s="393"/>
      <c r="R3" s="393"/>
      <c r="S3" s="393"/>
      <c r="T3" s="393"/>
      <c r="U3" s="393"/>
      <c r="V3" s="393"/>
      <c r="W3" s="393"/>
      <c r="X3" s="393"/>
      <c r="Y3" s="393"/>
      <c r="Z3" s="393"/>
    </row>
    <row r="4" ht="27.0" customHeight="1">
      <c r="A4" s="617"/>
      <c r="B4" s="617"/>
      <c r="C4" s="618" t="s">
        <v>1659</v>
      </c>
      <c r="D4" s="619" t="s">
        <v>1660</v>
      </c>
      <c r="E4" s="619" t="s">
        <v>1661</v>
      </c>
      <c r="F4" s="618" t="s">
        <v>1639</v>
      </c>
      <c r="G4" s="618" t="s">
        <v>1662</v>
      </c>
      <c r="H4" s="642">
        <v>45957.0</v>
      </c>
      <c r="I4" s="642">
        <v>45987.0</v>
      </c>
      <c r="J4" s="642">
        <v>46017.0</v>
      </c>
      <c r="K4" s="642">
        <v>46023.0</v>
      </c>
      <c r="L4" s="642">
        <v>46054.0</v>
      </c>
      <c r="M4" s="642">
        <v>46112.0</v>
      </c>
      <c r="N4" s="642">
        <v>46142.0</v>
      </c>
      <c r="O4" s="642">
        <v>46172.0</v>
      </c>
      <c r="P4" s="642">
        <v>46202.0</v>
      </c>
      <c r="Q4" s="642">
        <v>46232.0</v>
      </c>
      <c r="R4" s="642">
        <v>46262.0</v>
      </c>
      <c r="S4" s="642">
        <v>46292.0</v>
      </c>
      <c r="T4" s="642">
        <v>46322.0</v>
      </c>
      <c r="U4" s="643">
        <v>46352.0</v>
      </c>
      <c r="V4" s="642">
        <v>46382.0</v>
      </c>
      <c r="W4" s="393"/>
      <c r="X4" s="393"/>
      <c r="Y4" s="393"/>
      <c r="Z4" s="393"/>
    </row>
    <row r="5" ht="12.75" customHeight="1">
      <c r="A5" s="621">
        <v>5120.0</v>
      </c>
      <c r="B5" s="295" t="s">
        <v>1831</v>
      </c>
      <c r="C5" s="1001">
        <v>3003.0</v>
      </c>
      <c r="D5" s="1002">
        <v>8.84164E7</v>
      </c>
      <c r="E5" s="1002">
        <f>D5/C5</f>
        <v>29442.69064</v>
      </c>
      <c r="F5" s="624">
        <v>0.006</v>
      </c>
      <c r="G5" s="623">
        <f>D5*F5</f>
        <v>530498.4</v>
      </c>
      <c r="H5" s="1003">
        <f t="shared" ref="H5:J5" si="1">+G5</f>
        <v>530498.4</v>
      </c>
      <c r="I5" s="1003">
        <f t="shared" si="1"/>
        <v>530498.4</v>
      </c>
      <c r="J5" s="1003">
        <f t="shared" si="1"/>
        <v>530498.4</v>
      </c>
      <c r="K5" s="1003">
        <f>+J5*K7</f>
        <v>564624.9377</v>
      </c>
      <c r="L5" s="1003">
        <f t="shared" ref="L5:M5" si="2">+K5</f>
        <v>564624.9377</v>
      </c>
      <c r="M5" s="1003">
        <f t="shared" si="2"/>
        <v>564624.9377</v>
      </c>
      <c r="N5" s="1003">
        <f>+M5*N7</f>
        <v>590416.0873</v>
      </c>
      <c r="O5" s="1003">
        <f t="shared" ref="O5:P5" si="3">+N5</f>
        <v>590416.0873</v>
      </c>
      <c r="P5" s="1003">
        <f t="shared" si="3"/>
        <v>590416.0873</v>
      </c>
      <c r="Q5" s="1003">
        <f>+P5*Q7</f>
        <v>617385.3348</v>
      </c>
      <c r="R5" s="1003">
        <f t="shared" ref="R5:S5" si="4">+Q5</f>
        <v>617385.3348</v>
      </c>
      <c r="S5" s="1003">
        <f t="shared" si="4"/>
        <v>617385.3348</v>
      </c>
      <c r="T5" s="1003">
        <f>+S5*T7</f>
        <v>645586.4936</v>
      </c>
      <c r="U5" s="1003">
        <f t="shared" ref="U5:V5" si="5">+T5</f>
        <v>645586.4936</v>
      </c>
      <c r="V5" s="1003">
        <f t="shared" si="5"/>
        <v>645586.4936</v>
      </c>
      <c r="W5" s="426">
        <f>SUM(K5:V5)</f>
        <v>7254038.56</v>
      </c>
      <c r="X5" s="393"/>
      <c r="Y5" s="393"/>
      <c r="Z5" s="393"/>
    </row>
    <row r="6" ht="12.75" customHeight="1">
      <c r="A6" s="621" t="s">
        <v>320</v>
      </c>
      <c r="B6" s="1004"/>
      <c r="C6" s="277"/>
      <c r="D6" s="277"/>
      <c r="E6" s="277"/>
      <c r="F6" s="278"/>
      <c r="G6" s="1005">
        <f>G5</f>
        <v>530498.4</v>
      </c>
      <c r="H6" s="393"/>
      <c r="I6" s="393"/>
      <c r="J6" s="393"/>
      <c r="K6" s="393"/>
      <c r="L6" s="393"/>
      <c r="M6" s="393"/>
      <c r="N6" s="393"/>
      <c r="O6" s="393"/>
      <c r="P6" s="393"/>
      <c r="Q6" s="393"/>
      <c r="R6" s="393"/>
      <c r="S6" s="393"/>
      <c r="T6" s="393"/>
      <c r="U6" s="393"/>
      <c r="V6" s="393"/>
      <c r="W6" s="393"/>
      <c r="X6" s="393"/>
      <c r="Y6" s="393"/>
      <c r="Z6" s="393"/>
    </row>
    <row r="7" ht="12.75" customHeight="1">
      <c r="A7" s="1006"/>
      <c r="B7" s="1006"/>
      <c r="C7" s="1006"/>
      <c r="D7" s="1006"/>
      <c r="E7" s="1006"/>
      <c r="F7" s="1006"/>
      <c r="G7" s="1006"/>
      <c r="H7" s="393"/>
      <c r="I7" s="403"/>
      <c r="J7" s="403"/>
      <c r="K7" s="605">
        <f>1*(1+H8)*(1+I8)*(1+J8)</f>
        <v>1.0643292</v>
      </c>
      <c r="L7" s="393"/>
      <c r="M7" s="393"/>
      <c r="N7" s="605">
        <f>1*(1+K8)*(1+L8)*(1+M8)</f>
        <v>1.045678375</v>
      </c>
      <c r="O7" s="393"/>
      <c r="P7" s="393"/>
      <c r="Q7" s="605">
        <f>1*(1+N8)*(1+O8)*(1+P8)</f>
        <v>1.045678375</v>
      </c>
      <c r="R7" s="393"/>
      <c r="S7" s="393"/>
      <c r="T7" s="605">
        <f>1*(1+Q8)*(1+R8)*(1+S8)</f>
        <v>1.045678375</v>
      </c>
      <c r="U7" s="393"/>
      <c r="V7" s="393"/>
      <c r="W7" s="393"/>
      <c r="X7" s="393"/>
      <c r="Y7" s="393"/>
      <c r="Z7" s="393"/>
    </row>
    <row r="8" ht="12.75" customHeight="1">
      <c r="A8" s="393"/>
      <c r="B8" s="393"/>
      <c r="C8" s="393"/>
      <c r="D8" s="393"/>
      <c r="E8" s="1007"/>
      <c r="F8" s="1007"/>
      <c r="G8" s="1007" t="s">
        <v>1825</v>
      </c>
      <c r="H8" s="1008">
        <v>0.023</v>
      </c>
      <c r="I8" s="1008">
        <v>0.02</v>
      </c>
      <c r="J8" s="1008">
        <v>0.02</v>
      </c>
      <c r="K8" s="1008">
        <v>0.015</v>
      </c>
      <c r="L8" s="1008">
        <f t="shared" ref="L8:V8" si="6">+K8</f>
        <v>0.015</v>
      </c>
      <c r="M8" s="1008">
        <f t="shared" si="6"/>
        <v>0.015</v>
      </c>
      <c r="N8" s="1008">
        <f t="shared" si="6"/>
        <v>0.015</v>
      </c>
      <c r="O8" s="1008">
        <f t="shared" si="6"/>
        <v>0.015</v>
      </c>
      <c r="P8" s="1008">
        <f t="shared" si="6"/>
        <v>0.015</v>
      </c>
      <c r="Q8" s="1008">
        <f t="shared" si="6"/>
        <v>0.015</v>
      </c>
      <c r="R8" s="1008">
        <f t="shared" si="6"/>
        <v>0.015</v>
      </c>
      <c r="S8" s="1008">
        <f t="shared" si="6"/>
        <v>0.015</v>
      </c>
      <c r="T8" s="1008">
        <f t="shared" si="6"/>
        <v>0.015</v>
      </c>
      <c r="U8" s="1008">
        <f t="shared" si="6"/>
        <v>0.015</v>
      </c>
      <c r="V8" s="1008">
        <f t="shared" si="6"/>
        <v>0.015</v>
      </c>
      <c r="W8" s="393"/>
      <c r="X8" s="393"/>
      <c r="Y8" s="393"/>
      <c r="Z8" s="393"/>
    </row>
    <row r="9" ht="12.75" customHeight="1">
      <c r="A9" s="393"/>
      <c r="B9" s="393"/>
      <c r="C9" s="393"/>
      <c r="D9" s="999" t="s">
        <v>1826</v>
      </c>
      <c r="E9" s="393"/>
      <c r="F9" s="393"/>
      <c r="G9" s="393"/>
      <c r="H9" s="393"/>
      <c r="I9" s="393"/>
      <c r="J9" s="393"/>
      <c r="K9" s="393"/>
      <c r="L9" s="393"/>
      <c r="M9" s="393"/>
      <c r="N9" s="393"/>
      <c r="O9" s="393"/>
      <c r="P9" s="393"/>
      <c r="Q9" s="393"/>
      <c r="R9" s="393"/>
      <c r="S9" s="393"/>
      <c r="T9" s="393"/>
      <c r="U9" s="393"/>
      <c r="V9" s="393"/>
      <c r="W9" s="393"/>
      <c r="X9" s="393"/>
      <c r="Y9" s="393"/>
      <c r="Z9" s="393"/>
    </row>
    <row r="10" ht="12.75" customHeight="1">
      <c r="A10" s="393"/>
      <c r="B10" s="393"/>
      <c r="C10" s="393"/>
      <c r="D10" s="393"/>
      <c r="E10" s="393"/>
      <c r="F10" s="393"/>
      <c r="G10" s="393"/>
      <c r="H10" s="393"/>
      <c r="I10" s="393"/>
      <c r="J10" s="393"/>
      <c r="K10" s="393"/>
      <c r="L10" s="393"/>
      <c r="M10" s="393"/>
      <c r="N10" s="393"/>
      <c r="O10" s="393"/>
      <c r="P10" s="393"/>
      <c r="Q10" s="393"/>
      <c r="R10" s="393"/>
      <c r="S10" s="393"/>
      <c r="T10" s="393"/>
      <c r="U10" s="393"/>
      <c r="V10" s="393"/>
      <c r="W10" s="393"/>
      <c r="X10" s="393"/>
      <c r="Y10" s="393"/>
      <c r="Z10" s="393"/>
    </row>
    <row r="11" ht="12.75" customHeight="1">
      <c r="A11" s="393"/>
      <c r="B11" s="393"/>
      <c r="C11" s="393"/>
      <c r="D11" s="393"/>
      <c r="E11" s="393"/>
      <c r="F11" s="393"/>
      <c r="G11" s="393"/>
      <c r="H11" s="393"/>
      <c r="I11" s="393"/>
      <c r="J11" s="393"/>
      <c r="K11" s="393"/>
      <c r="L11" s="393"/>
      <c r="M11" s="393"/>
      <c r="N11" s="393"/>
      <c r="O11" s="393"/>
      <c r="P11" s="393"/>
      <c r="Q11" s="393"/>
      <c r="R11" s="393"/>
      <c r="S11" s="393"/>
      <c r="T11" s="393"/>
      <c r="U11" s="393"/>
      <c r="V11" s="393"/>
      <c r="W11" s="393"/>
      <c r="X11" s="393"/>
      <c r="Y11" s="393"/>
      <c r="Z11" s="393"/>
    </row>
    <row r="12" ht="12.75" customHeight="1">
      <c r="A12" s="393"/>
      <c r="B12" s="393"/>
      <c r="C12" s="393"/>
      <c r="D12" s="393"/>
      <c r="E12" s="393"/>
      <c r="F12" s="393"/>
      <c r="G12" s="393"/>
      <c r="H12" s="393"/>
      <c r="I12" s="393"/>
      <c r="J12" s="393"/>
      <c r="K12" s="393"/>
      <c r="L12" s="393"/>
      <c r="M12" s="393"/>
      <c r="N12" s="393"/>
      <c r="O12" s="393"/>
      <c r="P12" s="393"/>
      <c r="Q12" s="393"/>
      <c r="R12" s="393"/>
      <c r="S12" s="393"/>
      <c r="T12" s="393"/>
      <c r="U12" s="393"/>
      <c r="V12" s="393"/>
      <c r="W12" s="393"/>
      <c r="X12" s="393"/>
      <c r="Y12" s="393"/>
      <c r="Z12" s="393"/>
    </row>
    <row r="13" ht="12.75" customHeight="1">
      <c r="A13" s="393"/>
      <c r="B13" s="393"/>
      <c r="C13" s="393"/>
      <c r="D13" s="393"/>
      <c r="E13" s="393"/>
      <c r="F13" s="393"/>
      <c r="G13" s="393"/>
      <c r="H13" s="393"/>
      <c r="I13" s="393"/>
      <c r="J13" s="393"/>
      <c r="K13" s="393"/>
      <c r="L13" s="393"/>
      <c r="M13" s="393"/>
      <c r="N13" s="393"/>
      <c r="O13" s="393"/>
      <c r="P13" s="393"/>
      <c r="Q13" s="393"/>
      <c r="R13" s="393"/>
      <c r="S13" s="393"/>
      <c r="T13" s="393"/>
      <c r="U13" s="393"/>
      <c r="V13" s="393"/>
      <c r="W13" s="393"/>
      <c r="X13" s="393"/>
      <c r="Y13" s="393"/>
      <c r="Z13" s="393"/>
    </row>
    <row r="14" ht="12.75" customHeight="1">
      <c r="A14" s="393"/>
      <c r="B14" s="393"/>
      <c r="C14" s="393"/>
      <c r="D14" s="393"/>
      <c r="E14" s="393"/>
      <c r="F14" s="393"/>
      <c r="G14" s="393"/>
      <c r="H14" s="393"/>
      <c r="I14" s="393"/>
      <c r="J14" s="393"/>
      <c r="K14" s="393"/>
      <c r="L14" s="393"/>
      <c r="M14" s="393"/>
      <c r="N14" s="393"/>
      <c r="O14" s="393"/>
      <c r="P14" s="393"/>
      <c r="Q14" s="393"/>
      <c r="R14" s="393"/>
      <c r="S14" s="393"/>
      <c r="T14" s="393"/>
      <c r="U14" s="393"/>
      <c r="V14" s="393"/>
      <c r="W14" s="393"/>
      <c r="X14" s="393"/>
      <c r="Y14" s="393"/>
      <c r="Z14" s="393"/>
    </row>
    <row r="15" ht="12.75" customHeight="1">
      <c r="A15" s="393"/>
      <c r="B15" s="393"/>
      <c r="C15" s="393"/>
      <c r="D15" s="393"/>
      <c r="E15" s="393"/>
      <c r="F15" s="393"/>
      <c r="G15" s="393"/>
      <c r="H15" s="393"/>
      <c r="I15" s="393"/>
      <c r="J15" s="393"/>
      <c r="K15" s="393"/>
      <c r="L15" s="393"/>
      <c r="M15" s="393"/>
      <c r="N15" s="393"/>
      <c r="O15" s="393"/>
      <c r="P15" s="393"/>
      <c r="Q15" s="393"/>
      <c r="R15" s="393"/>
      <c r="S15" s="393"/>
      <c r="T15" s="393"/>
      <c r="U15" s="393"/>
      <c r="V15" s="393"/>
      <c r="W15" s="393"/>
      <c r="X15" s="393"/>
      <c r="Y15" s="393"/>
      <c r="Z15" s="393"/>
    </row>
    <row r="16" ht="12.75" customHeight="1">
      <c r="A16" s="393"/>
      <c r="B16" s="393"/>
      <c r="C16" s="393"/>
      <c r="D16" s="393"/>
      <c r="E16" s="393"/>
      <c r="F16" s="393"/>
      <c r="G16" s="393"/>
      <c r="H16" s="393"/>
      <c r="I16" s="393"/>
      <c r="J16" s="393"/>
      <c r="K16" s="393"/>
      <c r="L16" s="393"/>
      <c r="M16" s="393"/>
      <c r="N16" s="393"/>
      <c r="O16" s="393"/>
      <c r="P16" s="393"/>
      <c r="Q16" s="393"/>
      <c r="R16" s="393"/>
      <c r="S16" s="393"/>
      <c r="T16" s="393"/>
      <c r="U16" s="393"/>
      <c r="V16" s="393"/>
      <c r="W16" s="393"/>
      <c r="X16" s="393"/>
      <c r="Y16" s="393"/>
      <c r="Z16" s="393"/>
    </row>
    <row r="17" ht="12.75" customHeight="1">
      <c r="A17" s="393"/>
      <c r="B17" s="393"/>
      <c r="C17" s="393"/>
      <c r="D17" s="393"/>
      <c r="E17" s="393"/>
      <c r="F17" s="393"/>
      <c r="G17" s="393"/>
      <c r="H17" s="393"/>
      <c r="I17" s="393"/>
      <c r="J17" s="393"/>
      <c r="K17" s="393"/>
      <c r="L17" s="393"/>
      <c r="M17" s="393"/>
      <c r="N17" s="393"/>
      <c r="O17" s="393"/>
      <c r="P17" s="393"/>
      <c r="Q17" s="393"/>
      <c r="R17" s="393"/>
      <c r="S17" s="393"/>
      <c r="T17" s="393"/>
      <c r="U17" s="393"/>
      <c r="V17" s="393"/>
      <c r="W17" s="393"/>
      <c r="X17" s="393"/>
      <c r="Y17" s="393"/>
      <c r="Z17" s="393"/>
    </row>
    <row r="18" ht="12.75" customHeight="1">
      <c r="A18" s="393"/>
      <c r="B18" s="393"/>
      <c r="C18" s="393"/>
      <c r="D18" s="393"/>
      <c r="E18" s="393"/>
      <c r="F18" s="393"/>
      <c r="G18" s="393"/>
      <c r="H18" s="393"/>
      <c r="I18" s="393"/>
      <c r="J18" s="393"/>
      <c r="K18" s="393"/>
      <c r="L18" s="393"/>
      <c r="M18" s="393"/>
      <c r="N18" s="393"/>
      <c r="O18" s="393"/>
      <c r="P18" s="393"/>
      <c r="Q18" s="393"/>
      <c r="R18" s="393"/>
      <c r="S18" s="393"/>
      <c r="T18" s="393"/>
      <c r="U18" s="393"/>
      <c r="V18" s="393"/>
      <c r="W18" s="393"/>
      <c r="X18" s="393"/>
      <c r="Y18" s="393"/>
      <c r="Z18" s="393"/>
    </row>
    <row r="19" ht="12.75" customHeight="1">
      <c r="A19" s="393"/>
      <c r="B19" s="393"/>
      <c r="C19" s="393"/>
      <c r="D19" s="393"/>
      <c r="E19" s="393"/>
      <c r="F19" s="393"/>
      <c r="G19" s="393"/>
      <c r="H19" s="393"/>
      <c r="I19" s="393"/>
      <c r="J19" s="393"/>
      <c r="K19" s="393"/>
      <c r="L19" s="393"/>
      <c r="M19" s="393"/>
      <c r="N19" s="393"/>
      <c r="O19" s="393"/>
      <c r="P19" s="393"/>
      <c r="Q19" s="393"/>
      <c r="R19" s="393"/>
      <c r="S19" s="393"/>
      <c r="T19" s="393"/>
      <c r="U19" s="393"/>
      <c r="V19" s="393"/>
      <c r="W19" s="393"/>
      <c r="X19" s="393"/>
      <c r="Y19" s="393"/>
      <c r="Z19" s="393"/>
    </row>
    <row r="20" ht="12.75" customHeight="1">
      <c r="A20" s="393"/>
      <c r="B20" s="393"/>
      <c r="C20" s="393"/>
      <c r="D20" s="393"/>
      <c r="E20" s="393"/>
      <c r="F20" s="393"/>
      <c r="G20" s="393"/>
      <c r="H20" s="393"/>
      <c r="I20" s="393"/>
      <c r="J20" s="393"/>
      <c r="K20" s="393"/>
      <c r="L20" s="393"/>
      <c r="M20" s="393"/>
      <c r="N20" s="393"/>
      <c r="O20" s="393"/>
      <c r="P20" s="393"/>
      <c r="Q20" s="393"/>
      <c r="R20" s="393"/>
      <c r="S20" s="393"/>
      <c r="T20" s="393"/>
      <c r="U20" s="393"/>
      <c r="V20" s="393"/>
      <c r="W20" s="393"/>
      <c r="X20" s="393"/>
      <c r="Y20" s="393"/>
      <c r="Z20" s="393"/>
    </row>
    <row r="21" ht="12.75" customHeight="1">
      <c r="A21" s="393"/>
      <c r="B21" s="393"/>
      <c r="C21" s="393"/>
      <c r="D21" s="393"/>
      <c r="E21" s="393"/>
      <c r="F21" s="393"/>
      <c r="G21" s="393"/>
      <c r="H21" s="393"/>
      <c r="I21" s="393"/>
      <c r="J21" s="393"/>
      <c r="K21" s="393"/>
      <c r="L21" s="393"/>
      <c r="M21" s="393"/>
      <c r="N21" s="393"/>
      <c r="O21" s="393"/>
      <c r="P21" s="393"/>
      <c r="Q21" s="393"/>
      <c r="R21" s="393"/>
      <c r="S21" s="393"/>
      <c r="T21" s="393"/>
      <c r="U21" s="393"/>
      <c r="V21" s="393"/>
      <c r="W21" s="393"/>
      <c r="X21" s="393"/>
      <c r="Y21" s="393"/>
      <c r="Z21" s="393"/>
    </row>
    <row r="22" ht="12.75" customHeight="1">
      <c r="A22" s="393"/>
      <c r="B22" s="393"/>
      <c r="C22" s="393"/>
      <c r="D22" s="393"/>
      <c r="E22" s="393"/>
      <c r="F22" s="393"/>
      <c r="G22" s="393"/>
      <c r="H22" s="393"/>
      <c r="I22" s="393"/>
      <c r="J22" s="393"/>
      <c r="K22" s="393"/>
      <c r="L22" s="393"/>
      <c r="M22" s="393"/>
      <c r="N22" s="393"/>
      <c r="O22" s="393"/>
      <c r="P22" s="393"/>
      <c r="Q22" s="393"/>
      <c r="R22" s="393"/>
      <c r="S22" s="393"/>
      <c r="T22" s="393"/>
      <c r="U22" s="393"/>
      <c r="V22" s="393"/>
      <c r="W22" s="393"/>
      <c r="X22" s="393"/>
      <c r="Y22" s="393"/>
      <c r="Z22" s="393"/>
    </row>
    <row r="23" ht="12.75" customHeight="1">
      <c r="A23" s="393"/>
      <c r="B23" s="393"/>
      <c r="C23" s="393"/>
      <c r="D23" s="393"/>
      <c r="E23" s="393"/>
      <c r="F23" s="393"/>
      <c r="G23" s="393"/>
      <c r="H23" s="393"/>
      <c r="I23" s="393"/>
      <c r="J23" s="393"/>
      <c r="K23" s="393"/>
      <c r="L23" s="393"/>
      <c r="M23" s="393"/>
      <c r="N23" s="393"/>
      <c r="O23" s="393"/>
      <c r="P23" s="393"/>
      <c r="Q23" s="393"/>
      <c r="R23" s="393"/>
      <c r="S23" s="393"/>
      <c r="T23" s="393"/>
      <c r="U23" s="393"/>
      <c r="V23" s="393"/>
      <c r="W23" s="393"/>
      <c r="X23" s="393"/>
      <c r="Y23" s="393"/>
      <c r="Z23" s="393"/>
    </row>
    <row r="24" ht="12.75" customHeight="1">
      <c r="A24" s="393"/>
      <c r="B24" s="393"/>
      <c r="C24" s="393"/>
      <c r="D24" s="393"/>
      <c r="E24" s="393"/>
      <c r="F24" s="393"/>
      <c r="G24" s="393"/>
      <c r="H24" s="393"/>
      <c r="I24" s="393"/>
      <c r="J24" s="393"/>
      <c r="K24" s="393"/>
      <c r="L24" s="393"/>
      <c r="M24" s="393"/>
      <c r="N24" s="393"/>
      <c r="O24" s="393"/>
      <c r="P24" s="393"/>
      <c r="Q24" s="393"/>
      <c r="R24" s="393"/>
      <c r="S24" s="393"/>
      <c r="T24" s="393"/>
      <c r="U24" s="393"/>
      <c r="V24" s="393"/>
      <c r="W24" s="393"/>
      <c r="X24" s="393"/>
      <c r="Y24" s="393"/>
      <c r="Z24" s="393"/>
    </row>
    <row r="25" ht="12.75" customHeight="1">
      <c r="A25" s="393"/>
      <c r="B25" s="393"/>
      <c r="C25" s="393"/>
      <c r="D25" s="393"/>
      <c r="E25" s="393"/>
      <c r="F25" s="393"/>
      <c r="G25" s="393"/>
      <c r="H25" s="393"/>
      <c r="I25" s="393"/>
      <c r="J25" s="393"/>
      <c r="K25" s="393"/>
      <c r="L25" s="393"/>
      <c r="M25" s="393"/>
      <c r="N25" s="393"/>
      <c r="O25" s="393"/>
      <c r="P25" s="393"/>
      <c r="Q25" s="393"/>
      <c r="R25" s="393"/>
      <c r="S25" s="393"/>
      <c r="T25" s="393"/>
      <c r="U25" s="393"/>
      <c r="V25" s="393"/>
      <c r="W25" s="393"/>
      <c r="X25" s="393"/>
      <c r="Y25" s="393"/>
      <c r="Z25" s="393"/>
    </row>
    <row r="26" ht="12.75" customHeight="1">
      <c r="A26" s="393"/>
      <c r="B26" s="393"/>
      <c r="C26" s="393"/>
      <c r="D26" s="393"/>
      <c r="E26" s="393"/>
      <c r="F26" s="393"/>
      <c r="G26" s="393"/>
      <c r="H26" s="393"/>
      <c r="I26" s="393"/>
      <c r="J26" s="393"/>
      <c r="K26" s="393"/>
      <c r="L26" s="393"/>
      <c r="M26" s="393"/>
      <c r="N26" s="393"/>
      <c r="O26" s="393"/>
      <c r="P26" s="393"/>
      <c r="Q26" s="393"/>
      <c r="R26" s="393"/>
      <c r="S26" s="393"/>
      <c r="T26" s="393"/>
      <c r="U26" s="393"/>
      <c r="V26" s="393"/>
      <c r="W26" s="393"/>
      <c r="X26" s="393"/>
      <c r="Y26" s="393"/>
      <c r="Z26" s="393"/>
    </row>
    <row r="27" ht="12.75" customHeight="1">
      <c r="A27" s="393"/>
      <c r="B27" s="393"/>
      <c r="C27" s="393"/>
      <c r="D27" s="393"/>
      <c r="E27" s="393"/>
      <c r="F27" s="393"/>
      <c r="G27" s="393"/>
      <c r="H27" s="393"/>
      <c r="I27" s="393"/>
      <c r="J27" s="393"/>
      <c r="K27" s="393"/>
      <c r="L27" s="393"/>
      <c r="M27" s="393"/>
      <c r="N27" s="393"/>
      <c r="O27" s="393"/>
      <c r="P27" s="393"/>
      <c r="Q27" s="393"/>
      <c r="R27" s="393"/>
      <c r="S27" s="393"/>
      <c r="T27" s="393"/>
      <c r="U27" s="393"/>
      <c r="V27" s="393"/>
      <c r="W27" s="393"/>
      <c r="X27" s="393"/>
      <c r="Y27" s="393"/>
      <c r="Z27" s="393"/>
    </row>
    <row r="28" ht="12.75" customHeight="1">
      <c r="A28" s="393"/>
      <c r="B28" s="393"/>
      <c r="C28" s="393"/>
      <c r="D28" s="393"/>
      <c r="E28" s="393"/>
      <c r="F28" s="393"/>
      <c r="G28" s="393"/>
      <c r="H28" s="393"/>
      <c r="I28" s="393"/>
      <c r="J28" s="393"/>
      <c r="K28" s="393"/>
      <c r="L28" s="393"/>
      <c r="M28" s="393"/>
      <c r="N28" s="393"/>
      <c r="O28" s="393"/>
      <c r="P28" s="393"/>
      <c r="Q28" s="393"/>
      <c r="R28" s="393"/>
      <c r="S28" s="393"/>
      <c r="T28" s="393"/>
      <c r="U28" s="393"/>
      <c r="V28" s="393"/>
      <c r="W28" s="393"/>
      <c r="X28" s="393"/>
      <c r="Y28" s="393"/>
      <c r="Z28" s="393"/>
    </row>
    <row r="29" ht="12.75" customHeight="1">
      <c r="A29" s="393"/>
      <c r="B29" s="393"/>
      <c r="C29" s="393"/>
      <c r="D29" s="393"/>
      <c r="E29" s="393"/>
      <c r="F29" s="393"/>
      <c r="G29" s="393"/>
      <c r="H29" s="393"/>
      <c r="I29" s="393"/>
      <c r="J29" s="393"/>
      <c r="K29" s="393"/>
      <c r="L29" s="393"/>
      <c r="M29" s="393"/>
      <c r="N29" s="393"/>
      <c r="O29" s="393"/>
      <c r="P29" s="393"/>
      <c r="Q29" s="393"/>
      <c r="R29" s="393"/>
      <c r="S29" s="393"/>
      <c r="T29" s="393"/>
      <c r="U29" s="393"/>
      <c r="V29" s="393"/>
      <c r="W29" s="393"/>
      <c r="X29" s="393"/>
      <c r="Y29" s="393"/>
      <c r="Z29" s="393"/>
    </row>
    <row r="30" ht="12.75" customHeight="1">
      <c r="A30" s="393"/>
      <c r="B30" s="393"/>
      <c r="C30" s="393"/>
      <c r="D30" s="393"/>
      <c r="E30" s="393"/>
      <c r="F30" s="393"/>
      <c r="G30" s="393"/>
      <c r="H30" s="393"/>
      <c r="I30" s="393"/>
      <c r="J30" s="393"/>
      <c r="K30" s="393"/>
      <c r="L30" s="393"/>
      <c r="M30" s="393"/>
      <c r="N30" s="393"/>
      <c r="O30" s="393"/>
      <c r="P30" s="393"/>
      <c r="Q30" s="393"/>
      <c r="R30" s="393"/>
      <c r="S30" s="393"/>
      <c r="T30" s="393"/>
      <c r="U30" s="393"/>
      <c r="V30" s="393"/>
      <c r="W30" s="393"/>
      <c r="X30" s="393"/>
      <c r="Y30" s="393"/>
      <c r="Z30" s="393"/>
    </row>
    <row r="31" ht="12.75" customHeight="1">
      <c r="A31" s="393"/>
      <c r="B31" s="393"/>
      <c r="C31" s="393"/>
      <c r="D31" s="393"/>
      <c r="E31" s="393"/>
      <c r="F31" s="393"/>
      <c r="G31" s="393"/>
      <c r="H31" s="393"/>
      <c r="I31" s="393"/>
      <c r="J31" s="393"/>
      <c r="K31" s="393"/>
      <c r="L31" s="393"/>
      <c r="M31" s="393"/>
      <c r="N31" s="393"/>
      <c r="O31" s="393"/>
      <c r="P31" s="393"/>
      <c r="Q31" s="393"/>
      <c r="R31" s="393"/>
      <c r="S31" s="393"/>
      <c r="T31" s="393"/>
      <c r="U31" s="393"/>
      <c r="V31" s="393"/>
      <c r="W31" s="393"/>
      <c r="X31" s="393"/>
      <c r="Y31" s="393"/>
      <c r="Z31" s="393"/>
    </row>
    <row r="32" ht="12.75" customHeight="1">
      <c r="A32" s="393"/>
      <c r="B32" s="393"/>
      <c r="C32" s="393"/>
      <c r="D32" s="393"/>
      <c r="E32" s="393"/>
      <c r="F32" s="393"/>
      <c r="G32" s="393"/>
      <c r="H32" s="393"/>
      <c r="I32" s="393"/>
      <c r="J32" s="393"/>
      <c r="K32" s="393"/>
      <c r="L32" s="393"/>
      <c r="M32" s="393"/>
      <c r="N32" s="393"/>
      <c r="O32" s="393"/>
      <c r="P32" s="393"/>
      <c r="Q32" s="393"/>
      <c r="R32" s="393"/>
      <c r="S32" s="393"/>
      <c r="T32" s="393"/>
      <c r="U32" s="393"/>
      <c r="V32" s="393"/>
      <c r="W32" s="393"/>
      <c r="X32" s="393"/>
      <c r="Y32" s="393"/>
      <c r="Z32" s="393"/>
    </row>
    <row r="33" ht="12.75" customHeight="1">
      <c r="A33" s="393"/>
      <c r="B33" s="393"/>
      <c r="C33" s="393"/>
      <c r="D33" s="393"/>
      <c r="E33" s="393"/>
      <c r="F33" s="393"/>
      <c r="G33" s="393"/>
      <c r="H33" s="393"/>
      <c r="I33" s="393"/>
      <c r="J33" s="393"/>
      <c r="K33" s="393"/>
      <c r="L33" s="393"/>
      <c r="M33" s="393"/>
      <c r="N33" s="393"/>
      <c r="O33" s="393"/>
      <c r="P33" s="393"/>
      <c r="Q33" s="393"/>
      <c r="R33" s="393"/>
      <c r="S33" s="393"/>
      <c r="T33" s="393"/>
      <c r="U33" s="393"/>
      <c r="V33" s="393"/>
      <c r="W33" s="393"/>
      <c r="X33" s="393"/>
      <c r="Y33" s="393"/>
      <c r="Z33" s="393"/>
    </row>
    <row r="34" ht="12.75" customHeight="1">
      <c r="A34" s="393"/>
      <c r="B34" s="393"/>
      <c r="C34" s="393"/>
      <c r="D34" s="393"/>
      <c r="E34" s="393"/>
      <c r="F34" s="393"/>
      <c r="G34" s="393"/>
      <c r="H34" s="393"/>
      <c r="I34" s="393"/>
      <c r="J34" s="393"/>
      <c r="K34" s="393"/>
      <c r="L34" s="393"/>
      <c r="M34" s="393"/>
      <c r="N34" s="393"/>
      <c r="O34" s="393"/>
      <c r="P34" s="393"/>
      <c r="Q34" s="393"/>
      <c r="R34" s="393"/>
      <c r="S34" s="393"/>
      <c r="T34" s="393"/>
      <c r="U34" s="393"/>
      <c r="V34" s="393"/>
      <c r="W34" s="393"/>
      <c r="X34" s="393"/>
      <c r="Y34" s="393"/>
      <c r="Z34" s="393"/>
    </row>
    <row r="35" ht="12.75" customHeight="1">
      <c r="A35" s="393"/>
      <c r="B35" s="393"/>
      <c r="C35" s="393"/>
      <c r="D35" s="393"/>
      <c r="E35" s="393"/>
      <c r="F35" s="393"/>
      <c r="G35" s="393"/>
      <c r="H35" s="393"/>
      <c r="I35" s="393"/>
      <c r="J35" s="393"/>
      <c r="K35" s="393"/>
      <c r="L35" s="393"/>
      <c r="M35" s="393"/>
      <c r="N35" s="393"/>
      <c r="O35" s="393"/>
      <c r="P35" s="393"/>
      <c r="Q35" s="393"/>
      <c r="R35" s="393"/>
      <c r="S35" s="393"/>
      <c r="T35" s="393"/>
      <c r="U35" s="393"/>
      <c r="V35" s="393"/>
      <c r="W35" s="393"/>
      <c r="X35" s="393"/>
      <c r="Y35" s="393"/>
      <c r="Z35" s="393"/>
    </row>
    <row r="36" ht="12.75" customHeight="1">
      <c r="A36" s="393"/>
      <c r="B36" s="393"/>
      <c r="C36" s="393"/>
      <c r="D36" s="393"/>
      <c r="E36" s="393"/>
      <c r="F36" s="393"/>
      <c r="G36" s="393"/>
      <c r="H36" s="393"/>
      <c r="I36" s="393"/>
      <c r="J36" s="393"/>
      <c r="K36" s="393"/>
      <c r="L36" s="393"/>
      <c r="M36" s="393"/>
      <c r="N36" s="393"/>
      <c r="O36" s="393"/>
      <c r="P36" s="393"/>
      <c r="Q36" s="393"/>
      <c r="R36" s="393"/>
      <c r="S36" s="393"/>
      <c r="T36" s="393"/>
      <c r="U36" s="393"/>
      <c r="V36" s="393"/>
      <c r="W36" s="393"/>
      <c r="X36" s="393"/>
      <c r="Y36" s="393"/>
      <c r="Z36" s="393"/>
    </row>
    <row r="37" ht="12.75" customHeight="1">
      <c r="A37" s="393"/>
      <c r="B37" s="393"/>
      <c r="C37" s="393"/>
      <c r="D37" s="393"/>
      <c r="E37" s="393"/>
      <c r="F37" s="393"/>
      <c r="G37" s="393"/>
      <c r="H37" s="393"/>
      <c r="I37" s="393"/>
      <c r="J37" s="393"/>
      <c r="K37" s="393"/>
      <c r="L37" s="393"/>
      <c r="M37" s="393"/>
      <c r="N37" s="393"/>
      <c r="O37" s="393"/>
      <c r="P37" s="393"/>
      <c r="Q37" s="393"/>
      <c r="R37" s="393"/>
      <c r="S37" s="393"/>
      <c r="T37" s="393"/>
      <c r="U37" s="393"/>
      <c r="V37" s="393"/>
      <c r="W37" s="393"/>
      <c r="X37" s="393"/>
      <c r="Y37" s="393"/>
      <c r="Z37" s="393"/>
    </row>
    <row r="38" ht="12.75" customHeight="1">
      <c r="A38" s="393"/>
      <c r="B38" s="393"/>
      <c r="C38" s="393"/>
      <c r="D38" s="393"/>
      <c r="E38" s="393"/>
      <c r="F38" s="393"/>
      <c r="G38" s="393"/>
      <c r="H38" s="393"/>
      <c r="I38" s="393"/>
      <c r="J38" s="393"/>
      <c r="K38" s="393"/>
      <c r="L38" s="393"/>
      <c r="M38" s="393"/>
      <c r="N38" s="393"/>
      <c r="O38" s="393"/>
      <c r="P38" s="393"/>
      <c r="Q38" s="393"/>
      <c r="R38" s="393"/>
      <c r="S38" s="393"/>
      <c r="T38" s="393"/>
      <c r="U38" s="393"/>
      <c r="V38" s="393"/>
      <c r="W38" s="393"/>
      <c r="X38" s="393"/>
      <c r="Y38" s="393"/>
      <c r="Z38" s="393"/>
    </row>
    <row r="39" ht="12.75" customHeight="1">
      <c r="A39" s="393"/>
      <c r="B39" s="393"/>
      <c r="C39" s="393"/>
      <c r="D39" s="393"/>
      <c r="E39" s="393"/>
      <c r="F39" s="393"/>
      <c r="G39" s="393"/>
      <c r="H39" s="393"/>
      <c r="I39" s="393"/>
      <c r="J39" s="393"/>
      <c r="K39" s="393"/>
      <c r="L39" s="393"/>
      <c r="M39" s="393"/>
      <c r="N39" s="393"/>
      <c r="O39" s="393"/>
      <c r="P39" s="393"/>
      <c r="Q39" s="393"/>
      <c r="R39" s="393"/>
      <c r="S39" s="393"/>
      <c r="T39" s="393"/>
      <c r="U39" s="393"/>
      <c r="V39" s="393"/>
      <c r="W39" s="393"/>
      <c r="X39" s="393"/>
      <c r="Y39" s="393"/>
      <c r="Z39" s="393"/>
    </row>
    <row r="40" ht="12.75" customHeight="1">
      <c r="A40" s="393"/>
      <c r="B40" s="393"/>
      <c r="C40" s="393"/>
      <c r="D40" s="393"/>
      <c r="E40" s="393"/>
      <c r="F40" s="393"/>
      <c r="G40" s="393"/>
      <c r="H40" s="393"/>
      <c r="I40" s="393"/>
      <c r="J40" s="393"/>
      <c r="K40" s="393"/>
      <c r="L40" s="393"/>
      <c r="M40" s="393"/>
      <c r="N40" s="393"/>
      <c r="O40" s="393"/>
      <c r="P40" s="393"/>
      <c r="Q40" s="393"/>
      <c r="R40" s="393"/>
      <c r="S40" s="393"/>
      <c r="T40" s="393"/>
      <c r="U40" s="393"/>
      <c r="V40" s="393"/>
      <c r="W40" s="393"/>
      <c r="X40" s="393"/>
      <c r="Y40" s="393"/>
      <c r="Z40" s="393"/>
    </row>
    <row r="41" ht="12.75" customHeight="1">
      <c r="A41" s="393"/>
      <c r="B41" s="393"/>
      <c r="C41" s="393"/>
      <c r="D41" s="393"/>
      <c r="E41" s="393"/>
      <c r="F41" s="393"/>
      <c r="G41" s="393"/>
      <c r="H41" s="393"/>
      <c r="I41" s="393"/>
      <c r="J41" s="393"/>
      <c r="K41" s="393"/>
      <c r="L41" s="393"/>
      <c r="M41" s="393"/>
      <c r="N41" s="393"/>
      <c r="O41" s="393"/>
      <c r="P41" s="393"/>
      <c r="Q41" s="393"/>
      <c r="R41" s="393"/>
      <c r="S41" s="393"/>
      <c r="T41" s="393"/>
      <c r="U41" s="393"/>
      <c r="V41" s="393"/>
      <c r="W41" s="393"/>
      <c r="X41" s="393"/>
      <c r="Y41" s="393"/>
      <c r="Z41" s="393"/>
    </row>
    <row r="42" ht="12.75" customHeight="1">
      <c r="A42" s="393"/>
      <c r="B42" s="393"/>
      <c r="C42" s="393"/>
      <c r="D42" s="393"/>
      <c r="E42" s="393"/>
      <c r="F42" s="393"/>
      <c r="G42" s="393"/>
      <c r="H42" s="393"/>
      <c r="I42" s="393"/>
      <c r="J42" s="393"/>
      <c r="K42" s="393"/>
      <c r="L42" s="393"/>
      <c r="M42" s="393"/>
      <c r="N42" s="393"/>
      <c r="O42" s="393"/>
      <c r="P42" s="393"/>
      <c r="Q42" s="393"/>
      <c r="R42" s="393"/>
      <c r="S42" s="393"/>
      <c r="T42" s="393"/>
      <c r="U42" s="393"/>
      <c r="V42" s="393"/>
      <c r="W42" s="393"/>
      <c r="X42" s="393"/>
      <c r="Y42" s="393"/>
      <c r="Z42" s="393"/>
    </row>
    <row r="43" ht="12.75" customHeight="1">
      <c r="A43" s="393"/>
      <c r="B43" s="393"/>
      <c r="C43" s="393"/>
      <c r="D43" s="393"/>
      <c r="E43" s="393"/>
      <c r="F43" s="393"/>
      <c r="G43" s="393"/>
      <c r="H43" s="393"/>
      <c r="I43" s="393"/>
      <c r="J43" s="393"/>
      <c r="K43" s="393"/>
      <c r="L43" s="393"/>
      <c r="M43" s="393"/>
      <c r="N43" s="393"/>
      <c r="O43" s="393"/>
      <c r="P43" s="393"/>
      <c r="Q43" s="393"/>
      <c r="R43" s="393"/>
      <c r="S43" s="393"/>
      <c r="T43" s="393"/>
      <c r="U43" s="393"/>
      <c r="V43" s="393"/>
      <c r="W43" s="393"/>
      <c r="X43" s="393"/>
      <c r="Y43" s="393"/>
      <c r="Z43" s="393"/>
    </row>
    <row r="44" ht="12.75" customHeight="1">
      <c r="A44" s="393"/>
      <c r="B44" s="393"/>
      <c r="C44" s="393"/>
      <c r="D44" s="393"/>
      <c r="E44" s="393"/>
      <c r="F44" s="393"/>
      <c r="G44" s="393"/>
      <c r="H44" s="393"/>
      <c r="I44" s="393"/>
      <c r="J44" s="393"/>
      <c r="K44" s="393"/>
      <c r="L44" s="393"/>
      <c r="M44" s="393"/>
      <c r="N44" s="393"/>
      <c r="O44" s="393"/>
      <c r="P44" s="393"/>
      <c r="Q44" s="393"/>
      <c r="R44" s="393"/>
      <c r="S44" s="393"/>
      <c r="T44" s="393"/>
      <c r="U44" s="393"/>
      <c r="V44" s="393"/>
      <c r="W44" s="393"/>
      <c r="X44" s="393"/>
      <c r="Y44" s="393"/>
      <c r="Z44" s="393"/>
    </row>
    <row r="45" ht="12.75" customHeight="1">
      <c r="A45" s="393"/>
      <c r="B45" s="393"/>
      <c r="C45" s="393"/>
      <c r="D45" s="393"/>
      <c r="E45" s="393"/>
      <c r="F45" s="393"/>
      <c r="G45" s="393"/>
      <c r="H45" s="393"/>
      <c r="I45" s="393"/>
      <c r="J45" s="393"/>
      <c r="K45" s="393"/>
      <c r="L45" s="393"/>
      <c r="M45" s="393"/>
      <c r="N45" s="393"/>
      <c r="O45" s="393"/>
      <c r="P45" s="393"/>
      <c r="Q45" s="393"/>
      <c r="R45" s="393"/>
      <c r="S45" s="393"/>
      <c r="T45" s="393"/>
      <c r="U45" s="393"/>
      <c r="V45" s="393"/>
      <c r="W45" s="393"/>
      <c r="X45" s="393"/>
      <c r="Y45" s="393"/>
      <c r="Z45" s="393"/>
    </row>
    <row r="46" ht="12.75" customHeight="1">
      <c r="A46" s="393"/>
      <c r="B46" s="393"/>
      <c r="C46" s="393"/>
      <c r="D46" s="393"/>
      <c r="E46" s="393"/>
      <c r="F46" s="393"/>
      <c r="G46" s="393"/>
      <c r="H46" s="393"/>
      <c r="I46" s="393"/>
      <c r="J46" s="393"/>
      <c r="K46" s="393"/>
      <c r="L46" s="393"/>
      <c r="M46" s="393"/>
      <c r="N46" s="393"/>
      <c r="O46" s="393"/>
      <c r="P46" s="393"/>
      <c r="Q46" s="393"/>
      <c r="R46" s="393"/>
      <c r="S46" s="393"/>
      <c r="T46" s="393"/>
      <c r="U46" s="393"/>
      <c r="V46" s="393"/>
      <c r="W46" s="393"/>
      <c r="X46" s="393"/>
      <c r="Y46" s="393"/>
      <c r="Z46" s="393"/>
    </row>
    <row r="47" ht="12.75" customHeight="1">
      <c r="A47" s="393"/>
      <c r="B47" s="393"/>
      <c r="C47" s="393"/>
      <c r="D47" s="393"/>
      <c r="E47" s="393"/>
      <c r="F47" s="393"/>
      <c r="G47" s="393"/>
      <c r="H47" s="393"/>
      <c r="I47" s="393"/>
      <c r="J47" s="393"/>
      <c r="K47" s="393"/>
      <c r="L47" s="393"/>
      <c r="M47" s="393"/>
      <c r="N47" s="393"/>
      <c r="O47" s="393"/>
      <c r="P47" s="393"/>
      <c r="Q47" s="393"/>
      <c r="R47" s="393"/>
      <c r="S47" s="393"/>
      <c r="T47" s="393"/>
      <c r="U47" s="393"/>
      <c r="V47" s="393"/>
      <c r="W47" s="393"/>
      <c r="X47" s="393"/>
      <c r="Y47" s="393"/>
      <c r="Z47" s="393"/>
    </row>
    <row r="48" ht="12.75" customHeight="1">
      <c r="A48" s="393"/>
      <c r="B48" s="393"/>
      <c r="C48" s="393"/>
      <c r="D48" s="393"/>
      <c r="E48" s="393"/>
      <c r="F48" s="393"/>
      <c r="G48" s="393"/>
      <c r="H48" s="393"/>
      <c r="I48" s="393"/>
      <c r="J48" s="393"/>
      <c r="K48" s="393"/>
      <c r="L48" s="393"/>
      <c r="M48" s="393"/>
      <c r="N48" s="393"/>
      <c r="O48" s="393"/>
      <c r="P48" s="393"/>
      <c r="Q48" s="393"/>
      <c r="R48" s="393"/>
      <c r="S48" s="393"/>
      <c r="T48" s="393"/>
      <c r="U48" s="393"/>
      <c r="V48" s="393"/>
      <c r="W48" s="393"/>
      <c r="X48" s="393"/>
      <c r="Y48" s="393"/>
      <c r="Z48" s="393"/>
    </row>
    <row r="49" ht="12.75" customHeight="1">
      <c r="A49" s="393"/>
      <c r="B49" s="393"/>
      <c r="C49" s="393"/>
      <c r="D49" s="393"/>
      <c r="E49" s="393"/>
      <c r="F49" s="393"/>
      <c r="G49" s="393"/>
      <c r="H49" s="393"/>
      <c r="I49" s="393"/>
      <c r="J49" s="393"/>
      <c r="K49" s="393"/>
      <c r="L49" s="393"/>
      <c r="M49" s="393"/>
      <c r="N49" s="393"/>
      <c r="O49" s="393"/>
      <c r="P49" s="393"/>
      <c r="Q49" s="393"/>
      <c r="R49" s="393"/>
      <c r="S49" s="393"/>
      <c r="T49" s="393"/>
      <c r="U49" s="393"/>
      <c r="V49" s="393"/>
      <c r="W49" s="393"/>
      <c r="X49" s="393"/>
      <c r="Y49" s="393"/>
      <c r="Z49" s="393"/>
    </row>
    <row r="50" ht="12.75" customHeight="1">
      <c r="A50" s="393"/>
      <c r="B50" s="393"/>
      <c r="C50" s="393"/>
      <c r="D50" s="393"/>
      <c r="E50" s="393"/>
      <c r="F50" s="393"/>
      <c r="G50" s="393"/>
      <c r="H50" s="393"/>
      <c r="I50" s="393"/>
      <c r="J50" s="393"/>
      <c r="K50" s="393"/>
      <c r="L50" s="393"/>
      <c r="M50" s="393"/>
      <c r="N50" s="393"/>
      <c r="O50" s="393"/>
      <c r="P50" s="393"/>
      <c r="Q50" s="393"/>
      <c r="R50" s="393"/>
      <c r="S50" s="393"/>
      <c r="T50" s="393"/>
      <c r="U50" s="393"/>
      <c r="V50" s="393"/>
      <c r="W50" s="393"/>
      <c r="X50" s="393"/>
      <c r="Y50" s="393"/>
      <c r="Z50" s="393"/>
    </row>
    <row r="51" ht="12.75" customHeight="1">
      <c r="A51" s="393"/>
      <c r="B51" s="393"/>
      <c r="C51" s="393"/>
      <c r="D51" s="393"/>
      <c r="E51" s="393"/>
      <c r="F51" s="393"/>
      <c r="G51" s="393"/>
      <c r="H51" s="393"/>
      <c r="I51" s="393"/>
      <c r="J51" s="393"/>
      <c r="K51" s="393"/>
      <c r="L51" s="393"/>
      <c r="M51" s="393"/>
      <c r="N51" s="393"/>
      <c r="O51" s="393"/>
      <c r="P51" s="393"/>
      <c r="Q51" s="393"/>
      <c r="R51" s="393"/>
      <c r="S51" s="393"/>
      <c r="T51" s="393"/>
      <c r="U51" s="393"/>
      <c r="V51" s="393"/>
      <c r="W51" s="393"/>
      <c r="X51" s="393"/>
      <c r="Y51" s="393"/>
      <c r="Z51" s="393"/>
    </row>
    <row r="52" ht="12.75" customHeight="1">
      <c r="A52" s="393"/>
      <c r="B52" s="393"/>
      <c r="C52" s="393"/>
      <c r="D52" s="393"/>
      <c r="E52" s="393"/>
      <c r="F52" s="393"/>
      <c r="G52" s="393"/>
      <c r="H52" s="393"/>
      <c r="I52" s="393"/>
      <c r="J52" s="393"/>
      <c r="K52" s="393"/>
      <c r="L52" s="393"/>
      <c r="M52" s="393"/>
      <c r="N52" s="393"/>
      <c r="O52" s="393"/>
      <c r="P52" s="393"/>
      <c r="Q52" s="393"/>
      <c r="R52" s="393"/>
      <c r="S52" s="393"/>
      <c r="T52" s="393"/>
      <c r="U52" s="393"/>
      <c r="V52" s="393"/>
      <c r="W52" s="393"/>
      <c r="X52" s="393"/>
      <c r="Y52" s="393"/>
      <c r="Z52" s="393"/>
    </row>
    <row r="53" ht="12.75" customHeight="1">
      <c r="A53" s="393"/>
      <c r="B53" s="393"/>
      <c r="C53" s="393"/>
      <c r="D53" s="393"/>
      <c r="E53" s="393"/>
      <c r="F53" s="393"/>
      <c r="G53" s="393"/>
      <c r="H53" s="393"/>
      <c r="I53" s="393"/>
      <c r="J53" s="393"/>
      <c r="K53" s="393"/>
      <c r="L53" s="393"/>
      <c r="M53" s="393"/>
      <c r="N53" s="393"/>
      <c r="O53" s="393"/>
      <c r="P53" s="393"/>
      <c r="Q53" s="393"/>
      <c r="R53" s="393"/>
      <c r="S53" s="393"/>
      <c r="T53" s="393"/>
      <c r="U53" s="393"/>
      <c r="V53" s="393"/>
      <c r="W53" s="393"/>
      <c r="X53" s="393"/>
      <c r="Y53" s="393"/>
      <c r="Z53" s="393"/>
    </row>
    <row r="54" ht="12.75" customHeight="1">
      <c r="A54" s="393"/>
      <c r="B54" s="393"/>
      <c r="C54" s="393"/>
      <c r="D54" s="393"/>
      <c r="E54" s="393"/>
      <c r="F54" s="393"/>
      <c r="G54" s="393"/>
      <c r="H54" s="393"/>
      <c r="I54" s="393"/>
      <c r="J54" s="393"/>
      <c r="K54" s="393"/>
      <c r="L54" s="393"/>
      <c r="M54" s="393"/>
      <c r="N54" s="393"/>
      <c r="O54" s="393"/>
      <c r="P54" s="393"/>
      <c r="Q54" s="393"/>
      <c r="R54" s="393"/>
      <c r="S54" s="393"/>
      <c r="T54" s="393"/>
      <c r="U54" s="393"/>
      <c r="V54" s="393"/>
      <c r="W54" s="393"/>
      <c r="X54" s="393"/>
      <c r="Y54" s="393"/>
      <c r="Z54" s="393"/>
    </row>
    <row r="55" ht="12.75" customHeight="1">
      <c r="A55" s="393"/>
      <c r="B55" s="393"/>
      <c r="C55" s="393"/>
      <c r="D55" s="393"/>
      <c r="E55" s="393"/>
      <c r="F55" s="393"/>
      <c r="G55" s="393"/>
      <c r="H55" s="393"/>
      <c r="I55" s="393"/>
      <c r="J55" s="393"/>
      <c r="K55" s="393"/>
      <c r="L55" s="393"/>
      <c r="M55" s="393"/>
      <c r="N55" s="393"/>
      <c r="O55" s="393"/>
      <c r="P55" s="393"/>
      <c r="Q55" s="393"/>
      <c r="R55" s="393"/>
      <c r="S55" s="393"/>
      <c r="T55" s="393"/>
      <c r="U55" s="393"/>
      <c r="V55" s="393"/>
      <c r="W55" s="393"/>
      <c r="X55" s="393"/>
      <c r="Y55" s="393"/>
      <c r="Z55" s="393"/>
    </row>
    <row r="56" ht="12.75" customHeight="1">
      <c r="A56" s="393"/>
      <c r="B56" s="393"/>
      <c r="C56" s="393"/>
      <c r="D56" s="393"/>
      <c r="E56" s="393"/>
      <c r="F56" s="393"/>
      <c r="G56" s="393"/>
      <c r="H56" s="393"/>
      <c r="I56" s="393"/>
      <c r="J56" s="393"/>
      <c r="K56" s="393"/>
      <c r="L56" s="393"/>
      <c r="M56" s="393"/>
      <c r="N56" s="393"/>
      <c r="O56" s="393"/>
      <c r="P56" s="393"/>
      <c r="Q56" s="393"/>
      <c r="R56" s="393"/>
      <c r="S56" s="393"/>
      <c r="T56" s="393"/>
      <c r="U56" s="393"/>
      <c r="V56" s="393"/>
      <c r="W56" s="393"/>
      <c r="X56" s="393"/>
      <c r="Y56" s="393"/>
      <c r="Z56" s="393"/>
    </row>
    <row r="57" ht="12.75" customHeight="1">
      <c r="A57" s="393"/>
      <c r="B57" s="393"/>
      <c r="C57" s="393"/>
      <c r="D57" s="393"/>
      <c r="E57" s="393"/>
      <c r="F57" s="393"/>
      <c r="G57" s="393"/>
      <c r="H57" s="393"/>
      <c r="I57" s="393"/>
      <c r="J57" s="393"/>
      <c r="K57" s="393"/>
      <c r="L57" s="393"/>
      <c r="M57" s="393"/>
      <c r="N57" s="393"/>
      <c r="O57" s="393"/>
      <c r="P57" s="393"/>
      <c r="Q57" s="393"/>
      <c r="R57" s="393"/>
      <c r="S57" s="393"/>
      <c r="T57" s="393"/>
      <c r="U57" s="393"/>
      <c r="V57" s="393"/>
      <c r="W57" s="393"/>
      <c r="X57" s="393"/>
      <c r="Y57" s="393"/>
      <c r="Z57" s="393"/>
    </row>
    <row r="58" ht="12.75" customHeight="1">
      <c r="A58" s="393"/>
      <c r="B58" s="393"/>
      <c r="C58" s="393"/>
      <c r="D58" s="393"/>
      <c r="E58" s="393"/>
      <c r="F58" s="393"/>
      <c r="G58" s="393"/>
      <c r="H58" s="393"/>
      <c r="I58" s="393"/>
      <c r="J58" s="393"/>
      <c r="K58" s="393"/>
      <c r="L58" s="393"/>
      <c r="M58" s="393"/>
      <c r="N58" s="393"/>
      <c r="O58" s="393"/>
      <c r="P58" s="393"/>
      <c r="Q58" s="393"/>
      <c r="R58" s="393"/>
      <c r="S58" s="393"/>
      <c r="T58" s="393"/>
      <c r="U58" s="393"/>
      <c r="V58" s="393"/>
      <c r="W58" s="393"/>
      <c r="X58" s="393"/>
      <c r="Y58" s="393"/>
      <c r="Z58" s="393"/>
    </row>
    <row r="59" ht="12.75" customHeight="1">
      <c r="A59" s="393"/>
      <c r="B59" s="393"/>
      <c r="C59" s="393"/>
      <c r="D59" s="393"/>
      <c r="E59" s="393"/>
      <c r="F59" s="393"/>
      <c r="G59" s="393"/>
      <c r="H59" s="393"/>
      <c r="I59" s="393"/>
      <c r="J59" s="393"/>
      <c r="K59" s="393"/>
      <c r="L59" s="393"/>
      <c r="M59" s="393"/>
      <c r="N59" s="393"/>
      <c r="O59" s="393"/>
      <c r="P59" s="393"/>
      <c r="Q59" s="393"/>
      <c r="R59" s="393"/>
      <c r="S59" s="393"/>
      <c r="T59" s="393"/>
      <c r="U59" s="393"/>
      <c r="V59" s="393"/>
      <c r="W59" s="393"/>
      <c r="X59" s="393"/>
      <c r="Y59" s="393"/>
      <c r="Z59" s="393"/>
    </row>
    <row r="60" ht="12.75" customHeight="1">
      <c r="A60" s="393"/>
      <c r="B60" s="393"/>
      <c r="C60" s="393"/>
      <c r="D60" s="393"/>
      <c r="E60" s="393"/>
      <c r="F60" s="393"/>
      <c r="G60" s="393"/>
      <c r="H60" s="393"/>
      <c r="I60" s="393"/>
      <c r="J60" s="393"/>
      <c r="K60" s="393"/>
      <c r="L60" s="393"/>
      <c r="M60" s="393"/>
      <c r="N60" s="393"/>
      <c r="O60" s="393"/>
      <c r="P60" s="393"/>
      <c r="Q60" s="393"/>
      <c r="R60" s="393"/>
      <c r="S60" s="393"/>
      <c r="T60" s="393"/>
      <c r="U60" s="393"/>
      <c r="V60" s="393"/>
      <c r="W60" s="393"/>
      <c r="X60" s="393"/>
      <c r="Y60" s="393"/>
      <c r="Z60" s="393"/>
    </row>
    <row r="61" ht="12.75" customHeight="1">
      <c r="A61" s="393"/>
      <c r="B61" s="393"/>
      <c r="C61" s="393"/>
      <c r="D61" s="393"/>
      <c r="E61" s="393"/>
      <c r="F61" s="393"/>
      <c r="G61" s="393"/>
      <c r="H61" s="393"/>
      <c r="I61" s="393"/>
      <c r="J61" s="393"/>
      <c r="K61" s="393"/>
      <c r="L61" s="393"/>
      <c r="M61" s="393"/>
      <c r="N61" s="393"/>
      <c r="O61" s="393"/>
      <c r="P61" s="393"/>
      <c r="Q61" s="393"/>
      <c r="R61" s="393"/>
      <c r="S61" s="393"/>
      <c r="T61" s="393"/>
      <c r="U61" s="393"/>
      <c r="V61" s="393"/>
      <c r="W61" s="393"/>
      <c r="X61" s="393"/>
      <c r="Y61" s="393"/>
      <c r="Z61" s="393"/>
    </row>
    <row r="62" ht="12.75" customHeight="1">
      <c r="A62" s="393"/>
      <c r="B62" s="393"/>
      <c r="C62" s="393"/>
      <c r="D62" s="393"/>
      <c r="E62" s="393"/>
      <c r="F62" s="393"/>
      <c r="G62" s="393"/>
      <c r="H62" s="393"/>
      <c r="I62" s="393"/>
      <c r="J62" s="393"/>
      <c r="K62" s="393"/>
      <c r="L62" s="393"/>
      <c r="M62" s="393"/>
      <c r="N62" s="393"/>
      <c r="O62" s="393"/>
      <c r="P62" s="393"/>
      <c r="Q62" s="393"/>
      <c r="R62" s="393"/>
      <c r="S62" s="393"/>
      <c r="T62" s="393"/>
      <c r="U62" s="393"/>
      <c r="V62" s="393"/>
      <c r="W62" s="393"/>
      <c r="X62" s="393"/>
      <c r="Y62" s="393"/>
      <c r="Z62" s="393"/>
    </row>
    <row r="63" ht="12.75" customHeight="1">
      <c r="A63" s="393"/>
      <c r="B63" s="393"/>
      <c r="C63" s="393"/>
      <c r="D63" s="393"/>
      <c r="E63" s="393"/>
      <c r="F63" s="393"/>
      <c r="G63" s="393"/>
      <c r="H63" s="393"/>
      <c r="I63" s="393"/>
      <c r="J63" s="393"/>
      <c r="K63" s="393"/>
      <c r="L63" s="393"/>
      <c r="M63" s="393"/>
      <c r="N63" s="393"/>
      <c r="O63" s="393"/>
      <c r="P63" s="393"/>
      <c r="Q63" s="393"/>
      <c r="R63" s="393"/>
      <c r="S63" s="393"/>
      <c r="T63" s="393"/>
      <c r="U63" s="393"/>
      <c r="V63" s="393"/>
      <c r="W63" s="393"/>
      <c r="X63" s="393"/>
      <c r="Y63" s="393"/>
      <c r="Z63" s="393"/>
    </row>
    <row r="64" ht="12.75" customHeight="1">
      <c r="A64" s="393"/>
      <c r="B64" s="393"/>
      <c r="C64" s="393"/>
      <c r="D64" s="393"/>
      <c r="E64" s="393"/>
      <c r="F64" s="393"/>
      <c r="G64" s="393"/>
      <c r="H64" s="393"/>
      <c r="I64" s="393"/>
      <c r="J64" s="393"/>
      <c r="K64" s="393"/>
      <c r="L64" s="393"/>
      <c r="M64" s="393"/>
      <c r="N64" s="393"/>
      <c r="O64" s="393"/>
      <c r="P64" s="393"/>
      <c r="Q64" s="393"/>
      <c r="R64" s="393"/>
      <c r="S64" s="393"/>
      <c r="T64" s="393"/>
      <c r="U64" s="393"/>
      <c r="V64" s="393"/>
      <c r="W64" s="393"/>
      <c r="X64" s="393"/>
      <c r="Y64" s="393"/>
      <c r="Z64" s="393"/>
    </row>
    <row r="65" ht="12.75" customHeight="1">
      <c r="A65" s="393"/>
      <c r="B65" s="393"/>
      <c r="C65" s="393"/>
      <c r="D65" s="393"/>
      <c r="E65" s="393"/>
      <c r="F65" s="393"/>
      <c r="G65" s="393"/>
      <c r="H65" s="393"/>
      <c r="I65" s="393"/>
      <c r="J65" s="393"/>
      <c r="K65" s="393"/>
      <c r="L65" s="393"/>
      <c r="M65" s="393"/>
      <c r="N65" s="393"/>
      <c r="O65" s="393"/>
      <c r="P65" s="393"/>
      <c r="Q65" s="393"/>
      <c r="R65" s="393"/>
      <c r="S65" s="393"/>
      <c r="T65" s="393"/>
      <c r="U65" s="393"/>
      <c r="V65" s="393"/>
      <c r="W65" s="393"/>
      <c r="X65" s="393"/>
      <c r="Y65" s="393"/>
      <c r="Z65" s="393"/>
    </row>
    <row r="66" ht="12.75" customHeight="1">
      <c r="A66" s="393"/>
      <c r="B66" s="393"/>
      <c r="C66" s="393"/>
      <c r="D66" s="393"/>
      <c r="E66" s="393"/>
      <c r="F66" s="393"/>
      <c r="G66" s="393"/>
      <c r="H66" s="393"/>
      <c r="I66" s="393"/>
      <c r="J66" s="393"/>
      <c r="K66" s="393"/>
      <c r="L66" s="393"/>
      <c r="M66" s="393"/>
      <c r="N66" s="393"/>
      <c r="O66" s="393"/>
      <c r="P66" s="393"/>
      <c r="Q66" s="393"/>
      <c r="R66" s="393"/>
      <c r="S66" s="393"/>
      <c r="T66" s="393"/>
      <c r="U66" s="393"/>
      <c r="V66" s="393"/>
      <c r="W66" s="393"/>
      <c r="X66" s="393"/>
      <c r="Y66" s="393"/>
      <c r="Z66" s="393"/>
    </row>
    <row r="67" ht="12.75" customHeight="1">
      <c r="A67" s="393"/>
      <c r="B67" s="393"/>
      <c r="C67" s="393"/>
      <c r="D67" s="393"/>
      <c r="E67" s="393"/>
      <c r="F67" s="393"/>
      <c r="G67" s="393"/>
      <c r="H67" s="393"/>
      <c r="I67" s="393"/>
      <c r="J67" s="393"/>
      <c r="K67" s="393"/>
      <c r="L67" s="393"/>
      <c r="M67" s="393"/>
      <c r="N67" s="393"/>
      <c r="O67" s="393"/>
      <c r="P67" s="393"/>
      <c r="Q67" s="393"/>
      <c r="R67" s="393"/>
      <c r="S67" s="393"/>
      <c r="T67" s="393"/>
      <c r="U67" s="393"/>
      <c r="V67" s="393"/>
      <c r="W67" s="393"/>
      <c r="X67" s="393"/>
      <c r="Y67" s="393"/>
      <c r="Z67" s="393"/>
    </row>
    <row r="68" ht="12.75" customHeight="1">
      <c r="A68" s="393"/>
      <c r="B68" s="393"/>
      <c r="C68" s="393"/>
      <c r="D68" s="393"/>
      <c r="E68" s="393"/>
      <c r="F68" s="393"/>
      <c r="G68" s="393"/>
      <c r="H68" s="393"/>
      <c r="I68" s="393"/>
      <c r="J68" s="393"/>
      <c r="K68" s="393"/>
      <c r="L68" s="393"/>
      <c r="M68" s="393"/>
      <c r="N68" s="393"/>
      <c r="O68" s="393"/>
      <c r="P68" s="393"/>
      <c r="Q68" s="393"/>
      <c r="R68" s="393"/>
      <c r="S68" s="393"/>
      <c r="T68" s="393"/>
      <c r="U68" s="393"/>
      <c r="V68" s="393"/>
      <c r="W68" s="393"/>
      <c r="X68" s="393"/>
      <c r="Y68" s="393"/>
      <c r="Z68" s="393"/>
    </row>
    <row r="69" ht="12.75" customHeight="1">
      <c r="A69" s="393"/>
      <c r="B69" s="393"/>
      <c r="C69" s="393"/>
      <c r="D69" s="393"/>
      <c r="E69" s="393"/>
      <c r="F69" s="393"/>
      <c r="G69" s="393"/>
      <c r="H69" s="393"/>
      <c r="I69" s="393"/>
      <c r="J69" s="393"/>
      <c r="K69" s="393"/>
      <c r="L69" s="393"/>
      <c r="M69" s="393"/>
      <c r="N69" s="393"/>
      <c r="O69" s="393"/>
      <c r="P69" s="393"/>
      <c r="Q69" s="393"/>
      <c r="R69" s="393"/>
      <c r="S69" s="393"/>
      <c r="T69" s="393"/>
      <c r="U69" s="393"/>
      <c r="V69" s="393"/>
      <c r="W69" s="393"/>
      <c r="X69" s="393"/>
      <c r="Y69" s="393"/>
      <c r="Z69" s="393"/>
    </row>
    <row r="70" ht="12.75" customHeight="1">
      <c r="A70" s="393"/>
      <c r="B70" s="393"/>
      <c r="C70" s="393"/>
      <c r="D70" s="393"/>
      <c r="E70" s="393"/>
      <c r="F70" s="393"/>
      <c r="G70" s="393"/>
      <c r="H70" s="393"/>
      <c r="I70" s="393"/>
      <c r="J70" s="393"/>
      <c r="K70" s="393"/>
      <c r="L70" s="393"/>
      <c r="M70" s="393"/>
      <c r="N70" s="393"/>
      <c r="O70" s="393"/>
      <c r="P70" s="393"/>
      <c r="Q70" s="393"/>
      <c r="R70" s="393"/>
      <c r="S70" s="393"/>
      <c r="T70" s="393"/>
      <c r="U70" s="393"/>
      <c r="V70" s="393"/>
      <c r="W70" s="393"/>
      <c r="X70" s="393"/>
      <c r="Y70" s="393"/>
      <c r="Z70" s="393"/>
    </row>
    <row r="71" ht="12.75" customHeight="1">
      <c r="A71" s="393"/>
      <c r="B71" s="393"/>
      <c r="C71" s="393"/>
      <c r="D71" s="393"/>
      <c r="E71" s="393"/>
      <c r="F71" s="393"/>
      <c r="G71" s="393"/>
      <c r="H71" s="393"/>
      <c r="I71" s="393"/>
      <c r="J71" s="393"/>
      <c r="K71" s="393"/>
      <c r="L71" s="393"/>
      <c r="M71" s="393"/>
      <c r="N71" s="393"/>
      <c r="O71" s="393"/>
      <c r="P71" s="393"/>
      <c r="Q71" s="393"/>
      <c r="R71" s="393"/>
      <c r="S71" s="393"/>
      <c r="T71" s="393"/>
      <c r="U71" s="393"/>
      <c r="V71" s="393"/>
      <c r="W71" s="393"/>
      <c r="X71" s="393"/>
      <c r="Y71" s="393"/>
      <c r="Z71" s="393"/>
    </row>
    <row r="72" ht="12.75" customHeight="1">
      <c r="A72" s="393"/>
      <c r="B72" s="393"/>
      <c r="C72" s="393"/>
      <c r="D72" s="393"/>
      <c r="E72" s="393"/>
      <c r="F72" s="393"/>
      <c r="G72" s="393"/>
      <c r="H72" s="393"/>
      <c r="I72" s="393"/>
      <c r="J72" s="393"/>
      <c r="K72" s="393"/>
      <c r="L72" s="393"/>
      <c r="M72" s="393"/>
      <c r="N72" s="393"/>
      <c r="O72" s="393"/>
      <c r="P72" s="393"/>
      <c r="Q72" s="393"/>
      <c r="R72" s="393"/>
      <c r="S72" s="393"/>
      <c r="T72" s="393"/>
      <c r="U72" s="393"/>
      <c r="V72" s="393"/>
      <c r="W72" s="393"/>
      <c r="X72" s="393"/>
      <c r="Y72" s="393"/>
      <c r="Z72" s="393"/>
    </row>
    <row r="73" ht="12.75" customHeight="1">
      <c r="A73" s="393"/>
      <c r="B73" s="393"/>
      <c r="C73" s="393"/>
      <c r="D73" s="393"/>
      <c r="E73" s="393"/>
      <c r="F73" s="393"/>
      <c r="G73" s="393"/>
      <c r="H73" s="393"/>
      <c r="I73" s="393"/>
      <c r="J73" s="393"/>
      <c r="K73" s="393"/>
      <c r="L73" s="393"/>
      <c r="M73" s="393"/>
      <c r="N73" s="393"/>
      <c r="O73" s="393"/>
      <c r="P73" s="393"/>
      <c r="Q73" s="393"/>
      <c r="R73" s="393"/>
      <c r="S73" s="393"/>
      <c r="T73" s="393"/>
      <c r="U73" s="393"/>
      <c r="V73" s="393"/>
      <c r="W73" s="393"/>
      <c r="X73" s="393"/>
      <c r="Y73" s="393"/>
      <c r="Z73" s="393"/>
    </row>
    <row r="74" ht="12.75" customHeight="1">
      <c r="A74" s="393"/>
      <c r="B74" s="393"/>
      <c r="C74" s="393"/>
      <c r="D74" s="393"/>
      <c r="E74" s="393"/>
      <c r="F74" s="393"/>
      <c r="G74" s="393"/>
      <c r="H74" s="393"/>
      <c r="I74" s="393"/>
      <c r="J74" s="393"/>
      <c r="K74" s="393"/>
      <c r="L74" s="393"/>
      <c r="M74" s="393"/>
      <c r="N74" s="393"/>
      <c r="O74" s="393"/>
      <c r="P74" s="393"/>
      <c r="Q74" s="393"/>
      <c r="R74" s="393"/>
      <c r="S74" s="393"/>
      <c r="T74" s="393"/>
      <c r="U74" s="393"/>
      <c r="V74" s="393"/>
      <c r="W74" s="393"/>
      <c r="X74" s="393"/>
      <c r="Y74" s="393"/>
      <c r="Z74" s="393"/>
    </row>
    <row r="75" ht="12.75" customHeight="1">
      <c r="A75" s="393"/>
      <c r="B75" s="393"/>
      <c r="C75" s="393"/>
      <c r="D75" s="393"/>
      <c r="E75" s="393"/>
      <c r="F75" s="393"/>
      <c r="G75" s="393"/>
      <c r="H75" s="393"/>
      <c r="I75" s="393"/>
      <c r="J75" s="393"/>
      <c r="K75" s="393"/>
      <c r="L75" s="393"/>
      <c r="M75" s="393"/>
      <c r="N75" s="393"/>
      <c r="O75" s="393"/>
      <c r="P75" s="393"/>
      <c r="Q75" s="393"/>
      <c r="R75" s="393"/>
      <c r="S75" s="393"/>
      <c r="T75" s="393"/>
      <c r="U75" s="393"/>
      <c r="V75" s="393"/>
      <c r="W75" s="393"/>
      <c r="X75" s="393"/>
      <c r="Y75" s="393"/>
      <c r="Z75" s="393"/>
    </row>
    <row r="76" ht="12.75" customHeight="1">
      <c r="A76" s="393"/>
      <c r="B76" s="393"/>
      <c r="C76" s="393"/>
      <c r="D76" s="393"/>
      <c r="E76" s="393"/>
      <c r="F76" s="393"/>
      <c r="G76" s="393"/>
      <c r="H76" s="393"/>
      <c r="I76" s="393"/>
      <c r="J76" s="393"/>
      <c r="K76" s="393"/>
      <c r="L76" s="393"/>
      <c r="M76" s="393"/>
      <c r="N76" s="393"/>
      <c r="O76" s="393"/>
      <c r="P76" s="393"/>
      <c r="Q76" s="393"/>
      <c r="R76" s="393"/>
      <c r="S76" s="393"/>
      <c r="T76" s="393"/>
      <c r="U76" s="393"/>
      <c r="V76" s="393"/>
      <c r="W76" s="393"/>
      <c r="X76" s="393"/>
      <c r="Y76" s="393"/>
      <c r="Z76" s="393"/>
    </row>
    <row r="77" ht="12.75" customHeight="1">
      <c r="A77" s="393"/>
      <c r="B77" s="393"/>
      <c r="C77" s="393"/>
      <c r="D77" s="393"/>
      <c r="E77" s="393"/>
      <c r="F77" s="393"/>
      <c r="G77" s="393"/>
      <c r="H77" s="393"/>
      <c r="I77" s="393"/>
      <c r="J77" s="393"/>
      <c r="K77" s="393"/>
      <c r="L77" s="393"/>
      <c r="M77" s="393"/>
      <c r="N77" s="393"/>
      <c r="O77" s="393"/>
      <c r="P77" s="393"/>
      <c r="Q77" s="393"/>
      <c r="R77" s="393"/>
      <c r="S77" s="393"/>
      <c r="T77" s="393"/>
      <c r="U77" s="393"/>
      <c r="V77" s="393"/>
      <c r="W77" s="393"/>
      <c r="X77" s="393"/>
      <c r="Y77" s="393"/>
      <c r="Z77" s="393"/>
    </row>
    <row r="78" ht="12.75" customHeight="1">
      <c r="A78" s="393"/>
      <c r="B78" s="393"/>
      <c r="C78" s="393"/>
      <c r="D78" s="393"/>
      <c r="E78" s="393"/>
      <c r="F78" s="393"/>
      <c r="G78" s="393"/>
      <c r="H78" s="393"/>
      <c r="I78" s="393"/>
      <c r="J78" s="393"/>
      <c r="K78" s="393"/>
      <c r="L78" s="393"/>
      <c r="M78" s="393"/>
      <c r="N78" s="393"/>
      <c r="O78" s="393"/>
      <c r="P78" s="393"/>
      <c r="Q78" s="393"/>
      <c r="R78" s="393"/>
      <c r="S78" s="393"/>
      <c r="T78" s="393"/>
      <c r="U78" s="393"/>
      <c r="V78" s="393"/>
      <c r="W78" s="393"/>
      <c r="X78" s="393"/>
      <c r="Y78" s="393"/>
      <c r="Z78" s="393"/>
    </row>
    <row r="79" ht="12.75" customHeight="1">
      <c r="A79" s="393"/>
      <c r="B79" s="393"/>
      <c r="C79" s="393"/>
      <c r="D79" s="393"/>
      <c r="E79" s="393"/>
      <c r="F79" s="393"/>
      <c r="G79" s="393"/>
      <c r="H79" s="393"/>
      <c r="I79" s="393"/>
      <c r="J79" s="393"/>
      <c r="K79" s="393"/>
      <c r="L79" s="393"/>
      <c r="M79" s="393"/>
      <c r="N79" s="393"/>
      <c r="O79" s="393"/>
      <c r="P79" s="393"/>
      <c r="Q79" s="393"/>
      <c r="R79" s="393"/>
      <c r="S79" s="393"/>
      <c r="T79" s="393"/>
      <c r="U79" s="393"/>
      <c r="V79" s="393"/>
      <c r="W79" s="393"/>
      <c r="X79" s="393"/>
      <c r="Y79" s="393"/>
      <c r="Z79" s="393"/>
    </row>
    <row r="80" ht="12.75" customHeight="1">
      <c r="A80" s="393"/>
      <c r="B80" s="393"/>
      <c r="C80" s="393"/>
      <c r="D80" s="393"/>
      <c r="E80" s="393"/>
      <c r="F80" s="393"/>
      <c r="G80" s="393"/>
      <c r="H80" s="393"/>
      <c r="I80" s="393"/>
      <c r="J80" s="393"/>
      <c r="K80" s="393"/>
      <c r="L80" s="393"/>
      <c r="M80" s="393"/>
      <c r="N80" s="393"/>
      <c r="O80" s="393"/>
      <c r="P80" s="393"/>
      <c r="Q80" s="393"/>
      <c r="R80" s="393"/>
      <c r="S80" s="393"/>
      <c r="T80" s="393"/>
      <c r="U80" s="393"/>
      <c r="V80" s="393"/>
      <c r="W80" s="393"/>
      <c r="X80" s="393"/>
      <c r="Y80" s="393"/>
      <c r="Z80" s="393"/>
    </row>
    <row r="81" ht="12.75" customHeight="1">
      <c r="A81" s="393"/>
      <c r="B81" s="393"/>
      <c r="C81" s="393"/>
      <c r="D81" s="393"/>
      <c r="E81" s="393"/>
      <c r="F81" s="393"/>
      <c r="G81" s="393"/>
      <c r="H81" s="393"/>
      <c r="I81" s="393"/>
      <c r="J81" s="393"/>
      <c r="K81" s="393"/>
      <c r="L81" s="393"/>
      <c r="M81" s="393"/>
      <c r="N81" s="393"/>
      <c r="O81" s="393"/>
      <c r="P81" s="393"/>
      <c r="Q81" s="393"/>
      <c r="R81" s="393"/>
      <c r="S81" s="393"/>
      <c r="T81" s="393"/>
      <c r="U81" s="393"/>
      <c r="V81" s="393"/>
      <c r="W81" s="393"/>
      <c r="X81" s="393"/>
      <c r="Y81" s="393"/>
      <c r="Z81" s="393"/>
    </row>
    <row r="82" ht="12.75" customHeight="1">
      <c r="A82" s="393"/>
      <c r="B82" s="393"/>
      <c r="C82" s="393"/>
      <c r="D82" s="393"/>
      <c r="E82" s="393"/>
      <c r="F82" s="393"/>
      <c r="G82" s="393"/>
      <c r="H82" s="393"/>
      <c r="I82" s="393"/>
      <c r="J82" s="393"/>
      <c r="K82" s="393"/>
      <c r="L82" s="393"/>
      <c r="M82" s="393"/>
      <c r="N82" s="393"/>
      <c r="O82" s="393"/>
      <c r="P82" s="393"/>
      <c r="Q82" s="393"/>
      <c r="R82" s="393"/>
      <c r="S82" s="393"/>
      <c r="T82" s="393"/>
      <c r="U82" s="393"/>
      <c r="V82" s="393"/>
      <c r="W82" s="393"/>
      <c r="X82" s="393"/>
      <c r="Y82" s="393"/>
      <c r="Z82" s="393"/>
    </row>
    <row r="83" ht="12.75" customHeight="1">
      <c r="A83" s="393"/>
      <c r="B83" s="393"/>
      <c r="C83" s="393"/>
      <c r="D83" s="393"/>
      <c r="E83" s="393"/>
      <c r="F83" s="393"/>
      <c r="G83" s="393"/>
      <c r="H83" s="393"/>
      <c r="I83" s="393"/>
      <c r="J83" s="393"/>
      <c r="K83" s="393"/>
      <c r="L83" s="393"/>
      <c r="M83" s="393"/>
      <c r="N83" s="393"/>
      <c r="O83" s="393"/>
      <c r="P83" s="393"/>
      <c r="Q83" s="393"/>
      <c r="R83" s="393"/>
      <c r="S83" s="393"/>
      <c r="T83" s="393"/>
      <c r="U83" s="393"/>
      <c r="V83" s="393"/>
      <c r="W83" s="393"/>
      <c r="X83" s="393"/>
      <c r="Y83" s="393"/>
      <c r="Z83" s="393"/>
    </row>
    <row r="84" ht="12.75" customHeight="1">
      <c r="A84" s="393"/>
      <c r="B84" s="393"/>
      <c r="C84" s="393"/>
      <c r="D84" s="393"/>
      <c r="E84" s="393"/>
      <c r="F84" s="393"/>
      <c r="G84" s="393"/>
      <c r="H84" s="393"/>
      <c r="I84" s="393"/>
      <c r="J84" s="393"/>
      <c r="K84" s="393"/>
      <c r="L84" s="393"/>
      <c r="M84" s="393"/>
      <c r="N84" s="393"/>
      <c r="O84" s="393"/>
      <c r="P84" s="393"/>
      <c r="Q84" s="393"/>
      <c r="R84" s="393"/>
      <c r="S84" s="393"/>
      <c r="T84" s="393"/>
      <c r="U84" s="393"/>
      <c r="V84" s="393"/>
      <c r="W84" s="393"/>
      <c r="X84" s="393"/>
      <c r="Y84" s="393"/>
      <c r="Z84" s="393"/>
    </row>
    <row r="85" ht="12.75" customHeight="1">
      <c r="A85" s="393"/>
      <c r="B85" s="393"/>
      <c r="C85" s="393"/>
      <c r="D85" s="393"/>
      <c r="E85" s="393"/>
      <c r="F85" s="393"/>
      <c r="G85" s="393"/>
      <c r="H85" s="393"/>
      <c r="I85" s="393"/>
      <c r="J85" s="393"/>
      <c r="K85" s="393"/>
      <c r="L85" s="393"/>
      <c r="M85" s="393"/>
      <c r="N85" s="393"/>
      <c r="O85" s="393"/>
      <c r="P85" s="393"/>
      <c r="Q85" s="393"/>
      <c r="R85" s="393"/>
      <c r="S85" s="393"/>
      <c r="T85" s="393"/>
      <c r="U85" s="393"/>
      <c r="V85" s="393"/>
      <c r="W85" s="393"/>
      <c r="X85" s="393"/>
      <c r="Y85" s="393"/>
      <c r="Z85" s="393"/>
    </row>
    <row r="86" ht="12.75" customHeight="1">
      <c r="A86" s="393"/>
      <c r="B86" s="393"/>
      <c r="C86" s="393"/>
      <c r="D86" s="393"/>
      <c r="E86" s="393"/>
      <c r="F86" s="393"/>
      <c r="G86" s="393"/>
      <c r="H86" s="393"/>
      <c r="I86" s="393"/>
      <c r="J86" s="393"/>
      <c r="K86" s="393"/>
      <c r="L86" s="393"/>
      <c r="M86" s="393"/>
      <c r="N86" s="393"/>
      <c r="O86" s="393"/>
      <c r="P86" s="393"/>
      <c r="Q86" s="393"/>
      <c r="R86" s="393"/>
      <c r="S86" s="393"/>
      <c r="T86" s="393"/>
      <c r="U86" s="393"/>
      <c r="V86" s="393"/>
      <c r="W86" s="393"/>
      <c r="X86" s="393"/>
      <c r="Y86" s="393"/>
      <c r="Z86" s="393"/>
    </row>
    <row r="87" ht="12.75" customHeight="1">
      <c r="A87" s="393"/>
      <c r="B87" s="393"/>
      <c r="C87" s="393"/>
      <c r="D87" s="393"/>
      <c r="E87" s="393"/>
      <c r="F87" s="393"/>
      <c r="G87" s="393"/>
      <c r="H87" s="393"/>
      <c r="I87" s="393"/>
      <c r="J87" s="393"/>
      <c r="K87" s="393"/>
      <c r="L87" s="393"/>
      <c r="M87" s="393"/>
      <c r="N87" s="393"/>
      <c r="O87" s="393"/>
      <c r="P87" s="393"/>
      <c r="Q87" s="393"/>
      <c r="R87" s="393"/>
      <c r="S87" s="393"/>
      <c r="T87" s="393"/>
      <c r="U87" s="393"/>
      <c r="V87" s="393"/>
      <c r="W87" s="393"/>
      <c r="X87" s="393"/>
      <c r="Y87" s="393"/>
      <c r="Z87" s="393"/>
    </row>
    <row r="88" ht="12.75" customHeight="1">
      <c r="A88" s="393"/>
      <c r="B88" s="393"/>
      <c r="C88" s="393"/>
      <c r="D88" s="393"/>
      <c r="E88" s="393"/>
      <c r="F88" s="393"/>
      <c r="G88" s="393"/>
      <c r="H88" s="393"/>
      <c r="I88" s="393"/>
      <c r="J88" s="393"/>
      <c r="K88" s="393"/>
      <c r="L88" s="393"/>
      <c r="M88" s="393"/>
      <c r="N88" s="393"/>
      <c r="O88" s="393"/>
      <c r="P88" s="393"/>
      <c r="Q88" s="393"/>
      <c r="R88" s="393"/>
      <c r="S88" s="393"/>
      <c r="T88" s="393"/>
      <c r="U88" s="393"/>
      <c r="V88" s="393"/>
      <c r="W88" s="393"/>
      <c r="X88" s="393"/>
      <c r="Y88" s="393"/>
      <c r="Z88" s="393"/>
    </row>
    <row r="89" ht="12.75" customHeight="1">
      <c r="A89" s="393"/>
      <c r="B89" s="393"/>
      <c r="C89" s="393"/>
      <c r="D89" s="393"/>
      <c r="E89" s="393"/>
      <c r="F89" s="393"/>
      <c r="G89" s="393"/>
      <c r="H89" s="393"/>
      <c r="I89" s="393"/>
      <c r="J89" s="393"/>
      <c r="K89" s="393"/>
      <c r="L89" s="393"/>
      <c r="M89" s="393"/>
      <c r="N89" s="393"/>
      <c r="O89" s="393"/>
      <c r="P89" s="393"/>
      <c r="Q89" s="393"/>
      <c r="R89" s="393"/>
      <c r="S89" s="393"/>
      <c r="T89" s="393"/>
      <c r="U89" s="393"/>
      <c r="V89" s="393"/>
      <c r="W89" s="393"/>
      <c r="X89" s="393"/>
      <c r="Y89" s="393"/>
      <c r="Z89" s="393"/>
    </row>
    <row r="90" ht="12.75" customHeight="1">
      <c r="A90" s="393"/>
      <c r="B90" s="393"/>
      <c r="C90" s="393"/>
      <c r="D90" s="393"/>
      <c r="E90" s="393"/>
      <c r="F90" s="393"/>
      <c r="G90" s="393"/>
      <c r="H90" s="393"/>
      <c r="I90" s="393"/>
      <c r="J90" s="393"/>
      <c r="K90" s="393"/>
      <c r="L90" s="393"/>
      <c r="M90" s="393"/>
      <c r="N90" s="393"/>
      <c r="O90" s="393"/>
      <c r="P90" s="393"/>
      <c r="Q90" s="393"/>
      <c r="R90" s="393"/>
      <c r="S90" s="393"/>
      <c r="T90" s="393"/>
      <c r="U90" s="393"/>
      <c r="V90" s="393"/>
      <c r="W90" s="393"/>
      <c r="X90" s="393"/>
      <c r="Y90" s="393"/>
      <c r="Z90" s="393"/>
    </row>
    <row r="91" ht="12.75" customHeight="1">
      <c r="A91" s="393"/>
      <c r="B91" s="393"/>
      <c r="C91" s="393"/>
      <c r="D91" s="393"/>
      <c r="E91" s="393"/>
      <c r="F91" s="393"/>
      <c r="G91" s="393"/>
      <c r="H91" s="393"/>
      <c r="I91" s="393"/>
      <c r="J91" s="393"/>
      <c r="K91" s="393"/>
      <c r="L91" s="393"/>
      <c r="M91" s="393"/>
      <c r="N91" s="393"/>
      <c r="O91" s="393"/>
      <c r="P91" s="393"/>
      <c r="Q91" s="393"/>
      <c r="R91" s="393"/>
      <c r="S91" s="393"/>
      <c r="T91" s="393"/>
      <c r="U91" s="393"/>
      <c r="V91" s="393"/>
      <c r="W91" s="393"/>
      <c r="X91" s="393"/>
      <c r="Y91" s="393"/>
      <c r="Z91" s="393"/>
    </row>
    <row r="92" ht="12.75" customHeight="1">
      <c r="A92" s="393"/>
      <c r="B92" s="393"/>
      <c r="C92" s="393"/>
      <c r="D92" s="393"/>
      <c r="E92" s="393"/>
      <c r="F92" s="393"/>
      <c r="G92" s="393"/>
      <c r="H92" s="393"/>
      <c r="I92" s="393"/>
      <c r="J92" s="393"/>
      <c r="K92" s="393"/>
      <c r="L92" s="393"/>
      <c r="M92" s="393"/>
      <c r="N92" s="393"/>
      <c r="O92" s="393"/>
      <c r="P92" s="393"/>
      <c r="Q92" s="393"/>
      <c r="R92" s="393"/>
      <c r="S92" s="393"/>
      <c r="T92" s="393"/>
      <c r="U92" s="393"/>
      <c r="V92" s="393"/>
      <c r="W92" s="393"/>
      <c r="X92" s="393"/>
      <c r="Y92" s="393"/>
      <c r="Z92" s="393"/>
    </row>
    <row r="93" ht="12.75" customHeight="1">
      <c r="A93" s="393"/>
      <c r="B93" s="393"/>
      <c r="C93" s="393"/>
      <c r="D93" s="393"/>
      <c r="E93" s="393"/>
      <c r="F93" s="393"/>
      <c r="G93" s="393"/>
      <c r="H93" s="393"/>
      <c r="I93" s="393"/>
      <c r="J93" s="393"/>
      <c r="K93" s="393"/>
      <c r="L93" s="393"/>
      <c r="M93" s="393"/>
      <c r="N93" s="393"/>
      <c r="O93" s="393"/>
      <c r="P93" s="393"/>
      <c r="Q93" s="393"/>
      <c r="R93" s="393"/>
      <c r="S93" s="393"/>
      <c r="T93" s="393"/>
      <c r="U93" s="393"/>
      <c r="V93" s="393"/>
      <c r="W93" s="393"/>
      <c r="X93" s="393"/>
      <c r="Y93" s="393"/>
      <c r="Z93" s="393"/>
    </row>
    <row r="94" ht="12.75" customHeight="1">
      <c r="A94" s="393"/>
      <c r="B94" s="393"/>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row>
    <row r="95" ht="12.75" customHeight="1">
      <c r="A95" s="393"/>
      <c r="B95" s="393"/>
      <c r="C95" s="393"/>
      <c r="D95" s="393"/>
      <c r="E95" s="393"/>
      <c r="F95" s="393"/>
      <c r="G95" s="393"/>
      <c r="H95" s="393"/>
      <c r="I95" s="393"/>
      <c r="J95" s="393"/>
      <c r="K95" s="393"/>
      <c r="L95" s="393"/>
      <c r="M95" s="393"/>
      <c r="N95" s="393"/>
      <c r="O95" s="393"/>
      <c r="P95" s="393"/>
      <c r="Q95" s="393"/>
      <c r="R95" s="393"/>
      <c r="S95" s="393"/>
      <c r="T95" s="393"/>
      <c r="U95" s="393"/>
      <c r="V95" s="393"/>
      <c r="W95" s="393"/>
      <c r="X95" s="393"/>
      <c r="Y95" s="393"/>
      <c r="Z95" s="393"/>
    </row>
    <row r="96" ht="12.75" customHeight="1">
      <c r="A96" s="393"/>
      <c r="B96" s="393"/>
      <c r="C96" s="393"/>
      <c r="D96" s="393"/>
      <c r="E96" s="393"/>
      <c r="F96" s="393"/>
      <c r="G96" s="393"/>
      <c r="H96" s="393"/>
      <c r="I96" s="393"/>
      <c r="J96" s="393"/>
      <c r="K96" s="393"/>
      <c r="L96" s="393"/>
      <c r="M96" s="393"/>
      <c r="N96" s="393"/>
      <c r="O96" s="393"/>
      <c r="P96" s="393"/>
      <c r="Q96" s="393"/>
      <c r="R96" s="393"/>
      <c r="S96" s="393"/>
      <c r="T96" s="393"/>
      <c r="U96" s="393"/>
      <c r="V96" s="393"/>
      <c r="W96" s="393"/>
      <c r="X96" s="393"/>
      <c r="Y96" s="393"/>
      <c r="Z96" s="393"/>
    </row>
    <row r="97" ht="12.75" customHeight="1">
      <c r="A97" s="393"/>
      <c r="B97" s="393"/>
      <c r="C97" s="393"/>
      <c r="D97" s="393"/>
      <c r="E97" s="393"/>
      <c r="F97" s="393"/>
      <c r="G97" s="393"/>
      <c r="H97" s="393"/>
      <c r="I97" s="393"/>
      <c r="J97" s="393"/>
      <c r="K97" s="393"/>
      <c r="L97" s="393"/>
      <c r="M97" s="393"/>
      <c r="N97" s="393"/>
      <c r="O97" s="393"/>
      <c r="P97" s="393"/>
      <c r="Q97" s="393"/>
      <c r="R97" s="393"/>
      <c r="S97" s="393"/>
      <c r="T97" s="393"/>
      <c r="U97" s="393"/>
      <c r="V97" s="393"/>
      <c r="W97" s="393"/>
      <c r="X97" s="393"/>
      <c r="Y97" s="393"/>
      <c r="Z97" s="393"/>
    </row>
    <row r="98" ht="12.75" customHeight="1">
      <c r="A98" s="393"/>
      <c r="B98" s="393"/>
      <c r="C98" s="393"/>
      <c r="D98" s="393"/>
      <c r="E98" s="393"/>
      <c r="F98" s="393"/>
      <c r="G98" s="393"/>
      <c r="H98" s="393"/>
      <c r="I98" s="393"/>
      <c r="J98" s="393"/>
      <c r="K98" s="393"/>
      <c r="L98" s="393"/>
      <c r="M98" s="393"/>
      <c r="N98" s="393"/>
      <c r="O98" s="393"/>
      <c r="P98" s="393"/>
      <c r="Q98" s="393"/>
      <c r="R98" s="393"/>
      <c r="S98" s="393"/>
      <c r="T98" s="393"/>
      <c r="U98" s="393"/>
      <c r="V98" s="393"/>
      <c r="W98" s="393"/>
      <c r="X98" s="393"/>
      <c r="Y98" s="393"/>
      <c r="Z98" s="393"/>
    </row>
    <row r="99" ht="12.75" customHeight="1">
      <c r="A99" s="393"/>
      <c r="B99" s="393"/>
      <c r="C99" s="393"/>
      <c r="D99" s="393"/>
      <c r="E99" s="393"/>
      <c r="F99" s="393"/>
      <c r="G99" s="393"/>
      <c r="H99" s="393"/>
      <c r="I99" s="393"/>
      <c r="J99" s="393"/>
      <c r="K99" s="393"/>
      <c r="L99" s="393"/>
      <c r="M99" s="393"/>
      <c r="N99" s="393"/>
      <c r="O99" s="393"/>
      <c r="P99" s="393"/>
      <c r="Q99" s="393"/>
      <c r="R99" s="393"/>
      <c r="S99" s="393"/>
      <c r="T99" s="393"/>
      <c r="U99" s="393"/>
      <c r="V99" s="393"/>
      <c r="W99" s="393"/>
      <c r="X99" s="393"/>
      <c r="Y99" s="393"/>
      <c r="Z99" s="393"/>
    </row>
    <row r="100" ht="12.75" customHeight="1">
      <c r="A100" s="393"/>
      <c r="B100" s="393"/>
      <c r="C100" s="393"/>
      <c r="D100" s="393"/>
      <c r="E100" s="393"/>
      <c r="F100" s="393"/>
      <c r="G100" s="393"/>
      <c r="H100" s="393"/>
      <c r="I100" s="393"/>
      <c r="J100" s="393"/>
      <c r="K100" s="393"/>
      <c r="L100" s="393"/>
      <c r="M100" s="393"/>
      <c r="N100" s="393"/>
      <c r="O100" s="393"/>
      <c r="P100" s="393"/>
      <c r="Q100" s="393"/>
      <c r="R100" s="393"/>
      <c r="S100" s="393"/>
      <c r="T100" s="393"/>
      <c r="U100" s="393"/>
      <c r="V100" s="393"/>
      <c r="W100" s="393"/>
      <c r="X100" s="393"/>
      <c r="Y100" s="393"/>
      <c r="Z100" s="393"/>
    </row>
    <row r="101" ht="12.75" customHeight="1">
      <c r="A101" s="393"/>
      <c r="B101" s="393"/>
      <c r="C101" s="393"/>
      <c r="D101" s="393"/>
      <c r="E101" s="393"/>
      <c r="F101" s="393"/>
      <c r="G101" s="393"/>
      <c r="H101" s="393"/>
      <c r="I101" s="393"/>
      <c r="J101" s="393"/>
      <c r="K101" s="393"/>
      <c r="L101" s="393"/>
      <c r="M101" s="393"/>
      <c r="N101" s="393"/>
      <c r="O101" s="393"/>
      <c r="P101" s="393"/>
      <c r="Q101" s="393"/>
      <c r="R101" s="393"/>
      <c r="S101" s="393"/>
      <c r="T101" s="393"/>
      <c r="U101" s="393"/>
      <c r="V101" s="393"/>
      <c r="W101" s="393"/>
      <c r="X101" s="393"/>
      <c r="Y101" s="393"/>
      <c r="Z101" s="393"/>
    </row>
    <row r="102" ht="12.75" customHeight="1">
      <c r="A102" s="393"/>
      <c r="B102" s="393"/>
      <c r="C102" s="393"/>
      <c r="D102" s="393"/>
      <c r="E102" s="393"/>
      <c r="F102" s="393"/>
      <c r="G102" s="393"/>
      <c r="H102" s="393"/>
      <c r="I102" s="393"/>
      <c r="J102" s="393"/>
      <c r="K102" s="393"/>
      <c r="L102" s="393"/>
      <c r="M102" s="393"/>
      <c r="N102" s="393"/>
      <c r="O102" s="393"/>
      <c r="P102" s="393"/>
      <c r="Q102" s="393"/>
      <c r="R102" s="393"/>
      <c r="S102" s="393"/>
      <c r="T102" s="393"/>
      <c r="U102" s="393"/>
      <c r="V102" s="393"/>
      <c r="W102" s="393"/>
      <c r="X102" s="393"/>
      <c r="Y102" s="393"/>
      <c r="Z102" s="393"/>
    </row>
    <row r="103" ht="12.75" customHeight="1">
      <c r="A103" s="393"/>
      <c r="B103" s="393"/>
      <c r="C103" s="393"/>
      <c r="D103" s="393"/>
      <c r="E103" s="393"/>
      <c r="F103" s="393"/>
      <c r="G103" s="393"/>
      <c r="H103" s="393"/>
      <c r="I103" s="393"/>
      <c r="J103" s="393"/>
      <c r="K103" s="393"/>
      <c r="L103" s="393"/>
      <c r="M103" s="393"/>
      <c r="N103" s="393"/>
      <c r="O103" s="393"/>
      <c r="P103" s="393"/>
      <c r="Q103" s="393"/>
      <c r="R103" s="393"/>
      <c r="S103" s="393"/>
      <c r="T103" s="393"/>
      <c r="U103" s="393"/>
      <c r="V103" s="393"/>
      <c r="W103" s="393"/>
      <c r="X103" s="393"/>
      <c r="Y103" s="393"/>
      <c r="Z103" s="393"/>
    </row>
    <row r="104" ht="12.75" customHeight="1">
      <c r="A104" s="393"/>
      <c r="B104" s="393"/>
      <c r="C104" s="393"/>
      <c r="D104" s="393"/>
      <c r="E104" s="393"/>
      <c r="F104" s="393"/>
      <c r="G104" s="393"/>
      <c r="H104" s="393"/>
      <c r="I104" s="393"/>
      <c r="J104" s="393"/>
      <c r="K104" s="393"/>
      <c r="L104" s="393"/>
      <c r="M104" s="393"/>
      <c r="N104" s="393"/>
      <c r="O104" s="393"/>
      <c r="P104" s="393"/>
      <c r="Q104" s="393"/>
      <c r="R104" s="393"/>
      <c r="S104" s="393"/>
      <c r="T104" s="393"/>
      <c r="U104" s="393"/>
      <c r="V104" s="393"/>
      <c r="W104" s="393"/>
      <c r="X104" s="393"/>
      <c r="Y104" s="393"/>
      <c r="Z104" s="393"/>
    </row>
    <row r="105" ht="12.75" customHeight="1">
      <c r="A105" s="393"/>
      <c r="B105" s="393"/>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row>
    <row r="106" ht="12.75" customHeight="1">
      <c r="A106" s="393"/>
      <c r="B106" s="393"/>
      <c r="C106" s="393"/>
      <c r="D106" s="393"/>
      <c r="E106" s="393"/>
      <c r="F106" s="393"/>
      <c r="G106" s="393"/>
      <c r="H106" s="393"/>
      <c r="I106" s="393"/>
      <c r="J106" s="393"/>
      <c r="K106" s="393"/>
      <c r="L106" s="393"/>
      <c r="M106" s="393"/>
      <c r="N106" s="393"/>
      <c r="O106" s="393"/>
      <c r="P106" s="393"/>
      <c r="Q106" s="393"/>
      <c r="R106" s="393"/>
      <c r="S106" s="393"/>
      <c r="T106" s="393"/>
      <c r="U106" s="393"/>
      <c r="V106" s="393"/>
      <c r="W106" s="393"/>
      <c r="X106" s="393"/>
      <c r="Y106" s="393"/>
      <c r="Z106" s="393"/>
    </row>
    <row r="107" ht="12.75" customHeight="1">
      <c r="A107" s="393"/>
      <c r="B107" s="393"/>
      <c r="C107" s="393"/>
      <c r="D107" s="393"/>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row>
    <row r="108" ht="12.75" customHeight="1">
      <c r="A108" s="393"/>
      <c r="B108" s="393"/>
      <c r="C108" s="393"/>
      <c r="D108" s="393"/>
      <c r="E108" s="393"/>
      <c r="F108" s="393"/>
      <c r="G108" s="393"/>
      <c r="H108" s="393"/>
      <c r="I108" s="393"/>
      <c r="J108" s="393"/>
      <c r="K108" s="393"/>
      <c r="L108" s="393"/>
      <c r="M108" s="393"/>
      <c r="N108" s="393"/>
      <c r="O108" s="393"/>
      <c r="P108" s="393"/>
      <c r="Q108" s="393"/>
      <c r="R108" s="393"/>
      <c r="S108" s="393"/>
      <c r="T108" s="393"/>
      <c r="U108" s="393"/>
      <c r="V108" s="393"/>
      <c r="W108" s="393"/>
      <c r="X108" s="393"/>
      <c r="Y108" s="393"/>
      <c r="Z108" s="393"/>
    </row>
    <row r="109" ht="12.75" customHeight="1">
      <c r="A109" s="393"/>
      <c r="B109" s="393"/>
      <c r="C109" s="393"/>
      <c r="D109" s="393"/>
      <c r="E109" s="393"/>
      <c r="F109" s="393"/>
      <c r="G109" s="393"/>
      <c r="H109" s="393"/>
      <c r="I109" s="393"/>
      <c r="J109" s="393"/>
      <c r="K109" s="393"/>
      <c r="L109" s="393"/>
      <c r="M109" s="393"/>
      <c r="N109" s="393"/>
      <c r="O109" s="393"/>
      <c r="P109" s="393"/>
      <c r="Q109" s="393"/>
      <c r="R109" s="393"/>
      <c r="S109" s="393"/>
      <c r="T109" s="393"/>
      <c r="U109" s="393"/>
      <c r="V109" s="393"/>
      <c r="W109" s="393"/>
      <c r="X109" s="393"/>
      <c r="Y109" s="393"/>
      <c r="Z109" s="393"/>
    </row>
    <row r="110" ht="12.75" customHeight="1">
      <c r="A110" s="393"/>
      <c r="B110" s="393"/>
      <c r="C110" s="393"/>
      <c r="D110" s="393"/>
      <c r="E110" s="393"/>
      <c r="F110" s="393"/>
      <c r="G110" s="393"/>
      <c r="H110" s="393"/>
      <c r="I110" s="393"/>
      <c r="J110" s="393"/>
      <c r="K110" s="393"/>
      <c r="L110" s="393"/>
      <c r="M110" s="393"/>
      <c r="N110" s="393"/>
      <c r="O110" s="393"/>
      <c r="P110" s="393"/>
      <c r="Q110" s="393"/>
      <c r="R110" s="393"/>
      <c r="S110" s="393"/>
      <c r="T110" s="393"/>
      <c r="U110" s="393"/>
      <c r="V110" s="393"/>
      <c r="W110" s="393"/>
      <c r="X110" s="393"/>
      <c r="Y110" s="393"/>
      <c r="Z110" s="393"/>
    </row>
    <row r="111" ht="12.75" customHeight="1">
      <c r="A111" s="393"/>
      <c r="B111" s="393"/>
      <c r="C111" s="393"/>
      <c r="D111" s="393"/>
      <c r="E111" s="393"/>
      <c r="F111" s="393"/>
      <c r="G111" s="393"/>
      <c r="H111" s="393"/>
      <c r="I111" s="393"/>
      <c r="J111" s="393"/>
      <c r="K111" s="393"/>
      <c r="L111" s="393"/>
      <c r="M111" s="393"/>
      <c r="N111" s="393"/>
      <c r="O111" s="393"/>
      <c r="P111" s="393"/>
      <c r="Q111" s="393"/>
      <c r="R111" s="393"/>
      <c r="S111" s="393"/>
      <c r="T111" s="393"/>
      <c r="U111" s="393"/>
      <c r="V111" s="393"/>
      <c r="W111" s="393"/>
      <c r="X111" s="393"/>
      <c r="Y111" s="393"/>
      <c r="Z111" s="393"/>
    </row>
    <row r="112" ht="12.75" customHeight="1">
      <c r="A112" s="393"/>
      <c r="B112" s="393"/>
      <c r="C112" s="393"/>
      <c r="D112" s="393"/>
      <c r="E112" s="393"/>
      <c r="F112" s="393"/>
      <c r="G112" s="393"/>
      <c r="H112" s="393"/>
      <c r="I112" s="393"/>
      <c r="J112" s="393"/>
      <c r="K112" s="393"/>
      <c r="L112" s="393"/>
      <c r="M112" s="393"/>
      <c r="N112" s="393"/>
      <c r="O112" s="393"/>
      <c r="P112" s="393"/>
      <c r="Q112" s="393"/>
      <c r="R112" s="393"/>
      <c r="S112" s="393"/>
      <c r="T112" s="393"/>
      <c r="U112" s="393"/>
      <c r="V112" s="393"/>
      <c r="W112" s="393"/>
      <c r="X112" s="393"/>
      <c r="Y112" s="393"/>
      <c r="Z112" s="393"/>
    </row>
    <row r="113" ht="12.75" customHeight="1">
      <c r="A113" s="393"/>
      <c r="B113" s="393"/>
      <c r="C113" s="393"/>
      <c r="D113" s="393"/>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row>
    <row r="114" ht="12.75" customHeight="1">
      <c r="A114" s="393"/>
      <c r="B114" s="393"/>
      <c r="C114" s="393"/>
      <c r="D114" s="393"/>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row>
    <row r="115" ht="12.75" customHeight="1">
      <c r="A115" s="393"/>
      <c r="B115" s="393"/>
      <c r="C115" s="393"/>
      <c r="D115" s="393"/>
      <c r="E115" s="393"/>
      <c r="F115" s="393"/>
      <c r="G115" s="393"/>
      <c r="H115" s="393"/>
      <c r="I115" s="393"/>
      <c r="J115" s="393"/>
      <c r="K115" s="393"/>
      <c r="L115" s="393"/>
      <c r="M115" s="393"/>
      <c r="N115" s="393"/>
      <c r="O115" s="393"/>
      <c r="P115" s="393"/>
      <c r="Q115" s="393"/>
      <c r="R115" s="393"/>
      <c r="S115" s="393"/>
      <c r="T115" s="393"/>
      <c r="U115" s="393"/>
      <c r="V115" s="393"/>
      <c r="W115" s="393"/>
      <c r="X115" s="393"/>
      <c r="Y115" s="393"/>
      <c r="Z115" s="393"/>
    </row>
    <row r="116" ht="12.75" customHeight="1">
      <c r="A116" s="393"/>
      <c r="B116" s="393"/>
      <c r="C116" s="393"/>
      <c r="D116" s="393"/>
      <c r="E116" s="393"/>
      <c r="F116" s="393"/>
      <c r="G116" s="393"/>
      <c r="H116" s="393"/>
      <c r="I116" s="393"/>
      <c r="J116" s="393"/>
      <c r="K116" s="393"/>
      <c r="L116" s="393"/>
      <c r="M116" s="393"/>
      <c r="N116" s="393"/>
      <c r="O116" s="393"/>
      <c r="P116" s="393"/>
      <c r="Q116" s="393"/>
      <c r="R116" s="393"/>
      <c r="S116" s="393"/>
      <c r="T116" s="393"/>
      <c r="U116" s="393"/>
      <c r="V116" s="393"/>
      <c r="W116" s="393"/>
      <c r="X116" s="393"/>
      <c r="Y116" s="393"/>
      <c r="Z116" s="393"/>
    </row>
    <row r="117" ht="12.75" customHeight="1">
      <c r="A117" s="393"/>
      <c r="B117" s="393"/>
      <c r="C117" s="393"/>
      <c r="D117" s="393"/>
      <c r="E117" s="393"/>
      <c r="F117" s="393"/>
      <c r="G117" s="393"/>
      <c r="H117" s="393"/>
      <c r="I117" s="393"/>
      <c r="J117" s="393"/>
      <c r="K117" s="393"/>
      <c r="L117" s="393"/>
      <c r="M117" s="393"/>
      <c r="N117" s="393"/>
      <c r="O117" s="393"/>
      <c r="P117" s="393"/>
      <c r="Q117" s="393"/>
      <c r="R117" s="393"/>
      <c r="S117" s="393"/>
      <c r="T117" s="393"/>
      <c r="U117" s="393"/>
      <c r="V117" s="393"/>
      <c r="W117" s="393"/>
      <c r="X117" s="393"/>
      <c r="Y117" s="393"/>
      <c r="Z117" s="393"/>
    </row>
    <row r="118" ht="12.75" customHeight="1">
      <c r="A118" s="393"/>
      <c r="B118" s="393"/>
      <c r="C118" s="393"/>
      <c r="D118" s="393"/>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row>
    <row r="119" ht="12.75" customHeight="1">
      <c r="A119" s="393"/>
      <c r="B119" s="393"/>
      <c r="C119" s="393"/>
      <c r="D119" s="393"/>
      <c r="E119" s="393"/>
      <c r="F119" s="393"/>
      <c r="G119" s="393"/>
      <c r="H119" s="393"/>
      <c r="I119" s="393"/>
      <c r="J119" s="393"/>
      <c r="K119" s="393"/>
      <c r="L119" s="393"/>
      <c r="M119" s="393"/>
      <c r="N119" s="393"/>
      <c r="O119" s="393"/>
      <c r="P119" s="393"/>
      <c r="Q119" s="393"/>
      <c r="R119" s="393"/>
      <c r="S119" s="393"/>
      <c r="T119" s="393"/>
      <c r="U119" s="393"/>
      <c r="V119" s="393"/>
      <c r="W119" s="393"/>
      <c r="X119" s="393"/>
      <c r="Y119" s="393"/>
      <c r="Z119" s="393"/>
    </row>
    <row r="120" ht="12.75" customHeight="1">
      <c r="A120" s="393"/>
      <c r="B120" s="393"/>
      <c r="C120" s="393"/>
      <c r="D120" s="393"/>
      <c r="E120" s="393"/>
      <c r="F120" s="393"/>
      <c r="G120" s="393"/>
      <c r="H120" s="393"/>
      <c r="I120" s="393"/>
      <c r="J120" s="393"/>
      <c r="K120" s="393"/>
      <c r="L120" s="393"/>
      <c r="M120" s="393"/>
      <c r="N120" s="393"/>
      <c r="O120" s="393"/>
      <c r="P120" s="393"/>
      <c r="Q120" s="393"/>
      <c r="R120" s="393"/>
      <c r="S120" s="393"/>
      <c r="T120" s="393"/>
      <c r="U120" s="393"/>
      <c r="V120" s="393"/>
      <c r="W120" s="393"/>
      <c r="X120" s="393"/>
      <c r="Y120" s="393"/>
      <c r="Z120" s="393"/>
    </row>
    <row r="121" ht="12.75" customHeight="1">
      <c r="A121" s="393"/>
      <c r="B121" s="393"/>
      <c r="C121" s="393"/>
      <c r="D121" s="393"/>
      <c r="E121" s="393"/>
      <c r="F121" s="393"/>
      <c r="G121" s="393"/>
      <c r="H121" s="393"/>
      <c r="I121" s="393"/>
      <c r="J121" s="393"/>
      <c r="K121" s="393"/>
      <c r="L121" s="393"/>
      <c r="M121" s="393"/>
      <c r="N121" s="393"/>
      <c r="O121" s="393"/>
      <c r="P121" s="393"/>
      <c r="Q121" s="393"/>
      <c r="R121" s="393"/>
      <c r="S121" s="393"/>
      <c r="T121" s="393"/>
      <c r="U121" s="393"/>
      <c r="V121" s="393"/>
      <c r="W121" s="393"/>
      <c r="X121" s="393"/>
      <c r="Y121" s="393"/>
      <c r="Z121" s="393"/>
    </row>
    <row r="122" ht="12.75" customHeight="1">
      <c r="A122" s="393"/>
      <c r="B122" s="393"/>
      <c r="C122" s="393"/>
      <c r="D122" s="393"/>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row>
    <row r="123" ht="12.75" customHeight="1">
      <c r="A123" s="393"/>
      <c r="B123" s="393"/>
      <c r="C123" s="393"/>
      <c r="D123" s="393"/>
      <c r="E123" s="393"/>
      <c r="F123" s="393"/>
      <c r="G123" s="393"/>
      <c r="H123" s="393"/>
      <c r="I123" s="393"/>
      <c r="J123" s="393"/>
      <c r="K123" s="393"/>
      <c r="L123" s="393"/>
      <c r="M123" s="393"/>
      <c r="N123" s="393"/>
      <c r="O123" s="393"/>
      <c r="P123" s="393"/>
      <c r="Q123" s="393"/>
      <c r="R123" s="393"/>
      <c r="S123" s="393"/>
      <c r="T123" s="393"/>
      <c r="U123" s="393"/>
      <c r="V123" s="393"/>
      <c r="W123" s="393"/>
      <c r="X123" s="393"/>
      <c r="Y123" s="393"/>
      <c r="Z123" s="393"/>
    </row>
    <row r="124" ht="12.75" customHeight="1">
      <c r="A124" s="393"/>
      <c r="B124" s="393"/>
      <c r="C124" s="393"/>
      <c r="D124" s="393"/>
      <c r="E124" s="393"/>
      <c r="F124" s="393"/>
      <c r="G124" s="393"/>
      <c r="H124" s="393"/>
      <c r="I124" s="393"/>
      <c r="J124" s="393"/>
      <c r="K124" s="393"/>
      <c r="L124" s="393"/>
      <c r="M124" s="393"/>
      <c r="N124" s="393"/>
      <c r="O124" s="393"/>
      <c r="P124" s="393"/>
      <c r="Q124" s="393"/>
      <c r="R124" s="393"/>
      <c r="S124" s="393"/>
      <c r="T124" s="393"/>
      <c r="U124" s="393"/>
      <c r="V124" s="393"/>
      <c r="W124" s="393"/>
      <c r="X124" s="393"/>
      <c r="Y124" s="393"/>
      <c r="Z124" s="393"/>
    </row>
    <row r="125" ht="12.75" customHeight="1">
      <c r="A125" s="393"/>
      <c r="B125" s="393"/>
      <c r="C125" s="393"/>
      <c r="D125" s="393"/>
      <c r="E125" s="393"/>
      <c r="F125" s="393"/>
      <c r="G125" s="393"/>
      <c r="H125" s="393"/>
      <c r="I125" s="393"/>
      <c r="J125" s="393"/>
      <c r="K125" s="393"/>
      <c r="L125" s="393"/>
      <c r="M125" s="393"/>
      <c r="N125" s="393"/>
      <c r="O125" s="393"/>
      <c r="P125" s="393"/>
      <c r="Q125" s="393"/>
      <c r="R125" s="393"/>
      <c r="S125" s="393"/>
      <c r="T125" s="393"/>
      <c r="U125" s="393"/>
      <c r="V125" s="393"/>
      <c r="W125" s="393"/>
      <c r="X125" s="393"/>
      <c r="Y125" s="393"/>
      <c r="Z125" s="393"/>
    </row>
    <row r="126" ht="12.75" customHeight="1">
      <c r="A126" s="393"/>
      <c r="B126" s="393"/>
      <c r="C126" s="393"/>
      <c r="D126" s="393"/>
      <c r="E126" s="393"/>
      <c r="F126" s="393"/>
      <c r="G126" s="393"/>
      <c r="H126" s="393"/>
      <c r="I126" s="393"/>
      <c r="J126" s="393"/>
      <c r="K126" s="393"/>
      <c r="L126" s="393"/>
      <c r="M126" s="393"/>
      <c r="N126" s="393"/>
      <c r="O126" s="393"/>
      <c r="P126" s="393"/>
      <c r="Q126" s="393"/>
      <c r="R126" s="393"/>
      <c r="S126" s="393"/>
      <c r="T126" s="393"/>
      <c r="U126" s="393"/>
      <c r="V126" s="393"/>
      <c r="W126" s="393"/>
      <c r="X126" s="393"/>
      <c r="Y126" s="393"/>
      <c r="Z126" s="393"/>
    </row>
    <row r="127" ht="12.75" customHeight="1">
      <c r="A127" s="393"/>
      <c r="B127" s="393"/>
      <c r="C127" s="393"/>
      <c r="D127" s="393"/>
      <c r="E127" s="393"/>
      <c r="F127" s="393"/>
      <c r="G127" s="393"/>
      <c r="H127" s="393"/>
      <c r="I127" s="393"/>
      <c r="J127" s="393"/>
      <c r="K127" s="393"/>
      <c r="L127" s="393"/>
      <c r="M127" s="393"/>
      <c r="N127" s="393"/>
      <c r="O127" s="393"/>
      <c r="P127" s="393"/>
      <c r="Q127" s="393"/>
      <c r="R127" s="393"/>
      <c r="S127" s="393"/>
      <c r="T127" s="393"/>
      <c r="U127" s="393"/>
      <c r="V127" s="393"/>
      <c r="W127" s="393"/>
      <c r="X127" s="393"/>
      <c r="Y127" s="393"/>
      <c r="Z127" s="393"/>
    </row>
    <row r="128" ht="12.75" customHeight="1">
      <c r="A128" s="393"/>
      <c r="B128" s="393"/>
      <c r="C128" s="393"/>
      <c r="D128" s="393"/>
      <c r="E128" s="393"/>
      <c r="F128" s="393"/>
      <c r="G128" s="393"/>
      <c r="H128" s="393"/>
      <c r="I128" s="393"/>
      <c r="J128" s="393"/>
      <c r="K128" s="393"/>
      <c r="L128" s="393"/>
      <c r="M128" s="393"/>
      <c r="N128" s="393"/>
      <c r="O128" s="393"/>
      <c r="P128" s="393"/>
      <c r="Q128" s="393"/>
      <c r="R128" s="393"/>
      <c r="S128" s="393"/>
      <c r="T128" s="393"/>
      <c r="U128" s="393"/>
      <c r="V128" s="393"/>
      <c r="W128" s="393"/>
      <c r="X128" s="393"/>
      <c r="Y128" s="393"/>
      <c r="Z128" s="393"/>
    </row>
    <row r="129" ht="12.75" customHeight="1">
      <c r="A129" s="393"/>
      <c r="B129" s="393"/>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row>
    <row r="130" ht="12.75" customHeight="1">
      <c r="A130" s="393"/>
      <c r="B130" s="393"/>
      <c r="C130" s="393"/>
      <c r="D130" s="393"/>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row>
    <row r="131" ht="12.75" customHeight="1">
      <c r="A131" s="393"/>
      <c r="B131" s="393"/>
      <c r="C131" s="393"/>
      <c r="D131" s="393"/>
      <c r="E131" s="393"/>
      <c r="F131" s="393"/>
      <c r="G131" s="393"/>
      <c r="H131" s="393"/>
      <c r="I131" s="393"/>
      <c r="J131" s="393"/>
      <c r="K131" s="393"/>
      <c r="L131" s="393"/>
      <c r="M131" s="393"/>
      <c r="N131" s="393"/>
      <c r="O131" s="393"/>
      <c r="P131" s="393"/>
      <c r="Q131" s="393"/>
      <c r="R131" s="393"/>
      <c r="S131" s="393"/>
      <c r="T131" s="393"/>
      <c r="U131" s="393"/>
      <c r="V131" s="393"/>
      <c r="W131" s="393"/>
      <c r="X131" s="393"/>
      <c r="Y131" s="393"/>
      <c r="Z131" s="393"/>
    </row>
    <row r="132" ht="12.75" customHeight="1">
      <c r="A132" s="393"/>
      <c r="B132" s="393"/>
      <c r="C132" s="393"/>
      <c r="D132" s="393"/>
      <c r="E132" s="393"/>
      <c r="F132" s="393"/>
      <c r="G132" s="393"/>
      <c r="H132" s="393"/>
      <c r="I132" s="393"/>
      <c r="J132" s="393"/>
      <c r="K132" s="393"/>
      <c r="L132" s="393"/>
      <c r="M132" s="393"/>
      <c r="N132" s="393"/>
      <c r="O132" s="393"/>
      <c r="P132" s="393"/>
      <c r="Q132" s="393"/>
      <c r="R132" s="393"/>
      <c r="S132" s="393"/>
      <c r="T132" s="393"/>
      <c r="U132" s="393"/>
      <c r="V132" s="393"/>
      <c r="W132" s="393"/>
      <c r="X132" s="393"/>
      <c r="Y132" s="393"/>
      <c r="Z132" s="393"/>
    </row>
    <row r="133" ht="12.75" customHeight="1">
      <c r="A133" s="393"/>
      <c r="B133" s="393"/>
      <c r="C133" s="393"/>
      <c r="D133" s="393"/>
      <c r="E133" s="393"/>
      <c r="F133" s="393"/>
      <c r="G133" s="393"/>
      <c r="H133" s="393"/>
      <c r="I133" s="393"/>
      <c r="J133" s="393"/>
      <c r="K133" s="393"/>
      <c r="L133" s="393"/>
      <c r="M133" s="393"/>
      <c r="N133" s="393"/>
      <c r="O133" s="393"/>
      <c r="P133" s="393"/>
      <c r="Q133" s="393"/>
      <c r="R133" s="393"/>
      <c r="S133" s="393"/>
      <c r="T133" s="393"/>
      <c r="U133" s="393"/>
      <c r="V133" s="393"/>
      <c r="W133" s="393"/>
      <c r="X133" s="393"/>
      <c r="Y133" s="393"/>
      <c r="Z133" s="393"/>
    </row>
    <row r="134" ht="12.75" customHeight="1">
      <c r="A134" s="393"/>
      <c r="B134" s="393"/>
      <c r="C134" s="393"/>
      <c r="D134" s="393"/>
      <c r="E134" s="393"/>
      <c r="F134" s="393"/>
      <c r="G134" s="393"/>
      <c r="H134" s="393"/>
      <c r="I134" s="393"/>
      <c r="J134" s="393"/>
      <c r="K134" s="393"/>
      <c r="L134" s="393"/>
      <c r="M134" s="393"/>
      <c r="N134" s="393"/>
      <c r="O134" s="393"/>
      <c r="P134" s="393"/>
      <c r="Q134" s="393"/>
      <c r="R134" s="393"/>
      <c r="S134" s="393"/>
      <c r="T134" s="393"/>
      <c r="U134" s="393"/>
      <c r="V134" s="393"/>
      <c r="W134" s="393"/>
      <c r="X134" s="393"/>
      <c r="Y134" s="393"/>
      <c r="Z134" s="393"/>
    </row>
    <row r="135" ht="12.75" customHeight="1">
      <c r="A135" s="393"/>
      <c r="B135" s="393"/>
      <c r="C135" s="393"/>
      <c r="D135" s="393"/>
      <c r="E135" s="393"/>
      <c r="F135" s="393"/>
      <c r="G135" s="393"/>
      <c r="H135" s="393"/>
      <c r="I135" s="393"/>
      <c r="J135" s="393"/>
      <c r="K135" s="393"/>
      <c r="L135" s="393"/>
      <c r="M135" s="393"/>
      <c r="N135" s="393"/>
      <c r="O135" s="393"/>
      <c r="P135" s="393"/>
      <c r="Q135" s="393"/>
      <c r="R135" s="393"/>
      <c r="S135" s="393"/>
      <c r="T135" s="393"/>
      <c r="U135" s="393"/>
      <c r="V135" s="393"/>
      <c r="W135" s="393"/>
      <c r="X135" s="393"/>
      <c r="Y135" s="393"/>
      <c r="Z135" s="393"/>
    </row>
    <row r="136" ht="12.75" customHeight="1">
      <c r="A136" s="393"/>
      <c r="B136" s="393"/>
      <c r="C136" s="393"/>
      <c r="D136" s="393"/>
      <c r="E136" s="393"/>
      <c r="F136" s="393"/>
      <c r="G136" s="393"/>
      <c r="H136" s="393"/>
      <c r="I136" s="393"/>
      <c r="J136" s="393"/>
      <c r="K136" s="393"/>
      <c r="L136" s="393"/>
      <c r="M136" s="393"/>
      <c r="N136" s="393"/>
      <c r="O136" s="393"/>
      <c r="P136" s="393"/>
      <c r="Q136" s="393"/>
      <c r="R136" s="393"/>
      <c r="S136" s="393"/>
      <c r="T136" s="393"/>
      <c r="U136" s="393"/>
      <c r="V136" s="393"/>
      <c r="W136" s="393"/>
      <c r="X136" s="393"/>
      <c r="Y136" s="393"/>
      <c r="Z136" s="393"/>
    </row>
    <row r="137" ht="12.75" customHeight="1">
      <c r="A137" s="393"/>
      <c r="B137" s="393"/>
      <c r="C137" s="393"/>
      <c r="D137" s="393"/>
      <c r="E137" s="393"/>
      <c r="F137" s="393"/>
      <c r="G137" s="393"/>
      <c r="H137" s="393"/>
      <c r="I137" s="393"/>
      <c r="J137" s="393"/>
      <c r="K137" s="393"/>
      <c r="L137" s="393"/>
      <c r="M137" s="393"/>
      <c r="N137" s="393"/>
      <c r="O137" s="393"/>
      <c r="P137" s="393"/>
      <c r="Q137" s="393"/>
      <c r="R137" s="393"/>
      <c r="S137" s="393"/>
      <c r="T137" s="393"/>
      <c r="U137" s="393"/>
      <c r="V137" s="393"/>
      <c r="W137" s="393"/>
      <c r="X137" s="393"/>
      <c r="Y137" s="393"/>
      <c r="Z137" s="393"/>
    </row>
    <row r="138" ht="12.75" customHeight="1">
      <c r="A138" s="393"/>
      <c r="B138" s="393"/>
      <c r="C138" s="393"/>
      <c r="D138" s="393"/>
      <c r="E138" s="393"/>
      <c r="F138" s="393"/>
      <c r="G138" s="393"/>
      <c r="H138" s="393"/>
      <c r="I138" s="393"/>
      <c r="J138" s="393"/>
      <c r="K138" s="393"/>
      <c r="L138" s="393"/>
      <c r="M138" s="393"/>
      <c r="N138" s="393"/>
      <c r="O138" s="393"/>
      <c r="P138" s="393"/>
      <c r="Q138" s="393"/>
      <c r="R138" s="393"/>
      <c r="S138" s="393"/>
      <c r="T138" s="393"/>
      <c r="U138" s="393"/>
      <c r="V138" s="393"/>
      <c r="W138" s="393"/>
      <c r="X138" s="393"/>
      <c r="Y138" s="393"/>
      <c r="Z138" s="393"/>
    </row>
    <row r="139" ht="12.75" customHeight="1">
      <c r="A139" s="393"/>
      <c r="B139" s="393"/>
      <c r="C139" s="393"/>
      <c r="D139" s="393"/>
      <c r="E139" s="393"/>
      <c r="F139" s="393"/>
      <c r="G139" s="393"/>
      <c r="H139" s="393"/>
      <c r="I139" s="393"/>
      <c r="J139" s="393"/>
      <c r="K139" s="393"/>
      <c r="L139" s="393"/>
      <c r="M139" s="393"/>
      <c r="N139" s="393"/>
      <c r="O139" s="393"/>
      <c r="P139" s="393"/>
      <c r="Q139" s="393"/>
      <c r="R139" s="393"/>
      <c r="S139" s="393"/>
      <c r="T139" s="393"/>
      <c r="U139" s="393"/>
      <c r="V139" s="393"/>
      <c r="W139" s="393"/>
      <c r="X139" s="393"/>
      <c r="Y139" s="393"/>
      <c r="Z139" s="393"/>
    </row>
    <row r="140" ht="12.75" customHeight="1">
      <c r="A140" s="393"/>
      <c r="B140" s="393"/>
      <c r="C140" s="393"/>
      <c r="D140" s="393"/>
      <c r="E140" s="393"/>
      <c r="F140" s="393"/>
      <c r="G140" s="393"/>
      <c r="H140" s="393"/>
      <c r="I140" s="393"/>
      <c r="J140" s="393"/>
      <c r="K140" s="393"/>
      <c r="L140" s="393"/>
      <c r="M140" s="393"/>
      <c r="N140" s="393"/>
      <c r="O140" s="393"/>
      <c r="P140" s="393"/>
      <c r="Q140" s="393"/>
      <c r="R140" s="393"/>
      <c r="S140" s="393"/>
      <c r="T140" s="393"/>
      <c r="U140" s="393"/>
      <c r="V140" s="393"/>
      <c r="W140" s="393"/>
      <c r="X140" s="393"/>
      <c r="Y140" s="393"/>
      <c r="Z140" s="393"/>
    </row>
    <row r="141" ht="12.75" customHeight="1">
      <c r="A141" s="393"/>
      <c r="B141" s="393"/>
      <c r="C141" s="393"/>
      <c r="D141" s="393"/>
      <c r="E141" s="393"/>
      <c r="F141" s="393"/>
      <c r="G141" s="393"/>
      <c r="H141" s="393"/>
      <c r="I141" s="393"/>
      <c r="J141" s="393"/>
      <c r="K141" s="393"/>
      <c r="L141" s="393"/>
      <c r="M141" s="393"/>
      <c r="N141" s="393"/>
      <c r="O141" s="393"/>
      <c r="P141" s="393"/>
      <c r="Q141" s="393"/>
      <c r="R141" s="393"/>
      <c r="S141" s="393"/>
      <c r="T141" s="393"/>
      <c r="U141" s="393"/>
      <c r="V141" s="393"/>
      <c r="W141" s="393"/>
      <c r="X141" s="393"/>
      <c r="Y141" s="393"/>
      <c r="Z141" s="393"/>
    </row>
    <row r="142" ht="12.75" customHeight="1">
      <c r="A142" s="393"/>
      <c r="B142" s="393"/>
      <c r="C142" s="393"/>
      <c r="D142" s="393"/>
      <c r="E142" s="393"/>
      <c r="F142" s="393"/>
      <c r="G142" s="393"/>
      <c r="H142" s="393"/>
      <c r="I142" s="393"/>
      <c r="J142" s="393"/>
      <c r="K142" s="393"/>
      <c r="L142" s="393"/>
      <c r="M142" s="393"/>
      <c r="N142" s="393"/>
      <c r="O142" s="393"/>
      <c r="P142" s="393"/>
      <c r="Q142" s="393"/>
      <c r="R142" s="393"/>
      <c r="S142" s="393"/>
      <c r="T142" s="393"/>
      <c r="U142" s="393"/>
      <c r="V142" s="393"/>
      <c r="W142" s="393"/>
      <c r="X142" s="393"/>
      <c r="Y142" s="393"/>
      <c r="Z142" s="393"/>
    </row>
    <row r="143" ht="12.75" customHeight="1">
      <c r="A143" s="393"/>
      <c r="B143" s="393"/>
      <c r="C143" s="393"/>
      <c r="D143" s="393"/>
      <c r="E143" s="393"/>
      <c r="F143" s="393"/>
      <c r="G143" s="393"/>
      <c r="H143" s="393"/>
      <c r="I143" s="393"/>
      <c r="J143" s="393"/>
      <c r="K143" s="393"/>
      <c r="L143" s="393"/>
      <c r="M143" s="393"/>
      <c r="N143" s="393"/>
      <c r="O143" s="393"/>
      <c r="P143" s="393"/>
      <c r="Q143" s="393"/>
      <c r="R143" s="393"/>
      <c r="S143" s="393"/>
      <c r="T143" s="393"/>
      <c r="U143" s="393"/>
      <c r="V143" s="393"/>
      <c r="W143" s="393"/>
      <c r="X143" s="393"/>
      <c r="Y143" s="393"/>
      <c r="Z143" s="393"/>
    </row>
    <row r="144" ht="12.75" customHeight="1">
      <c r="A144" s="393"/>
      <c r="B144" s="393"/>
      <c r="C144" s="393"/>
      <c r="D144" s="393"/>
      <c r="E144" s="393"/>
      <c r="F144" s="393"/>
      <c r="G144" s="393"/>
      <c r="H144" s="393"/>
      <c r="I144" s="393"/>
      <c r="J144" s="393"/>
      <c r="K144" s="393"/>
      <c r="L144" s="393"/>
      <c r="M144" s="393"/>
      <c r="N144" s="393"/>
      <c r="O144" s="393"/>
      <c r="P144" s="393"/>
      <c r="Q144" s="393"/>
      <c r="R144" s="393"/>
      <c r="S144" s="393"/>
      <c r="T144" s="393"/>
      <c r="U144" s="393"/>
      <c r="V144" s="393"/>
      <c r="W144" s="393"/>
      <c r="X144" s="393"/>
      <c r="Y144" s="393"/>
      <c r="Z144" s="393"/>
    </row>
    <row r="145" ht="12.75" customHeight="1">
      <c r="A145" s="393"/>
      <c r="B145" s="393"/>
      <c r="C145" s="393"/>
      <c r="D145" s="393"/>
      <c r="E145" s="393"/>
      <c r="F145" s="393"/>
      <c r="G145" s="393"/>
      <c r="H145" s="393"/>
      <c r="I145" s="393"/>
      <c r="J145" s="393"/>
      <c r="K145" s="393"/>
      <c r="L145" s="393"/>
      <c r="M145" s="393"/>
      <c r="N145" s="393"/>
      <c r="O145" s="393"/>
      <c r="P145" s="393"/>
      <c r="Q145" s="393"/>
      <c r="R145" s="393"/>
      <c r="S145" s="393"/>
      <c r="T145" s="393"/>
      <c r="U145" s="393"/>
      <c r="V145" s="393"/>
      <c r="W145" s="393"/>
      <c r="X145" s="393"/>
      <c r="Y145" s="393"/>
      <c r="Z145" s="393"/>
    </row>
    <row r="146" ht="12.75" customHeight="1">
      <c r="A146" s="393"/>
      <c r="B146" s="393"/>
      <c r="C146" s="393"/>
      <c r="D146" s="393"/>
      <c r="E146" s="393"/>
      <c r="F146" s="393"/>
      <c r="G146" s="393"/>
      <c r="H146" s="393"/>
      <c r="I146" s="393"/>
      <c r="J146" s="393"/>
      <c r="K146" s="393"/>
      <c r="L146" s="393"/>
      <c r="M146" s="393"/>
      <c r="N146" s="393"/>
      <c r="O146" s="393"/>
      <c r="P146" s="393"/>
      <c r="Q146" s="393"/>
      <c r="R146" s="393"/>
      <c r="S146" s="393"/>
      <c r="T146" s="393"/>
      <c r="U146" s="393"/>
      <c r="V146" s="393"/>
      <c r="W146" s="393"/>
      <c r="X146" s="393"/>
      <c r="Y146" s="393"/>
      <c r="Z146" s="393"/>
    </row>
    <row r="147" ht="12.75" customHeight="1">
      <c r="A147" s="393"/>
      <c r="B147" s="393"/>
      <c r="C147" s="393"/>
      <c r="D147" s="393"/>
      <c r="E147" s="393"/>
      <c r="F147" s="393"/>
      <c r="G147" s="393"/>
      <c r="H147" s="393"/>
      <c r="I147" s="393"/>
      <c r="J147" s="393"/>
      <c r="K147" s="393"/>
      <c r="L147" s="393"/>
      <c r="M147" s="393"/>
      <c r="N147" s="393"/>
      <c r="O147" s="393"/>
      <c r="P147" s="393"/>
      <c r="Q147" s="393"/>
      <c r="R147" s="393"/>
      <c r="S147" s="393"/>
      <c r="T147" s="393"/>
      <c r="U147" s="393"/>
      <c r="V147" s="393"/>
      <c r="W147" s="393"/>
      <c r="X147" s="393"/>
      <c r="Y147" s="393"/>
      <c r="Z147" s="393"/>
    </row>
    <row r="148" ht="12.75" customHeight="1">
      <c r="A148" s="393"/>
      <c r="B148" s="393"/>
      <c r="C148" s="393"/>
      <c r="D148" s="393"/>
      <c r="E148" s="393"/>
      <c r="F148" s="393"/>
      <c r="G148" s="393"/>
      <c r="H148" s="393"/>
      <c r="I148" s="393"/>
      <c r="J148" s="393"/>
      <c r="K148" s="393"/>
      <c r="L148" s="393"/>
      <c r="M148" s="393"/>
      <c r="N148" s="393"/>
      <c r="O148" s="393"/>
      <c r="P148" s="393"/>
      <c r="Q148" s="393"/>
      <c r="R148" s="393"/>
      <c r="S148" s="393"/>
      <c r="T148" s="393"/>
      <c r="U148" s="393"/>
      <c r="V148" s="393"/>
      <c r="W148" s="393"/>
      <c r="X148" s="393"/>
      <c r="Y148" s="393"/>
      <c r="Z148" s="393"/>
    </row>
    <row r="149" ht="12.75" customHeight="1">
      <c r="A149" s="393"/>
      <c r="B149" s="393"/>
      <c r="C149" s="393"/>
      <c r="D149" s="393"/>
      <c r="E149" s="393"/>
      <c r="F149" s="393"/>
      <c r="G149" s="393"/>
      <c r="H149" s="393"/>
      <c r="I149" s="393"/>
      <c r="J149" s="393"/>
      <c r="K149" s="393"/>
      <c r="L149" s="393"/>
      <c r="M149" s="393"/>
      <c r="N149" s="393"/>
      <c r="O149" s="393"/>
      <c r="P149" s="393"/>
      <c r="Q149" s="393"/>
      <c r="R149" s="393"/>
      <c r="S149" s="393"/>
      <c r="T149" s="393"/>
      <c r="U149" s="393"/>
      <c r="V149" s="393"/>
      <c r="W149" s="393"/>
      <c r="X149" s="393"/>
      <c r="Y149" s="393"/>
      <c r="Z149" s="393"/>
    </row>
    <row r="150" ht="12.75" customHeight="1">
      <c r="A150" s="393"/>
      <c r="B150" s="393"/>
      <c r="C150" s="393"/>
      <c r="D150" s="393"/>
      <c r="E150" s="393"/>
      <c r="F150" s="393"/>
      <c r="G150" s="393"/>
      <c r="H150" s="393"/>
      <c r="I150" s="393"/>
      <c r="J150" s="393"/>
      <c r="K150" s="393"/>
      <c r="L150" s="393"/>
      <c r="M150" s="393"/>
      <c r="N150" s="393"/>
      <c r="O150" s="393"/>
      <c r="P150" s="393"/>
      <c r="Q150" s="393"/>
      <c r="R150" s="393"/>
      <c r="S150" s="393"/>
      <c r="T150" s="393"/>
      <c r="U150" s="393"/>
      <c r="V150" s="393"/>
      <c r="W150" s="393"/>
      <c r="X150" s="393"/>
      <c r="Y150" s="393"/>
      <c r="Z150" s="393"/>
    </row>
    <row r="151" ht="12.75" customHeight="1">
      <c r="A151" s="393"/>
      <c r="B151" s="393"/>
      <c r="C151" s="393"/>
      <c r="D151" s="393"/>
      <c r="E151" s="393"/>
      <c r="F151" s="393"/>
      <c r="G151" s="393"/>
      <c r="H151" s="393"/>
      <c r="I151" s="393"/>
      <c r="J151" s="393"/>
      <c r="K151" s="393"/>
      <c r="L151" s="393"/>
      <c r="M151" s="393"/>
      <c r="N151" s="393"/>
      <c r="O151" s="393"/>
      <c r="P151" s="393"/>
      <c r="Q151" s="393"/>
      <c r="R151" s="393"/>
      <c r="S151" s="393"/>
      <c r="T151" s="393"/>
      <c r="U151" s="393"/>
      <c r="V151" s="393"/>
      <c r="W151" s="393"/>
      <c r="X151" s="393"/>
      <c r="Y151" s="393"/>
      <c r="Z151" s="393"/>
    </row>
    <row r="152" ht="12.75" customHeight="1">
      <c r="A152" s="393"/>
      <c r="B152" s="393"/>
      <c r="C152" s="393"/>
      <c r="D152" s="393"/>
      <c r="E152" s="393"/>
      <c r="F152" s="393"/>
      <c r="G152" s="393"/>
      <c r="H152" s="393"/>
      <c r="I152" s="393"/>
      <c r="J152" s="393"/>
      <c r="K152" s="393"/>
      <c r="L152" s="393"/>
      <c r="M152" s="393"/>
      <c r="N152" s="393"/>
      <c r="O152" s="393"/>
      <c r="P152" s="393"/>
      <c r="Q152" s="393"/>
      <c r="R152" s="393"/>
      <c r="S152" s="393"/>
      <c r="T152" s="393"/>
      <c r="U152" s="393"/>
      <c r="V152" s="393"/>
      <c r="W152" s="393"/>
      <c r="X152" s="393"/>
      <c r="Y152" s="393"/>
      <c r="Z152" s="393"/>
    </row>
    <row r="153" ht="12.75" customHeight="1">
      <c r="A153" s="393"/>
      <c r="B153" s="393"/>
      <c r="C153" s="393"/>
      <c r="D153" s="393"/>
      <c r="E153" s="393"/>
      <c r="F153" s="393"/>
      <c r="G153" s="393"/>
      <c r="H153" s="393"/>
      <c r="I153" s="393"/>
      <c r="J153" s="393"/>
      <c r="K153" s="393"/>
      <c r="L153" s="393"/>
      <c r="M153" s="393"/>
      <c r="N153" s="393"/>
      <c r="O153" s="393"/>
      <c r="P153" s="393"/>
      <c r="Q153" s="393"/>
      <c r="R153" s="393"/>
      <c r="S153" s="393"/>
      <c r="T153" s="393"/>
      <c r="U153" s="393"/>
      <c r="V153" s="393"/>
      <c r="W153" s="393"/>
      <c r="X153" s="393"/>
      <c r="Y153" s="393"/>
      <c r="Z153" s="393"/>
    </row>
    <row r="154" ht="12.75" customHeight="1">
      <c r="A154" s="393"/>
      <c r="B154" s="393"/>
      <c r="C154" s="393"/>
      <c r="D154" s="393"/>
      <c r="E154" s="393"/>
      <c r="F154" s="393"/>
      <c r="G154" s="393"/>
      <c r="H154" s="393"/>
      <c r="I154" s="393"/>
      <c r="J154" s="393"/>
      <c r="K154" s="393"/>
      <c r="L154" s="393"/>
      <c r="M154" s="393"/>
      <c r="N154" s="393"/>
      <c r="O154" s="393"/>
      <c r="P154" s="393"/>
      <c r="Q154" s="393"/>
      <c r="R154" s="393"/>
      <c r="S154" s="393"/>
      <c r="T154" s="393"/>
      <c r="U154" s="393"/>
      <c r="V154" s="393"/>
      <c r="W154" s="393"/>
      <c r="X154" s="393"/>
      <c r="Y154" s="393"/>
      <c r="Z154" s="393"/>
    </row>
    <row r="155" ht="12.75" customHeight="1">
      <c r="A155" s="393"/>
      <c r="B155" s="393"/>
      <c r="C155" s="393"/>
      <c r="D155" s="393"/>
      <c r="E155" s="393"/>
      <c r="F155" s="393"/>
      <c r="G155" s="393"/>
      <c r="H155" s="393"/>
      <c r="I155" s="393"/>
      <c r="J155" s="393"/>
      <c r="K155" s="393"/>
      <c r="L155" s="393"/>
      <c r="M155" s="393"/>
      <c r="N155" s="393"/>
      <c r="O155" s="393"/>
      <c r="P155" s="393"/>
      <c r="Q155" s="393"/>
      <c r="R155" s="393"/>
      <c r="S155" s="393"/>
      <c r="T155" s="393"/>
      <c r="U155" s="393"/>
      <c r="V155" s="393"/>
      <c r="W155" s="393"/>
      <c r="X155" s="393"/>
      <c r="Y155" s="393"/>
      <c r="Z155" s="393"/>
    </row>
    <row r="156" ht="12.75" customHeight="1">
      <c r="A156" s="393"/>
      <c r="B156" s="393"/>
      <c r="C156" s="393"/>
      <c r="D156" s="393"/>
      <c r="E156" s="393"/>
      <c r="F156" s="393"/>
      <c r="G156" s="393"/>
      <c r="H156" s="393"/>
      <c r="I156" s="393"/>
      <c r="J156" s="393"/>
      <c r="K156" s="393"/>
      <c r="L156" s="393"/>
      <c r="M156" s="393"/>
      <c r="N156" s="393"/>
      <c r="O156" s="393"/>
      <c r="P156" s="393"/>
      <c r="Q156" s="393"/>
      <c r="R156" s="393"/>
      <c r="S156" s="393"/>
      <c r="T156" s="393"/>
      <c r="U156" s="393"/>
      <c r="V156" s="393"/>
      <c r="W156" s="393"/>
      <c r="X156" s="393"/>
      <c r="Y156" s="393"/>
      <c r="Z156" s="393"/>
    </row>
    <row r="157" ht="12.75" customHeight="1">
      <c r="A157" s="393"/>
      <c r="B157" s="393"/>
      <c r="C157" s="393"/>
      <c r="D157" s="393"/>
      <c r="E157" s="393"/>
      <c r="F157" s="393"/>
      <c r="G157" s="393"/>
      <c r="H157" s="393"/>
      <c r="I157" s="393"/>
      <c r="J157" s="393"/>
      <c r="K157" s="393"/>
      <c r="L157" s="393"/>
      <c r="M157" s="393"/>
      <c r="N157" s="393"/>
      <c r="O157" s="393"/>
      <c r="P157" s="393"/>
      <c r="Q157" s="393"/>
      <c r="R157" s="393"/>
      <c r="S157" s="393"/>
      <c r="T157" s="393"/>
      <c r="U157" s="393"/>
      <c r="V157" s="393"/>
      <c r="W157" s="393"/>
      <c r="X157" s="393"/>
      <c r="Y157" s="393"/>
      <c r="Z157" s="393"/>
    </row>
    <row r="158" ht="12.75" customHeight="1">
      <c r="A158" s="393"/>
      <c r="B158" s="393"/>
      <c r="C158" s="393"/>
      <c r="D158" s="393"/>
      <c r="E158" s="393"/>
      <c r="F158" s="393"/>
      <c r="G158" s="393"/>
      <c r="H158" s="393"/>
      <c r="I158" s="393"/>
      <c r="J158" s="393"/>
      <c r="K158" s="393"/>
      <c r="L158" s="393"/>
      <c r="M158" s="393"/>
      <c r="N158" s="393"/>
      <c r="O158" s="393"/>
      <c r="P158" s="393"/>
      <c r="Q158" s="393"/>
      <c r="R158" s="393"/>
      <c r="S158" s="393"/>
      <c r="T158" s="393"/>
      <c r="U158" s="393"/>
      <c r="V158" s="393"/>
      <c r="W158" s="393"/>
      <c r="X158" s="393"/>
      <c r="Y158" s="393"/>
      <c r="Z158" s="393"/>
    </row>
    <row r="159" ht="12.75" customHeight="1">
      <c r="A159" s="393"/>
      <c r="B159" s="393"/>
      <c r="C159" s="393"/>
      <c r="D159" s="393"/>
      <c r="E159" s="393"/>
      <c r="F159" s="393"/>
      <c r="G159" s="393"/>
      <c r="H159" s="393"/>
      <c r="I159" s="393"/>
      <c r="J159" s="393"/>
      <c r="K159" s="393"/>
      <c r="L159" s="393"/>
      <c r="M159" s="393"/>
      <c r="N159" s="393"/>
      <c r="O159" s="393"/>
      <c r="P159" s="393"/>
      <c r="Q159" s="393"/>
      <c r="R159" s="393"/>
      <c r="S159" s="393"/>
      <c r="T159" s="393"/>
      <c r="U159" s="393"/>
      <c r="V159" s="393"/>
      <c r="W159" s="393"/>
      <c r="X159" s="393"/>
      <c r="Y159" s="393"/>
      <c r="Z159" s="393"/>
    </row>
    <row r="160" ht="12.75" customHeight="1">
      <c r="A160" s="393"/>
      <c r="B160" s="393"/>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row>
    <row r="161" ht="12.75" customHeight="1">
      <c r="A161" s="393"/>
      <c r="B161" s="393"/>
      <c r="C161" s="393"/>
      <c r="D161" s="393"/>
      <c r="E161" s="393"/>
      <c r="F161" s="393"/>
      <c r="G161" s="393"/>
      <c r="H161" s="393"/>
      <c r="I161" s="393"/>
      <c r="J161" s="393"/>
      <c r="K161" s="393"/>
      <c r="L161" s="393"/>
      <c r="M161" s="393"/>
      <c r="N161" s="393"/>
      <c r="O161" s="393"/>
      <c r="P161" s="393"/>
      <c r="Q161" s="393"/>
      <c r="R161" s="393"/>
      <c r="S161" s="393"/>
      <c r="T161" s="393"/>
      <c r="U161" s="393"/>
      <c r="V161" s="393"/>
      <c r="W161" s="393"/>
      <c r="X161" s="393"/>
      <c r="Y161" s="393"/>
      <c r="Z161" s="393"/>
    </row>
    <row r="162" ht="12.75" customHeight="1">
      <c r="A162" s="393"/>
      <c r="B162" s="393"/>
      <c r="C162" s="393"/>
      <c r="D162" s="393"/>
      <c r="E162" s="393"/>
      <c r="F162" s="393"/>
      <c r="G162" s="393"/>
      <c r="H162" s="393"/>
      <c r="I162" s="393"/>
      <c r="J162" s="393"/>
      <c r="K162" s="393"/>
      <c r="L162" s="393"/>
      <c r="M162" s="393"/>
      <c r="N162" s="393"/>
      <c r="O162" s="393"/>
      <c r="P162" s="393"/>
      <c r="Q162" s="393"/>
      <c r="R162" s="393"/>
      <c r="S162" s="393"/>
      <c r="T162" s="393"/>
      <c r="U162" s="393"/>
      <c r="V162" s="393"/>
      <c r="W162" s="393"/>
      <c r="X162" s="393"/>
      <c r="Y162" s="393"/>
      <c r="Z162" s="393"/>
    </row>
    <row r="163" ht="12.75" customHeight="1">
      <c r="A163" s="393"/>
      <c r="B163" s="393"/>
      <c r="C163" s="393"/>
      <c r="D163" s="393"/>
      <c r="E163" s="393"/>
      <c r="F163" s="393"/>
      <c r="G163" s="393"/>
      <c r="H163" s="393"/>
      <c r="I163" s="393"/>
      <c r="J163" s="393"/>
      <c r="K163" s="393"/>
      <c r="L163" s="393"/>
      <c r="M163" s="393"/>
      <c r="N163" s="393"/>
      <c r="O163" s="393"/>
      <c r="P163" s="393"/>
      <c r="Q163" s="393"/>
      <c r="R163" s="393"/>
      <c r="S163" s="393"/>
      <c r="T163" s="393"/>
      <c r="U163" s="393"/>
      <c r="V163" s="393"/>
      <c r="W163" s="393"/>
      <c r="X163" s="393"/>
      <c r="Y163" s="393"/>
      <c r="Z163" s="393"/>
    </row>
    <row r="164" ht="12.75" customHeight="1">
      <c r="A164" s="393"/>
      <c r="B164" s="393"/>
      <c r="C164" s="393"/>
      <c r="D164" s="393"/>
      <c r="E164" s="393"/>
      <c r="F164" s="393"/>
      <c r="G164" s="393"/>
      <c r="H164" s="393"/>
      <c r="I164" s="393"/>
      <c r="J164" s="393"/>
      <c r="K164" s="393"/>
      <c r="L164" s="393"/>
      <c r="M164" s="393"/>
      <c r="N164" s="393"/>
      <c r="O164" s="393"/>
      <c r="P164" s="393"/>
      <c r="Q164" s="393"/>
      <c r="R164" s="393"/>
      <c r="S164" s="393"/>
      <c r="T164" s="393"/>
      <c r="U164" s="393"/>
      <c r="V164" s="393"/>
      <c r="W164" s="393"/>
      <c r="X164" s="393"/>
      <c r="Y164" s="393"/>
      <c r="Z164" s="393"/>
    </row>
    <row r="165" ht="12.75" customHeight="1">
      <c r="A165" s="393"/>
      <c r="B165" s="393"/>
      <c r="C165" s="393"/>
      <c r="D165" s="393"/>
      <c r="E165" s="393"/>
      <c r="F165" s="393"/>
      <c r="G165" s="393"/>
      <c r="H165" s="393"/>
      <c r="I165" s="393"/>
      <c r="J165" s="393"/>
      <c r="K165" s="393"/>
      <c r="L165" s="393"/>
      <c r="M165" s="393"/>
      <c r="N165" s="393"/>
      <c r="O165" s="393"/>
      <c r="P165" s="393"/>
      <c r="Q165" s="393"/>
      <c r="R165" s="393"/>
      <c r="S165" s="393"/>
      <c r="T165" s="393"/>
      <c r="U165" s="393"/>
      <c r="V165" s="393"/>
      <c r="W165" s="393"/>
      <c r="X165" s="393"/>
      <c r="Y165" s="393"/>
      <c r="Z165" s="393"/>
    </row>
    <row r="166" ht="12.75" customHeight="1">
      <c r="A166" s="393"/>
      <c r="B166" s="393"/>
      <c r="C166" s="393"/>
      <c r="D166" s="393"/>
      <c r="E166" s="393"/>
      <c r="F166" s="393"/>
      <c r="G166" s="393"/>
      <c r="H166" s="393"/>
      <c r="I166" s="393"/>
      <c r="J166" s="393"/>
      <c r="K166" s="393"/>
      <c r="L166" s="393"/>
      <c r="M166" s="393"/>
      <c r="N166" s="393"/>
      <c r="O166" s="393"/>
      <c r="P166" s="393"/>
      <c r="Q166" s="393"/>
      <c r="R166" s="393"/>
      <c r="S166" s="393"/>
      <c r="T166" s="393"/>
      <c r="U166" s="393"/>
      <c r="V166" s="393"/>
      <c r="W166" s="393"/>
      <c r="X166" s="393"/>
      <c r="Y166" s="393"/>
      <c r="Z166" s="393"/>
    </row>
    <row r="167" ht="12.75" customHeight="1">
      <c r="A167" s="393"/>
      <c r="B167" s="393"/>
      <c r="C167" s="393"/>
      <c r="D167" s="393"/>
      <c r="E167" s="393"/>
      <c r="F167" s="393"/>
      <c r="G167" s="393"/>
      <c r="H167" s="393"/>
      <c r="I167" s="393"/>
      <c r="J167" s="393"/>
      <c r="K167" s="393"/>
      <c r="L167" s="393"/>
      <c r="M167" s="393"/>
      <c r="N167" s="393"/>
      <c r="O167" s="393"/>
      <c r="P167" s="393"/>
      <c r="Q167" s="393"/>
      <c r="R167" s="393"/>
      <c r="S167" s="393"/>
      <c r="T167" s="393"/>
      <c r="U167" s="393"/>
      <c r="V167" s="393"/>
      <c r="W167" s="393"/>
      <c r="X167" s="393"/>
      <c r="Y167" s="393"/>
      <c r="Z167" s="393"/>
    </row>
    <row r="168" ht="12.75" customHeight="1">
      <c r="A168" s="393"/>
      <c r="B168" s="393"/>
      <c r="C168" s="393"/>
      <c r="D168" s="393"/>
      <c r="E168" s="393"/>
      <c r="F168" s="393"/>
      <c r="G168" s="393"/>
      <c r="H168" s="393"/>
      <c r="I168" s="393"/>
      <c r="J168" s="393"/>
      <c r="K168" s="393"/>
      <c r="L168" s="393"/>
      <c r="M168" s="393"/>
      <c r="N168" s="393"/>
      <c r="O168" s="393"/>
      <c r="P168" s="393"/>
      <c r="Q168" s="393"/>
      <c r="R168" s="393"/>
      <c r="S168" s="393"/>
      <c r="T168" s="393"/>
      <c r="U168" s="393"/>
      <c r="V168" s="393"/>
      <c r="W168" s="393"/>
      <c r="X168" s="393"/>
      <c r="Y168" s="393"/>
      <c r="Z168" s="393"/>
    </row>
    <row r="169" ht="12.75" customHeight="1">
      <c r="A169" s="393"/>
      <c r="B169" s="393"/>
      <c r="C169" s="393"/>
      <c r="D169" s="393"/>
      <c r="E169" s="393"/>
      <c r="F169" s="393"/>
      <c r="G169" s="393"/>
      <c r="H169" s="393"/>
      <c r="I169" s="393"/>
      <c r="J169" s="393"/>
      <c r="K169" s="393"/>
      <c r="L169" s="393"/>
      <c r="M169" s="393"/>
      <c r="N169" s="393"/>
      <c r="O169" s="393"/>
      <c r="P169" s="393"/>
      <c r="Q169" s="393"/>
      <c r="R169" s="393"/>
      <c r="S169" s="393"/>
      <c r="T169" s="393"/>
      <c r="U169" s="393"/>
      <c r="V169" s="393"/>
      <c r="W169" s="393"/>
      <c r="X169" s="393"/>
      <c r="Y169" s="393"/>
      <c r="Z169" s="393"/>
    </row>
    <row r="170" ht="12.75" customHeight="1">
      <c r="A170" s="393"/>
      <c r="B170" s="393"/>
      <c r="C170" s="393"/>
      <c r="D170" s="393"/>
      <c r="E170" s="393"/>
      <c r="F170" s="393"/>
      <c r="G170" s="393"/>
      <c r="H170" s="393"/>
      <c r="I170" s="393"/>
      <c r="J170" s="393"/>
      <c r="K170" s="393"/>
      <c r="L170" s="393"/>
      <c r="M170" s="393"/>
      <c r="N170" s="393"/>
      <c r="O170" s="393"/>
      <c r="P170" s="393"/>
      <c r="Q170" s="393"/>
      <c r="R170" s="393"/>
      <c r="S170" s="393"/>
      <c r="T170" s="393"/>
      <c r="U170" s="393"/>
      <c r="V170" s="393"/>
      <c r="W170" s="393"/>
      <c r="X170" s="393"/>
      <c r="Y170" s="393"/>
      <c r="Z170" s="393"/>
    </row>
    <row r="171" ht="12.75" customHeight="1">
      <c r="A171" s="393"/>
      <c r="B171" s="393"/>
      <c r="C171" s="393"/>
      <c r="D171" s="393"/>
      <c r="E171" s="393"/>
      <c r="F171" s="393"/>
      <c r="G171" s="393"/>
      <c r="H171" s="393"/>
      <c r="I171" s="393"/>
      <c r="J171" s="393"/>
      <c r="K171" s="393"/>
      <c r="L171" s="393"/>
      <c r="M171" s="393"/>
      <c r="N171" s="393"/>
      <c r="O171" s="393"/>
      <c r="P171" s="393"/>
      <c r="Q171" s="393"/>
      <c r="R171" s="393"/>
      <c r="S171" s="393"/>
      <c r="T171" s="393"/>
      <c r="U171" s="393"/>
      <c r="V171" s="393"/>
      <c r="W171" s="393"/>
      <c r="X171" s="393"/>
      <c r="Y171" s="393"/>
      <c r="Z171" s="393"/>
    </row>
    <row r="172" ht="12.75" customHeight="1">
      <c r="A172" s="393"/>
      <c r="B172" s="393"/>
      <c r="C172" s="393"/>
      <c r="D172" s="393"/>
      <c r="E172" s="393"/>
      <c r="F172" s="393"/>
      <c r="G172" s="393"/>
      <c r="H172" s="393"/>
      <c r="I172" s="393"/>
      <c r="J172" s="393"/>
      <c r="K172" s="393"/>
      <c r="L172" s="393"/>
      <c r="M172" s="393"/>
      <c r="N172" s="393"/>
      <c r="O172" s="393"/>
      <c r="P172" s="393"/>
      <c r="Q172" s="393"/>
      <c r="R172" s="393"/>
      <c r="S172" s="393"/>
      <c r="T172" s="393"/>
      <c r="U172" s="393"/>
      <c r="V172" s="393"/>
      <c r="W172" s="393"/>
      <c r="X172" s="393"/>
      <c r="Y172" s="393"/>
      <c r="Z172" s="393"/>
    </row>
    <row r="173" ht="12.75" customHeight="1">
      <c r="A173" s="393"/>
      <c r="B173" s="393"/>
      <c r="C173" s="393"/>
      <c r="D173" s="393"/>
      <c r="E173" s="393"/>
      <c r="F173" s="393"/>
      <c r="G173" s="393"/>
      <c r="H173" s="393"/>
      <c r="I173" s="393"/>
      <c r="J173" s="393"/>
      <c r="K173" s="393"/>
      <c r="L173" s="393"/>
      <c r="M173" s="393"/>
      <c r="N173" s="393"/>
      <c r="O173" s="393"/>
      <c r="P173" s="393"/>
      <c r="Q173" s="393"/>
      <c r="R173" s="393"/>
      <c r="S173" s="393"/>
      <c r="T173" s="393"/>
      <c r="U173" s="393"/>
      <c r="V173" s="393"/>
      <c r="W173" s="393"/>
      <c r="X173" s="393"/>
      <c r="Y173" s="393"/>
      <c r="Z173" s="393"/>
    </row>
    <row r="174" ht="12.75" customHeight="1">
      <c r="A174" s="393"/>
      <c r="B174" s="393"/>
      <c r="C174" s="393"/>
      <c r="D174" s="393"/>
      <c r="E174" s="393"/>
      <c r="F174" s="393"/>
      <c r="G174" s="393"/>
      <c r="H174" s="393"/>
      <c r="I174" s="393"/>
      <c r="J174" s="393"/>
      <c r="K174" s="393"/>
      <c r="L174" s="393"/>
      <c r="M174" s="393"/>
      <c r="N174" s="393"/>
      <c r="O174" s="393"/>
      <c r="P174" s="393"/>
      <c r="Q174" s="393"/>
      <c r="R174" s="393"/>
      <c r="S174" s="393"/>
      <c r="T174" s="393"/>
      <c r="U174" s="393"/>
      <c r="V174" s="393"/>
      <c r="W174" s="393"/>
      <c r="X174" s="393"/>
      <c r="Y174" s="393"/>
      <c r="Z174" s="393"/>
    </row>
    <row r="175" ht="12.75" customHeight="1">
      <c r="A175" s="393"/>
      <c r="B175" s="393"/>
      <c r="C175" s="393"/>
      <c r="D175" s="393"/>
      <c r="E175" s="393"/>
      <c r="F175" s="393"/>
      <c r="G175" s="393"/>
      <c r="H175" s="393"/>
      <c r="I175" s="393"/>
      <c r="J175" s="393"/>
      <c r="K175" s="393"/>
      <c r="L175" s="393"/>
      <c r="M175" s="393"/>
      <c r="N175" s="393"/>
      <c r="O175" s="393"/>
      <c r="P175" s="393"/>
      <c r="Q175" s="393"/>
      <c r="R175" s="393"/>
      <c r="S175" s="393"/>
      <c r="T175" s="393"/>
      <c r="U175" s="393"/>
      <c r="V175" s="393"/>
      <c r="W175" s="393"/>
      <c r="X175" s="393"/>
      <c r="Y175" s="393"/>
      <c r="Z175" s="393"/>
    </row>
    <row r="176" ht="12.75" customHeight="1">
      <c r="A176" s="393"/>
      <c r="B176" s="393"/>
      <c r="C176" s="393"/>
      <c r="D176" s="393"/>
      <c r="E176" s="393"/>
      <c r="F176" s="393"/>
      <c r="G176" s="393"/>
      <c r="H176" s="393"/>
      <c r="I176" s="393"/>
      <c r="J176" s="393"/>
      <c r="K176" s="393"/>
      <c r="L176" s="393"/>
      <c r="M176" s="393"/>
      <c r="N176" s="393"/>
      <c r="O176" s="393"/>
      <c r="P176" s="393"/>
      <c r="Q176" s="393"/>
      <c r="R176" s="393"/>
      <c r="S176" s="393"/>
      <c r="T176" s="393"/>
      <c r="U176" s="393"/>
      <c r="V176" s="393"/>
      <c r="W176" s="393"/>
      <c r="X176" s="393"/>
      <c r="Y176" s="393"/>
      <c r="Z176" s="393"/>
    </row>
    <row r="177" ht="12.75" customHeight="1">
      <c r="A177" s="393"/>
      <c r="B177" s="393"/>
      <c r="C177" s="393"/>
      <c r="D177" s="393"/>
      <c r="E177" s="393"/>
      <c r="F177" s="393"/>
      <c r="G177" s="393"/>
      <c r="H177" s="393"/>
      <c r="I177" s="393"/>
      <c r="J177" s="393"/>
      <c r="K177" s="393"/>
      <c r="L177" s="393"/>
      <c r="M177" s="393"/>
      <c r="N177" s="393"/>
      <c r="O177" s="393"/>
      <c r="P177" s="393"/>
      <c r="Q177" s="393"/>
      <c r="R177" s="393"/>
      <c r="S177" s="393"/>
      <c r="T177" s="393"/>
      <c r="U177" s="393"/>
      <c r="V177" s="393"/>
      <c r="W177" s="393"/>
      <c r="X177" s="393"/>
      <c r="Y177" s="393"/>
      <c r="Z177" s="393"/>
    </row>
    <row r="178" ht="12.75" customHeight="1">
      <c r="A178" s="393"/>
      <c r="B178" s="393"/>
      <c r="C178" s="393"/>
      <c r="D178" s="393"/>
      <c r="E178" s="393"/>
      <c r="F178" s="393"/>
      <c r="G178" s="393"/>
      <c r="H178" s="393"/>
      <c r="I178" s="393"/>
      <c r="J178" s="393"/>
      <c r="K178" s="393"/>
      <c r="L178" s="393"/>
      <c r="M178" s="393"/>
      <c r="N178" s="393"/>
      <c r="O178" s="393"/>
      <c r="P178" s="393"/>
      <c r="Q178" s="393"/>
      <c r="R178" s="393"/>
      <c r="S178" s="393"/>
      <c r="T178" s="393"/>
      <c r="U178" s="393"/>
      <c r="V178" s="393"/>
      <c r="W178" s="393"/>
      <c r="X178" s="393"/>
      <c r="Y178" s="393"/>
      <c r="Z178" s="393"/>
    </row>
    <row r="179" ht="12.75" customHeight="1">
      <c r="A179" s="393"/>
      <c r="B179" s="393"/>
      <c r="C179" s="393"/>
      <c r="D179" s="393"/>
      <c r="E179" s="393"/>
      <c r="F179" s="393"/>
      <c r="G179" s="393"/>
      <c r="H179" s="393"/>
      <c r="I179" s="393"/>
      <c r="J179" s="393"/>
      <c r="K179" s="393"/>
      <c r="L179" s="393"/>
      <c r="M179" s="393"/>
      <c r="N179" s="393"/>
      <c r="O179" s="393"/>
      <c r="P179" s="393"/>
      <c r="Q179" s="393"/>
      <c r="R179" s="393"/>
      <c r="S179" s="393"/>
      <c r="T179" s="393"/>
      <c r="U179" s="393"/>
      <c r="V179" s="393"/>
      <c r="W179" s="393"/>
      <c r="X179" s="393"/>
      <c r="Y179" s="393"/>
      <c r="Z179" s="393"/>
    </row>
    <row r="180" ht="12.75" customHeight="1">
      <c r="A180" s="393"/>
      <c r="B180" s="393"/>
      <c r="C180" s="393"/>
      <c r="D180" s="393"/>
      <c r="E180" s="393"/>
      <c r="F180" s="393"/>
      <c r="G180" s="393"/>
      <c r="H180" s="393"/>
      <c r="I180" s="393"/>
      <c r="J180" s="393"/>
      <c r="K180" s="393"/>
      <c r="L180" s="393"/>
      <c r="M180" s="393"/>
      <c r="N180" s="393"/>
      <c r="O180" s="393"/>
      <c r="P180" s="393"/>
      <c r="Q180" s="393"/>
      <c r="R180" s="393"/>
      <c r="S180" s="393"/>
      <c r="T180" s="393"/>
      <c r="U180" s="393"/>
      <c r="V180" s="393"/>
      <c r="W180" s="393"/>
      <c r="X180" s="393"/>
      <c r="Y180" s="393"/>
      <c r="Z180" s="393"/>
    </row>
    <row r="181" ht="12.75" customHeight="1">
      <c r="A181" s="393"/>
      <c r="B181" s="393"/>
      <c r="C181" s="393"/>
      <c r="D181" s="393"/>
      <c r="E181" s="393"/>
      <c r="F181" s="393"/>
      <c r="G181" s="393"/>
      <c r="H181" s="393"/>
      <c r="I181" s="393"/>
      <c r="J181" s="393"/>
      <c r="K181" s="393"/>
      <c r="L181" s="393"/>
      <c r="M181" s="393"/>
      <c r="N181" s="393"/>
      <c r="O181" s="393"/>
      <c r="P181" s="393"/>
      <c r="Q181" s="393"/>
      <c r="R181" s="393"/>
      <c r="S181" s="393"/>
      <c r="T181" s="393"/>
      <c r="U181" s="393"/>
      <c r="V181" s="393"/>
      <c r="W181" s="393"/>
      <c r="X181" s="393"/>
      <c r="Y181" s="393"/>
      <c r="Z181" s="393"/>
    </row>
    <row r="182" ht="12.75" customHeight="1">
      <c r="A182" s="393"/>
      <c r="B182" s="393"/>
      <c r="C182" s="393"/>
      <c r="D182" s="393"/>
      <c r="E182" s="393"/>
      <c r="F182" s="393"/>
      <c r="G182" s="393"/>
      <c r="H182" s="393"/>
      <c r="I182" s="393"/>
      <c r="J182" s="393"/>
      <c r="K182" s="393"/>
      <c r="L182" s="393"/>
      <c r="M182" s="393"/>
      <c r="N182" s="393"/>
      <c r="O182" s="393"/>
      <c r="P182" s="393"/>
      <c r="Q182" s="393"/>
      <c r="R182" s="393"/>
      <c r="S182" s="393"/>
      <c r="T182" s="393"/>
      <c r="U182" s="393"/>
      <c r="V182" s="393"/>
      <c r="W182" s="393"/>
      <c r="X182" s="393"/>
      <c r="Y182" s="393"/>
      <c r="Z182" s="393"/>
    </row>
    <row r="183" ht="12.75" customHeight="1">
      <c r="A183" s="393"/>
      <c r="B183" s="393"/>
      <c r="C183" s="393"/>
      <c r="D183" s="393"/>
      <c r="E183" s="393"/>
      <c r="F183" s="393"/>
      <c r="G183" s="393"/>
      <c r="H183" s="393"/>
      <c r="I183" s="393"/>
      <c r="J183" s="393"/>
      <c r="K183" s="393"/>
      <c r="L183" s="393"/>
      <c r="M183" s="393"/>
      <c r="N183" s="393"/>
      <c r="O183" s="393"/>
      <c r="P183" s="393"/>
      <c r="Q183" s="393"/>
      <c r="R183" s="393"/>
      <c r="S183" s="393"/>
      <c r="T183" s="393"/>
      <c r="U183" s="393"/>
      <c r="V183" s="393"/>
      <c r="W183" s="393"/>
      <c r="X183" s="393"/>
      <c r="Y183" s="393"/>
      <c r="Z183" s="393"/>
    </row>
    <row r="184" ht="12.75" customHeight="1">
      <c r="A184" s="393"/>
      <c r="B184" s="393"/>
      <c r="C184" s="393"/>
      <c r="D184" s="393"/>
      <c r="E184" s="393"/>
      <c r="F184" s="393"/>
      <c r="G184" s="393"/>
      <c r="H184" s="393"/>
      <c r="I184" s="393"/>
      <c r="J184" s="393"/>
      <c r="K184" s="393"/>
      <c r="L184" s="393"/>
      <c r="M184" s="393"/>
      <c r="N184" s="393"/>
      <c r="O184" s="393"/>
      <c r="P184" s="393"/>
      <c r="Q184" s="393"/>
      <c r="R184" s="393"/>
      <c r="S184" s="393"/>
      <c r="T184" s="393"/>
      <c r="U184" s="393"/>
      <c r="V184" s="393"/>
      <c r="W184" s="393"/>
      <c r="X184" s="393"/>
      <c r="Y184" s="393"/>
      <c r="Z184" s="393"/>
    </row>
    <row r="185" ht="12.75" customHeight="1">
      <c r="A185" s="393"/>
      <c r="B185" s="393"/>
      <c r="C185" s="393"/>
      <c r="D185" s="393"/>
      <c r="E185" s="393"/>
      <c r="F185" s="393"/>
      <c r="G185" s="393"/>
      <c r="H185" s="393"/>
      <c r="I185" s="393"/>
      <c r="J185" s="393"/>
      <c r="K185" s="393"/>
      <c r="L185" s="393"/>
      <c r="M185" s="393"/>
      <c r="N185" s="393"/>
      <c r="O185" s="393"/>
      <c r="P185" s="393"/>
      <c r="Q185" s="393"/>
      <c r="R185" s="393"/>
      <c r="S185" s="393"/>
      <c r="T185" s="393"/>
      <c r="U185" s="393"/>
      <c r="V185" s="393"/>
      <c r="W185" s="393"/>
      <c r="X185" s="393"/>
      <c r="Y185" s="393"/>
      <c r="Z185" s="393"/>
    </row>
    <row r="186" ht="12.75" customHeight="1">
      <c r="A186" s="393"/>
      <c r="B186" s="393"/>
      <c r="C186" s="393"/>
      <c r="D186" s="393"/>
      <c r="E186" s="393"/>
      <c r="F186" s="393"/>
      <c r="G186" s="393"/>
      <c r="H186" s="393"/>
      <c r="I186" s="393"/>
      <c r="J186" s="393"/>
      <c r="K186" s="393"/>
      <c r="L186" s="393"/>
      <c r="M186" s="393"/>
      <c r="N186" s="393"/>
      <c r="O186" s="393"/>
      <c r="P186" s="393"/>
      <c r="Q186" s="393"/>
      <c r="R186" s="393"/>
      <c r="S186" s="393"/>
      <c r="T186" s="393"/>
      <c r="U186" s="393"/>
      <c r="V186" s="393"/>
      <c r="W186" s="393"/>
      <c r="X186" s="393"/>
      <c r="Y186" s="393"/>
      <c r="Z186" s="393"/>
    </row>
    <row r="187" ht="12.75" customHeight="1">
      <c r="A187" s="393"/>
      <c r="B187" s="393"/>
      <c r="C187" s="393"/>
      <c r="D187" s="393"/>
      <c r="E187" s="393"/>
      <c r="F187" s="393"/>
      <c r="G187" s="393"/>
      <c r="H187" s="393"/>
      <c r="I187" s="393"/>
      <c r="J187" s="393"/>
      <c r="K187" s="393"/>
      <c r="L187" s="393"/>
      <c r="M187" s="393"/>
      <c r="N187" s="393"/>
      <c r="O187" s="393"/>
      <c r="P187" s="393"/>
      <c r="Q187" s="393"/>
      <c r="R187" s="393"/>
      <c r="S187" s="393"/>
      <c r="T187" s="393"/>
      <c r="U187" s="393"/>
      <c r="V187" s="393"/>
      <c r="W187" s="393"/>
      <c r="X187" s="393"/>
      <c r="Y187" s="393"/>
      <c r="Z187" s="393"/>
    </row>
    <row r="188" ht="12.75" customHeight="1">
      <c r="A188" s="393"/>
      <c r="B188" s="393"/>
      <c r="C188" s="393"/>
      <c r="D188" s="393"/>
      <c r="E188" s="393"/>
      <c r="F188" s="393"/>
      <c r="G188" s="393"/>
      <c r="H188" s="393"/>
      <c r="I188" s="393"/>
      <c r="J188" s="393"/>
      <c r="K188" s="393"/>
      <c r="L188" s="393"/>
      <c r="M188" s="393"/>
      <c r="N188" s="393"/>
      <c r="O188" s="393"/>
      <c r="P188" s="393"/>
      <c r="Q188" s="393"/>
      <c r="R188" s="393"/>
      <c r="S188" s="393"/>
      <c r="T188" s="393"/>
      <c r="U188" s="393"/>
      <c r="V188" s="393"/>
      <c r="W188" s="393"/>
      <c r="X188" s="393"/>
      <c r="Y188" s="393"/>
      <c r="Z188" s="393"/>
    </row>
    <row r="189" ht="12.75" customHeight="1">
      <c r="A189" s="393"/>
      <c r="B189" s="393"/>
      <c r="C189" s="393"/>
      <c r="D189" s="393"/>
      <c r="E189" s="393"/>
      <c r="F189" s="393"/>
      <c r="G189" s="393"/>
      <c r="H189" s="393"/>
      <c r="I189" s="393"/>
      <c r="J189" s="393"/>
      <c r="K189" s="393"/>
      <c r="L189" s="393"/>
      <c r="M189" s="393"/>
      <c r="N189" s="393"/>
      <c r="O189" s="393"/>
      <c r="P189" s="393"/>
      <c r="Q189" s="393"/>
      <c r="R189" s="393"/>
      <c r="S189" s="393"/>
      <c r="T189" s="393"/>
      <c r="U189" s="393"/>
      <c r="V189" s="393"/>
      <c r="W189" s="393"/>
      <c r="X189" s="393"/>
      <c r="Y189" s="393"/>
      <c r="Z189" s="393"/>
    </row>
    <row r="190" ht="12.75" customHeight="1">
      <c r="A190" s="393"/>
      <c r="B190" s="393"/>
      <c r="C190" s="393"/>
      <c r="D190" s="393"/>
      <c r="E190" s="393"/>
      <c r="F190" s="393"/>
      <c r="G190" s="393"/>
      <c r="H190" s="393"/>
      <c r="I190" s="393"/>
      <c r="J190" s="393"/>
      <c r="K190" s="393"/>
      <c r="L190" s="393"/>
      <c r="M190" s="393"/>
      <c r="N190" s="393"/>
      <c r="O190" s="393"/>
      <c r="P190" s="393"/>
      <c r="Q190" s="393"/>
      <c r="R190" s="393"/>
      <c r="S190" s="393"/>
      <c r="T190" s="393"/>
      <c r="U190" s="393"/>
      <c r="V190" s="393"/>
      <c r="W190" s="393"/>
      <c r="X190" s="393"/>
      <c r="Y190" s="393"/>
      <c r="Z190" s="393"/>
    </row>
    <row r="191" ht="12.75" customHeight="1">
      <c r="A191" s="393"/>
      <c r="B191" s="393"/>
      <c r="C191" s="393"/>
      <c r="D191" s="393"/>
      <c r="E191" s="393"/>
      <c r="F191" s="393"/>
      <c r="G191" s="393"/>
      <c r="H191" s="393"/>
      <c r="I191" s="393"/>
      <c r="J191" s="393"/>
      <c r="K191" s="393"/>
      <c r="L191" s="393"/>
      <c r="M191" s="393"/>
      <c r="N191" s="393"/>
      <c r="O191" s="393"/>
      <c r="P191" s="393"/>
      <c r="Q191" s="393"/>
      <c r="R191" s="393"/>
      <c r="S191" s="393"/>
      <c r="T191" s="393"/>
      <c r="U191" s="393"/>
      <c r="V191" s="393"/>
      <c r="W191" s="393"/>
      <c r="X191" s="393"/>
      <c r="Y191" s="393"/>
      <c r="Z191" s="393"/>
    </row>
    <row r="192" ht="12.75" customHeight="1">
      <c r="A192" s="393"/>
      <c r="B192" s="393"/>
      <c r="C192" s="393"/>
      <c r="D192" s="393"/>
      <c r="E192" s="393"/>
      <c r="F192" s="393"/>
      <c r="G192" s="393"/>
      <c r="H192" s="393"/>
      <c r="I192" s="393"/>
      <c r="J192" s="393"/>
      <c r="K192" s="393"/>
      <c r="L192" s="393"/>
      <c r="M192" s="393"/>
      <c r="N192" s="393"/>
      <c r="O192" s="393"/>
      <c r="P192" s="393"/>
      <c r="Q192" s="393"/>
      <c r="R192" s="393"/>
      <c r="S192" s="393"/>
      <c r="T192" s="393"/>
      <c r="U192" s="393"/>
      <c r="V192" s="393"/>
      <c r="W192" s="393"/>
      <c r="X192" s="393"/>
      <c r="Y192" s="393"/>
      <c r="Z192" s="393"/>
    </row>
    <row r="193" ht="12.75" customHeight="1">
      <c r="A193" s="393"/>
      <c r="B193" s="393"/>
      <c r="C193" s="393"/>
      <c r="D193" s="393"/>
      <c r="E193" s="393"/>
      <c r="F193" s="393"/>
      <c r="G193" s="393"/>
      <c r="H193" s="393"/>
      <c r="I193" s="393"/>
      <c r="J193" s="393"/>
      <c r="K193" s="393"/>
      <c r="L193" s="393"/>
      <c r="M193" s="393"/>
      <c r="N193" s="393"/>
      <c r="O193" s="393"/>
      <c r="P193" s="393"/>
      <c r="Q193" s="393"/>
      <c r="R193" s="393"/>
      <c r="S193" s="393"/>
      <c r="T193" s="393"/>
      <c r="U193" s="393"/>
      <c r="V193" s="393"/>
      <c r="W193" s="393"/>
      <c r="X193" s="393"/>
      <c r="Y193" s="393"/>
      <c r="Z193" s="393"/>
    </row>
    <row r="194" ht="12.75" customHeight="1">
      <c r="A194" s="393"/>
      <c r="B194" s="393"/>
      <c r="C194" s="393"/>
      <c r="D194" s="393"/>
      <c r="E194" s="393"/>
      <c r="F194" s="393"/>
      <c r="G194" s="393"/>
      <c r="H194" s="393"/>
      <c r="I194" s="393"/>
      <c r="J194" s="393"/>
      <c r="K194" s="393"/>
      <c r="L194" s="393"/>
      <c r="M194" s="393"/>
      <c r="N194" s="393"/>
      <c r="O194" s="393"/>
      <c r="P194" s="393"/>
      <c r="Q194" s="393"/>
      <c r="R194" s="393"/>
      <c r="S194" s="393"/>
      <c r="T194" s="393"/>
      <c r="U194" s="393"/>
      <c r="V194" s="393"/>
      <c r="W194" s="393"/>
      <c r="X194" s="393"/>
      <c r="Y194" s="393"/>
      <c r="Z194" s="393"/>
    </row>
    <row r="195" ht="12.75" customHeight="1">
      <c r="A195" s="393"/>
      <c r="B195" s="393"/>
      <c r="C195" s="393"/>
      <c r="D195" s="393"/>
      <c r="E195" s="393"/>
      <c r="F195" s="393"/>
      <c r="G195" s="393"/>
      <c r="H195" s="393"/>
      <c r="I195" s="393"/>
      <c r="J195" s="393"/>
      <c r="K195" s="393"/>
      <c r="L195" s="393"/>
      <c r="M195" s="393"/>
      <c r="N195" s="393"/>
      <c r="O195" s="393"/>
      <c r="P195" s="393"/>
      <c r="Q195" s="393"/>
      <c r="R195" s="393"/>
      <c r="S195" s="393"/>
      <c r="T195" s="393"/>
      <c r="U195" s="393"/>
      <c r="V195" s="393"/>
      <c r="W195" s="393"/>
      <c r="X195" s="393"/>
      <c r="Y195" s="393"/>
      <c r="Z195" s="393"/>
    </row>
    <row r="196" ht="12.75" customHeight="1">
      <c r="A196" s="393"/>
      <c r="B196" s="393"/>
      <c r="C196" s="393"/>
      <c r="D196" s="393"/>
      <c r="E196" s="393"/>
      <c r="F196" s="393"/>
      <c r="G196" s="393"/>
      <c r="H196" s="393"/>
      <c r="I196" s="393"/>
      <c r="J196" s="393"/>
      <c r="K196" s="393"/>
      <c r="L196" s="393"/>
      <c r="M196" s="393"/>
      <c r="N196" s="393"/>
      <c r="O196" s="393"/>
      <c r="P196" s="393"/>
      <c r="Q196" s="393"/>
      <c r="R196" s="393"/>
      <c r="S196" s="393"/>
      <c r="T196" s="393"/>
      <c r="U196" s="393"/>
      <c r="V196" s="393"/>
      <c r="W196" s="393"/>
      <c r="X196" s="393"/>
      <c r="Y196" s="393"/>
      <c r="Z196" s="393"/>
    </row>
    <row r="197" ht="12.75" customHeight="1">
      <c r="A197" s="393"/>
      <c r="B197" s="393"/>
      <c r="C197" s="393"/>
      <c r="D197" s="393"/>
      <c r="E197" s="393"/>
      <c r="F197" s="393"/>
      <c r="G197" s="393"/>
      <c r="H197" s="393"/>
      <c r="I197" s="393"/>
      <c r="J197" s="393"/>
      <c r="K197" s="393"/>
      <c r="L197" s="393"/>
      <c r="M197" s="393"/>
      <c r="N197" s="393"/>
      <c r="O197" s="393"/>
      <c r="P197" s="393"/>
      <c r="Q197" s="393"/>
      <c r="R197" s="393"/>
      <c r="S197" s="393"/>
      <c r="T197" s="393"/>
      <c r="U197" s="393"/>
      <c r="V197" s="393"/>
      <c r="W197" s="393"/>
      <c r="X197" s="393"/>
      <c r="Y197" s="393"/>
      <c r="Z197" s="393"/>
    </row>
    <row r="198" ht="12.75" customHeight="1">
      <c r="A198" s="393"/>
      <c r="B198" s="393"/>
      <c r="C198" s="393"/>
      <c r="D198" s="393"/>
      <c r="E198" s="393"/>
      <c r="F198" s="393"/>
      <c r="G198" s="393"/>
      <c r="H198" s="393"/>
      <c r="I198" s="393"/>
      <c r="J198" s="393"/>
      <c r="K198" s="393"/>
      <c r="L198" s="393"/>
      <c r="M198" s="393"/>
      <c r="N198" s="393"/>
      <c r="O198" s="393"/>
      <c r="P198" s="393"/>
      <c r="Q198" s="393"/>
      <c r="R198" s="393"/>
      <c r="S198" s="393"/>
      <c r="T198" s="393"/>
      <c r="U198" s="393"/>
      <c r="V198" s="393"/>
      <c r="W198" s="393"/>
      <c r="X198" s="393"/>
      <c r="Y198" s="393"/>
      <c r="Z198" s="393"/>
    </row>
    <row r="199" ht="12.75" customHeight="1">
      <c r="A199" s="393"/>
      <c r="B199" s="393"/>
      <c r="C199" s="393"/>
      <c r="D199" s="393"/>
      <c r="E199" s="393"/>
      <c r="F199" s="393"/>
      <c r="G199" s="393"/>
      <c r="H199" s="393"/>
      <c r="I199" s="393"/>
      <c r="J199" s="393"/>
      <c r="K199" s="393"/>
      <c r="L199" s="393"/>
      <c r="M199" s="393"/>
      <c r="N199" s="393"/>
      <c r="O199" s="393"/>
      <c r="P199" s="393"/>
      <c r="Q199" s="393"/>
      <c r="R199" s="393"/>
      <c r="S199" s="393"/>
      <c r="T199" s="393"/>
      <c r="U199" s="393"/>
      <c r="V199" s="393"/>
      <c r="W199" s="393"/>
      <c r="X199" s="393"/>
      <c r="Y199" s="393"/>
      <c r="Z199" s="393"/>
    </row>
    <row r="200" ht="12.75" customHeight="1">
      <c r="A200" s="393"/>
      <c r="B200" s="393"/>
      <c r="C200" s="393"/>
      <c r="D200" s="393"/>
      <c r="E200" s="393"/>
      <c r="F200" s="393"/>
      <c r="G200" s="393"/>
      <c r="H200" s="393"/>
      <c r="I200" s="393"/>
      <c r="J200" s="393"/>
      <c r="K200" s="393"/>
      <c r="L200" s="393"/>
      <c r="M200" s="393"/>
      <c r="N200" s="393"/>
      <c r="O200" s="393"/>
      <c r="P200" s="393"/>
      <c r="Q200" s="393"/>
      <c r="R200" s="393"/>
      <c r="S200" s="393"/>
      <c r="T200" s="393"/>
      <c r="U200" s="393"/>
      <c r="V200" s="393"/>
      <c r="W200" s="393"/>
      <c r="X200" s="393"/>
      <c r="Y200" s="393"/>
      <c r="Z200" s="393"/>
    </row>
    <row r="201" ht="12.75" customHeight="1">
      <c r="A201" s="393"/>
      <c r="B201" s="393"/>
      <c r="C201" s="393"/>
      <c r="D201" s="393"/>
      <c r="E201" s="393"/>
      <c r="F201" s="393"/>
      <c r="G201" s="393"/>
      <c r="H201" s="393"/>
      <c r="I201" s="393"/>
      <c r="J201" s="393"/>
      <c r="K201" s="393"/>
      <c r="L201" s="393"/>
      <c r="M201" s="393"/>
      <c r="N201" s="393"/>
      <c r="O201" s="393"/>
      <c r="P201" s="393"/>
      <c r="Q201" s="393"/>
      <c r="R201" s="393"/>
      <c r="S201" s="393"/>
      <c r="T201" s="393"/>
      <c r="U201" s="393"/>
      <c r="V201" s="393"/>
      <c r="W201" s="393"/>
      <c r="X201" s="393"/>
      <c r="Y201" s="393"/>
      <c r="Z201" s="393"/>
    </row>
    <row r="202" ht="12.75" customHeight="1">
      <c r="A202" s="393"/>
      <c r="B202" s="393"/>
      <c r="C202" s="393"/>
      <c r="D202" s="393"/>
      <c r="E202" s="393"/>
      <c r="F202" s="393"/>
      <c r="G202" s="393"/>
      <c r="H202" s="393"/>
      <c r="I202" s="393"/>
      <c r="J202" s="393"/>
      <c r="K202" s="393"/>
      <c r="L202" s="393"/>
      <c r="M202" s="393"/>
      <c r="N202" s="393"/>
      <c r="O202" s="393"/>
      <c r="P202" s="393"/>
      <c r="Q202" s="393"/>
      <c r="R202" s="393"/>
      <c r="S202" s="393"/>
      <c r="T202" s="393"/>
      <c r="U202" s="393"/>
      <c r="V202" s="393"/>
      <c r="W202" s="393"/>
      <c r="X202" s="393"/>
      <c r="Y202" s="393"/>
      <c r="Z202" s="393"/>
    </row>
    <row r="203" ht="12.75" customHeight="1">
      <c r="A203" s="393"/>
      <c r="B203" s="393"/>
      <c r="C203" s="393"/>
      <c r="D203" s="393"/>
      <c r="E203" s="393"/>
      <c r="F203" s="393"/>
      <c r="G203" s="393"/>
      <c r="H203" s="393"/>
      <c r="I203" s="393"/>
      <c r="J203" s="393"/>
      <c r="K203" s="393"/>
      <c r="L203" s="393"/>
      <c r="M203" s="393"/>
      <c r="N203" s="393"/>
      <c r="O203" s="393"/>
      <c r="P203" s="393"/>
      <c r="Q203" s="393"/>
      <c r="R203" s="393"/>
      <c r="S203" s="393"/>
      <c r="T203" s="393"/>
      <c r="U203" s="393"/>
      <c r="V203" s="393"/>
      <c r="W203" s="393"/>
      <c r="X203" s="393"/>
      <c r="Y203" s="393"/>
      <c r="Z203" s="393"/>
    </row>
    <row r="204" ht="12.75" customHeight="1">
      <c r="A204" s="393"/>
      <c r="B204" s="393"/>
      <c r="C204" s="393"/>
      <c r="D204" s="393"/>
      <c r="E204" s="393"/>
      <c r="F204" s="393"/>
      <c r="G204" s="393"/>
      <c r="H204" s="393"/>
      <c r="I204" s="393"/>
      <c r="J204" s="393"/>
      <c r="K204" s="393"/>
      <c r="L204" s="393"/>
      <c r="M204" s="393"/>
      <c r="N204" s="393"/>
      <c r="O204" s="393"/>
      <c r="P204" s="393"/>
      <c r="Q204" s="393"/>
      <c r="R204" s="393"/>
      <c r="S204" s="393"/>
      <c r="T204" s="393"/>
      <c r="U204" s="393"/>
      <c r="V204" s="393"/>
      <c r="W204" s="393"/>
      <c r="X204" s="393"/>
      <c r="Y204" s="393"/>
      <c r="Z204" s="393"/>
    </row>
    <row r="205" ht="12.75" customHeight="1">
      <c r="A205" s="393"/>
      <c r="B205" s="393"/>
      <c r="C205" s="393"/>
      <c r="D205" s="393"/>
      <c r="E205" s="393"/>
      <c r="F205" s="393"/>
      <c r="G205" s="393"/>
      <c r="H205" s="393"/>
      <c r="I205" s="393"/>
      <c r="J205" s="393"/>
      <c r="K205" s="393"/>
      <c r="L205" s="393"/>
      <c r="M205" s="393"/>
      <c r="N205" s="393"/>
      <c r="O205" s="393"/>
      <c r="P205" s="393"/>
      <c r="Q205" s="393"/>
      <c r="R205" s="393"/>
      <c r="S205" s="393"/>
      <c r="T205" s="393"/>
      <c r="U205" s="393"/>
      <c r="V205" s="393"/>
      <c r="W205" s="393"/>
      <c r="X205" s="393"/>
      <c r="Y205" s="393"/>
      <c r="Z205" s="393"/>
    </row>
    <row r="206" ht="12.75" customHeight="1">
      <c r="A206" s="393"/>
      <c r="B206" s="393"/>
      <c r="C206" s="393"/>
      <c r="D206" s="393"/>
      <c r="E206" s="393"/>
      <c r="F206" s="393"/>
      <c r="G206" s="393"/>
      <c r="H206" s="393"/>
      <c r="I206" s="393"/>
      <c r="J206" s="393"/>
      <c r="K206" s="393"/>
      <c r="L206" s="393"/>
      <c r="M206" s="393"/>
      <c r="N206" s="393"/>
      <c r="O206" s="393"/>
      <c r="P206" s="393"/>
      <c r="Q206" s="393"/>
      <c r="R206" s="393"/>
      <c r="S206" s="393"/>
      <c r="T206" s="393"/>
      <c r="U206" s="393"/>
      <c r="V206" s="393"/>
      <c r="W206" s="393"/>
      <c r="X206" s="393"/>
      <c r="Y206" s="393"/>
      <c r="Z206" s="393"/>
    </row>
    <row r="207" ht="12.75" customHeight="1">
      <c r="A207" s="393"/>
      <c r="B207" s="393"/>
      <c r="C207" s="393"/>
      <c r="D207" s="393"/>
      <c r="E207" s="393"/>
      <c r="F207" s="393"/>
      <c r="G207" s="393"/>
      <c r="H207" s="393"/>
      <c r="I207" s="393"/>
      <c r="J207" s="393"/>
      <c r="K207" s="393"/>
      <c r="L207" s="393"/>
      <c r="M207" s="393"/>
      <c r="N207" s="393"/>
      <c r="O207" s="393"/>
      <c r="P207" s="393"/>
      <c r="Q207" s="393"/>
      <c r="R207" s="393"/>
      <c r="S207" s="393"/>
      <c r="T207" s="393"/>
      <c r="U207" s="393"/>
      <c r="V207" s="393"/>
      <c r="W207" s="393"/>
      <c r="X207" s="393"/>
      <c r="Y207" s="393"/>
      <c r="Z207" s="393"/>
    </row>
    <row r="208" ht="12.75" customHeight="1">
      <c r="A208" s="393"/>
      <c r="B208" s="393"/>
      <c r="C208" s="393"/>
      <c r="D208" s="393"/>
      <c r="E208" s="393"/>
      <c r="F208" s="393"/>
      <c r="G208" s="393"/>
      <c r="H208" s="393"/>
      <c r="I208" s="393"/>
      <c r="J208" s="393"/>
      <c r="K208" s="393"/>
      <c r="L208" s="393"/>
      <c r="M208" s="393"/>
      <c r="N208" s="393"/>
      <c r="O208" s="393"/>
      <c r="P208" s="393"/>
      <c r="Q208" s="393"/>
      <c r="R208" s="393"/>
      <c r="S208" s="393"/>
      <c r="T208" s="393"/>
      <c r="U208" s="393"/>
      <c r="V208" s="393"/>
      <c r="W208" s="393"/>
      <c r="X208" s="393"/>
      <c r="Y208" s="393"/>
      <c r="Z208" s="393"/>
    </row>
    <row r="209" ht="12.75" customHeight="1">
      <c r="A209" s="393"/>
      <c r="B209" s="393"/>
      <c r="C209" s="393"/>
      <c r="D209" s="393"/>
      <c r="E209" s="393"/>
      <c r="F209" s="393"/>
      <c r="G209" s="393"/>
      <c r="H209" s="393"/>
      <c r="I209" s="393"/>
      <c r="J209" s="393"/>
      <c r="K209" s="393"/>
      <c r="L209" s="393"/>
      <c r="M209" s="393"/>
      <c r="N209" s="393"/>
      <c r="O209" s="393"/>
      <c r="P209" s="393"/>
      <c r="Q209" s="393"/>
      <c r="R209" s="393"/>
      <c r="S209" s="393"/>
      <c r="T209" s="393"/>
      <c r="U209" s="393"/>
      <c r="V209" s="393"/>
      <c r="W209" s="393"/>
      <c r="X209" s="393"/>
      <c r="Y209" s="393"/>
      <c r="Z209" s="393"/>
    </row>
    <row r="210" ht="12.75" customHeight="1">
      <c r="A210" s="393"/>
      <c r="B210" s="393"/>
      <c r="C210" s="393"/>
      <c r="D210" s="393"/>
      <c r="E210" s="393"/>
      <c r="F210" s="393"/>
      <c r="G210" s="393"/>
      <c r="H210" s="393"/>
      <c r="I210" s="393"/>
      <c r="J210" s="393"/>
      <c r="K210" s="393"/>
      <c r="L210" s="393"/>
      <c r="M210" s="393"/>
      <c r="N210" s="393"/>
      <c r="O210" s="393"/>
      <c r="P210" s="393"/>
      <c r="Q210" s="393"/>
      <c r="R210" s="393"/>
      <c r="S210" s="393"/>
      <c r="T210" s="393"/>
      <c r="U210" s="393"/>
      <c r="V210" s="393"/>
      <c r="W210" s="393"/>
      <c r="X210" s="393"/>
      <c r="Y210" s="393"/>
      <c r="Z210" s="393"/>
    </row>
    <row r="211" ht="12.75" customHeight="1">
      <c r="A211" s="393"/>
      <c r="B211" s="393"/>
      <c r="C211" s="393"/>
      <c r="D211" s="393"/>
      <c r="E211" s="393"/>
      <c r="F211" s="393"/>
      <c r="G211" s="393"/>
      <c r="H211" s="393"/>
      <c r="I211" s="393"/>
      <c r="J211" s="393"/>
      <c r="K211" s="393"/>
      <c r="L211" s="393"/>
      <c r="M211" s="393"/>
      <c r="N211" s="393"/>
      <c r="O211" s="393"/>
      <c r="P211" s="393"/>
      <c r="Q211" s="393"/>
      <c r="R211" s="393"/>
      <c r="S211" s="393"/>
      <c r="T211" s="393"/>
      <c r="U211" s="393"/>
      <c r="V211" s="393"/>
      <c r="W211" s="393"/>
      <c r="X211" s="393"/>
      <c r="Y211" s="393"/>
      <c r="Z211" s="393"/>
    </row>
    <row r="212" ht="12.75" customHeight="1">
      <c r="A212" s="393"/>
      <c r="B212" s="393"/>
      <c r="C212" s="393"/>
      <c r="D212" s="393"/>
      <c r="E212" s="393"/>
      <c r="F212" s="393"/>
      <c r="G212" s="393"/>
      <c r="H212" s="393"/>
      <c r="I212" s="393"/>
      <c r="J212" s="393"/>
      <c r="K212" s="393"/>
      <c r="L212" s="393"/>
      <c r="M212" s="393"/>
      <c r="N212" s="393"/>
      <c r="O212" s="393"/>
      <c r="P212" s="393"/>
      <c r="Q212" s="393"/>
      <c r="R212" s="393"/>
      <c r="S212" s="393"/>
      <c r="T212" s="393"/>
      <c r="U212" s="393"/>
      <c r="V212" s="393"/>
      <c r="W212" s="393"/>
      <c r="X212" s="393"/>
      <c r="Y212" s="393"/>
      <c r="Z212" s="393"/>
    </row>
    <row r="213" ht="12.75" customHeight="1">
      <c r="A213" s="393"/>
      <c r="B213" s="393"/>
      <c r="C213" s="393"/>
      <c r="D213" s="393"/>
      <c r="E213" s="393"/>
      <c r="F213" s="393"/>
      <c r="G213" s="393"/>
      <c r="H213" s="393"/>
      <c r="I213" s="393"/>
      <c r="J213" s="393"/>
      <c r="K213" s="393"/>
      <c r="L213" s="393"/>
      <c r="M213" s="393"/>
      <c r="N213" s="393"/>
      <c r="O213" s="393"/>
      <c r="P213" s="393"/>
      <c r="Q213" s="393"/>
      <c r="R213" s="393"/>
      <c r="S213" s="393"/>
      <c r="T213" s="393"/>
      <c r="U213" s="393"/>
      <c r="V213" s="393"/>
      <c r="W213" s="393"/>
      <c r="X213" s="393"/>
      <c r="Y213" s="393"/>
      <c r="Z213" s="393"/>
    </row>
    <row r="214" ht="12.75" customHeight="1">
      <c r="A214" s="393"/>
      <c r="B214" s="393"/>
      <c r="C214" s="393"/>
      <c r="D214" s="393"/>
      <c r="E214" s="393"/>
      <c r="F214" s="393"/>
      <c r="G214" s="393"/>
      <c r="H214" s="393"/>
      <c r="I214" s="393"/>
      <c r="J214" s="393"/>
      <c r="K214" s="393"/>
      <c r="L214" s="393"/>
      <c r="M214" s="393"/>
      <c r="N214" s="393"/>
      <c r="O214" s="393"/>
      <c r="P214" s="393"/>
      <c r="Q214" s="393"/>
      <c r="R214" s="393"/>
      <c r="S214" s="393"/>
      <c r="T214" s="393"/>
      <c r="U214" s="393"/>
      <c r="V214" s="393"/>
      <c r="W214" s="393"/>
      <c r="X214" s="393"/>
      <c r="Y214" s="393"/>
      <c r="Z214" s="393"/>
    </row>
    <row r="215" ht="12.75" customHeight="1">
      <c r="A215" s="393"/>
      <c r="B215" s="393"/>
      <c r="C215" s="393"/>
      <c r="D215" s="393"/>
      <c r="E215" s="393"/>
      <c r="F215" s="393"/>
      <c r="G215" s="393"/>
      <c r="H215" s="393"/>
      <c r="I215" s="393"/>
      <c r="J215" s="393"/>
      <c r="K215" s="393"/>
      <c r="L215" s="393"/>
      <c r="M215" s="393"/>
      <c r="N215" s="393"/>
      <c r="O215" s="393"/>
      <c r="P215" s="393"/>
      <c r="Q215" s="393"/>
      <c r="R215" s="393"/>
      <c r="S215" s="393"/>
      <c r="T215" s="393"/>
      <c r="U215" s="393"/>
      <c r="V215" s="393"/>
      <c r="W215" s="393"/>
      <c r="X215" s="393"/>
      <c r="Y215" s="393"/>
      <c r="Z215" s="393"/>
    </row>
    <row r="216" ht="12.75" customHeight="1">
      <c r="A216" s="393"/>
      <c r="B216" s="393"/>
      <c r="C216" s="393"/>
      <c r="D216" s="393"/>
      <c r="E216" s="393"/>
      <c r="F216" s="393"/>
      <c r="G216" s="393"/>
      <c r="H216" s="393"/>
      <c r="I216" s="393"/>
      <c r="J216" s="393"/>
      <c r="K216" s="393"/>
      <c r="L216" s="393"/>
      <c r="M216" s="393"/>
      <c r="N216" s="393"/>
      <c r="O216" s="393"/>
      <c r="P216" s="393"/>
      <c r="Q216" s="393"/>
      <c r="R216" s="393"/>
      <c r="S216" s="393"/>
      <c r="T216" s="393"/>
      <c r="U216" s="393"/>
      <c r="V216" s="393"/>
      <c r="W216" s="393"/>
      <c r="X216" s="393"/>
      <c r="Y216" s="393"/>
      <c r="Z216" s="393"/>
    </row>
    <row r="217" ht="12.75" customHeight="1">
      <c r="A217" s="393"/>
      <c r="B217" s="393"/>
      <c r="C217" s="393"/>
      <c r="D217" s="393"/>
      <c r="E217" s="393"/>
      <c r="F217" s="393"/>
      <c r="G217" s="393"/>
      <c r="H217" s="393"/>
      <c r="I217" s="393"/>
      <c r="J217" s="393"/>
      <c r="K217" s="393"/>
      <c r="L217" s="393"/>
      <c r="M217" s="393"/>
      <c r="N217" s="393"/>
      <c r="O217" s="393"/>
      <c r="P217" s="393"/>
      <c r="Q217" s="393"/>
      <c r="R217" s="393"/>
      <c r="S217" s="393"/>
      <c r="T217" s="393"/>
      <c r="U217" s="393"/>
      <c r="V217" s="393"/>
      <c r="W217" s="393"/>
      <c r="X217" s="393"/>
      <c r="Y217" s="393"/>
      <c r="Z217" s="393"/>
    </row>
    <row r="218" ht="12.75" customHeight="1">
      <c r="A218" s="393"/>
      <c r="B218" s="393"/>
      <c r="C218" s="393"/>
      <c r="D218" s="393"/>
      <c r="E218" s="393"/>
      <c r="F218" s="393"/>
      <c r="G218" s="393"/>
      <c r="H218" s="393"/>
      <c r="I218" s="393"/>
      <c r="J218" s="393"/>
      <c r="K218" s="393"/>
      <c r="L218" s="393"/>
      <c r="M218" s="393"/>
      <c r="N218" s="393"/>
      <c r="O218" s="393"/>
      <c r="P218" s="393"/>
      <c r="Q218" s="393"/>
      <c r="R218" s="393"/>
      <c r="S218" s="393"/>
      <c r="T218" s="393"/>
      <c r="U218" s="393"/>
      <c r="V218" s="393"/>
      <c r="W218" s="393"/>
      <c r="X218" s="393"/>
      <c r="Y218" s="393"/>
      <c r="Z218" s="393"/>
    </row>
    <row r="219" ht="12.75" customHeight="1">
      <c r="A219" s="393"/>
      <c r="B219" s="393"/>
      <c r="C219" s="393"/>
      <c r="D219" s="393"/>
      <c r="E219" s="393"/>
      <c r="F219" s="393"/>
      <c r="G219" s="393"/>
      <c r="H219" s="393"/>
      <c r="I219" s="393"/>
      <c r="J219" s="393"/>
      <c r="K219" s="393"/>
      <c r="L219" s="393"/>
      <c r="M219" s="393"/>
      <c r="N219" s="393"/>
      <c r="O219" s="393"/>
      <c r="P219" s="393"/>
      <c r="Q219" s="393"/>
      <c r="R219" s="393"/>
      <c r="S219" s="393"/>
      <c r="T219" s="393"/>
      <c r="U219" s="393"/>
      <c r="V219" s="393"/>
      <c r="W219" s="393"/>
      <c r="X219" s="393"/>
      <c r="Y219" s="393"/>
      <c r="Z219" s="393"/>
    </row>
    <row r="220" ht="12.75" customHeight="1">
      <c r="A220" s="393"/>
      <c r="B220" s="393"/>
      <c r="C220" s="393"/>
      <c r="D220" s="393"/>
      <c r="E220" s="393"/>
      <c r="F220" s="393"/>
      <c r="G220" s="393"/>
      <c r="H220" s="393"/>
      <c r="I220" s="393"/>
      <c r="J220" s="393"/>
      <c r="K220" s="393"/>
      <c r="L220" s="393"/>
      <c r="M220" s="393"/>
      <c r="N220" s="393"/>
      <c r="O220" s="393"/>
      <c r="P220" s="393"/>
      <c r="Q220" s="393"/>
      <c r="R220" s="393"/>
      <c r="S220" s="393"/>
      <c r="T220" s="393"/>
      <c r="U220" s="393"/>
      <c r="V220" s="393"/>
      <c r="W220" s="393"/>
      <c r="X220" s="393"/>
      <c r="Y220" s="393"/>
      <c r="Z220" s="39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G1"/>
    <mergeCell ref="A2:A4"/>
    <mergeCell ref="B2:B4"/>
    <mergeCell ref="C2:G2"/>
    <mergeCell ref="C3:G3"/>
    <mergeCell ref="B6:F6"/>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0"/>
    <col customWidth="1" min="2" max="2" width="13.38"/>
    <col customWidth="1" min="3" max="3" width="9.38"/>
    <col customWidth="1" min="4" max="4" width="15.25"/>
    <col customWidth="1" min="5" max="5" width="9.88"/>
    <col customWidth="1" min="6" max="6" width="6.75"/>
    <col customWidth="1" min="7" max="7" width="11.75"/>
    <col customWidth="1" min="8" max="22" width="8.5"/>
    <col customWidth="1" min="23" max="23" width="8.63"/>
    <col customWidth="1" min="24" max="26" width="10.63"/>
  </cols>
  <sheetData>
    <row r="1" ht="18.0" customHeight="1">
      <c r="A1" s="1000" t="s">
        <v>1832</v>
      </c>
      <c r="B1" s="277"/>
      <c r="C1" s="277"/>
      <c r="D1" s="277"/>
      <c r="E1" s="277"/>
      <c r="F1" s="277"/>
      <c r="G1" s="278"/>
      <c r="H1" s="393"/>
      <c r="I1" s="393"/>
      <c r="J1" s="393"/>
      <c r="K1" s="393"/>
      <c r="L1" s="393"/>
      <c r="M1" s="393"/>
      <c r="N1" s="393"/>
      <c r="O1" s="393"/>
      <c r="P1" s="393"/>
      <c r="Q1" s="393"/>
      <c r="R1" s="393"/>
      <c r="S1" s="393"/>
      <c r="T1" s="393"/>
      <c r="U1" s="393"/>
      <c r="V1" s="393"/>
      <c r="W1" s="332"/>
      <c r="X1" s="393"/>
      <c r="Y1" s="393"/>
      <c r="Z1" s="393"/>
    </row>
    <row r="2" ht="12.75" customHeight="1">
      <c r="A2" s="606" t="s">
        <v>1649</v>
      </c>
      <c r="B2" s="606" t="s">
        <v>1650</v>
      </c>
      <c r="C2" s="607" t="s">
        <v>1691</v>
      </c>
      <c r="D2" s="277"/>
      <c r="E2" s="277"/>
      <c r="F2" s="277"/>
      <c r="G2" s="278"/>
      <c r="H2" s="393"/>
      <c r="I2" s="393"/>
      <c r="J2" s="393"/>
      <c r="K2" s="393"/>
      <c r="L2" s="393"/>
      <c r="M2" s="393"/>
      <c r="N2" s="393"/>
      <c r="O2" s="393"/>
      <c r="P2" s="393"/>
      <c r="Q2" s="393"/>
      <c r="R2" s="393"/>
      <c r="S2" s="393"/>
      <c r="T2" s="393"/>
      <c r="U2" s="393"/>
      <c r="V2" s="393"/>
      <c r="W2" s="332"/>
      <c r="X2" s="393"/>
      <c r="Y2" s="393"/>
      <c r="Z2" s="393"/>
    </row>
    <row r="3" ht="12.75" customHeight="1">
      <c r="A3" s="612"/>
      <c r="B3" s="612"/>
      <c r="C3" s="613">
        <v>45901.0</v>
      </c>
      <c r="D3" s="277"/>
      <c r="E3" s="277"/>
      <c r="F3" s="277"/>
      <c r="G3" s="278"/>
      <c r="H3" s="393"/>
      <c r="I3" s="393"/>
      <c r="J3" s="393"/>
      <c r="K3" s="393"/>
      <c r="L3" s="393"/>
      <c r="M3" s="393"/>
      <c r="N3" s="393"/>
      <c r="O3" s="393"/>
      <c r="P3" s="393"/>
      <c r="Q3" s="393"/>
      <c r="R3" s="393"/>
      <c r="S3" s="393"/>
      <c r="T3" s="393"/>
      <c r="U3" s="393"/>
      <c r="V3" s="393"/>
      <c r="W3" s="332"/>
      <c r="X3" s="393"/>
      <c r="Y3" s="393"/>
      <c r="Z3" s="393"/>
    </row>
    <row r="4" ht="27.75" customHeight="1">
      <c r="A4" s="617"/>
      <c r="B4" s="617"/>
      <c r="C4" s="618" t="s">
        <v>1659</v>
      </c>
      <c r="D4" s="619" t="s">
        <v>1660</v>
      </c>
      <c r="E4" s="619" t="s">
        <v>1661</v>
      </c>
      <c r="F4" s="618" t="s">
        <v>1639</v>
      </c>
      <c r="G4" s="618" t="s">
        <v>1833</v>
      </c>
      <c r="H4" s="642">
        <v>45957.0</v>
      </c>
      <c r="I4" s="642">
        <v>45987.0</v>
      </c>
      <c r="J4" s="642">
        <v>46017.0</v>
      </c>
      <c r="K4" s="642">
        <v>46023.0</v>
      </c>
      <c r="L4" s="642">
        <v>46054.0</v>
      </c>
      <c r="M4" s="642">
        <v>46112.0</v>
      </c>
      <c r="N4" s="642">
        <v>46142.0</v>
      </c>
      <c r="O4" s="642">
        <v>46172.0</v>
      </c>
      <c r="P4" s="642">
        <v>46202.0</v>
      </c>
      <c r="Q4" s="642">
        <v>46232.0</v>
      </c>
      <c r="R4" s="642">
        <v>46262.0</v>
      </c>
      <c r="S4" s="642">
        <v>46292.0</v>
      </c>
      <c r="T4" s="642">
        <v>46322.0</v>
      </c>
      <c r="U4" s="643">
        <v>46352.0</v>
      </c>
      <c r="V4" s="642">
        <v>46382.0</v>
      </c>
      <c r="W4" s="332"/>
      <c r="X4" s="393"/>
      <c r="Y4" s="393"/>
      <c r="Z4" s="393"/>
    </row>
    <row r="5" ht="23.25" customHeight="1">
      <c r="A5" s="621">
        <v>5025.0</v>
      </c>
      <c r="B5" s="1009" t="s">
        <v>1834</v>
      </c>
      <c r="C5" s="1010">
        <v>6016.0</v>
      </c>
      <c r="D5" s="623">
        <v>1.1399256782E8</v>
      </c>
      <c r="E5" s="623">
        <f>D5/C5</f>
        <v>18948.23268</v>
      </c>
      <c r="F5" s="624">
        <v>0.01</v>
      </c>
      <c r="G5" s="623">
        <f>D5*F5</f>
        <v>1139925.678</v>
      </c>
      <c r="H5" s="1011">
        <f t="shared" ref="H5:J5" si="1">+G5</f>
        <v>1139925.678</v>
      </c>
      <c r="I5" s="1011">
        <f t="shared" si="1"/>
        <v>1139925.678</v>
      </c>
      <c r="J5" s="1011">
        <f t="shared" si="1"/>
        <v>1139925.678</v>
      </c>
      <c r="K5" s="1011">
        <f>+J5*K7</f>
        <v>1213256.185</v>
      </c>
      <c r="L5" s="1011">
        <f t="shared" ref="L5:M5" si="2">+K5</f>
        <v>1213256.185</v>
      </c>
      <c r="M5" s="1011">
        <f t="shared" si="2"/>
        <v>1213256.185</v>
      </c>
      <c r="N5" s="1011">
        <f>+M5*N7</f>
        <v>1268675.756</v>
      </c>
      <c r="O5" s="1011">
        <f t="shared" ref="O5:P5" si="3">+N5</f>
        <v>1268675.756</v>
      </c>
      <c r="P5" s="1011">
        <f t="shared" si="3"/>
        <v>1268675.756</v>
      </c>
      <c r="Q5" s="1011">
        <f>+P5*Q7</f>
        <v>1326626.803</v>
      </c>
      <c r="R5" s="1011">
        <f t="shared" ref="R5:S5" si="4">+Q5</f>
        <v>1326626.803</v>
      </c>
      <c r="S5" s="1011">
        <f t="shared" si="4"/>
        <v>1326626.803</v>
      </c>
      <c r="T5" s="1011">
        <f>+S5*T7</f>
        <v>1387224.96</v>
      </c>
      <c r="U5" s="1011">
        <f t="shared" ref="U5:V5" si="5">+T5</f>
        <v>1387224.96</v>
      </c>
      <c r="V5" s="1011">
        <f t="shared" si="5"/>
        <v>1387224.96</v>
      </c>
      <c r="W5" s="1012">
        <f>SUM(K5:V5)</f>
        <v>15587351.11</v>
      </c>
      <c r="X5" s="393"/>
      <c r="Y5" s="393"/>
      <c r="Z5" s="393"/>
    </row>
    <row r="6" ht="12.75" customHeight="1">
      <c r="A6" s="621" t="s">
        <v>320</v>
      </c>
      <c r="B6" s="1004"/>
      <c r="C6" s="277"/>
      <c r="D6" s="277"/>
      <c r="E6" s="277"/>
      <c r="F6" s="278"/>
      <c r="G6" s="1005">
        <f>G5</f>
        <v>1139925.678</v>
      </c>
      <c r="H6" s="303"/>
      <c r="I6" s="303"/>
      <c r="J6" s="303"/>
      <c r="K6" s="303"/>
      <c r="L6" s="303"/>
      <c r="M6" s="303"/>
      <c r="N6" s="303"/>
      <c r="O6" s="303"/>
      <c r="P6" s="303"/>
      <c r="Q6" s="303"/>
      <c r="R6" s="303"/>
      <c r="S6" s="303"/>
      <c r="T6" s="303"/>
      <c r="U6" s="303"/>
      <c r="V6" s="303"/>
      <c r="W6" s="332"/>
      <c r="X6" s="393"/>
      <c r="Y6" s="393"/>
      <c r="Z6" s="393"/>
    </row>
    <row r="7" ht="12.75" customHeight="1">
      <c r="A7" s="393"/>
      <c r="B7" s="393"/>
      <c r="C7" s="393"/>
      <c r="D7" s="393"/>
      <c r="E7" s="393"/>
      <c r="F7" s="393"/>
      <c r="G7" s="393"/>
      <c r="H7" s="303"/>
      <c r="I7" s="305"/>
      <c r="J7" s="305"/>
      <c r="K7" s="605">
        <f>1*(1+H8)*(1+I8)*(1+J8)</f>
        <v>1.0643292</v>
      </c>
      <c r="L7" s="303"/>
      <c r="M7" s="303"/>
      <c r="N7" s="605">
        <f>1*(1+K8)*(1+L8)*(1+M8)</f>
        <v>1.045678375</v>
      </c>
      <c r="O7" s="303"/>
      <c r="P7" s="303"/>
      <c r="Q7" s="605">
        <f>1*(1+N8)*(1+O8)*(1+P8)</f>
        <v>1.045678375</v>
      </c>
      <c r="R7" s="303"/>
      <c r="S7" s="303"/>
      <c r="T7" s="605">
        <f>1*(1+Q8)*(1+R8)*(1+S8)</f>
        <v>1.045678375</v>
      </c>
      <c r="U7" s="303"/>
      <c r="V7" s="303"/>
      <c r="W7" s="332"/>
      <c r="X7" s="393"/>
      <c r="Y7" s="393"/>
      <c r="Z7" s="393"/>
    </row>
    <row r="8" ht="12.75" customHeight="1">
      <c r="A8" s="393"/>
      <c r="B8" s="393"/>
      <c r="C8" s="393"/>
      <c r="D8" s="393"/>
      <c r="E8" s="997"/>
      <c r="F8" s="997"/>
      <c r="G8" s="997" t="s">
        <v>1825</v>
      </c>
      <c r="H8" s="1013">
        <v>0.023</v>
      </c>
      <c r="I8" s="1013">
        <v>0.02</v>
      </c>
      <c r="J8" s="1013">
        <v>0.02</v>
      </c>
      <c r="K8" s="1013">
        <v>0.015</v>
      </c>
      <c r="L8" s="1013">
        <f t="shared" ref="L8:V8" si="6">+K8</f>
        <v>0.015</v>
      </c>
      <c r="M8" s="1013">
        <f t="shared" si="6"/>
        <v>0.015</v>
      </c>
      <c r="N8" s="1013">
        <f t="shared" si="6"/>
        <v>0.015</v>
      </c>
      <c r="O8" s="1013">
        <f t="shared" si="6"/>
        <v>0.015</v>
      </c>
      <c r="P8" s="1013">
        <f t="shared" si="6"/>
        <v>0.015</v>
      </c>
      <c r="Q8" s="1013">
        <f t="shared" si="6"/>
        <v>0.015</v>
      </c>
      <c r="R8" s="1013">
        <f t="shared" si="6"/>
        <v>0.015</v>
      </c>
      <c r="S8" s="1013">
        <f t="shared" si="6"/>
        <v>0.015</v>
      </c>
      <c r="T8" s="1013">
        <f t="shared" si="6"/>
        <v>0.015</v>
      </c>
      <c r="U8" s="1013">
        <f t="shared" si="6"/>
        <v>0.015</v>
      </c>
      <c r="V8" s="1013">
        <f t="shared" si="6"/>
        <v>0.015</v>
      </c>
      <c r="W8" s="332"/>
      <c r="X8" s="393"/>
      <c r="Y8" s="393"/>
      <c r="Z8" s="393"/>
    </row>
    <row r="9" ht="12.75" customHeight="1">
      <c r="A9" s="393"/>
      <c r="B9" s="393"/>
      <c r="C9" s="393"/>
      <c r="D9" s="999" t="s">
        <v>1826</v>
      </c>
      <c r="E9" s="393"/>
      <c r="F9" s="393"/>
      <c r="G9" s="393"/>
      <c r="H9" s="393"/>
      <c r="I9" s="393"/>
      <c r="J9" s="393"/>
      <c r="K9" s="393"/>
      <c r="L9" s="393"/>
      <c r="M9" s="393"/>
      <c r="N9" s="393"/>
      <c r="O9" s="393"/>
      <c r="P9" s="393"/>
      <c r="Q9" s="393"/>
      <c r="R9" s="393"/>
      <c r="S9" s="393"/>
      <c r="T9" s="393"/>
      <c r="U9" s="393"/>
      <c r="V9" s="393"/>
      <c r="W9" s="332"/>
      <c r="X9" s="393"/>
      <c r="Y9" s="393"/>
      <c r="Z9" s="393"/>
    </row>
    <row r="10" ht="12.75" customHeight="1">
      <c r="A10" s="393"/>
      <c r="B10" s="393"/>
      <c r="C10" s="393"/>
      <c r="D10" s="393"/>
      <c r="E10" s="393"/>
      <c r="F10" s="393"/>
      <c r="G10" s="393"/>
      <c r="H10" s="393"/>
      <c r="I10" s="393"/>
      <c r="J10" s="393"/>
      <c r="K10" s="393"/>
      <c r="L10" s="393"/>
      <c r="M10" s="393"/>
      <c r="N10" s="393"/>
      <c r="O10" s="393"/>
      <c r="P10" s="393"/>
      <c r="Q10" s="393"/>
      <c r="R10" s="393"/>
      <c r="S10" s="393"/>
      <c r="T10" s="393"/>
      <c r="U10" s="393"/>
      <c r="V10" s="393"/>
      <c r="W10" s="332"/>
      <c r="X10" s="393"/>
      <c r="Y10" s="393"/>
      <c r="Z10" s="393"/>
    </row>
    <row r="11" ht="12.75" customHeight="1">
      <c r="A11" s="393"/>
      <c r="B11" s="393"/>
      <c r="C11" s="393"/>
      <c r="D11" s="393"/>
      <c r="E11" s="393"/>
      <c r="F11" s="393"/>
      <c r="G11" s="393"/>
      <c r="H11" s="393"/>
      <c r="I11" s="393"/>
      <c r="J11" s="393"/>
      <c r="K11" s="393"/>
      <c r="L11" s="393"/>
      <c r="M11" s="393"/>
      <c r="N11" s="393"/>
      <c r="O11" s="393"/>
      <c r="P11" s="393"/>
      <c r="Q11" s="393"/>
      <c r="R11" s="393"/>
      <c r="S11" s="393"/>
      <c r="T11" s="393"/>
      <c r="U11" s="393"/>
      <c r="V11" s="393"/>
      <c r="W11" s="332"/>
      <c r="X11" s="393"/>
      <c r="Y11" s="393"/>
      <c r="Z11" s="393"/>
    </row>
    <row r="12" ht="12.75" customHeight="1">
      <c r="A12" s="393"/>
      <c r="B12" s="393"/>
      <c r="C12" s="393"/>
      <c r="D12" s="393"/>
      <c r="E12" s="393"/>
      <c r="F12" s="393"/>
      <c r="G12" s="393"/>
      <c r="H12" s="393"/>
      <c r="I12" s="393"/>
      <c r="J12" s="393"/>
      <c r="K12" s="393"/>
      <c r="L12" s="393"/>
      <c r="M12" s="393"/>
      <c r="N12" s="393"/>
      <c r="O12" s="393"/>
      <c r="P12" s="393"/>
      <c r="Q12" s="393"/>
      <c r="R12" s="393"/>
      <c r="S12" s="393"/>
      <c r="T12" s="393"/>
      <c r="U12" s="393"/>
      <c r="V12" s="393"/>
      <c r="W12" s="332"/>
      <c r="X12" s="393"/>
      <c r="Y12" s="393"/>
      <c r="Z12" s="393"/>
    </row>
    <row r="13" ht="12.75" customHeight="1">
      <c r="A13" s="393"/>
      <c r="B13" s="393"/>
      <c r="C13" s="393"/>
      <c r="D13" s="393"/>
      <c r="E13" s="393"/>
      <c r="F13" s="393"/>
      <c r="G13" s="393"/>
      <c r="H13" s="393"/>
      <c r="I13" s="393"/>
      <c r="J13" s="393"/>
      <c r="K13" s="393"/>
      <c r="L13" s="393"/>
      <c r="M13" s="393"/>
      <c r="N13" s="393"/>
      <c r="O13" s="393"/>
      <c r="P13" s="393"/>
      <c r="Q13" s="393"/>
      <c r="R13" s="393"/>
      <c r="S13" s="393"/>
      <c r="T13" s="393"/>
      <c r="U13" s="393"/>
      <c r="V13" s="393"/>
      <c r="W13" s="332"/>
      <c r="X13" s="393"/>
      <c r="Y13" s="393"/>
      <c r="Z13" s="393"/>
    </row>
    <row r="14" ht="12.75" customHeight="1">
      <c r="A14" s="393"/>
      <c r="B14" s="393"/>
      <c r="C14" s="393"/>
      <c r="D14" s="393"/>
      <c r="E14" s="393"/>
      <c r="F14" s="393"/>
      <c r="G14" s="393"/>
      <c r="H14" s="393"/>
      <c r="I14" s="393"/>
      <c r="J14" s="393"/>
      <c r="K14" s="393"/>
      <c r="L14" s="393"/>
      <c r="M14" s="393"/>
      <c r="N14" s="393"/>
      <c r="O14" s="393"/>
      <c r="P14" s="393"/>
      <c r="Q14" s="393"/>
      <c r="R14" s="393"/>
      <c r="S14" s="393"/>
      <c r="T14" s="393"/>
      <c r="U14" s="393"/>
      <c r="V14" s="393"/>
      <c r="W14" s="332"/>
      <c r="X14" s="393"/>
      <c r="Y14" s="393"/>
      <c r="Z14" s="393"/>
    </row>
    <row r="15" ht="12.75" customHeight="1">
      <c r="A15" s="393"/>
      <c r="B15" s="393"/>
      <c r="C15" s="393"/>
      <c r="D15" s="393"/>
      <c r="E15" s="393"/>
      <c r="F15" s="393"/>
      <c r="G15" s="393"/>
      <c r="H15" s="393"/>
      <c r="I15" s="393"/>
      <c r="J15" s="393"/>
      <c r="K15" s="393"/>
      <c r="L15" s="393"/>
      <c r="M15" s="393"/>
      <c r="N15" s="393"/>
      <c r="O15" s="393"/>
      <c r="P15" s="393"/>
      <c r="Q15" s="393"/>
      <c r="R15" s="393"/>
      <c r="S15" s="393"/>
      <c r="T15" s="393"/>
      <c r="U15" s="393"/>
      <c r="V15" s="393"/>
      <c r="W15" s="332"/>
      <c r="X15" s="393"/>
      <c r="Y15" s="393"/>
      <c r="Z15" s="393"/>
    </row>
    <row r="16" ht="12.75" customHeight="1">
      <c r="A16" s="393"/>
      <c r="B16" s="393"/>
      <c r="C16" s="393"/>
      <c r="D16" s="393"/>
      <c r="E16" s="393"/>
      <c r="F16" s="393"/>
      <c r="G16" s="393"/>
      <c r="H16" s="393"/>
      <c r="I16" s="393"/>
      <c r="J16" s="393"/>
      <c r="K16" s="393"/>
      <c r="L16" s="393"/>
      <c r="M16" s="393"/>
      <c r="N16" s="393"/>
      <c r="O16" s="393"/>
      <c r="P16" s="393"/>
      <c r="Q16" s="393"/>
      <c r="R16" s="393"/>
      <c r="S16" s="393"/>
      <c r="T16" s="393"/>
      <c r="U16" s="393"/>
      <c r="V16" s="393"/>
      <c r="W16" s="332"/>
      <c r="X16" s="393"/>
      <c r="Y16" s="393"/>
      <c r="Z16" s="393"/>
    </row>
    <row r="17" ht="12.75" customHeight="1">
      <c r="A17" s="393"/>
      <c r="B17" s="393"/>
      <c r="C17" s="393"/>
      <c r="D17" s="393"/>
      <c r="E17" s="393"/>
      <c r="F17" s="393"/>
      <c r="G17" s="393"/>
      <c r="H17" s="393"/>
      <c r="I17" s="393"/>
      <c r="J17" s="393"/>
      <c r="K17" s="393"/>
      <c r="L17" s="393"/>
      <c r="M17" s="393"/>
      <c r="N17" s="393"/>
      <c r="O17" s="393"/>
      <c r="P17" s="393"/>
      <c r="Q17" s="393"/>
      <c r="R17" s="393"/>
      <c r="S17" s="393"/>
      <c r="T17" s="393"/>
      <c r="U17" s="393"/>
      <c r="V17" s="393"/>
      <c r="W17" s="332"/>
      <c r="X17" s="393"/>
      <c r="Y17" s="393"/>
      <c r="Z17" s="393"/>
    </row>
    <row r="18" ht="12.75" customHeight="1">
      <c r="A18" s="393"/>
      <c r="B18" s="393"/>
      <c r="C18" s="393"/>
      <c r="D18" s="393"/>
      <c r="E18" s="393"/>
      <c r="F18" s="393"/>
      <c r="G18" s="393"/>
      <c r="H18" s="393"/>
      <c r="I18" s="393"/>
      <c r="J18" s="393"/>
      <c r="K18" s="393"/>
      <c r="L18" s="393"/>
      <c r="M18" s="393"/>
      <c r="N18" s="393"/>
      <c r="O18" s="393"/>
      <c r="P18" s="393"/>
      <c r="Q18" s="393"/>
      <c r="R18" s="393"/>
      <c r="S18" s="393"/>
      <c r="T18" s="393"/>
      <c r="U18" s="393"/>
      <c r="V18" s="393"/>
      <c r="W18" s="332"/>
      <c r="X18" s="393"/>
      <c r="Y18" s="393"/>
      <c r="Z18" s="393"/>
    </row>
    <row r="19" ht="12.75" customHeight="1">
      <c r="A19" s="393"/>
      <c r="B19" s="393"/>
      <c r="C19" s="393"/>
      <c r="D19" s="393"/>
      <c r="E19" s="393"/>
      <c r="F19" s="393"/>
      <c r="G19" s="393"/>
      <c r="H19" s="393"/>
      <c r="I19" s="393"/>
      <c r="J19" s="393"/>
      <c r="K19" s="393"/>
      <c r="L19" s="393"/>
      <c r="M19" s="393"/>
      <c r="N19" s="393"/>
      <c r="O19" s="393"/>
      <c r="P19" s="393"/>
      <c r="Q19" s="393"/>
      <c r="R19" s="393"/>
      <c r="S19" s="393"/>
      <c r="T19" s="393"/>
      <c r="U19" s="393"/>
      <c r="V19" s="393"/>
      <c r="W19" s="332"/>
      <c r="X19" s="393"/>
      <c r="Y19" s="393"/>
      <c r="Z19" s="393"/>
    </row>
    <row r="20" ht="12.75" customHeight="1">
      <c r="A20" s="393"/>
      <c r="B20" s="393"/>
      <c r="C20" s="393"/>
      <c r="D20" s="393"/>
      <c r="E20" s="393"/>
      <c r="F20" s="393"/>
      <c r="G20" s="393"/>
      <c r="H20" s="393"/>
      <c r="I20" s="393"/>
      <c r="J20" s="393"/>
      <c r="K20" s="393"/>
      <c r="L20" s="393"/>
      <c r="M20" s="393"/>
      <c r="N20" s="393"/>
      <c r="O20" s="393"/>
      <c r="P20" s="393"/>
      <c r="Q20" s="393"/>
      <c r="R20" s="393"/>
      <c r="S20" s="393"/>
      <c r="T20" s="393"/>
      <c r="U20" s="393"/>
      <c r="V20" s="393"/>
      <c r="W20" s="332"/>
      <c r="X20" s="393"/>
      <c r="Y20" s="393"/>
      <c r="Z20" s="393"/>
    </row>
    <row r="21" ht="12.75" customHeight="1">
      <c r="A21" s="393"/>
      <c r="B21" s="393"/>
      <c r="C21" s="393"/>
      <c r="D21" s="393"/>
      <c r="E21" s="393"/>
      <c r="F21" s="393"/>
      <c r="G21" s="393"/>
      <c r="H21" s="393"/>
      <c r="I21" s="393"/>
      <c r="J21" s="393"/>
      <c r="K21" s="393"/>
      <c r="L21" s="393"/>
      <c r="M21" s="393"/>
      <c r="N21" s="393"/>
      <c r="O21" s="393"/>
      <c r="P21" s="393"/>
      <c r="Q21" s="393"/>
      <c r="R21" s="393"/>
      <c r="S21" s="393"/>
      <c r="T21" s="393"/>
      <c r="U21" s="393"/>
      <c r="V21" s="393"/>
      <c r="W21" s="332"/>
      <c r="X21" s="393"/>
      <c r="Y21" s="393"/>
      <c r="Z21" s="393"/>
    </row>
    <row r="22" ht="12.75" customHeight="1">
      <c r="A22" s="393"/>
      <c r="B22" s="393"/>
      <c r="C22" s="393"/>
      <c r="D22" s="393"/>
      <c r="E22" s="393"/>
      <c r="F22" s="393"/>
      <c r="G22" s="393"/>
      <c r="H22" s="393"/>
      <c r="I22" s="393"/>
      <c r="J22" s="393"/>
      <c r="K22" s="393"/>
      <c r="L22" s="393"/>
      <c r="M22" s="393"/>
      <c r="N22" s="393"/>
      <c r="O22" s="393"/>
      <c r="P22" s="393"/>
      <c r="Q22" s="393"/>
      <c r="R22" s="393"/>
      <c r="S22" s="393"/>
      <c r="T22" s="393"/>
      <c r="U22" s="393"/>
      <c r="V22" s="393"/>
      <c r="W22" s="332"/>
      <c r="X22" s="393"/>
      <c r="Y22" s="393"/>
      <c r="Z22" s="393"/>
    </row>
    <row r="23" ht="12.75" customHeight="1">
      <c r="A23" s="393"/>
      <c r="B23" s="393"/>
      <c r="C23" s="393"/>
      <c r="D23" s="393"/>
      <c r="E23" s="393"/>
      <c r="F23" s="393"/>
      <c r="G23" s="393"/>
      <c r="H23" s="393"/>
      <c r="I23" s="393"/>
      <c r="J23" s="393"/>
      <c r="K23" s="393"/>
      <c r="L23" s="393"/>
      <c r="M23" s="393"/>
      <c r="N23" s="393"/>
      <c r="O23" s="393"/>
      <c r="P23" s="393"/>
      <c r="Q23" s="393"/>
      <c r="R23" s="393"/>
      <c r="S23" s="393"/>
      <c r="T23" s="393"/>
      <c r="U23" s="393"/>
      <c r="V23" s="393"/>
      <c r="W23" s="332"/>
      <c r="X23" s="393"/>
      <c r="Y23" s="393"/>
      <c r="Z23" s="393"/>
    </row>
    <row r="24" ht="12.75" customHeight="1">
      <c r="A24" s="393"/>
      <c r="B24" s="393"/>
      <c r="C24" s="393"/>
      <c r="D24" s="393"/>
      <c r="E24" s="393"/>
      <c r="F24" s="393"/>
      <c r="G24" s="393"/>
      <c r="H24" s="393"/>
      <c r="I24" s="393"/>
      <c r="J24" s="393"/>
      <c r="K24" s="393"/>
      <c r="L24" s="393"/>
      <c r="M24" s="393"/>
      <c r="N24" s="393"/>
      <c r="O24" s="393"/>
      <c r="P24" s="393"/>
      <c r="Q24" s="393"/>
      <c r="R24" s="393"/>
      <c r="S24" s="393"/>
      <c r="T24" s="393"/>
      <c r="U24" s="393"/>
      <c r="V24" s="393"/>
      <c r="W24" s="332"/>
      <c r="X24" s="393"/>
      <c r="Y24" s="393"/>
      <c r="Z24" s="393"/>
    </row>
    <row r="25" ht="12.75" customHeight="1">
      <c r="A25" s="393"/>
      <c r="B25" s="393"/>
      <c r="C25" s="393"/>
      <c r="D25" s="393"/>
      <c r="E25" s="393"/>
      <c r="F25" s="393"/>
      <c r="G25" s="393"/>
      <c r="H25" s="393"/>
      <c r="I25" s="393"/>
      <c r="J25" s="393"/>
      <c r="K25" s="393"/>
      <c r="L25" s="393"/>
      <c r="M25" s="393"/>
      <c r="N25" s="393"/>
      <c r="O25" s="393"/>
      <c r="P25" s="393"/>
      <c r="Q25" s="393"/>
      <c r="R25" s="393"/>
      <c r="S25" s="393"/>
      <c r="T25" s="393"/>
      <c r="U25" s="393"/>
      <c r="V25" s="393"/>
      <c r="W25" s="332"/>
      <c r="X25" s="393"/>
      <c r="Y25" s="393"/>
      <c r="Z25" s="393"/>
    </row>
    <row r="26" ht="12.75" customHeight="1">
      <c r="A26" s="393"/>
      <c r="B26" s="393"/>
      <c r="C26" s="393"/>
      <c r="D26" s="393"/>
      <c r="E26" s="393"/>
      <c r="F26" s="393"/>
      <c r="G26" s="393"/>
      <c r="H26" s="393"/>
      <c r="I26" s="393"/>
      <c r="J26" s="393"/>
      <c r="K26" s="393"/>
      <c r="L26" s="393"/>
      <c r="M26" s="393"/>
      <c r="N26" s="393"/>
      <c r="O26" s="393"/>
      <c r="P26" s="393"/>
      <c r="Q26" s="393"/>
      <c r="R26" s="393"/>
      <c r="S26" s="393"/>
      <c r="T26" s="393"/>
      <c r="U26" s="393"/>
      <c r="V26" s="393"/>
      <c r="W26" s="332"/>
      <c r="X26" s="393"/>
      <c r="Y26" s="393"/>
      <c r="Z26" s="393"/>
    </row>
    <row r="27" ht="12.75" customHeight="1">
      <c r="A27" s="393"/>
      <c r="B27" s="393"/>
      <c r="C27" s="393"/>
      <c r="D27" s="393"/>
      <c r="E27" s="393"/>
      <c r="F27" s="393"/>
      <c r="G27" s="393"/>
      <c r="H27" s="393"/>
      <c r="I27" s="393"/>
      <c r="J27" s="393"/>
      <c r="K27" s="393"/>
      <c r="L27" s="393"/>
      <c r="M27" s="393"/>
      <c r="N27" s="393"/>
      <c r="O27" s="393"/>
      <c r="P27" s="393"/>
      <c r="Q27" s="393"/>
      <c r="R27" s="393"/>
      <c r="S27" s="393"/>
      <c r="T27" s="393"/>
      <c r="U27" s="393"/>
      <c r="V27" s="393"/>
      <c r="W27" s="332"/>
      <c r="X27" s="393"/>
      <c r="Y27" s="393"/>
      <c r="Z27" s="393"/>
    </row>
    <row r="28" ht="12.75" customHeight="1">
      <c r="A28" s="393"/>
      <c r="B28" s="393"/>
      <c r="C28" s="393"/>
      <c r="D28" s="393"/>
      <c r="E28" s="393"/>
      <c r="F28" s="393"/>
      <c r="G28" s="393"/>
      <c r="H28" s="393"/>
      <c r="I28" s="393"/>
      <c r="J28" s="393"/>
      <c r="K28" s="393"/>
      <c r="L28" s="393"/>
      <c r="M28" s="393"/>
      <c r="N28" s="393"/>
      <c r="O28" s="393"/>
      <c r="P28" s="393"/>
      <c r="Q28" s="393"/>
      <c r="R28" s="393"/>
      <c r="S28" s="393"/>
      <c r="T28" s="393"/>
      <c r="U28" s="393"/>
      <c r="V28" s="393"/>
      <c r="W28" s="332"/>
      <c r="X28" s="393"/>
      <c r="Y28" s="393"/>
      <c r="Z28" s="393"/>
    </row>
    <row r="29" ht="12.75" customHeight="1">
      <c r="A29" s="393"/>
      <c r="B29" s="393"/>
      <c r="C29" s="393"/>
      <c r="D29" s="393"/>
      <c r="E29" s="393"/>
      <c r="F29" s="393"/>
      <c r="G29" s="393"/>
      <c r="H29" s="393"/>
      <c r="I29" s="393"/>
      <c r="J29" s="393"/>
      <c r="K29" s="393"/>
      <c r="L29" s="393"/>
      <c r="M29" s="393"/>
      <c r="N29" s="393"/>
      <c r="O29" s="393"/>
      <c r="P29" s="393"/>
      <c r="Q29" s="393"/>
      <c r="R29" s="393"/>
      <c r="S29" s="393"/>
      <c r="T29" s="393"/>
      <c r="U29" s="393"/>
      <c r="V29" s="393"/>
      <c r="W29" s="332"/>
      <c r="X29" s="393"/>
      <c r="Y29" s="393"/>
      <c r="Z29" s="393"/>
    </row>
    <row r="30" ht="12.75" customHeight="1">
      <c r="A30" s="393"/>
      <c r="B30" s="393"/>
      <c r="C30" s="393"/>
      <c r="D30" s="393"/>
      <c r="E30" s="393"/>
      <c r="F30" s="393"/>
      <c r="G30" s="393"/>
      <c r="H30" s="393"/>
      <c r="I30" s="393"/>
      <c r="J30" s="393"/>
      <c r="K30" s="393"/>
      <c r="L30" s="393"/>
      <c r="M30" s="393"/>
      <c r="N30" s="393"/>
      <c r="O30" s="393"/>
      <c r="P30" s="393"/>
      <c r="Q30" s="393"/>
      <c r="R30" s="393"/>
      <c r="S30" s="393"/>
      <c r="T30" s="393"/>
      <c r="U30" s="393"/>
      <c r="V30" s="393"/>
      <c r="W30" s="332"/>
      <c r="X30" s="393"/>
      <c r="Y30" s="393"/>
      <c r="Z30" s="393"/>
    </row>
    <row r="31" ht="12.75" customHeight="1">
      <c r="A31" s="393"/>
      <c r="B31" s="393"/>
      <c r="C31" s="393"/>
      <c r="D31" s="393"/>
      <c r="E31" s="393"/>
      <c r="F31" s="393"/>
      <c r="G31" s="393"/>
      <c r="H31" s="393"/>
      <c r="I31" s="393"/>
      <c r="J31" s="393"/>
      <c r="K31" s="393"/>
      <c r="L31" s="393"/>
      <c r="M31" s="393"/>
      <c r="N31" s="393"/>
      <c r="O31" s="393"/>
      <c r="P31" s="393"/>
      <c r="Q31" s="393"/>
      <c r="R31" s="393"/>
      <c r="S31" s="393"/>
      <c r="T31" s="393"/>
      <c r="U31" s="393"/>
      <c r="V31" s="393"/>
      <c r="W31" s="332"/>
      <c r="X31" s="393"/>
      <c r="Y31" s="393"/>
      <c r="Z31" s="393"/>
    </row>
    <row r="32" ht="12.75" customHeight="1">
      <c r="A32" s="393"/>
      <c r="B32" s="393"/>
      <c r="C32" s="393"/>
      <c r="D32" s="393"/>
      <c r="E32" s="393"/>
      <c r="F32" s="393"/>
      <c r="G32" s="393"/>
      <c r="H32" s="393"/>
      <c r="I32" s="393"/>
      <c r="J32" s="393"/>
      <c r="K32" s="393"/>
      <c r="L32" s="393"/>
      <c r="M32" s="393"/>
      <c r="N32" s="393"/>
      <c r="O32" s="393"/>
      <c r="P32" s="393"/>
      <c r="Q32" s="393"/>
      <c r="R32" s="393"/>
      <c r="S32" s="393"/>
      <c r="T32" s="393"/>
      <c r="U32" s="393"/>
      <c r="V32" s="393"/>
      <c r="W32" s="332"/>
      <c r="X32" s="393"/>
      <c r="Y32" s="393"/>
      <c r="Z32" s="393"/>
    </row>
    <row r="33" ht="12.75" customHeight="1">
      <c r="A33" s="393"/>
      <c r="B33" s="393"/>
      <c r="C33" s="393"/>
      <c r="D33" s="393"/>
      <c r="E33" s="393"/>
      <c r="F33" s="393"/>
      <c r="G33" s="393"/>
      <c r="H33" s="393"/>
      <c r="I33" s="393"/>
      <c r="J33" s="393"/>
      <c r="K33" s="393"/>
      <c r="L33" s="393"/>
      <c r="M33" s="393"/>
      <c r="N33" s="393"/>
      <c r="O33" s="393"/>
      <c r="P33" s="393"/>
      <c r="Q33" s="393"/>
      <c r="R33" s="393"/>
      <c r="S33" s="393"/>
      <c r="T33" s="393"/>
      <c r="U33" s="393"/>
      <c r="V33" s="393"/>
      <c r="W33" s="332"/>
      <c r="X33" s="393"/>
      <c r="Y33" s="393"/>
      <c r="Z33" s="393"/>
    </row>
    <row r="34" ht="12.75" customHeight="1">
      <c r="A34" s="393"/>
      <c r="B34" s="393"/>
      <c r="C34" s="393"/>
      <c r="D34" s="393"/>
      <c r="E34" s="393"/>
      <c r="F34" s="393"/>
      <c r="G34" s="393"/>
      <c r="H34" s="393"/>
      <c r="I34" s="393"/>
      <c r="J34" s="393"/>
      <c r="K34" s="393"/>
      <c r="L34" s="393"/>
      <c r="M34" s="393"/>
      <c r="N34" s="393"/>
      <c r="O34" s="393"/>
      <c r="P34" s="393"/>
      <c r="Q34" s="393"/>
      <c r="R34" s="393"/>
      <c r="S34" s="393"/>
      <c r="T34" s="393"/>
      <c r="U34" s="393"/>
      <c r="V34" s="393"/>
      <c r="W34" s="332"/>
      <c r="X34" s="393"/>
      <c r="Y34" s="393"/>
      <c r="Z34" s="393"/>
    </row>
    <row r="35" ht="12.75" customHeight="1">
      <c r="A35" s="393"/>
      <c r="B35" s="393"/>
      <c r="C35" s="393"/>
      <c r="D35" s="393"/>
      <c r="E35" s="393"/>
      <c r="F35" s="393"/>
      <c r="G35" s="393"/>
      <c r="H35" s="393"/>
      <c r="I35" s="393"/>
      <c r="J35" s="393"/>
      <c r="K35" s="393"/>
      <c r="L35" s="393"/>
      <c r="M35" s="393"/>
      <c r="N35" s="393"/>
      <c r="O35" s="393"/>
      <c r="P35" s="393"/>
      <c r="Q35" s="393"/>
      <c r="R35" s="393"/>
      <c r="S35" s="393"/>
      <c r="T35" s="393"/>
      <c r="U35" s="393"/>
      <c r="V35" s="393"/>
      <c r="W35" s="332"/>
      <c r="X35" s="393"/>
      <c r="Y35" s="393"/>
      <c r="Z35" s="393"/>
    </row>
    <row r="36" ht="12.75" customHeight="1">
      <c r="A36" s="393"/>
      <c r="B36" s="393"/>
      <c r="C36" s="393"/>
      <c r="D36" s="393"/>
      <c r="E36" s="393"/>
      <c r="F36" s="393"/>
      <c r="G36" s="393"/>
      <c r="H36" s="393"/>
      <c r="I36" s="393"/>
      <c r="J36" s="393"/>
      <c r="K36" s="393"/>
      <c r="L36" s="393"/>
      <c r="M36" s="393"/>
      <c r="N36" s="393"/>
      <c r="O36" s="393"/>
      <c r="P36" s="393"/>
      <c r="Q36" s="393"/>
      <c r="R36" s="393"/>
      <c r="S36" s="393"/>
      <c r="T36" s="393"/>
      <c r="U36" s="393"/>
      <c r="V36" s="393"/>
      <c r="W36" s="332"/>
      <c r="X36" s="393"/>
      <c r="Y36" s="393"/>
      <c r="Z36" s="393"/>
    </row>
    <row r="37" ht="12.75" customHeight="1">
      <c r="A37" s="393"/>
      <c r="B37" s="393"/>
      <c r="C37" s="393"/>
      <c r="D37" s="393"/>
      <c r="E37" s="393"/>
      <c r="F37" s="393"/>
      <c r="G37" s="393"/>
      <c r="H37" s="393"/>
      <c r="I37" s="393"/>
      <c r="J37" s="393"/>
      <c r="K37" s="393"/>
      <c r="L37" s="393"/>
      <c r="M37" s="393"/>
      <c r="N37" s="393"/>
      <c r="O37" s="393"/>
      <c r="P37" s="393"/>
      <c r="Q37" s="393"/>
      <c r="R37" s="393"/>
      <c r="S37" s="393"/>
      <c r="T37" s="393"/>
      <c r="U37" s="393"/>
      <c r="V37" s="393"/>
      <c r="W37" s="332"/>
      <c r="X37" s="393"/>
      <c r="Y37" s="393"/>
      <c r="Z37" s="393"/>
    </row>
    <row r="38" ht="12.75" customHeight="1">
      <c r="A38" s="393"/>
      <c r="B38" s="393"/>
      <c r="C38" s="393"/>
      <c r="D38" s="393"/>
      <c r="E38" s="393"/>
      <c r="F38" s="393"/>
      <c r="G38" s="393"/>
      <c r="H38" s="393"/>
      <c r="I38" s="393"/>
      <c r="J38" s="393"/>
      <c r="K38" s="393"/>
      <c r="L38" s="393"/>
      <c r="M38" s="393"/>
      <c r="N38" s="393"/>
      <c r="O38" s="393"/>
      <c r="P38" s="393"/>
      <c r="Q38" s="393"/>
      <c r="R38" s="393"/>
      <c r="S38" s="393"/>
      <c r="T38" s="393"/>
      <c r="U38" s="393"/>
      <c r="V38" s="393"/>
      <c r="W38" s="332"/>
      <c r="X38" s="393"/>
      <c r="Y38" s="393"/>
      <c r="Z38" s="393"/>
    </row>
    <row r="39" ht="12.75" customHeight="1">
      <c r="A39" s="393"/>
      <c r="B39" s="393"/>
      <c r="C39" s="393"/>
      <c r="D39" s="393"/>
      <c r="E39" s="393"/>
      <c r="F39" s="393"/>
      <c r="G39" s="393"/>
      <c r="H39" s="393"/>
      <c r="I39" s="393"/>
      <c r="J39" s="393"/>
      <c r="K39" s="393"/>
      <c r="L39" s="393"/>
      <c r="M39" s="393"/>
      <c r="N39" s="393"/>
      <c r="O39" s="393"/>
      <c r="P39" s="393"/>
      <c r="Q39" s="393"/>
      <c r="R39" s="393"/>
      <c r="S39" s="393"/>
      <c r="T39" s="393"/>
      <c r="U39" s="393"/>
      <c r="V39" s="393"/>
      <c r="W39" s="332"/>
      <c r="X39" s="393"/>
      <c r="Y39" s="393"/>
      <c r="Z39" s="393"/>
    </row>
    <row r="40" ht="12.75" customHeight="1">
      <c r="A40" s="393"/>
      <c r="B40" s="393"/>
      <c r="C40" s="393"/>
      <c r="D40" s="393"/>
      <c r="E40" s="393"/>
      <c r="F40" s="393"/>
      <c r="G40" s="393"/>
      <c r="H40" s="393"/>
      <c r="I40" s="393"/>
      <c r="J40" s="393"/>
      <c r="K40" s="393"/>
      <c r="L40" s="393"/>
      <c r="M40" s="393"/>
      <c r="N40" s="393"/>
      <c r="O40" s="393"/>
      <c r="P40" s="393"/>
      <c r="Q40" s="393"/>
      <c r="R40" s="393"/>
      <c r="S40" s="393"/>
      <c r="T40" s="393"/>
      <c r="U40" s="393"/>
      <c r="V40" s="393"/>
      <c r="W40" s="332"/>
      <c r="X40" s="393"/>
      <c r="Y40" s="393"/>
      <c r="Z40" s="393"/>
    </row>
    <row r="41" ht="12.75" customHeight="1">
      <c r="A41" s="393"/>
      <c r="B41" s="393"/>
      <c r="C41" s="393"/>
      <c r="D41" s="393"/>
      <c r="E41" s="393"/>
      <c r="F41" s="393"/>
      <c r="G41" s="393"/>
      <c r="H41" s="393"/>
      <c r="I41" s="393"/>
      <c r="J41" s="393"/>
      <c r="K41" s="393"/>
      <c r="L41" s="393"/>
      <c r="M41" s="393"/>
      <c r="N41" s="393"/>
      <c r="O41" s="393"/>
      <c r="P41" s="393"/>
      <c r="Q41" s="393"/>
      <c r="R41" s="393"/>
      <c r="S41" s="393"/>
      <c r="T41" s="393"/>
      <c r="U41" s="393"/>
      <c r="V41" s="393"/>
      <c r="W41" s="332"/>
      <c r="X41" s="393"/>
      <c r="Y41" s="393"/>
      <c r="Z41" s="393"/>
    </row>
    <row r="42" ht="12.75" customHeight="1">
      <c r="A42" s="393"/>
      <c r="B42" s="393"/>
      <c r="C42" s="393"/>
      <c r="D42" s="393"/>
      <c r="E42" s="393"/>
      <c r="F42" s="393"/>
      <c r="G42" s="393"/>
      <c r="H42" s="393"/>
      <c r="I42" s="393"/>
      <c r="J42" s="393"/>
      <c r="K42" s="393"/>
      <c r="L42" s="393"/>
      <c r="M42" s="393"/>
      <c r="N42" s="393"/>
      <c r="O42" s="393"/>
      <c r="P42" s="393"/>
      <c r="Q42" s="393"/>
      <c r="R42" s="393"/>
      <c r="S42" s="393"/>
      <c r="T42" s="393"/>
      <c r="U42" s="393"/>
      <c r="V42" s="393"/>
      <c r="W42" s="332"/>
      <c r="X42" s="393"/>
      <c r="Y42" s="393"/>
      <c r="Z42" s="393"/>
    </row>
    <row r="43" ht="12.75" customHeight="1">
      <c r="A43" s="393"/>
      <c r="B43" s="393"/>
      <c r="C43" s="393"/>
      <c r="D43" s="393"/>
      <c r="E43" s="393"/>
      <c r="F43" s="393"/>
      <c r="G43" s="393"/>
      <c r="H43" s="393"/>
      <c r="I43" s="393"/>
      <c r="J43" s="393"/>
      <c r="K43" s="393"/>
      <c r="L43" s="393"/>
      <c r="M43" s="393"/>
      <c r="N43" s="393"/>
      <c r="O43" s="393"/>
      <c r="P43" s="393"/>
      <c r="Q43" s="393"/>
      <c r="R43" s="393"/>
      <c r="S43" s="393"/>
      <c r="T43" s="393"/>
      <c r="U43" s="393"/>
      <c r="V43" s="393"/>
      <c r="W43" s="332"/>
      <c r="X43" s="393"/>
      <c r="Y43" s="393"/>
      <c r="Z43" s="393"/>
    </row>
    <row r="44" ht="12.75" customHeight="1">
      <c r="A44" s="393"/>
      <c r="B44" s="393"/>
      <c r="C44" s="393"/>
      <c r="D44" s="393"/>
      <c r="E44" s="393"/>
      <c r="F44" s="393"/>
      <c r="G44" s="393"/>
      <c r="H44" s="393"/>
      <c r="I44" s="393"/>
      <c r="J44" s="393"/>
      <c r="K44" s="393"/>
      <c r="L44" s="393"/>
      <c r="M44" s="393"/>
      <c r="N44" s="393"/>
      <c r="O44" s="393"/>
      <c r="P44" s="393"/>
      <c r="Q44" s="393"/>
      <c r="R44" s="393"/>
      <c r="S44" s="393"/>
      <c r="T44" s="393"/>
      <c r="U44" s="393"/>
      <c r="V44" s="393"/>
      <c r="W44" s="332"/>
      <c r="X44" s="393"/>
      <c r="Y44" s="393"/>
      <c r="Z44" s="393"/>
    </row>
    <row r="45" ht="12.75" customHeight="1">
      <c r="A45" s="393"/>
      <c r="B45" s="393"/>
      <c r="C45" s="393"/>
      <c r="D45" s="393"/>
      <c r="E45" s="393"/>
      <c r="F45" s="393"/>
      <c r="G45" s="393"/>
      <c r="H45" s="393"/>
      <c r="I45" s="393"/>
      <c r="J45" s="393"/>
      <c r="K45" s="393"/>
      <c r="L45" s="393"/>
      <c r="M45" s="393"/>
      <c r="N45" s="393"/>
      <c r="O45" s="393"/>
      <c r="P45" s="393"/>
      <c r="Q45" s="393"/>
      <c r="R45" s="393"/>
      <c r="S45" s="393"/>
      <c r="T45" s="393"/>
      <c r="U45" s="393"/>
      <c r="V45" s="393"/>
      <c r="W45" s="332"/>
      <c r="X45" s="393"/>
      <c r="Y45" s="393"/>
      <c r="Z45" s="393"/>
    </row>
    <row r="46" ht="12.75" customHeight="1">
      <c r="A46" s="393"/>
      <c r="B46" s="393"/>
      <c r="C46" s="393"/>
      <c r="D46" s="393"/>
      <c r="E46" s="393"/>
      <c r="F46" s="393"/>
      <c r="G46" s="393"/>
      <c r="H46" s="393"/>
      <c r="I46" s="393"/>
      <c r="J46" s="393"/>
      <c r="K46" s="393"/>
      <c r="L46" s="393"/>
      <c r="M46" s="393"/>
      <c r="N46" s="393"/>
      <c r="O46" s="393"/>
      <c r="P46" s="393"/>
      <c r="Q46" s="393"/>
      <c r="R46" s="393"/>
      <c r="S46" s="393"/>
      <c r="T46" s="393"/>
      <c r="U46" s="393"/>
      <c r="V46" s="393"/>
      <c r="W46" s="332"/>
      <c r="X46" s="393"/>
      <c r="Y46" s="393"/>
      <c r="Z46" s="393"/>
    </row>
    <row r="47" ht="12.75" customHeight="1">
      <c r="A47" s="393"/>
      <c r="B47" s="393"/>
      <c r="C47" s="393"/>
      <c r="D47" s="393"/>
      <c r="E47" s="393"/>
      <c r="F47" s="393"/>
      <c r="G47" s="393"/>
      <c r="H47" s="393"/>
      <c r="I47" s="393"/>
      <c r="J47" s="393"/>
      <c r="K47" s="393"/>
      <c r="L47" s="393"/>
      <c r="M47" s="393"/>
      <c r="N47" s="393"/>
      <c r="O47" s="393"/>
      <c r="P47" s="393"/>
      <c r="Q47" s="393"/>
      <c r="R47" s="393"/>
      <c r="S47" s="393"/>
      <c r="T47" s="393"/>
      <c r="U47" s="393"/>
      <c r="V47" s="393"/>
      <c r="W47" s="332"/>
      <c r="X47" s="393"/>
      <c r="Y47" s="393"/>
      <c r="Z47" s="393"/>
    </row>
    <row r="48" ht="12.75" customHeight="1">
      <c r="A48" s="393"/>
      <c r="B48" s="393"/>
      <c r="C48" s="393"/>
      <c r="D48" s="393"/>
      <c r="E48" s="393"/>
      <c r="F48" s="393"/>
      <c r="G48" s="393"/>
      <c r="H48" s="393"/>
      <c r="I48" s="393"/>
      <c r="J48" s="393"/>
      <c r="K48" s="393"/>
      <c r="L48" s="393"/>
      <c r="M48" s="393"/>
      <c r="N48" s="393"/>
      <c r="O48" s="393"/>
      <c r="P48" s="393"/>
      <c r="Q48" s="393"/>
      <c r="R48" s="393"/>
      <c r="S48" s="393"/>
      <c r="T48" s="393"/>
      <c r="U48" s="393"/>
      <c r="V48" s="393"/>
      <c r="W48" s="332"/>
      <c r="X48" s="393"/>
      <c r="Y48" s="393"/>
      <c r="Z48" s="393"/>
    </row>
    <row r="49" ht="12.75" customHeight="1">
      <c r="A49" s="393"/>
      <c r="B49" s="393"/>
      <c r="C49" s="393"/>
      <c r="D49" s="393"/>
      <c r="E49" s="393"/>
      <c r="F49" s="393"/>
      <c r="G49" s="393"/>
      <c r="H49" s="393"/>
      <c r="I49" s="393"/>
      <c r="J49" s="393"/>
      <c r="K49" s="393"/>
      <c r="L49" s="393"/>
      <c r="M49" s="393"/>
      <c r="N49" s="393"/>
      <c r="O49" s="393"/>
      <c r="P49" s="393"/>
      <c r="Q49" s="393"/>
      <c r="R49" s="393"/>
      <c r="S49" s="393"/>
      <c r="T49" s="393"/>
      <c r="U49" s="393"/>
      <c r="V49" s="393"/>
      <c r="W49" s="332"/>
      <c r="X49" s="393"/>
      <c r="Y49" s="393"/>
      <c r="Z49" s="393"/>
    </row>
    <row r="50" ht="12.75" customHeight="1">
      <c r="A50" s="393"/>
      <c r="B50" s="393"/>
      <c r="C50" s="393"/>
      <c r="D50" s="393"/>
      <c r="E50" s="393"/>
      <c r="F50" s="393"/>
      <c r="G50" s="393"/>
      <c r="H50" s="393"/>
      <c r="I50" s="393"/>
      <c r="J50" s="393"/>
      <c r="K50" s="393"/>
      <c r="L50" s="393"/>
      <c r="M50" s="393"/>
      <c r="N50" s="393"/>
      <c r="O50" s="393"/>
      <c r="P50" s="393"/>
      <c r="Q50" s="393"/>
      <c r="R50" s="393"/>
      <c r="S50" s="393"/>
      <c r="T50" s="393"/>
      <c r="U50" s="393"/>
      <c r="V50" s="393"/>
      <c r="W50" s="332"/>
      <c r="X50" s="393"/>
      <c r="Y50" s="393"/>
      <c r="Z50" s="393"/>
    </row>
    <row r="51" ht="12.75" customHeight="1">
      <c r="A51" s="393"/>
      <c r="B51" s="393"/>
      <c r="C51" s="393"/>
      <c r="D51" s="393"/>
      <c r="E51" s="393"/>
      <c r="F51" s="393"/>
      <c r="G51" s="393"/>
      <c r="H51" s="393"/>
      <c r="I51" s="393"/>
      <c r="J51" s="393"/>
      <c r="K51" s="393"/>
      <c r="L51" s="393"/>
      <c r="M51" s="393"/>
      <c r="N51" s="393"/>
      <c r="O51" s="393"/>
      <c r="P51" s="393"/>
      <c r="Q51" s="393"/>
      <c r="R51" s="393"/>
      <c r="S51" s="393"/>
      <c r="T51" s="393"/>
      <c r="U51" s="393"/>
      <c r="V51" s="393"/>
      <c r="W51" s="332"/>
      <c r="X51" s="393"/>
      <c r="Y51" s="393"/>
      <c r="Z51" s="393"/>
    </row>
    <row r="52" ht="12.75" customHeight="1">
      <c r="A52" s="393"/>
      <c r="B52" s="393"/>
      <c r="C52" s="393"/>
      <c r="D52" s="393"/>
      <c r="E52" s="393"/>
      <c r="F52" s="393"/>
      <c r="G52" s="393"/>
      <c r="H52" s="393"/>
      <c r="I52" s="393"/>
      <c r="J52" s="393"/>
      <c r="K52" s="393"/>
      <c r="L52" s="393"/>
      <c r="M52" s="393"/>
      <c r="N52" s="393"/>
      <c r="O52" s="393"/>
      <c r="P52" s="393"/>
      <c r="Q52" s="393"/>
      <c r="R52" s="393"/>
      <c r="S52" s="393"/>
      <c r="T52" s="393"/>
      <c r="U52" s="393"/>
      <c r="V52" s="393"/>
      <c r="W52" s="332"/>
      <c r="X52" s="393"/>
      <c r="Y52" s="393"/>
      <c r="Z52" s="393"/>
    </row>
    <row r="53" ht="12.75" customHeight="1">
      <c r="A53" s="393"/>
      <c r="B53" s="393"/>
      <c r="C53" s="393"/>
      <c r="D53" s="393"/>
      <c r="E53" s="393"/>
      <c r="F53" s="393"/>
      <c r="G53" s="393"/>
      <c r="H53" s="393"/>
      <c r="I53" s="393"/>
      <c r="J53" s="393"/>
      <c r="K53" s="393"/>
      <c r="L53" s="393"/>
      <c r="M53" s="393"/>
      <c r="N53" s="393"/>
      <c r="O53" s="393"/>
      <c r="P53" s="393"/>
      <c r="Q53" s="393"/>
      <c r="R53" s="393"/>
      <c r="S53" s="393"/>
      <c r="T53" s="393"/>
      <c r="U53" s="393"/>
      <c r="V53" s="393"/>
      <c r="W53" s="332"/>
      <c r="X53" s="393"/>
      <c r="Y53" s="393"/>
      <c r="Z53" s="393"/>
    </row>
    <row r="54" ht="12.75" customHeight="1">
      <c r="A54" s="393"/>
      <c r="B54" s="393"/>
      <c r="C54" s="393"/>
      <c r="D54" s="393"/>
      <c r="E54" s="393"/>
      <c r="F54" s="393"/>
      <c r="G54" s="393"/>
      <c r="H54" s="393"/>
      <c r="I54" s="393"/>
      <c r="J54" s="393"/>
      <c r="K54" s="393"/>
      <c r="L54" s="393"/>
      <c r="M54" s="393"/>
      <c r="N54" s="393"/>
      <c r="O54" s="393"/>
      <c r="P54" s="393"/>
      <c r="Q54" s="393"/>
      <c r="R54" s="393"/>
      <c r="S54" s="393"/>
      <c r="T54" s="393"/>
      <c r="U54" s="393"/>
      <c r="V54" s="393"/>
      <c r="W54" s="332"/>
      <c r="X54" s="393"/>
      <c r="Y54" s="393"/>
      <c r="Z54" s="393"/>
    </row>
    <row r="55" ht="12.75" customHeight="1">
      <c r="A55" s="393"/>
      <c r="B55" s="393"/>
      <c r="C55" s="393"/>
      <c r="D55" s="393"/>
      <c r="E55" s="393"/>
      <c r="F55" s="393"/>
      <c r="G55" s="393"/>
      <c r="H55" s="393"/>
      <c r="I55" s="393"/>
      <c r="J55" s="393"/>
      <c r="K55" s="393"/>
      <c r="L55" s="393"/>
      <c r="M55" s="393"/>
      <c r="N55" s="393"/>
      <c r="O55" s="393"/>
      <c r="P55" s="393"/>
      <c r="Q55" s="393"/>
      <c r="R55" s="393"/>
      <c r="S55" s="393"/>
      <c r="T55" s="393"/>
      <c r="U55" s="393"/>
      <c r="V55" s="393"/>
      <c r="W55" s="332"/>
      <c r="X55" s="393"/>
      <c r="Y55" s="393"/>
      <c r="Z55" s="393"/>
    </row>
    <row r="56" ht="12.75" customHeight="1">
      <c r="A56" s="393"/>
      <c r="B56" s="393"/>
      <c r="C56" s="393"/>
      <c r="D56" s="393"/>
      <c r="E56" s="393"/>
      <c r="F56" s="393"/>
      <c r="G56" s="393"/>
      <c r="H56" s="393"/>
      <c r="I56" s="393"/>
      <c r="J56" s="393"/>
      <c r="K56" s="393"/>
      <c r="L56" s="393"/>
      <c r="M56" s="393"/>
      <c r="N56" s="393"/>
      <c r="O56" s="393"/>
      <c r="P56" s="393"/>
      <c r="Q56" s="393"/>
      <c r="R56" s="393"/>
      <c r="S56" s="393"/>
      <c r="T56" s="393"/>
      <c r="U56" s="393"/>
      <c r="V56" s="393"/>
      <c r="W56" s="332"/>
      <c r="X56" s="393"/>
      <c r="Y56" s="393"/>
      <c r="Z56" s="393"/>
    </row>
    <row r="57" ht="12.75" customHeight="1">
      <c r="A57" s="393"/>
      <c r="B57" s="393"/>
      <c r="C57" s="393"/>
      <c r="D57" s="393"/>
      <c r="E57" s="393"/>
      <c r="F57" s="393"/>
      <c r="G57" s="393"/>
      <c r="H57" s="393"/>
      <c r="I57" s="393"/>
      <c r="J57" s="393"/>
      <c r="K57" s="393"/>
      <c r="L57" s="393"/>
      <c r="M57" s="393"/>
      <c r="N57" s="393"/>
      <c r="O57" s="393"/>
      <c r="P57" s="393"/>
      <c r="Q57" s="393"/>
      <c r="R57" s="393"/>
      <c r="S57" s="393"/>
      <c r="T57" s="393"/>
      <c r="U57" s="393"/>
      <c r="V57" s="393"/>
      <c r="W57" s="332"/>
      <c r="X57" s="393"/>
      <c r="Y57" s="393"/>
      <c r="Z57" s="393"/>
    </row>
    <row r="58" ht="12.75" customHeight="1">
      <c r="A58" s="393"/>
      <c r="B58" s="393"/>
      <c r="C58" s="393"/>
      <c r="D58" s="393"/>
      <c r="E58" s="393"/>
      <c r="F58" s="393"/>
      <c r="G58" s="393"/>
      <c r="H58" s="393"/>
      <c r="I58" s="393"/>
      <c r="J58" s="393"/>
      <c r="K58" s="393"/>
      <c r="L58" s="393"/>
      <c r="M58" s="393"/>
      <c r="N58" s="393"/>
      <c r="O58" s="393"/>
      <c r="P58" s="393"/>
      <c r="Q58" s="393"/>
      <c r="R58" s="393"/>
      <c r="S58" s="393"/>
      <c r="T58" s="393"/>
      <c r="U58" s="393"/>
      <c r="V58" s="393"/>
      <c r="W58" s="332"/>
      <c r="X58" s="393"/>
      <c r="Y58" s="393"/>
      <c r="Z58" s="393"/>
    </row>
    <row r="59" ht="12.75" customHeight="1">
      <c r="A59" s="393"/>
      <c r="B59" s="393"/>
      <c r="C59" s="393"/>
      <c r="D59" s="393"/>
      <c r="E59" s="393"/>
      <c r="F59" s="393"/>
      <c r="G59" s="393"/>
      <c r="H59" s="393"/>
      <c r="I59" s="393"/>
      <c r="J59" s="393"/>
      <c r="K59" s="393"/>
      <c r="L59" s="393"/>
      <c r="M59" s="393"/>
      <c r="N59" s="393"/>
      <c r="O59" s="393"/>
      <c r="P59" s="393"/>
      <c r="Q59" s="393"/>
      <c r="R59" s="393"/>
      <c r="S59" s="393"/>
      <c r="T59" s="393"/>
      <c r="U59" s="393"/>
      <c r="V59" s="393"/>
      <c r="W59" s="332"/>
      <c r="X59" s="393"/>
      <c r="Y59" s="393"/>
      <c r="Z59" s="393"/>
    </row>
    <row r="60" ht="12.75" customHeight="1">
      <c r="A60" s="393"/>
      <c r="B60" s="393"/>
      <c r="C60" s="393"/>
      <c r="D60" s="393"/>
      <c r="E60" s="393"/>
      <c r="F60" s="393"/>
      <c r="G60" s="393"/>
      <c r="H60" s="393"/>
      <c r="I60" s="393"/>
      <c r="J60" s="393"/>
      <c r="K60" s="393"/>
      <c r="L60" s="393"/>
      <c r="M60" s="393"/>
      <c r="N60" s="393"/>
      <c r="O60" s="393"/>
      <c r="P60" s="393"/>
      <c r="Q60" s="393"/>
      <c r="R60" s="393"/>
      <c r="S60" s="393"/>
      <c r="T60" s="393"/>
      <c r="U60" s="393"/>
      <c r="V60" s="393"/>
      <c r="W60" s="332"/>
      <c r="X60" s="393"/>
      <c r="Y60" s="393"/>
      <c r="Z60" s="393"/>
    </row>
    <row r="61" ht="12.75" customHeight="1">
      <c r="A61" s="393"/>
      <c r="B61" s="393"/>
      <c r="C61" s="393"/>
      <c r="D61" s="393"/>
      <c r="E61" s="393"/>
      <c r="F61" s="393"/>
      <c r="G61" s="393"/>
      <c r="H61" s="393"/>
      <c r="I61" s="393"/>
      <c r="J61" s="393"/>
      <c r="K61" s="393"/>
      <c r="L61" s="393"/>
      <c r="M61" s="393"/>
      <c r="N61" s="393"/>
      <c r="O61" s="393"/>
      <c r="P61" s="393"/>
      <c r="Q61" s="393"/>
      <c r="R61" s="393"/>
      <c r="S61" s="393"/>
      <c r="T61" s="393"/>
      <c r="U61" s="393"/>
      <c r="V61" s="393"/>
      <c r="W61" s="332"/>
      <c r="X61" s="393"/>
      <c r="Y61" s="393"/>
      <c r="Z61" s="393"/>
    </row>
    <row r="62" ht="12.75" customHeight="1">
      <c r="A62" s="393"/>
      <c r="B62" s="393"/>
      <c r="C62" s="393"/>
      <c r="D62" s="393"/>
      <c r="E62" s="393"/>
      <c r="F62" s="393"/>
      <c r="G62" s="393"/>
      <c r="H62" s="393"/>
      <c r="I62" s="393"/>
      <c r="J62" s="393"/>
      <c r="K62" s="393"/>
      <c r="L62" s="393"/>
      <c r="M62" s="393"/>
      <c r="N62" s="393"/>
      <c r="O62" s="393"/>
      <c r="P62" s="393"/>
      <c r="Q62" s="393"/>
      <c r="R62" s="393"/>
      <c r="S62" s="393"/>
      <c r="T62" s="393"/>
      <c r="U62" s="393"/>
      <c r="V62" s="393"/>
      <c r="W62" s="332"/>
      <c r="X62" s="393"/>
      <c r="Y62" s="393"/>
      <c r="Z62" s="393"/>
    </row>
    <row r="63" ht="12.75" customHeight="1">
      <c r="A63" s="393"/>
      <c r="B63" s="393"/>
      <c r="C63" s="393"/>
      <c r="D63" s="393"/>
      <c r="E63" s="393"/>
      <c r="F63" s="393"/>
      <c r="G63" s="393"/>
      <c r="H63" s="393"/>
      <c r="I63" s="393"/>
      <c r="J63" s="393"/>
      <c r="K63" s="393"/>
      <c r="L63" s="393"/>
      <c r="M63" s="393"/>
      <c r="N63" s="393"/>
      <c r="O63" s="393"/>
      <c r="P63" s="393"/>
      <c r="Q63" s="393"/>
      <c r="R63" s="393"/>
      <c r="S63" s="393"/>
      <c r="T63" s="393"/>
      <c r="U63" s="393"/>
      <c r="V63" s="393"/>
      <c r="W63" s="332"/>
      <c r="X63" s="393"/>
      <c r="Y63" s="393"/>
      <c r="Z63" s="393"/>
    </row>
    <row r="64" ht="12.75" customHeight="1">
      <c r="A64" s="393"/>
      <c r="B64" s="393"/>
      <c r="C64" s="393"/>
      <c r="D64" s="393"/>
      <c r="E64" s="393"/>
      <c r="F64" s="393"/>
      <c r="G64" s="393"/>
      <c r="H64" s="393"/>
      <c r="I64" s="393"/>
      <c r="J64" s="393"/>
      <c r="K64" s="393"/>
      <c r="L64" s="393"/>
      <c r="M64" s="393"/>
      <c r="N64" s="393"/>
      <c r="O64" s="393"/>
      <c r="P64" s="393"/>
      <c r="Q64" s="393"/>
      <c r="R64" s="393"/>
      <c r="S64" s="393"/>
      <c r="T64" s="393"/>
      <c r="U64" s="393"/>
      <c r="V64" s="393"/>
      <c r="W64" s="332"/>
      <c r="X64" s="393"/>
      <c r="Y64" s="393"/>
      <c r="Z64" s="393"/>
    </row>
    <row r="65" ht="12.75" customHeight="1">
      <c r="A65" s="393"/>
      <c r="B65" s="393"/>
      <c r="C65" s="393"/>
      <c r="D65" s="393"/>
      <c r="E65" s="393"/>
      <c r="F65" s="393"/>
      <c r="G65" s="393"/>
      <c r="H65" s="393"/>
      <c r="I65" s="393"/>
      <c r="J65" s="393"/>
      <c r="K65" s="393"/>
      <c r="L65" s="393"/>
      <c r="M65" s="393"/>
      <c r="N65" s="393"/>
      <c r="O65" s="393"/>
      <c r="P65" s="393"/>
      <c r="Q65" s="393"/>
      <c r="R65" s="393"/>
      <c r="S65" s="393"/>
      <c r="T65" s="393"/>
      <c r="U65" s="393"/>
      <c r="V65" s="393"/>
      <c r="W65" s="332"/>
      <c r="X65" s="393"/>
      <c r="Y65" s="393"/>
      <c r="Z65" s="393"/>
    </row>
    <row r="66" ht="12.75" customHeight="1">
      <c r="A66" s="393"/>
      <c r="B66" s="393"/>
      <c r="C66" s="393"/>
      <c r="D66" s="393"/>
      <c r="E66" s="393"/>
      <c r="F66" s="393"/>
      <c r="G66" s="393"/>
      <c r="H66" s="393"/>
      <c r="I66" s="393"/>
      <c r="J66" s="393"/>
      <c r="K66" s="393"/>
      <c r="L66" s="393"/>
      <c r="M66" s="393"/>
      <c r="N66" s="393"/>
      <c r="O66" s="393"/>
      <c r="P66" s="393"/>
      <c r="Q66" s="393"/>
      <c r="R66" s="393"/>
      <c r="S66" s="393"/>
      <c r="T66" s="393"/>
      <c r="U66" s="393"/>
      <c r="V66" s="393"/>
      <c r="W66" s="332"/>
      <c r="X66" s="393"/>
      <c r="Y66" s="393"/>
      <c r="Z66" s="393"/>
    </row>
    <row r="67" ht="12.75" customHeight="1">
      <c r="A67" s="393"/>
      <c r="B67" s="393"/>
      <c r="C67" s="393"/>
      <c r="D67" s="393"/>
      <c r="E67" s="393"/>
      <c r="F67" s="393"/>
      <c r="G67" s="393"/>
      <c r="H67" s="393"/>
      <c r="I67" s="393"/>
      <c r="J67" s="393"/>
      <c r="K67" s="393"/>
      <c r="L67" s="393"/>
      <c r="M67" s="393"/>
      <c r="N67" s="393"/>
      <c r="O67" s="393"/>
      <c r="P67" s="393"/>
      <c r="Q67" s="393"/>
      <c r="R67" s="393"/>
      <c r="S67" s="393"/>
      <c r="T67" s="393"/>
      <c r="U67" s="393"/>
      <c r="V67" s="393"/>
      <c r="W67" s="332"/>
      <c r="X67" s="393"/>
      <c r="Y67" s="393"/>
      <c r="Z67" s="393"/>
    </row>
    <row r="68" ht="12.75" customHeight="1">
      <c r="A68" s="393"/>
      <c r="B68" s="393"/>
      <c r="C68" s="393"/>
      <c r="D68" s="393"/>
      <c r="E68" s="393"/>
      <c r="F68" s="393"/>
      <c r="G68" s="393"/>
      <c r="H68" s="393"/>
      <c r="I68" s="393"/>
      <c r="J68" s="393"/>
      <c r="K68" s="393"/>
      <c r="L68" s="393"/>
      <c r="M68" s="393"/>
      <c r="N68" s="393"/>
      <c r="O68" s="393"/>
      <c r="P68" s="393"/>
      <c r="Q68" s="393"/>
      <c r="R68" s="393"/>
      <c r="S68" s="393"/>
      <c r="T68" s="393"/>
      <c r="U68" s="393"/>
      <c r="V68" s="393"/>
      <c r="W68" s="332"/>
      <c r="X68" s="393"/>
      <c r="Y68" s="393"/>
      <c r="Z68" s="393"/>
    </row>
    <row r="69" ht="12.75" customHeight="1">
      <c r="A69" s="393"/>
      <c r="B69" s="393"/>
      <c r="C69" s="393"/>
      <c r="D69" s="393"/>
      <c r="E69" s="393"/>
      <c r="F69" s="393"/>
      <c r="G69" s="393"/>
      <c r="H69" s="393"/>
      <c r="I69" s="393"/>
      <c r="J69" s="393"/>
      <c r="K69" s="393"/>
      <c r="L69" s="393"/>
      <c r="M69" s="393"/>
      <c r="N69" s="393"/>
      <c r="O69" s="393"/>
      <c r="P69" s="393"/>
      <c r="Q69" s="393"/>
      <c r="R69" s="393"/>
      <c r="S69" s="393"/>
      <c r="T69" s="393"/>
      <c r="U69" s="393"/>
      <c r="V69" s="393"/>
      <c r="W69" s="332"/>
      <c r="X69" s="393"/>
      <c r="Y69" s="393"/>
      <c r="Z69" s="393"/>
    </row>
    <row r="70" ht="12.75" customHeight="1">
      <c r="A70" s="393"/>
      <c r="B70" s="393"/>
      <c r="C70" s="393"/>
      <c r="D70" s="393"/>
      <c r="E70" s="393"/>
      <c r="F70" s="393"/>
      <c r="G70" s="393"/>
      <c r="H70" s="393"/>
      <c r="I70" s="393"/>
      <c r="J70" s="393"/>
      <c r="K70" s="393"/>
      <c r="L70" s="393"/>
      <c r="M70" s="393"/>
      <c r="N70" s="393"/>
      <c r="O70" s="393"/>
      <c r="P70" s="393"/>
      <c r="Q70" s="393"/>
      <c r="R70" s="393"/>
      <c r="S70" s="393"/>
      <c r="T70" s="393"/>
      <c r="U70" s="393"/>
      <c r="V70" s="393"/>
      <c r="W70" s="332"/>
      <c r="X70" s="393"/>
      <c r="Y70" s="393"/>
      <c r="Z70" s="393"/>
    </row>
    <row r="71" ht="12.75" customHeight="1">
      <c r="A71" s="393"/>
      <c r="B71" s="393"/>
      <c r="C71" s="393"/>
      <c r="D71" s="393"/>
      <c r="E71" s="393"/>
      <c r="F71" s="393"/>
      <c r="G71" s="393"/>
      <c r="H71" s="393"/>
      <c r="I71" s="393"/>
      <c r="J71" s="393"/>
      <c r="K71" s="393"/>
      <c r="L71" s="393"/>
      <c r="M71" s="393"/>
      <c r="N71" s="393"/>
      <c r="O71" s="393"/>
      <c r="P71" s="393"/>
      <c r="Q71" s="393"/>
      <c r="R71" s="393"/>
      <c r="S71" s="393"/>
      <c r="T71" s="393"/>
      <c r="U71" s="393"/>
      <c r="V71" s="393"/>
      <c r="W71" s="332"/>
      <c r="X71" s="393"/>
      <c r="Y71" s="393"/>
      <c r="Z71" s="393"/>
    </row>
    <row r="72" ht="12.75" customHeight="1">
      <c r="A72" s="393"/>
      <c r="B72" s="393"/>
      <c r="C72" s="393"/>
      <c r="D72" s="393"/>
      <c r="E72" s="393"/>
      <c r="F72" s="393"/>
      <c r="G72" s="393"/>
      <c r="H72" s="393"/>
      <c r="I72" s="393"/>
      <c r="J72" s="393"/>
      <c r="K72" s="393"/>
      <c r="L72" s="393"/>
      <c r="M72" s="393"/>
      <c r="N72" s="393"/>
      <c r="O72" s="393"/>
      <c r="P72" s="393"/>
      <c r="Q72" s="393"/>
      <c r="R72" s="393"/>
      <c r="S72" s="393"/>
      <c r="T72" s="393"/>
      <c r="U72" s="393"/>
      <c r="V72" s="393"/>
      <c r="W72" s="332"/>
      <c r="X72" s="393"/>
      <c r="Y72" s="393"/>
      <c r="Z72" s="393"/>
    </row>
    <row r="73" ht="12.75" customHeight="1">
      <c r="A73" s="393"/>
      <c r="B73" s="393"/>
      <c r="C73" s="393"/>
      <c r="D73" s="393"/>
      <c r="E73" s="393"/>
      <c r="F73" s="393"/>
      <c r="G73" s="393"/>
      <c r="H73" s="393"/>
      <c r="I73" s="393"/>
      <c r="J73" s="393"/>
      <c r="K73" s="393"/>
      <c r="L73" s="393"/>
      <c r="M73" s="393"/>
      <c r="N73" s="393"/>
      <c r="O73" s="393"/>
      <c r="P73" s="393"/>
      <c r="Q73" s="393"/>
      <c r="R73" s="393"/>
      <c r="S73" s="393"/>
      <c r="T73" s="393"/>
      <c r="U73" s="393"/>
      <c r="V73" s="393"/>
      <c r="W73" s="332"/>
      <c r="X73" s="393"/>
      <c r="Y73" s="393"/>
      <c r="Z73" s="393"/>
    </row>
    <row r="74" ht="12.75" customHeight="1">
      <c r="A74" s="393"/>
      <c r="B74" s="393"/>
      <c r="C74" s="393"/>
      <c r="D74" s="393"/>
      <c r="E74" s="393"/>
      <c r="F74" s="393"/>
      <c r="G74" s="393"/>
      <c r="H74" s="393"/>
      <c r="I74" s="393"/>
      <c r="J74" s="393"/>
      <c r="K74" s="393"/>
      <c r="L74" s="393"/>
      <c r="M74" s="393"/>
      <c r="N74" s="393"/>
      <c r="O74" s="393"/>
      <c r="P74" s="393"/>
      <c r="Q74" s="393"/>
      <c r="R74" s="393"/>
      <c r="S74" s="393"/>
      <c r="T74" s="393"/>
      <c r="U74" s="393"/>
      <c r="V74" s="393"/>
      <c r="W74" s="332"/>
      <c r="X74" s="393"/>
      <c r="Y74" s="393"/>
      <c r="Z74" s="393"/>
    </row>
    <row r="75" ht="12.75" customHeight="1">
      <c r="A75" s="393"/>
      <c r="B75" s="393"/>
      <c r="C75" s="393"/>
      <c r="D75" s="393"/>
      <c r="E75" s="393"/>
      <c r="F75" s="393"/>
      <c r="G75" s="393"/>
      <c r="H75" s="393"/>
      <c r="I75" s="393"/>
      <c r="J75" s="393"/>
      <c r="K75" s="393"/>
      <c r="L75" s="393"/>
      <c r="M75" s="393"/>
      <c r="N75" s="393"/>
      <c r="O75" s="393"/>
      <c r="P75" s="393"/>
      <c r="Q75" s="393"/>
      <c r="R75" s="393"/>
      <c r="S75" s="393"/>
      <c r="T75" s="393"/>
      <c r="U75" s="393"/>
      <c r="V75" s="393"/>
      <c r="W75" s="332"/>
      <c r="X75" s="393"/>
      <c r="Y75" s="393"/>
      <c r="Z75" s="393"/>
    </row>
    <row r="76" ht="12.75" customHeight="1">
      <c r="A76" s="393"/>
      <c r="B76" s="393"/>
      <c r="C76" s="393"/>
      <c r="D76" s="393"/>
      <c r="E76" s="393"/>
      <c r="F76" s="393"/>
      <c r="G76" s="393"/>
      <c r="H76" s="393"/>
      <c r="I76" s="393"/>
      <c r="J76" s="393"/>
      <c r="K76" s="393"/>
      <c r="L76" s="393"/>
      <c r="M76" s="393"/>
      <c r="N76" s="393"/>
      <c r="O76" s="393"/>
      <c r="P76" s="393"/>
      <c r="Q76" s="393"/>
      <c r="R76" s="393"/>
      <c r="S76" s="393"/>
      <c r="T76" s="393"/>
      <c r="U76" s="393"/>
      <c r="V76" s="393"/>
      <c r="W76" s="332"/>
      <c r="X76" s="393"/>
      <c r="Y76" s="393"/>
      <c r="Z76" s="393"/>
    </row>
    <row r="77" ht="12.75" customHeight="1">
      <c r="A77" s="393"/>
      <c r="B77" s="393"/>
      <c r="C77" s="393"/>
      <c r="D77" s="393"/>
      <c r="E77" s="393"/>
      <c r="F77" s="393"/>
      <c r="G77" s="393"/>
      <c r="H77" s="393"/>
      <c r="I77" s="393"/>
      <c r="J77" s="393"/>
      <c r="K77" s="393"/>
      <c r="L77" s="393"/>
      <c r="M77" s="393"/>
      <c r="N77" s="393"/>
      <c r="O77" s="393"/>
      <c r="P77" s="393"/>
      <c r="Q77" s="393"/>
      <c r="R77" s="393"/>
      <c r="S77" s="393"/>
      <c r="T77" s="393"/>
      <c r="U77" s="393"/>
      <c r="V77" s="393"/>
      <c r="W77" s="332"/>
      <c r="X77" s="393"/>
      <c r="Y77" s="393"/>
      <c r="Z77" s="393"/>
    </row>
    <row r="78" ht="12.75" customHeight="1">
      <c r="A78" s="393"/>
      <c r="B78" s="393"/>
      <c r="C78" s="393"/>
      <c r="D78" s="393"/>
      <c r="E78" s="393"/>
      <c r="F78" s="393"/>
      <c r="G78" s="393"/>
      <c r="H78" s="393"/>
      <c r="I78" s="393"/>
      <c r="J78" s="393"/>
      <c r="K78" s="393"/>
      <c r="L78" s="393"/>
      <c r="M78" s="393"/>
      <c r="N78" s="393"/>
      <c r="O78" s="393"/>
      <c r="P78" s="393"/>
      <c r="Q78" s="393"/>
      <c r="R78" s="393"/>
      <c r="S78" s="393"/>
      <c r="T78" s="393"/>
      <c r="U78" s="393"/>
      <c r="V78" s="393"/>
      <c r="W78" s="332"/>
      <c r="X78" s="393"/>
      <c r="Y78" s="393"/>
      <c r="Z78" s="393"/>
    </row>
    <row r="79" ht="12.75" customHeight="1">
      <c r="A79" s="393"/>
      <c r="B79" s="393"/>
      <c r="C79" s="393"/>
      <c r="D79" s="393"/>
      <c r="E79" s="393"/>
      <c r="F79" s="393"/>
      <c r="G79" s="393"/>
      <c r="H79" s="393"/>
      <c r="I79" s="393"/>
      <c r="J79" s="393"/>
      <c r="K79" s="393"/>
      <c r="L79" s="393"/>
      <c r="M79" s="393"/>
      <c r="N79" s="393"/>
      <c r="O79" s="393"/>
      <c r="P79" s="393"/>
      <c r="Q79" s="393"/>
      <c r="R79" s="393"/>
      <c r="S79" s="393"/>
      <c r="T79" s="393"/>
      <c r="U79" s="393"/>
      <c r="V79" s="393"/>
      <c r="W79" s="332"/>
      <c r="X79" s="393"/>
      <c r="Y79" s="393"/>
      <c r="Z79" s="393"/>
    </row>
    <row r="80" ht="12.75" customHeight="1">
      <c r="A80" s="393"/>
      <c r="B80" s="393"/>
      <c r="C80" s="393"/>
      <c r="D80" s="393"/>
      <c r="E80" s="393"/>
      <c r="F80" s="393"/>
      <c r="G80" s="393"/>
      <c r="H80" s="393"/>
      <c r="I80" s="393"/>
      <c r="J80" s="393"/>
      <c r="K80" s="393"/>
      <c r="L80" s="393"/>
      <c r="M80" s="393"/>
      <c r="N80" s="393"/>
      <c r="O80" s="393"/>
      <c r="P80" s="393"/>
      <c r="Q80" s="393"/>
      <c r="R80" s="393"/>
      <c r="S80" s="393"/>
      <c r="T80" s="393"/>
      <c r="U80" s="393"/>
      <c r="V80" s="393"/>
      <c r="W80" s="332"/>
      <c r="X80" s="393"/>
      <c r="Y80" s="393"/>
      <c r="Z80" s="393"/>
    </row>
    <row r="81" ht="12.75" customHeight="1">
      <c r="A81" s="393"/>
      <c r="B81" s="393"/>
      <c r="C81" s="393"/>
      <c r="D81" s="393"/>
      <c r="E81" s="393"/>
      <c r="F81" s="393"/>
      <c r="G81" s="393"/>
      <c r="H81" s="393"/>
      <c r="I81" s="393"/>
      <c r="J81" s="393"/>
      <c r="K81" s="393"/>
      <c r="L81" s="393"/>
      <c r="M81" s="393"/>
      <c r="N81" s="393"/>
      <c r="O81" s="393"/>
      <c r="P81" s="393"/>
      <c r="Q81" s="393"/>
      <c r="R81" s="393"/>
      <c r="S81" s="393"/>
      <c r="T81" s="393"/>
      <c r="U81" s="393"/>
      <c r="V81" s="393"/>
      <c r="W81" s="332"/>
      <c r="X81" s="393"/>
      <c r="Y81" s="393"/>
      <c r="Z81" s="393"/>
    </row>
    <row r="82" ht="12.75" customHeight="1">
      <c r="A82" s="393"/>
      <c r="B82" s="393"/>
      <c r="C82" s="393"/>
      <c r="D82" s="393"/>
      <c r="E82" s="393"/>
      <c r="F82" s="393"/>
      <c r="G82" s="393"/>
      <c r="H82" s="393"/>
      <c r="I82" s="393"/>
      <c r="J82" s="393"/>
      <c r="K82" s="393"/>
      <c r="L82" s="393"/>
      <c r="M82" s="393"/>
      <c r="N82" s="393"/>
      <c r="O82" s="393"/>
      <c r="P82" s="393"/>
      <c r="Q82" s="393"/>
      <c r="R82" s="393"/>
      <c r="S82" s="393"/>
      <c r="T82" s="393"/>
      <c r="U82" s="393"/>
      <c r="V82" s="393"/>
      <c r="W82" s="332"/>
      <c r="X82" s="393"/>
      <c r="Y82" s="393"/>
      <c r="Z82" s="393"/>
    </row>
    <row r="83" ht="12.75" customHeight="1">
      <c r="A83" s="393"/>
      <c r="B83" s="393"/>
      <c r="C83" s="393"/>
      <c r="D83" s="393"/>
      <c r="E83" s="393"/>
      <c r="F83" s="393"/>
      <c r="G83" s="393"/>
      <c r="H83" s="393"/>
      <c r="I83" s="393"/>
      <c r="J83" s="393"/>
      <c r="K83" s="393"/>
      <c r="L83" s="393"/>
      <c r="M83" s="393"/>
      <c r="N83" s="393"/>
      <c r="O83" s="393"/>
      <c r="P83" s="393"/>
      <c r="Q83" s="393"/>
      <c r="R83" s="393"/>
      <c r="S83" s="393"/>
      <c r="T83" s="393"/>
      <c r="U83" s="393"/>
      <c r="V83" s="393"/>
      <c r="W83" s="332"/>
      <c r="X83" s="393"/>
      <c r="Y83" s="393"/>
      <c r="Z83" s="393"/>
    </row>
    <row r="84" ht="12.75" customHeight="1">
      <c r="A84" s="393"/>
      <c r="B84" s="393"/>
      <c r="C84" s="393"/>
      <c r="D84" s="393"/>
      <c r="E84" s="393"/>
      <c r="F84" s="393"/>
      <c r="G84" s="393"/>
      <c r="H84" s="393"/>
      <c r="I84" s="393"/>
      <c r="J84" s="393"/>
      <c r="K84" s="393"/>
      <c r="L84" s="393"/>
      <c r="M84" s="393"/>
      <c r="N84" s="393"/>
      <c r="O84" s="393"/>
      <c r="P84" s="393"/>
      <c r="Q84" s="393"/>
      <c r="R84" s="393"/>
      <c r="S84" s="393"/>
      <c r="T84" s="393"/>
      <c r="U84" s="393"/>
      <c r="V84" s="393"/>
      <c r="W84" s="332"/>
      <c r="X84" s="393"/>
      <c r="Y84" s="393"/>
      <c r="Z84" s="393"/>
    </row>
    <row r="85" ht="12.75" customHeight="1">
      <c r="A85" s="393"/>
      <c r="B85" s="393"/>
      <c r="C85" s="393"/>
      <c r="D85" s="393"/>
      <c r="E85" s="393"/>
      <c r="F85" s="393"/>
      <c r="G85" s="393"/>
      <c r="H85" s="393"/>
      <c r="I85" s="393"/>
      <c r="J85" s="393"/>
      <c r="K85" s="393"/>
      <c r="L85" s="393"/>
      <c r="M85" s="393"/>
      <c r="N85" s="393"/>
      <c r="O85" s="393"/>
      <c r="P85" s="393"/>
      <c r="Q85" s="393"/>
      <c r="R85" s="393"/>
      <c r="S85" s="393"/>
      <c r="T85" s="393"/>
      <c r="U85" s="393"/>
      <c r="V85" s="393"/>
      <c r="W85" s="332"/>
      <c r="X85" s="393"/>
      <c r="Y85" s="393"/>
      <c r="Z85" s="393"/>
    </row>
    <row r="86" ht="12.75" customHeight="1">
      <c r="A86" s="393"/>
      <c r="B86" s="393"/>
      <c r="C86" s="393"/>
      <c r="D86" s="393"/>
      <c r="E86" s="393"/>
      <c r="F86" s="393"/>
      <c r="G86" s="393"/>
      <c r="H86" s="393"/>
      <c r="I86" s="393"/>
      <c r="J86" s="393"/>
      <c r="K86" s="393"/>
      <c r="L86" s="393"/>
      <c r="M86" s="393"/>
      <c r="N86" s="393"/>
      <c r="O86" s="393"/>
      <c r="P86" s="393"/>
      <c r="Q86" s="393"/>
      <c r="R86" s="393"/>
      <c r="S86" s="393"/>
      <c r="T86" s="393"/>
      <c r="U86" s="393"/>
      <c r="V86" s="393"/>
      <c r="W86" s="332"/>
      <c r="X86" s="393"/>
      <c r="Y86" s="393"/>
      <c r="Z86" s="393"/>
    </row>
    <row r="87" ht="12.75" customHeight="1">
      <c r="A87" s="393"/>
      <c r="B87" s="393"/>
      <c r="C87" s="393"/>
      <c r="D87" s="393"/>
      <c r="E87" s="393"/>
      <c r="F87" s="393"/>
      <c r="G87" s="393"/>
      <c r="H87" s="393"/>
      <c r="I87" s="393"/>
      <c r="J87" s="393"/>
      <c r="K87" s="393"/>
      <c r="L87" s="393"/>
      <c r="M87" s="393"/>
      <c r="N87" s="393"/>
      <c r="O87" s="393"/>
      <c r="P87" s="393"/>
      <c r="Q87" s="393"/>
      <c r="R87" s="393"/>
      <c r="S87" s="393"/>
      <c r="T87" s="393"/>
      <c r="U87" s="393"/>
      <c r="V87" s="393"/>
      <c r="W87" s="332"/>
      <c r="X87" s="393"/>
      <c r="Y87" s="393"/>
      <c r="Z87" s="393"/>
    </row>
    <row r="88" ht="12.75" customHeight="1">
      <c r="A88" s="393"/>
      <c r="B88" s="393"/>
      <c r="C88" s="393"/>
      <c r="D88" s="393"/>
      <c r="E88" s="393"/>
      <c r="F88" s="393"/>
      <c r="G88" s="393"/>
      <c r="H88" s="393"/>
      <c r="I88" s="393"/>
      <c r="J88" s="393"/>
      <c r="K88" s="393"/>
      <c r="L88" s="393"/>
      <c r="M88" s="393"/>
      <c r="N88" s="393"/>
      <c r="O88" s="393"/>
      <c r="P88" s="393"/>
      <c r="Q88" s="393"/>
      <c r="R88" s="393"/>
      <c r="S88" s="393"/>
      <c r="T88" s="393"/>
      <c r="U88" s="393"/>
      <c r="V88" s="393"/>
      <c r="W88" s="332"/>
      <c r="X88" s="393"/>
      <c r="Y88" s="393"/>
      <c r="Z88" s="393"/>
    </row>
    <row r="89" ht="12.75" customHeight="1">
      <c r="A89" s="393"/>
      <c r="B89" s="393"/>
      <c r="C89" s="393"/>
      <c r="D89" s="393"/>
      <c r="E89" s="393"/>
      <c r="F89" s="393"/>
      <c r="G89" s="393"/>
      <c r="H89" s="393"/>
      <c r="I89" s="393"/>
      <c r="J89" s="393"/>
      <c r="K89" s="393"/>
      <c r="L89" s="393"/>
      <c r="M89" s="393"/>
      <c r="N89" s="393"/>
      <c r="O89" s="393"/>
      <c r="P89" s="393"/>
      <c r="Q89" s="393"/>
      <c r="R89" s="393"/>
      <c r="S89" s="393"/>
      <c r="T89" s="393"/>
      <c r="U89" s="393"/>
      <c r="V89" s="393"/>
      <c r="W89" s="332"/>
      <c r="X89" s="393"/>
      <c r="Y89" s="393"/>
      <c r="Z89" s="393"/>
    </row>
    <row r="90" ht="12.75" customHeight="1">
      <c r="A90" s="393"/>
      <c r="B90" s="393"/>
      <c r="C90" s="393"/>
      <c r="D90" s="393"/>
      <c r="E90" s="393"/>
      <c r="F90" s="393"/>
      <c r="G90" s="393"/>
      <c r="H90" s="393"/>
      <c r="I90" s="393"/>
      <c r="J90" s="393"/>
      <c r="K90" s="393"/>
      <c r="L90" s="393"/>
      <c r="M90" s="393"/>
      <c r="N90" s="393"/>
      <c r="O90" s="393"/>
      <c r="P90" s="393"/>
      <c r="Q90" s="393"/>
      <c r="R90" s="393"/>
      <c r="S90" s="393"/>
      <c r="T90" s="393"/>
      <c r="U90" s="393"/>
      <c r="V90" s="393"/>
      <c r="W90" s="332"/>
      <c r="X90" s="393"/>
      <c r="Y90" s="393"/>
      <c r="Z90" s="393"/>
    </row>
    <row r="91" ht="12.75" customHeight="1">
      <c r="A91" s="393"/>
      <c r="B91" s="393"/>
      <c r="C91" s="393"/>
      <c r="D91" s="393"/>
      <c r="E91" s="393"/>
      <c r="F91" s="393"/>
      <c r="G91" s="393"/>
      <c r="H91" s="393"/>
      <c r="I91" s="393"/>
      <c r="J91" s="393"/>
      <c r="K91" s="393"/>
      <c r="L91" s="393"/>
      <c r="M91" s="393"/>
      <c r="N91" s="393"/>
      <c r="O91" s="393"/>
      <c r="P91" s="393"/>
      <c r="Q91" s="393"/>
      <c r="R91" s="393"/>
      <c r="S91" s="393"/>
      <c r="T91" s="393"/>
      <c r="U91" s="393"/>
      <c r="V91" s="393"/>
      <c r="W91" s="332"/>
      <c r="X91" s="393"/>
      <c r="Y91" s="393"/>
      <c r="Z91" s="393"/>
    </row>
    <row r="92" ht="12.75" customHeight="1">
      <c r="A92" s="393"/>
      <c r="B92" s="393"/>
      <c r="C92" s="393"/>
      <c r="D92" s="393"/>
      <c r="E92" s="393"/>
      <c r="F92" s="393"/>
      <c r="G92" s="393"/>
      <c r="H92" s="393"/>
      <c r="I92" s="393"/>
      <c r="J92" s="393"/>
      <c r="K92" s="393"/>
      <c r="L92" s="393"/>
      <c r="M92" s="393"/>
      <c r="N92" s="393"/>
      <c r="O92" s="393"/>
      <c r="P92" s="393"/>
      <c r="Q92" s="393"/>
      <c r="R92" s="393"/>
      <c r="S92" s="393"/>
      <c r="T92" s="393"/>
      <c r="U92" s="393"/>
      <c r="V92" s="393"/>
      <c r="W92" s="332"/>
      <c r="X92" s="393"/>
      <c r="Y92" s="393"/>
      <c r="Z92" s="393"/>
    </row>
    <row r="93" ht="12.75" customHeight="1">
      <c r="A93" s="393"/>
      <c r="B93" s="393"/>
      <c r="C93" s="393"/>
      <c r="D93" s="393"/>
      <c r="E93" s="393"/>
      <c r="F93" s="393"/>
      <c r="G93" s="393"/>
      <c r="H93" s="393"/>
      <c r="I93" s="393"/>
      <c r="J93" s="393"/>
      <c r="K93" s="393"/>
      <c r="L93" s="393"/>
      <c r="M93" s="393"/>
      <c r="N93" s="393"/>
      <c r="O93" s="393"/>
      <c r="P93" s="393"/>
      <c r="Q93" s="393"/>
      <c r="R93" s="393"/>
      <c r="S93" s="393"/>
      <c r="T93" s="393"/>
      <c r="U93" s="393"/>
      <c r="V93" s="393"/>
      <c r="W93" s="332"/>
      <c r="X93" s="393"/>
      <c r="Y93" s="393"/>
      <c r="Z93" s="393"/>
    </row>
    <row r="94" ht="12.75" customHeight="1">
      <c r="A94" s="393"/>
      <c r="B94" s="393"/>
      <c r="C94" s="393"/>
      <c r="D94" s="393"/>
      <c r="E94" s="393"/>
      <c r="F94" s="393"/>
      <c r="G94" s="393"/>
      <c r="H94" s="393"/>
      <c r="I94" s="393"/>
      <c r="J94" s="393"/>
      <c r="K94" s="393"/>
      <c r="L94" s="393"/>
      <c r="M94" s="393"/>
      <c r="N94" s="393"/>
      <c r="O94" s="393"/>
      <c r="P94" s="393"/>
      <c r="Q94" s="393"/>
      <c r="R94" s="393"/>
      <c r="S94" s="393"/>
      <c r="T94" s="393"/>
      <c r="U94" s="393"/>
      <c r="V94" s="393"/>
      <c r="W94" s="332"/>
      <c r="X94" s="393"/>
      <c r="Y94" s="393"/>
      <c r="Z94" s="393"/>
    </row>
    <row r="95" ht="12.75" customHeight="1">
      <c r="A95" s="393"/>
      <c r="B95" s="393"/>
      <c r="C95" s="393"/>
      <c r="D95" s="393"/>
      <c r="E95" s="393"/>
      <c r="F95" s="393"/>
      <c r="G95" s="393"/>
      <c r="H95" s="393"/>
      <c r="I95" s="393"/>
      <c r="J95" s="393"/>
      <c r="K95" s="393"/>
      <c r="L95" s="393"/>
      <c r="M95" s="393"/>
      <c r="N95" s="393"/>
      <c r="O95" s="393"/>
      <c r="P95" s="393"/>
      <c r="Q95" s="393"/>
      <c r="R95" s="393"/>
      <c r="S95" s="393"/>
      <c r="T95" s="393"/>
      <c r="U95" s="393"/>
      <c r="V95" s="393"/>
      <c r="W95" s="332"/>
      <c r="X95" s="393"/>
      <c r="Y95" s="393"/>
      <c r="Z95" s="393"/>
    </row>
    <row r="96" ht="12.75" customHeight="1">
      <c r="A96" s="393"/>
      <c r="B96" s="393"/>
      <c r="C96" s="393"/>
      <c r="D96" s="393"/>
      <c r="E96" s="393"/>
      <c r="F96" s="393"/>
      <c r="G96" s="393"/>
      <c r="H96" s="393"/>
      <c r="I96" s="393"/>
      <c r="J96" s="393"/>
      <c r="K96" s="393"/>
      <c r="L96" s="393"/>
      <c r="M96" s="393"/>
      <c r="N96" s="393"/>
      <c r="O96" s="393"/>
      <c r="P96" s="393"/>
      <c r="Q96" s="393"/>
      <c r="R96" s="393"/>
      <c r="S96" s="393"/>
      <c r="T96" s="393"/>
      <c r="U96" s="393"/>
      <c r="V96" s="393"/>
      <c r="W96" s="332"/>
      <c r="X96" s="393"/>
      <c r="Y96" s="393"/>
      <c r="Z96" s="393"/>
    </row>
    <row r="97" ht="12.75" customHeight="1">
      <c r="A97" s="393"/>
      <c r="B97" s="393"/>
      <c r="C97" s="393"/>
      <c r="D97" s="393"/>
      <c r="E97" s="393"/>
      <c r="F97" s="393"/>
      <c r="G97" s="393"/>
      <c r="H97" s="393"/>
      <c r="I97" s="393"/>
      <c r="J97" s="393"/>
      <c r="K97" s="393"/>
      <c r="L97" s="393"/>
      <c r="M97" s="393"/>
      <c r="N97" s="393"/>
      <c r="O97" s="393"/>
      <c r="P97" s="393"/>
      <c r="Q97" s="393"/>
      <c r="R97" s="393"/>
      <c r="S97" s="393"/>
      <c r="T97" s="393"/>
      <c r="U97" s="393"/>
      <c r="V97" s="393"/>
      <c r="W97" s="332"/>
      <c r="X97" s="393"/>
      <c r="Y97" s="393"/>
      <c r="Z97" s="393"/>
    </row>
    <row r="98" ht="12.75" customHeight="1">
      <c r="A98" s="393"/>
      <c r="B98" s="393"/>
      <c r="C98" s="393"/>
      <c r="D98" s="393"/>
      <c r="E98" s="393"/>
      <c r="F98" s="393"/>
      <c r="G98" s="393"/>
      <c r="H98" s="393"/>
      <c r="I98" s="393"/>
      <c r="J98" s="393"/>
      <c r="K98" s="393"/>
      <c r="L98" s="393"/>
      <c r="M98" s="393"/>
      <c r="N98" s="393"/>
      <c r="O98" s="393"/>
      <c r="P98" s="393"/>
      <c r="Q98" s="393"/>
      <c r="R98" s="393"/>
      <c r="S98" s="393"/>
      <c r="T98" s="393"/>
      <c r="U98" s="393"/>
      <c r="V98" s="393"/>
      <c r="W98" s="332"/>
      <c r="X98" s="393"/>
      <c r="Y98" s="393"/>
      <c r="Z98" s="393"/>
    </row>
    <row r="99" ht="12.75" customHeight="1">
      <c r="A99" s="393"/>
      <c r="B99" s="393"/>
      <c r="C99" s="393"/>
      <c r="D99" s="393"/>
      <c r="E99" s="393"/>
      <c r="F99" s="393"/>
      <c r="G99" s="393"/>
      <c r="H99" s="393"/>
      <c r="I99" s="393"/>
      <c r="J99" s="393"/>
      <c r="K99" s="393"/>
      <c r="L99" s="393"/>
      <c r="M99" s="393"/>
      <c r="N99" s="393"/>
      <c r="O99" s="393"/>
      <c r="P99" s="393"/>
      <c r="Q99" s="393"/>
      <c r="R99" s="393"/>
      <c r="S99" s="393"/>
      <c r="T99" s="393"/>
      <c r="U99" s="393"/>
      <c r="V99" s="393"/>
      <c r="W99" s="332"/>
      <c r="X99" s="393"/>
      <c r="Y99" s="393"/>
      <c r="Z99" s="393"/>
    </row>
    <row r="100" ht="12.75" customHeight="1">
      <c r="A100" s="393"/>
      <c r="B100" s="393"/>
      <c r="C100" s="393"/>
      <c r="D100" s="393"/>
      <c r="E100" s="393"/>
      <c r="F100" s="393"/>
      <c r="G100" s="393"/>
      <c r="H100" s="393"/>
      <c r="I100" s="393"/>
      <c r="J100" s="393"/>
      <c r="K100" s="393"/>
      <c r="L100" s="393"/>
      <c r="M100" s="393"/>
      <c r="N100" s="393"/>
      <c r="O100" s="393"/>
      <c r="P100" s="393"/>
      <c r="Q100" s="393"/>
      <c r="R100" s="393"/>
      <c r="S100" s="393"/>
      <c r="T100" s="393"/>
      <c r="U100" s="393"/>
      <c r="V100" s="393"/>
      <c r="W100" s="332"/>
      <c r="X100" s="393"/>
      <c r="Y100" s="393"/>
      <c r="Z100" s="393"/>
    </row>
    <row r="101" ht="12.75" customHeight="1">
      <c r="A101" s="393"/>
      <c r="B101" s="393"/>
      <c r="C101" s="393"/>
      <c r="D101" s="393"/>
      <c r="E101" s="393"/>
      <c r="F101" s="393"/>
      <c r="G101" s="393"/>
      <c r="H101" s="393"/>
      <c r="I101" s="393"/>
      <c r="J101" s="393"/>
      <c r="K101" s="393"/>
      <c r="L101" s="393"/>
      <c r="M101" s="393"/>
      <c r="N101" s="393"/>
      <c r="O101" s="393"/>
      <c r="P101" s="393"/>
      <c r="Q101" s="393"/>
      <c r="R101" s="393"/>
      <c r="S101" s="393"/>
      <c r="T101" s="393"/>
      <c r="U101" s="393"/>
      <c r="V101" s="393"/>
      <c r="W101" s="332"/>
      <c r="X101" s="393"/>
      <c r="Y101" s="393"/>
      <c r="Z101" s="393"/>
    </row>
    <row r="102" ht="12.75" customHeight="1">
      <c r="A102" s="393"/>
      <c r="B102" s="393"/>
      <c r="C102" s="393"/>
      <c r="D102" s="393"/>
      <c r="E102" s="393"/>
      <c r="F102" s="393"/>
      <c r="G102" s="393"/>
      <c r="H102" s="393"/>
      <c r="I102" s="393"/>
      <c r="J102" s="393"/>
      <c r="K102" s="393"/>
      <c r="L102" s="393"/>
      <c r="M102" s="393"/>
      <c r="N102" s="393"/>
      <c r="O102" s="393"/>
      <c r="P102" s="393"/>
      <c r="Q102" s="393"/>
      <c r="R102" s="393"/>
      <c r="S102" s="393"/>
      <c r="T102" s="393"/>
      <c r="U102" s="393"/>
      <c r="V102" s="393"/>
      <c r="W102" s="332"/>
      <c r="X102" s="393"/>
      <c r="Y102" s="393"/>
      <c r="Z102" s="393"/>
    </row>
    <row r="103" ht="12.75" customHeight="1">
      <c r="A103" s="393"/>
      <c r="B103" s="393"/>
      <c r="C103" s="393"/>
      <c r="D103" s="393"/>
      <c r="E103" s="393"/>
      <c r="F103" s="393"/>
      <c r="G103" s="393"/>
      <c r="H103" s="393"/>
      <c r="I103" s="393"/>
      <c r="J103" s="393"/>
      <c r="K103" s="393"/>
      <c r="L103" s="393"/>
      <c r="M103" s="393"/>
      <c r="N103" s="393"/>
      <c r="O103" s="393"/>
      <c r="P103" s="393"/>
      <c r="Q103" s="393"/>
      <c r="R103" s="393"/>
      <c r="S103" s="393"/>
      <c r="T103" s="393"/>
      <c r="U103" s="393"/>
      <c r="V103" s="393"/>
      <c r="W103" s="332"/>
      <c r="X103" s="393"/>
      <c r="Y103" s="393"/>
      <c r="Z103" s="393"/>
    </row>
    <row r="104" ht="12.75" customHeight="1">
      <c r="A104" s="393"/>
      <c r="B104" s="393"/>
      <c r="C104" s="393"/>
      <c r="D104" s="393"/>
      <c r="E104" s="393"/>
      <c r="F104" s="393"/>
      <c r="G104" s="393"/>
      <c r="H104" s="393"/>
      <c r="I104" s="393"/>
      <c r="J104" s="393"/>
      <c r="K104" s="393"/>
      <c r="L104" s="393"/>
      <c r="M104" s="393"/>
      <c r="N104" s="393"/>
      <c r="O104" s="393"/>
      <c r="P104" s="393"/>
      <c r="Q104" s="393"/>
      <c r="R104" s="393"/>
      <c r="S104" s="393"/>
      <c r="T104" s="393"/>
      <c r="U104" s="393"/>
      <c r="V104" s="393"/>
      <c r="W104" s="332"/>
      <c r="X104" s="393"/>
      <c r="Y104" s="393"/>
      <c r="Z104" s="393"/>
    </row>
    <row r="105" ht="12.75" customHeight="1">
      <c r="A105" s="393"/>
      <c r="B105" s="393"/>
      <c r="C105" s="393"/>
      <c r="D105" s="393"/>
      <c r="E105" s="393"/>
      <c r="F105" s="393"/>
      <c r="G105" s="393"/>
      <c r="H105" s="393"/>
      <c r="I105" s="393"/>
      <c r="J105" s="393"/>
      <c r="K105" s="393"/>
      <c r="L105" s="393"/>
      <c r="M105" s="393"/>
      <c r="N105" s="393"/>
      <c r="O105" s="393"/>
      <c r="P105" s="393"/>
      <c r="Q105" s="393"/>
      <c r="R105" s="393"/>
      <c r="S105" s="393"/>
      <c r="T105" s="393"/>
      <c r="U105" s="393"/>
      <c r="V105" s="393"/>
      <c r="W105" s="332"/>
      <c r="X105" s="393"/>
      <c r="Y105" s="393"/>
      <c r="Z105" s="393"/>
    </row>
    <row r="106" ht="12.75" customHeight="1">
      <c r="A106" s="393"/>
      <c r="B106" s="393"/>
      <c r="C106" s="393"/>
      <c r="D106" s="393"/>
      <c r="E106" s="393"/>
      <c r="F106" s="393"/>
      <c r="G106" s="393"/>
      <c r="H106" s="393"/>
      <c r="I106" s="393"/>
      <c r="J106" s="393"/>
      <c r="K106" s="393"/>
      <c r="L106" s="393"/>
      <c r="M106" s="393"/>
      <c r="N106" s="393"/>
      <c r="O106" s="393"/>
      <c r="P106" s="393"/>
      <c r="Q106" s="393"/>
      <c r="R106" s="393"/>
      <c r="S106" s="393"/>
      <c r="T106" s="393"/>
      <c r="U106" s="393"/>
      <c r="V106" s="393"/>
      <c r="W106" s="332"/>
      <c r="X106" s="393"/>
      <c r="Y106" s="393"/>
      <c r="Z106" s="393"/>
    </row>
    <row r="107" ht="12.75" customHeight="1">
      <c r="A107" s="393"/>
      <c r="B107" s="393"/>
      <c r="C107" s="393"/>
      <c r="D107" s="393"/>
      <c r="E107" s="393"/>
      <c r="F107" s="393"/>
      <c r="G107" s="393"/>
      <c r="H107" s="393"/>
      <c r="I107" s="393"/>
      <c r="J107" s="393"/>
      <c r="K107" s="393"/>
      <c r="L107" s="393"/>
      <c r="M107" s="393"/>
      <c r="N107" s="393"/>
      <c r="O107" s="393"/>
      <c r="P107" s="393"/>
      <c r="Q107" s="393"/>
      <c r="R107" s="393"/>
      <c r="S107" s="393"/>
      <c r="T107" s="393"/>
      <c r="U107" s="393"/>
      <c r="V107" s="393"/>
      <c r="W107" s="332"/>
      <c r="X107" s="393"/>
      <c r="Y107" s="393"/>
      <c r="Z107" s="393"/>
    </row>
    <row r="108" ht="12.75" customHeight="1">
      <c r="A108" s="393"/>
      <c r="B108" s="393"/>
      <c r="C108" s="393"/>
      <c r="D108" s="393"/>
      <c r="E108" s="393"/>
      <c r="F108" s="393"/>
      <c r="G108" s="393"/>
      <c r="H108" s="393"/>
      <c r="I108" s="393"/>
      <c r="J108" s="393"/>
      <c r="K108" s="393"/>
      <c r="L108" s="393"/>
      <c r="M108" s="393"/>
      <c r="N108" s="393"/>
      <c r="O108" s="393"/>
      <c r="P108" s="393"/>
      <c r="Q108" s="393"/>
      <c r="R108" s="393"/>
      <c r="S108" s="393"/>
      <c r="T108" s="393"/>
      <c r="U108" s="393"/>
      <c r="V108" s="393"/>
      <c r="W108" s="332"/>
      <c r="X108" s="393"/>
      <c r="Y108" s="393"/>
      <c r="Z108" s="393"/>
    </row>
    <row r="109" ht="12.75" customHeight="1">
      <c r="A109" s="393"/>
      <c r="B109" s="393"/>
      <c r="C109" s="393"/>
      <c r="D109" s="393"/>
      <c r="E109" s="393"/>
      <c r="F109" s="393"/>
      <c r="G109" s="393"/>
      <c r="H109" s="393"/>
      <c r="I109" s="393"/>
      <c r="J109" s="393"/>
      <c r="K109" s="393"/>
      <c r="L109" s="393"/>
      <c r="M109" s="393"/>
      <c r="N109" s="393"/>
      <c r="O109" s="393"/>
      <c r="P109" s="393"/>
      <c r="Q109" s="393"/>
      <c r="R109" s="393"/>
      <c r="S109" s="393"/>
      <c r="T109" s="393"/>
      <c r="U109" s="393"/>
      <c r="V109" s="393"/>
      <c r="W109" s="332"/>
      <c r="X109" s="393"/>
      <c r="Y109" s="393"/>
      <c r="Z109" s="393"/>
    </row>
    <row r="110" ht="12.75" customHeight="1">
      <c r="A110" s="393"/>
      <c r="B110" s="393"/>
      <c r="C110" s="393"/>
      <c r="D110" s="393"/>
      <c r="E110" s="393"/>
      <c r="F110" s="393"/>
      <c r="G110" s="393"/>
      <c r="H110" s="393"/>
      <c r="I110" s="393"/>
      <c r="J110" s="393"/>
      <c r="K110" s="393"/>
      <c r="L110" s="393"/>
      <c r="M110" s="393"/>
      <c r="N110" s="393"/>
      <c r="O110" s="393"/>
      <c r="P110" s="393"/>
      <c r="Q110" s="393"/>
      <c r="R110" s="393"/>
      <c r="S110" s="393"/>
      <c r="T110" s="393"/>
      <c r="U110" s="393"/>
      <c r="V110" s="393"/>
      <c r="W110" s="332"/>
      <c r="X110" s="393"/>
      <c r="Y110" s="393"/>
      <c r="Z110" s="393"/>
    </row>
    <row r="111" ht="12.75" customHeight="1">
      <c r="A111" s="393"/>
      <c r="B111" s="393"/>
      <c r="C111" s="393"/>
      <c r="D111" s="393"/>
      <c r="E111" s="393"/>
      <c r="F111" s="393"/>
      <c r="G111" s="393"/>
      <c r="H111" s="393"/>
      <c r="I111" s="393"/>
      <c r="J111" s="393"/>
      <c r="K111" s="393"/>
      <c r="L111" s="393"/>
      <c r="M111" s="393"/>
      <c r="N111" s="393"/>
      <c r="O111" s="393"/>
      <c r="P111" s="393"/>
      <c r="Q111" s="393"/>
      <c r="R111" s="393"/>
      <c r="S111" s="393"/>
      <c r="T111" s="393"/>
      <c r="U111" s="393"/>
      <c r="V111" s="393"/>
      <c r="W111" s="332"/>
      <c r="X111" s="393"/>
      <c r="Y111" s="393"/>
      <c r="Z111" s="393"/>
    </row>
    <row r="112" ht="12.75" customHeight="1">
      <c r="A112" s="393"/>
      <c r="B112" s="393"/>
      <c r="C112" s="393"/>
      <c r="D112" s="393"/>
      <c r="E112" s="393"/>
      <c r="F112" s="393"/>
      <c r="G112" s="393"/>
      <c r="H112" s="393"/>
      <c r="I112" s="393"/>
      <c r="J112" s="393"/>
      <c r="K112" s="393"/>
      <c r="L112" s="393"/>
      <c r="M112" s="393"/>
      <c r="N112" s="393"/>
      <c r="O112" s="393"/>
      <c r="P112" s="393"/>
      <c r="Q112" s="393"/>
      <c r="R112" s="393"/>
      <c r="S112" s="393"/>
      <c r="T112" s="393"/>
      <c r="U112" s="393"/>
      <c r="V112" s="393"/>
      <c r="W112" s="332"/>
      <c r="X112" s="393"/>
      <c r="Y112" s="393"/>
      <c r="Z112" s="393"/>
    </row>
    <row r="113" ht="12.75" customHeight="1">
      <c r="A113" s="393"/>
      <c r="B113" s="393"/>
      <c r="C113" s="393"/>
      <c r="D113" s="393"/>
      <c r="E113" s="393"/>
      <c r="F113" s="393"/>
      <c r="G113" s="393"/>
      <c r="H113" s="393"/>
      <c r="I113" s="393"/>
      <c r="J113" s="393"/>
      <c r="K113" s="393"/>
      <c r="L113" s="393"/>
      <c r="M113" s="393"/>
      <c r="N113" s="393"/>
      <c r="O113" s="393"/>
      <c r="P113" s="393"/>
      <c r="Q113" s="393"/>
      <c r="R113" s="393"/>
      <c r="S113" s="393"/>
      <c r="T113" s="393"/>
      <c r="U113" s="393"/>
      <c r="V113" s="393"/>
      <c r="W113" s="332"/>
      <c r="X113" s="393"/>
      <c r="Y113" s="393"/>
      <c r="Z113" s="393"/>
    </row>
    <row r="114" ht="12.75" customHeight="1">
      <c r="A114" s="393"/>
      <c r="B114" s="393"/>
      <c r="C114" s="393"/>
      <c r="D114" s="393"/>
      <c r="E114" s="393"/>
      <c r="F114" s="393"/>
      <c r="G114" s="393"/>
      <c r="H114" s="393"/>
      <c r="I114" s="393"/>
      <c r="J114" s="393"/>
      <c r="K114" s="393"/>
      <c r="L114" s="393"/>
      <c r="M114" s="393"/>
      <c r="N114" s="393"/>
      <c r="O114" s="393"/>
      <c r="P114" s="393"/>
      <c r="Q114" s="393"/>
      <c r="R114" s="393"/>
      <c r="S114" s="393"/>
      <c r="T114" s="393"/>
      <c r="U114" s="393"/>
      <c r="V114" s="393"/>
      <c r="W114" s="332"/>
      <c r="X114" s="393"/>
      <c r="Y114" s="393"/>
      <c r="Z114" s="393"/>
    </row>
    <row r="115" ht="12.75" customHeight="1">
      <c r="A115" s="393"/>
      <c r="B115" s="393"/>
      <c r="C115" s="393"/>
      <c r="D115" s="393"/>
      <c r="E115" s="393"/>
      <c r="F115" s="393"/>
      <c r="G115" s="393"/>
      <c r="H115" s="393"/>
      <c r="I115" s="393"/>
      <c r="J115" s="393"/>
      <c r="K115" s="393"/>
      <c r="L115" s="393"/>
      <c r="M115" s="393"/>
      <c r="N115" s="393"/>
      <c r="O115" s="393"/>
      <c r="P115" s="393"/>
      <c r="Q115" s="393"/>
      <c r="R115" s="393"/>
      <c r="S115" s="393"/>
      <c r="T115" s="393"/>
      <c r="U115" s="393"/>
      <c r="V115" s="393"/>
      <c r="W115" s="332"/>
      <c r="X115" s="393"/>
      <c r="Y115" s="393"/>
      <c r="Z115" s="393"/>
    </row>
    <row r="116" ht="12.75" customHeight="1">
      <c r="A116" s="393"/>
      <c r="B116" s="393"/>
      <c r="C116" s="393"/>
      <c r="D116" s="393"/>
      <c r="E116" s="393"/>
      <c r="F116" s="393"/>
      <c r="G116" s="393"/>
      <c r="H116" s="393"/>
      <c r="I116" s="393"/>
      <c r="J116" s="393"/>
      <c r="K116" s="393"/>
      <c r="L116" s="393"/>
      <c r="M116" s="393"/>
      <c r="N116" s="393"/>
      <c r="O116" s="393"/>
      <c r="P116" s="393"/>
      <c r="Q116" s="393"/>
      <c r="R116" s="393"/>
      <c r="S116" s="393"/>
      <c r="T116" s="393"/>
      <c r="U116" s="393"/>
      <c r="V116" s="393"/>
      <c r="W116" s="332"/>
      <c r="X116" s="393"/>
      <c r="Y116" s="393"/>
      <c r="Z116" s="393"/>
    </row>
    <row r="117" ht="12.75" customHeight="1">
      <c r="A117" s="393"/>
      <c r="B117" s="393"/>
      <c r="C117" s="393"/>
      <c r="D117" s="393"/>
      <c r="E117" s="393"/>
      <c r="F117" s="393"/>
      <c r="G117" s="393"/>
      <c r="H117" s="393"/>
      <c r="I117" s="393"/>
      <c r="J117" s="393"/>
      <c r="K117" s="393"/>
      <c r="L117" s="393"/>
      <c r="M117" s="393"/>
      <c r="N117" s="393"/>
      <c r="O117" s="393"/>
      <c r="P117" s="393"/>
      <c r="Q117" s="393"/>
      <c r="R117" s="393"/>
      <c r="S117" s="393"/>
      <c r="T117" s="393"/>
      <c r="U117" s="393"/>
      <c r="V117" s="393"/>
      <c r="W117" s="332"/>
      <c r="X117" s="393"/>
      <c r="Y117" s="393"/>
      <c r="Z117" s="393"/>
    </row>
    <row r="118" ht="12.75" customHeight="1">
      <c r="A118" s="393"/>
      <c r="B118" s="393"/>
      <c r="C118" s="393"/>
      <c r="D118" s="393"/>
      <c r="E118" s="393"/>
      <c r="F118" s="393"/>
      <c r="G118" s="393"/>
      <c r="H118" s="393"/>
      <c r="I118" s="393"/>
      <c r="J118" s="393"/>
      <c r="K118" s="393"/>
      <c r="L118" s="393"/>
      <c r="M118" s="393"/>
      <c r="N118" s="393"/>
      <c r="O118" s="393"/>
      <c r="P118" s="393"/>
      <c r="Q118" s="393"/>
      <c r="R118" s="393"/>
      <c r="S118" s="393"/>
      <c r="T118" s="393"/>
      <c r="U118" s="393"/>
      <c r="V118" s="393"/>
      <c r="W118" s="332"/>
      <c r="X118" s="393"/>
      <c r="Y118" s="393"/>
      <c r="Z118" s="393"/>
    </row>
    <row r="119" ht="12.75" customHeight="1">
      <c r="A119" s="393"/>
      <c r="B119" s="393"/>
      <c r="C119" s="393"/>
      <c r="D119" s="393"/>
      <c r="E119" s="393"/>
      <c r="F119" s="393"/>
      <c r="G119" s="393"/>
      <c r="H119" s="393"/>
      <c r="I119" s="393"/>
      <c r="J119" s="393"/>
      <c r="K119" s="393"/>
      <c r="L119" s="393"/>
      <c r="M119" s="393"/>
      <c r="N119" s="393"/>
      <c r="O119" s="393"/>
      <c r="P119" s="393"/>
      <c r="Q119" s="393"/>
      <c r="R119" s="393"/>
      <c r="S119" s="393"/>
      <c r="T119" s="393"/>
      <c r="U119" s="393"/>
      <c r="V119" s="393"/>
      <c r="W119" s="332"/>
      <c r="X119" s="393"/>
      <c r="Y119" s="393"/>
      <c r="Z119" s="393"/>
    </row>
    <row r="120" ht="12.75" customHeight="1">
      <c r="A120" s="393"/>
      <c r="B120" s="393"/>
      <c r="C120" s="393"/>
      <c r="D120" s="393"/>
      <c r="E120" s="393"/>
      <c r="F120" s="393"/>
      <c r="G120" s="393"/>
      <c r="H120" s="393"/>
      <c r="I120" s="393"/>
      <c r="J120" s="393"/>
      <c r="K120" s="393"/>
      <c r="L120" s="393"/>
      <c r="M120" s="393"/>
      <c r="N120" s="393"/>
      <c r="O120" s="393"/>
      <c r="P120" s="393"/>
      <c r="Q120" s="393"/>
      <c r="R120" s="393"/>
      <c r="S120" s="393"/>
      <c r="T120" s="393"/>
      <c r="U120" s="393"/>
      <c r="V120" s="393"/>
      <c r="W120" s="332"/>
      <c r="X120" s="393"/>
      <c r="Y120" s="393"/>
      <c r="Z120" s="393"/>
    </row>
    <row r="121" ht="12.75" customHeight="1">
      <c r="A121" s="393"/>
      <c r="B121" s="393"/>
      <c r="C121" s="393"/>
      <c r="D121" s="393"/>
      <c r="E121" s="393"/>
      <c r="F121" s="393"/>
      <c r="G121" s="393"/>
      <c r="H121" s="393"/>
      <c r="I121" s="393"/>
      <c r="J121" s="393"/>
      <c r="K121" s="393"/>
      <c r="L121" s="393"/>
      <c r="M121" s="393"/>
      <c r="N121" s="393"/>
      <c r="O121" s="393"/>
      <c r="P121" s="393"/>
      <c r="Q121" s="393"/>
      <c r="R121" s="393"/>
      <c r="S121" s="393"/>
      <c r="T121" s="393"/>
      <c r="U121" s="393"/>
      <c r="V121" s="393"/>
      <c r="W121" s="332"/>
      <c r="X121" s="393"/>
      <c r="Y121" s="393"/>
      <c r="Z121" s="393"/>
    </row>
    <row r="122" ht="12.75" customHeight="1">
      <c r="A122" s="393"/>
      <c r="B122" s="393"/>
      <c r="C122" s="393"/>
      <c r="D122" s="393"/>
      <c r="E122" s="393"/>
      <c r="F122" s="393"/>
      <c r="G122" s="393"/>
      <c r="H122" s="393"/>
      <c r="I122" s="393"/>
      <c r="J122" s="393"/>
      <c r="K122" s="393"/>
      <c r="L122" s="393"/>
      <c r="M122" s="393"/>
      <c r="N122" s="393"/>
      <c r="O122" s="393"/>
      <c r="P122" s="393"/>
      <c r="Q122" s="393"/>
      <c r="R122" s="393"/>
      <c r="S122" s="393"/>
      <c r="T122" s="393"/>
      <c r="U122" s="393"/>
      <c r="V122" s="393"/>
      <c r="W122" s="332"/>
      <c r="X122" s="393"/>
      <c r="Y122" s="393"/>
      <c r="Z122" s="393"/>
    </row>
    <row r="123" ht="12.75" customHeight="1">
      <c r="A123" s="393"/>
      <c r="B123" s="393"/>
      <c r="C123" s="393"/>
      <c r="D123" s="393"/>
      <c r="E123" s="393"/>
      <c r="F123" s="393"/>
      <c r="G123" s="393"/>
      <c r="H123" s="393"/>
      <c r="I123" s="393"/>
      <c r="J123" s="393"/>
      <c r="K123" s="393"/>
      <c r="L123" s="393"/>
      <c r="M123" s="393"/>
      <c r="N123" s="393"/>
      <c r="O123" s="393"/>
      <c r="P123" s="393"/>
      <c r="Q123" s="393"/>
      <c r="R123" s="393"/>
      <c r="S123" s="393"/>
      <c r="T123" s="393"/>
      <c r="U123" s="393"/>
      <c r="V123" s="393"/>
      <c r="W123" s="332"/>
      <c r="X123" s="393"/>
      <c r="Y123" s="393"/>
      <c r="Z123" s="393"/>
    </row>
    <row r="124" ht="12.75" customHeight="1">
      <c r="A124" s="393"/>
      <c r="B124" s="393"/>
      <c r="C124" s="393"/>
      <c r="D124" s="393"/>
      <c r="E124" s="393"/>
      <c r="F124" s="393"/>
      <c r="G124" s="393"/>
      <c r="H124" s="393"/>
      <c r="I124" s="393"/>
      <c r="J124" s="393"/>
      <c r="K124" s="393"/>
      <c r="L124" s="393"/>
      <c r="M124" s="393"/>
      <c r="N124" s="393"/>
      <c r="O124" s="393"/>
      <c r="P124" s="393"/>
      <c r="Q124" s="393"/>
      <c r="R124" s="393"/>
      <c r="S124" s="393"/>
      <c r="T124" s="393"/>
      <c r="U124" s="393"/>
      <c r="V124" s="393"/>
      <c r="W124" s="332"/>
      <c r="X124" s="393"/>
      <c r="Y124" s="393"/>
      <c r="Z124" s="393"/>
    </row>
    <row r="125" ht="12.75" customHeight="1">
      <c r="A125" s="393"/>
      <c r="B125" s="393"/>
      <c r="C125" s="393"/>
      <c r="D125" s="393"/>
      <c r="E125" s="393"/>
      <c r="F125" s="393"/>
      <c r="G125" s="393"/>
      <c r="H125" s="393"/>
      <c r="I125" s="393"/>
      <c r="J125" s="393"/>
      <c r="K125" s="393"/>
      <c r="L125" s="393"/>
      <c r="M125" s="393"/>
      <c r="N125" s="393"/>
      <c r="O125" s="393"/>
      <c r="P125" s="393"/>
      <c r="Q125" s="393"/>
      <c r="R125" s="393"/>
      <c r="S125" s="393"/>
      <c r="T125" s="393"/>
      <c r="U125" s="393"/>
      <c r="V125" s="393"/>
      <c r="W125" s="332"/>
      <c r="X125" s="393"/>
      <c r="Y125" s="393"/>
      <c r="Z125" s="393"/>
    </row>
    <row r="126" ht="12.75" customHeight="1">
      <c r="A126" s="393"/>
      <c r="B126" s="393"/>
      <c r="C126" s="393"/>
      <c r="D126" s="393"/>
      <c r="E126" s="393"/>
      <c r="F126" s="393"/>
      <c r="G126" s="393"/>
      <c r="H126" s="393"/>
      <c r="I126" s="393"/>
      <c r="J126" s="393"/>
      <c r="K126" s="393"/>
      <c r="L126" s="393"/>
      <c r="M126" s="393"/>
      <c r="N126" s="393"/>
      <c r="O126" s="393"/>
      <c r="P126" s="393"/>
      <c r="Q126" s="393"/>
      <c r="R126" s="393"/>
      <c r="S126" s="393"/>
      <c r="T126" s="393"/>
      <c r="U126" s="393"/>
      <c r="V126" s="393"/>
      <c r="W126" s="332"/>
      <c r="X126" s="393"/>
      <c r="Y126" s="393"/>
      <c r="Z126" s="393"/>
    </row>
    <row r="127" ht="12.75" customHeight="1">
      <c r="A127" s="393"/>
      <c r="B127" s="393"/>
      <c r="C127" s="393"/>
      <c r="D127" s="393"/>
      <c r="E127" s="393"/>
      <c r="F127" s="393"/>
      <c r="G127" s="393"/>
      <c r="H127" s="393"/>
      <c r="I127" s="393"/>
      <c r="J127" s="393"/>
      <c r="K127" s="393"/>
      <c r="L127" s="393"/>
      <c r="M127" s="393"/>
      <c r="N127" s="393"/>
      <c r="O127" s="393"/>
      <c r="P127" s="393"/>
      <c r="Q127" s="393"/>
      <c r="R127" s="393"/>
      <c r="S127" s="393"/>
      <c r="T127" s="393"/>
      <c r="U127" s="393"/>
      <c r="V127" s="393"/>
      <c r="W127" s="332"/>
      <c r="X127" s="393"/>
      <c r="Y127" s="393"/>
      <c r="Z127" s="393"/>
    </row>
    <row r="128" ht="12.75" customHeight="1">
      <c r="A128" s="393"/>
      <c r="B128" s="393"/>
      <c r="C128" s="393"/>
      <c r="D128" s="393"/>
      <c r="E128" s="393"/>
      <c r="F128" s="393"/>
      <c r="G128" s="393"/>
      <c r="H128" s="393"/>
      <c r="I128" s="393"/>
      <c r="J128" s="393"/>
      <c r="K128" s="393"/>
      <c r="L128" s="393"/>
      <c r="M128" s="393"/>
      <c r="N128" s="393"/>
      <c r="O128" s="393"/>
      <c r="P128" s="393"/>
      <c r="Q128" s="393"/>
      <c r="R128" s="393"/>
      <c r="S128" s="393"/>
      <c r="T128" s="393"/>
      <c r="U128" s="393"/>
      <c r="V128" s="393"/>
      <c r="W128" s="332"/>
      <c r="X128" s="393"/>
      <c r="Y128" s="393"/>
      <c r="Z128" s="393"/>
    </row>
    <row r="129" ht="12.75" customHeight="1">
      <c r="A129" s="393"/>
      <c r="B129" s="393"/>
      <c r="C129" s="393"/>
      <c r="D129" s="393"/>
      <c r="E129" s="393"/>
      <c r="F129" s="393"/>
      <c r="G129" s="393"/>
      <c r="H129" s="393"/>
      <c r="I129" s="393"/>
      <c r="J129" s="393"/>
      <c r="K129" s="393"/>
      <c r="L129" s="393"/>
      <c r="M129" s="393"/>
      <c r="N129" s="393"/>
      <c r="O129" s="393"/>
      <c r="P129" s="393"/>
      <c r="Q129" s="393"/>
      <c r="R129" s="393"/>
      <c r="S129" s="393"/>
      <c r="T129" s="393"/>
      <c r="U129" s="393"/>
      <c r="V129" s="393"/>
      <c r="W129" s="332"/>
      <c r="X129" s="393"/>
      <c r="Y129" s="393"/>
      <c r="Z129" s="393"/>
    </row>
    <row r="130" ht="12.75" customHeight="1">
      <c r="A130" s="393"/>
      <c r="B130" s="393"/>
      <c r="C130" s="393"/>
      <c r="D130" s="393"/>
      <c r="E130" s="393"/>
      <c r="F130" s="393"/>
      <c r="G130" s="393"/>
      <c r="H130" s="393"/>
      <c r="I130" s="393"/>
      <c r="J130" s="393"/>
      <c r="K130" s="393"/>
      <c r="L130" s="393"/>
      <c r="M130" s="393"/>
      <c r="N130" s="393"/>
      <c r="O130" s="393"/>
      <c r="P130" s="393"/>
      <c r="Q130" s="393"/>
      <c r="R130" s="393"/>
      <c r="S130" s="393"/>
      <c r="T130" s="393"/>
      <c r="U130" s="393"/>
      <c r="V130" s="393"/>
      <c r="W130" s="332"/>
      <c r="X130" s="393"/>
      <c r="Y130" s="393"/>
      <c r="Z130" s="393"/>
    </row>
    <row r="131" ht="12.75" customHeight="1">
      <c r="A131" s="393"/>
      <c r="B131" s="393"/>
      <c r="C131" s="393"/>
      <c r="D131" s="393"/>
      <c r="E131" s="393"/>
      <c r="F131" s="393"/>
      <c r="G131" s="393"/>
      <c r="H131" s="393"/>
      <c r="I131" s="393"/>
      <c r="J131" s="393"/>
      <c r="K131" s="393"/>
      <c r="L131" s="393"/>
      <c r="M131" s="393"/>
      <c r="N131" s="393"/>
      <c r="O131" s="393"/>
      <c r="P131" s="393"/>
      <c r="Q131" s="393"/>
      <c r="R131" s="393"/>
      <c r="S131" s="393"/>
      <c r="T131" s="393"/>
      <c r="U131" s="393"/>
      <c r="V131" s="393"/>
      <c r="W131" s="332"/>
      <c r="X131" s="393"/>
      <c r="Y131" s="393"/>
      <c r="Z131" s="393"/>
    </row>
    <row r="132" ht="12.75" customHeight="1">
      <c r="A132" s="393"/>
      <c r="B132" s="393"/>
      <c r="C132" s="393"/>
      <c r="D132" s="393"/>
      <c r="E132" s="393"/>
      <c r="F132" s="393"/>
      <c r="G132" s="393"/>
      <c r="H132" s="393"/>
      <c r="I132" s="393"/>
      <c r="J132" s="393"/>
      <c r="K132" s="393"/>
      <c r="L132" s="393"/>
      <c r="M132" s="393"/>
      <c r="N132" s="393"/>
      <c r="O132" s="393"/>
      <c r="P132" s="393"/>
      <c r="Q132" s="393"/>
      <c r="R132" s="393"/>
      <c r="S132" s="393"/>
      <c r="T132" s="393"/>
      <c r="U132" s="393"/>
      <c r="V132" s="393"/>
      <c r="W132" s="332"/>
      <c r="X132" s="393"/>
      <c r="Y132" s="393"/>
      <c r="Z132" s="393"/>
    </row>
    <row r="133" ht="12.75" customHeight="1">
      <c r="A133" s="393"/>
      <c r="B133" s="393"/>
      <c r="C133" s="393"/>
      <c r="D133" s="393"/>
      <c r="E133" s="393"/>
      <c r="F133" s="393"/>
      <c r="G133" s="393"/>
      <c r="H133" s="393"/>
      <c r="I133" s="393"/>
      <c r="J133" s="393"/>
      <c r="K133" s="393"/>
      <c r="L133" s="393"/>
      <c r="M133" s="393"/>
      <c r="N133" s="393"/>
      <c r="O133" s="393"/>
      <c r="P133" s="393"/>
      <c r="Q133" s="393"/>
      <c r="R133" s="393"/>
      <c r="S133" s="393"/>
      <c r="T133" s="393"/>
      <c r="U133" s="393"/>
      <c r="V133" s="393"/>
      <c r="W133" s="332"/>
      <c r="X133" s="393"/>
      <c r="Y133" s="393"/>
      <c r="Z133" s="393"/>
    </row>
    <row r="134" ht="12.75" customHeight="1">
      <c r="A134" s="393"/>
      <c r="B134" s="393"/>
      <c r="C134" s="393"/>
      <c r="D134" s="393"/>
      <c r="E134" s="393"/>
      <c r="F134" s="393"/>
      <c r="G134" s="393"/>
      <c r="H134" s="393"/>
      <c r="I134" s="393"/>
      <c r="J134" s="393"/>
      <c r="K134" s="393"/>
      <c r="L134" s="393"/>
      <c r="M134" s="393"/>
      <c r="N134" s="393"/>
      <c r="O134" s="393"/>
      <c r="P134" s="393"/>
      <c r="Q134" s="393"/>
      <c r="R134" s="393"/>
      <c r="S134" s="393"/>
      <c r="T134" s="393"/>
      <c r="U134" s="393"/>
      <c r="V134" s="393"/>
      <c r="W134" s="332"/>
      <c r="X134" s="393"/>
      <c r="Y134" s="393"/>
      <c r="Z134" s="393"/>
    </row>
    <row r="135" ht="12.75" customHeight="1">
      <c r="A135" s="393"/>
      <c r="B135" s="393"/>
      <c r="C135" s="393"/>
      <c r="D135" s="393"/>
      <c r="E135" s="393"/>
      <c r="F135" s="393"/>
      <c r="G135" s="393"/>
      <c r="H135" s="393"/>
      <c r="I135" s="393"/>
      <c r="J135" s="393"/>
      <c r="K135" s="393"/>
      <c r="L135" s="393"/>
      <c r="M135" s="393"/>
      <c r="N135" s="393"/>
      <c r="O135" s="393"/>
      <c r="P135" s="393"/>
      <c r="Q135" s="393"/>
      <c r="R135" s="393"/>
      <c r="S135" s="393"/>
      <c r="T135" s="393"/>
      <c r="U135" s="393"/>
      <c r="V135" s="393"/>
      <c r="W135" s="332"/>
      <c r="X135" s="393"/>
      <c r="Y135" s="393"/>
      <c r="Z135" s="393"/>
    </row>
    <row r="136" ht="12.75" customHeight="1">
      <c r="A136" s="393"/>
      <c r="B136" s="393"/>
      <c r="C136" s="393"/>
      <c r="D136" s="393"/>
      <c r="E136" s="393"/>
      <c r="F136" s="393"/>
      <c r="G136" s="393"/>
      <c r="H136" s="393"/>
      <c r="I136" s="393"/>
      <c r="J136" s="393"/>
      <c r="K136" s="393"/>
      <c r="L136" s="393"/>
      <c r="M136" s="393"/>
      <c r="N136" s="393"/>
      <c r="O136" s="393"/>
      <c r="P136" s="393"/>
      <c r="Q136" s="393"/>
      <c r="R136" s="393"/>
      <c r="S136" s="393"/>
      <c r="T136" s="393"/>
      <c r="U136" s="393"/>
      <c r="V136" s="393"/>
      <c r="W136" s="332"/>
      <c r="X136" s="393"/>
      <c r="Y136" s="393"/>
      <c r="Z136" s="393"/>
    </row>
    <row r="137" ht="12.75" customHeight="1">
      <c r="A137" s="393"/>
      <c r="B137" s="393"/>
      <c r="C137" s="393"/>
      <c r="D137" s="393"/>
      <c r="E137" s="393"/>
      <c r="F137" s="393"/>
      <c r="G137" s="393"/>
      <c r="H137" s="393"/>
      <c r="I137" s="393"/>
      <c r="J137" s="393"/>
      <c r="K137" s="393"/>
      <c r="L137" s="393"/>
      <c r="M137" s="393"/>
      <c r="N137" s="393"/>
      <c r="O137" s="393"/>
      <c r="P137" s="393"/>
      <c r="Q137" s="393"/>
      <c r="R137" s="393"/>
      <c r="S137" s="393"/>
      <c r="T137" s="393"/>
      <c r="U137" s="393"/>
      <c r="V137" s="393"/>
      <c r="W137" s="332"/>
      <c r="X137" s="393"/>
      <c r="Y137" s="393"/>
      <c r="Z137" s="393"/>
    </row>
    <row r="138" ht="12.75" customHeight="1">
      <c r="A138" s="393"/>
      <c r="B138" s="393"/>
      <c r="C138" s="393"/>
      <c r="D138" s="393"/>
      <c r="E138" s="393"/>
      <c r="F138" s="393"/>
      <c r="G138" s="393"/>
      <c r="H138" s="393"/>
      <c r="I138" s="393"/>
      <c r="J138" s="393"/>
      <c r="K138" s="393"/>
      <c r="L138" s="393"/>
      <c r="M138" s="393"/>
      <c r="N138" s="393"/>
      <c r="O138" s="393"/>
      <c r="P138" s="393"/>
      <c r="Q138" s="393"/>
      <c r="R138" s="393"/>
      <c r="S138" s="393"/>
      <c r="T138" s="393"/>
      <c r="U138" s="393"/>
      <c r="V138" s="393"/>
      <c r="W138" s="332"/>
      <c r="X138" s="393"/>
      <c r="Y138" s="393"/>
      <c r="Z138" s="393"/>
    </row>
    <row r="139" ht="12.75" customHeight="1">
      <c r="A139" s="393"/>
      <c r="B139" s="393"/>
      <c r="C139" s="393"/>
      <c r="D139" s="393"/>
      <c r="E139" s="393"/>
      <c r="F139" s="393"/>
      <c r="G139" s="393"/>
      <c r="H139" s="393"/>
      <c r="I139" s="393"/>
      <c r="J139" s="393"/>
      <c r="K139" s="393"/>
      <c r="L139" s="393"/>
      <c r="M139" s="393"/>
      <c r="N139" s="393"/>
      <c r="O139" s="393"/>
      <c r="P139" s="393"/>
      <c r="Q139" s="393"/>
      <c r="R139" s="393"/>
      <c r="S139" s="393"/>
      <c r="T139" s="393"/>
      <c r="U139" s="393"/>
      <c r="V139" s="393"/>
      <c r="W139" s="332"/>
      <c r="X139" s="393"/>
      <c r="Y139" s="393"/>
      <c r="Z139" s="393"/>
    </row>
    <row r="140" ht="12.75" customHeight="1">
      <c r="A140" s="393"/>
      <c r="B140" s="393"/>
      <c r="C140" s="393"/>
      <c r="D140" s="393"/>
      <c r="E140" s="393"/>
      <c r="F140" s="393"/>
      <c r="G140" s="393"/>
      <c r="H140" s="393"/>
      <c r="I140" s="393"/>
      <c r="J140" s="393"/>
      <c r="K140" s="393"/>
      <c r="L140" s="393"/>
      <c r="M140" s="393"/>
      <c r="N140" s="393"/>
      <c r="O140" s="393"/>
      <c r="P140" s="393"/>
      <c r="Q140" s="393"/>
      <c r="R140" s="393"/>
      <c r="S140" s="393"/>
      <c r="T140" s="393"/>
      <c r="U140" s="393"/>
      <c r="V140" s="393"/>
      <c r="W140" s="332"/>
      <c r="X140" s="393"/>
      <c r="Y140" s="393"/>
      <c r="Z140" s="393"/>
    </row>
    <row r="141" ht="12.75" customHeight="1">
      <c r="A141" s="393"/>
      <c r="B141" s="393"/>
      <c r="C141" s="393"/>
      <c r="D141" s="393"/>
      <c r="E141" s="393"/>
      <c r="F141" s="393"/>
      <c r="G141" s="393"/>
      <c r="H141" s="393"/>
      <c r="I141" s="393"/>
      <c r="J141" s="393"/>
      <c r="K141" s="393"/>
      <c r="L141" s="393"/>
      <c r="M141" s="393"/>
      <c r="N141" s="393"/>
      <c r="O141" s="393"/>
      <c r="P141" s="393"/>
      <c r="Q141" s="393"/>
      <c r="R141" s="393"/>
      <c r="S141" s="393"/>
      <c r="T141" s="393"/>
      <c r="U141" s="393"/>
      <c r="V141" s="393"/>
      <c r="W141" s="332"/>
      <c r="X141" s="393"/>
      <c r="Y141" s="393"/>
      <c r="Z141" s="393"/>
    </row>
    <row r="142" ht="12.75" customHeight="1">
      <c r="A142" s="393"/>
      <c r="B142" s="393"/>
      <c r="C142" s="393"/>
      <c r="D142" s="393"/>
      <c r="E142" s="393"/>
      <c r="F142" s="393"/>
      <c r="G142" s="393"/>
      <c r="H142" s="393"/>
      <c r="I142" s="393"/>
      <c r="J142" s="393"/>
      <c r="K142" s="393"/>
      <c r="L142" s="393"/>
      <c r="M142" s="393"/>
      <c r="N142" s="393"/>
      <c r="O142" s="393"/>
      <c r="P142" s="393"/>
      <c r="Q142" s="393"/>
      <c r="R142" s="393"/>
      <c r="S142" s="393"/>
      <c r="T142" s="393"/>
      <c r="U142" s="393"/>
      <c r="V142" s="393"/>
      <c r="W142" s="332"/>
      <c r="X142" s="393"/>
      <c r="Y142" s="393"/>
      <c r="Z142" s="393"/>
    </row>
    <row r="143" ht="12.75" customHeight="1">
      <c r="A143" s="393"/>
      <c r="B143" s="393"/>
      <c r="C143" s="393"/>
      <c r="D143" s="393"/>
      <c r="E143" s="393"/>
      <c r="F143" s="393"/>
      <c r="G143" s="393"/>
      <c r="H143" s="393"/>
      <c r="I143" s="393"/>
      <c r="J143" s="393"/>
      <c r="K143" s="393"/>
      <c r="L143" s="393"/>
      <c r="M143" s="393"/>
      <c r="N143" s="393"/>
      <c r="O143" s="393"/>
      <c r="P143" s="393"/>
      <c r="Q143" s="393"/>
      <c r="R143" s="393"/>
      <c r="S143" s="393"/>
      <c r="T143" s="393"/>
      <c r="U143" s="393"/>
      <c r="V143" s="393"/>
      <c r="W143" s="332"/>
      <c r="X143" s="393"/>
      <c r="Y143" s="393"/>
      <c r="Z143" s="393"/>
    </row>
    <row r="144" ht="12.75" customHeight="1">
      <c r="A144" s="393"/>
      <c r="B144" s="393"/>
      <c r="C144" s="393"/>
      <c r="D144" s="393"/>
      <c r="E144" s="393"/>
      <c r="F144" s="393"/>
      <c r="G144" s="393"/>
      <c r="H144" s="393"/>
      <c r="I144" s="393"/>
      <c r="J144" s="393"/>
      <c r="K144" s="393"/>
      <c r="L144" s="393"/>
      <c r="M144" s="393"/>
      <c r="N144" s="393"/>
      <c r="O144" s="393"/>
      <c r="P144" s="393"/>
      <c r="Q144" s="393"/>
      <c r="R144" s="393"/>
      <c r="S144" s="393"/>
      <c r="T144" s="393"/>
      <c r="U144" s="393"/>
      <c r="V144" s="393"/>
      <c r="W144" s="332"/>
      <c r="X144" s="393"/>
      <c r="Y144" s="393"/>
      <c r="Z144" s="393"/>
    </row>
    <row r="145" ht="12.75" customHeight="1">
      <c r="A145" s="393"/>
      <c r="B145" s="393"/>
      <c r="C145" s="393"/>
      <c r="D145" s="393"/>
      <c r="E145" s="393"/>
      <c r="F145" s="393"/>
      <c r="G145" s="393"/>
      <c r="H145" s="393"/>
      <c r="I145" s="393"/>
      <c r="J145" s="393"/>
      <c r="K145" s="393"/>
      <c r="L145" s="393"/>
      <c r="M145" s="393"/>
      <c r="N145" s="393"/>
      <c r="O145" s="393"/>
      <c r="P145" s="393"/>
      <c r="Q145" s="393"/>
      <c r="R145" s="393"/>
      <c r="S145" s="393"/>
      <c r="T145" s="393"/>
      <c r="U145" s="393"/>
      <c r="V145" s="393"/>
      <c r="W145" s="332"/>
      <c r="X145" s="393"/>
      <c r="Y145" s="393"/>
      <c r="Z145" s="393"/>
    </row>
    <row r="146" ht="12.75" customHeight="1">
      <c r="A146" s="393"/>
      <c r="B146" s="393"/>
      <c r="C146" s="393"/>
      <c r="D146" s="393"/>
      <c r="E146" s="393"/>
      <c r="F146" s="393"/>
      <c r="G146" s="393"/>
      <c r="H146" s="393"/>
      <c r="I146" s="393"/>
      <c r="J146" s="393"/>
      <c r="K146" s="393"/>
      <c r="L146" s="393"/>
      <c r="M146" s="393"/>
      <c r="N146" s="393"/>
      <c r="O146" s="393"/>
      <c r="P146" s="393"/>
      <c r="Q146" s="393"/>
      <c r="R146" s="393"/>
      <c r="S146" s="393"/>
      <c r="T146" s="393"/>
      <c r="U146" s="393"/>
      <c r="V146" s="393"/>
      <c r="W146" s="332"/>
      <c r="X146" s="393"/>
      <c r="Y146" s="393"/>
      <c r="Z146" s="393"/>
    </row>
    <row r="147" ht="12.75" customHeight="1">
      <c r="A147" s="393"/>
      <c r="B147" s="393"/>
      <c r="C147" s="393"/>
      <c r="D147" s="393"/>
      <c r="E147" s="393"/>
      <c r="F147" s="393"/>
      <c r="G147" s="393"/>
      <c r="H147" s="393"/>
      <c r="I147" s="393"/>
      <c r="J147" s="393"/>
      <c r="K147" s="393"/>
      <c r="L147" s="393"/>
      <c r="M147" s="393"/>
      <c r="N147" s="393"/>
      <c r="O147" s="393"/>
      <c r="P147" s="393"/>
      <c r="Q147" s="393"/>
      <c r="R147" s="393"/>
      <c r="S147" s="393"/>
      <c r="T147" s="393"/>
      <c r="U147" s="393"/>
      <c r="V147" s="393"/>
      <c r="W147" s="332"/>
      <c r="X147" s="393"/>
      <c r="Y147" s="393"/>
      <c r="Z147" s="393"/>
    </row>
    <row r="148" ht="12.75" customHeight="1">
      <c r="A148" s="393"/>
      <c r="B148" s="393"/>
      <c r="C148" s="393"/>
      <c r="D148" s="393"/>
      <c r="E148" s="393"/>
      <c r="F148" s="393"/>
      <c r="G148" s="393"/>
      <c r="H148" s="393"/>
      <c r="I148" s="393"/>
      <c r="J148" s="393"/>
      <c r="K148" s="393"/>
      <c r="L148" s="393"/>
      <c r="M148" s="393"/>
      <c r="N148" s="393"/>
      <c r="O148" s="393"/>
      <c r="P148" s="393"/>
      <c r="Q148" s="393"/>
      <c r="R148" s="393"/>
      <c r="S148" s="393"/>
      <c r="T148" s="393"/>
      <c r="U148" s="393"/>
      <c r="V148" s="393"/>
      <c r="W148" s="332"/>
      <c r="X148" s="393"/>
      <c r="Y148" s="393"/>
      <c r="Z148" s="393"/>
    </row>
    <row r="149" ht="12.75" customHeight="1">
      <c r="A149" s="393"/>
      <c r="B149" s="393"/>
      <c r="C149" s="393"/>
      <c r="D149" s="393"/>
      <c r="E149" s="393"/>
      <c r="F149" s="393"/>
      <c r="G149" s="393"/>
      <c r="H149" s="393"/>
      <c r="I149" s="393"/>
      <c r="J149" s="393"/>
      <c r="K149" s="393"/>
      <c r="L149" s="393"/>
      <c r="M149" s="393"/>
      <c r="N149" s="393"/>
      <c r="O149" s="393"/>
      <c r="P149" s="393"/>
      <c r="Q149" s="393"/>
      <c r="R149" s="393"/>
      <c r="S149" s="393"/>
      <c r="T149" s="393"/>
      <c r="U149" s="393"/>
      <c r="V149" s="393"/>
      <c r="W149" s="332"/>
      <c r="X149" s="393"/>
      <c r="Y149" s="393"/>
      <c r="Z149" s="393"/>
    </row>
    <row r="150" ht="12.75" customHeight="1">
      <c r="A150" s="393"/>
      <c r="B150" s="393"/>
      <c r="C150" s="393"/>
      <c r="D150" s="393"/>
      <c r="E150" s="393"/>
      <c r="F150" s="393"/>
      <c r="G150" s="393"/>
      <c r="H150" s="393"/>
      <c r="I150" s="393"/>
      <c r="J150" s="393"/>
      <c r="K150" s="393"/>
      <c r="L150" s="393"/>
      <c r="M150" s="393"/>
      <c r="N150" s="393"/>
      <c r="O150" s="393"/>
      <c r="P150" s="393"/>
      <c r="Q150" s="393"/>
      <c r="R150" s="393"/>
      <c r="S150" s="393"/>
      <c r="T150" s="393"/>
      <c r="U150" s="393"/>
      <c r="V150" s="393"/>
      <c r="W150" s="332"/>
      <c r="X150" s="393"/>
      <c r="Y150" s="393"/>
      <c r="Z150" s="393"/>
    </row>
    <row r="151" ht="12.75" customHeight="1">
      <c r="A151" s="393"/>
      <c r="B151" s="393"/>
      <c r="C151" s="393"/>
      <c r="D151" s="393"/>
      <c r="E151" s="393"/>
      <c r="F151" s="393"/>
      <c r="G151" s="393"/>
      <c r="H151" s="393"/>
      <c r="I151" s="393"/>
      <c r="J151" s="393"/>
      <c r="K151" s="393"/>
      <c r="L151" s="393"/>
      <c r="M151" s="393"/>
      <c r="N151" s="393"/>
      <c r="O151" s="393"/>
      <c r="P151" s="393"/>
      <c r="Q151" s="393"/>
      <c r="R151" s="393"/>
      <c r="S151" s="393"/>
      <c r="T151" s="393"/>
      <c r="U151" s="393"/>
      <c r="V151" s="393"/>
      <c r="W151" s="332"/>
      <c r="X151" s="393"/>
      <c r="Y151" s="393"/>
      <c r="Z151" s="393"/>
    </row>
    <row r="152" ht="12.75" customHeight="1">
      <c r="A152" s="393"/>
      <c r="B152" s="393"/>
      <c r="C152" s="393"/>
      <c r="D152" s="393"/>
      <c r="E152" s="393"/>
      <c r="F152" s="393"/>
      <c r="G152" s="393"/>
      <c r="H152" s="393"/>
      <c r="I152" s="393"/>
      <c r="J152" s="393"/>
      <c r="K152" s="393"/>
      <c r="L152" s="393"/>
      <c r="M152" s="393"/>
      <c r="N152" s="393"/>
      <c r="O152" s="393"/>
      <c r="P152" s="393"/>
      <c r="Q152" s="393"/>
      <c r="R152" s="393"/>
      <c r="S152" s="393"/>
      <c r="T152" s="393"/>
      <c r="U152" s="393"/>
      <c r="V152" s="393"/>
      <c r="W152" s="332"/>
      <c r="X152" s="393"/>
      <c r="Y152" s="393"/>
      <c r="Z152" s="393"/>
    </row>
    <row r="153" ht="12.75" customHeight="1">
      <c r="A153" s="393"/>
      <c r="B153" s="393"/>
      <c r="C153" s="393"/>
      <c r="D153" s="393"/>
      <c r="E153" s="393"/>
      <c r="F153" s="393"/>
      <c r="G153" s="393"/>
      <c r="H153" s="393"/>
      <c r="I153" s="393"/>
      <c r="J153" s="393"/>
      <c r="K153" s="393"/>
      <c r="L153" s="393"/>
      <c r="M153" s="393"/>
      <c r="N153" s="393"/>
      <c r="O153" s="393"/>
      <c r="P153" s="393"/>
      <c r="Q153" s="393"/>
      <c r="R153" s="393"/>
      <c r="S153" s="393"/>
      <c r="T153" s="393"/>
      <c r="U153" s="393"/>
      <c r="V153" s="393"/>
      <c r="W153" s="332"/>
      <c r="X153" s="393"/>
      <c r="Y153" s="393"/>
      <c r="Z153" s="393"/>
    </row>
    <row r="154" ht="12.75" customHeight="1">
      <c r="A154" s="393"/>
      <c r="B154" s="393"/>
      <c r="C154" s="393"/>
      <c r="D154" s="393"/>
      <c r="E154" s="393"/>
      <c r="F154" s="393"/>
      <c r="G154" s="393"/>
      <c r="H154" s="393"/>
      <c r="I154" s="393"/>
      <c r="J154" s="393"/>
      <c r="K154" s="393"/>
      <c r="L154" s="393"/>
      <c r="M154" s="393"/>
      <c r="N154" s="393"/>
      <c r="O154" s="393"/>
      <c r="P154" s="393"/>
      <c r="Q154" s="393"/>
      <c r="R154" s="393"/>
      <c r="S154" s="393"/>
      <c r="T154" s="393"/>
      <c r="U154" s="393"/>
      <c r="V154" s="393"/>
      <c r="W154" s="332"/>
      <c r="X154" s="393"/>
      <c r="Y154" s="393"/>
      <c r="Z154" s="393"/>
    </row>
    <row r="155" ht="12.75" customHeight="1">
      <c r="A155" s="393"/>
      <c r="B155" s="393"/>
      <c r="C155" s="393"/>
      <c r="D155" s="393"/>
      <c r="E155" s="393"/>
      <c r="F155" s="393"/>
      <c r="G155" s="393"/>
      <c r="H155" s="393"/>
      <c r="I155" s="393"/>
      <c r="J155" s="393"/>
      <c r="K155" s="393"/>
      <c r="L155" s="393"/>
      <c r="M155" s="393"/>
      <c r="N155" s="393"/>
      <c r="O155" s="393"/>
      <c r="P155" s="393"/>
      <c r="Q155" s="393"/>
      <c r="R155" s="393"/>
      <c r="S155" s="393"/>
      <c r="T155" s="393"/>
      <c r="U155" s="393"/>
      <c r="V155" s="393"/>
      <c r="W155" s="332"/>
      <c r="X155" s="393"/>
      <c r="Y155" s="393"/>
      <c r="Z155" s="393"/>
    </row>
    <row r="156" ht="12.75" customHeight="1">
      <c r="A156" s="393"/>
      <c r="B156" s="393"/>
      <c r="C156" s="393"/>
      <c r="D156" s="393"/>
      <c r="E156" s="393"/>
      <c r="F156" s="393"/>
      <c r="G156" s="393"/>
      <c r="H156" s="393"/>
      <c r="I156" s="393"/>
      <c r="J156" s="393"/>
      <c r="K156" s="393"/>
      <c r="L156" s="393"/>
      <c r="M156" s="393"/>
      <c r="N156" s="393"/>
      <c r="O156" s="393"/>
      <c r="P156" s="393"/>
      <c r="Q156" s="393"/>
      <c r="R156" s="393"/>
      <c r="S156" s="393"/>
      <c r="T156" s="393"/>
      <c r="U156" s="393"/>
      <c r="V156" s="393"/>
      <c r="W156" s="332"/>
      <c r="X156" s="393"/>
      <c r="Y156" s="393"/>
      <c r="Z156" s="393"/>
    </row>
    <row r="157" ht="12.75" customHeight="1">
      <c r="A157" s="393"/>
      <c r="B157" s="393"/>
      <c r="C157" s="393"/>
      <c r="D157" s="393"/>
      <c r="E157" s="393"/>
      <c r="F157" s="393"/>
      <c r="G157" s="393"/>
      <c r="H157" s="393"/>
      <c r="I157" s="393"/>
      <c r="J157" s="393"/>
      <c r="K157" s="393"/>
      <c r="L157" s="393"/>
      <c r="M157" s="393"/>
      <c r="N157" s="393"/>
      <c r="O157" s="393"/>
      <c r="P157" s="393"/>
      <c r="Q157" s="393"/>
      <c r="R157" s="393"/>
      <c r="S157" s="393"/>
      <c r="T157" s="393"/>
      <c r="U157" s="393"/>
      <c r="V157" s="393"/>
      <c r="W157" s="332"/>
      <c r="X157" s="393"/>
      <c r="Y157" s="393"/>
      <c r="Z157" s="393"/>
    </row>
    <row r="158" ht="12.75" customHeight="1">
      <c r="A158" s="393"/>
      <c r="B158" s="393"/>
      <c r="C158" s="393"/>
      <c r="D158" s="393"/>
      <c r="E158" s="393"/>
      <c r="F158" s="393"/>
      <c r="G158" s="393"/>
      <c r="H158" s="393"/>
      <c r="I158" s="393"/>
      <c r="J158" s="393"/>
      <c r="K158" s="393"/>
      <c r="L158" s="393"/>
      <c r="M158" s="393"/>
      <c r="N158" s="393"/>
      <c r="O158" s="393"/>
      <c r="P158" s="393"/>
      <c r="Q158" s="393"/>
      <c r="R158" s="393"/>
      <c r="S158" s="393"/>
      <c r="T158" s="393"/>
      <c r="U158" s="393"/>
      <c r="V158" s="393"/>
      <c r="W158" s="332"/>
      <c r="X158" s="393"/>
      <c r="Y158" s="393"/>
      <c r="Z158" s="393"/>
    </row>
    <row r="159" ht="12.75" customHeight="1">
      <c r="A159" s="393"/>
      <c r="B159" s="393"/>
      <c r="C159" s="393"/>
      <c r="D159" s="393"/>
      <c r="E159" s="393"/>
      <c r="F159" s="393"/>
      <c r="G159" s="393"/>
      <c r="H159" s="393"/>
      <c r="I159" s="393"/>
      <c r="J159" s="393"/>
      <c r="K159" s="393"/>
      <c r="L159" s="393"/>
      <c r="M159" s="393"/>
      <c r="N159" s="393"/>
      <c r="O159" s="393"/>
      <c r="P159" s="393"/>
      <c r="Q159" s="393"/>
      <c r="R159" s="393"/>
      <c r="S159" s="393"/>
      <c r="T159" s="393"/>
      <c r="U159" s="393"/>
      <c r="V159" s="393"/>
      <c r="W159" s="332"/>
      <c r="X159" s="393"/>
      <c r="Y159" s="393"/>
      <c r="Z159" s="393"/>
    </row>
    <row r="160" ht="12.75" customHeight="1">
      <c r="A160" s="393"/>
      <c r="B160" s="393"/>
      <c r="C160" s="393"/>
      <c r="D160" s="393"/>
      <c r="E160" s="393"/>
      <c r="F160" s="393"/>
      <c r="G160" s="393"/>
      <c r="H160" s="393"/>
      <c r="I160" s="393"/>
      <c r="J160" s="393"/>
      <c r="K160" s="393"/>
      <c r="L160" s="393"/>
      <c r="M160" s="393"/>
      <c r="N160" s="393"/>
      <c r="O160" s="393"/>
      <c r="P160" s="393"/>
      <c r="Q160" s="393"/>
      <c r="R160" s="393"/>
      <c r="S160" s="393"/>
      <c r="T160" s="393"/>
      <c r="U160" s="393"/>
      <c r="V160" s="393"/>
      <c r="W160" s="332"/>
      <c r="X160" s="393"/>
      <c r="Y160" s="393"/>
      <c r="Z160" s="393"/>
    </row>
    <row r="161" ht="12.75" customHeight="1">
      <c r="A161" s="393"/>
      <c r="B161" s="393"/>
      <c r="C161" s="393"/>
      <c r="D161" s="393"/>
      <c r="E161" s="393"/>
      <c r="F161" s="393"/>
      <c r="G161" s="393"/>
      <c r="H161" s="393"/>
      <c r="I161" s="393"/>
      <c r="J161" s="393"/>
      <c r="K161" s="393"/>
      <c r="L161" s="393"/>
      <c r="M161" s="393"/>
      <c r="N161" s="393"/>
      <c r="O161" s="393"/>
      <c r="P161" s="393"/>
      <c r="Q161" s="393"/>
      <c r="R161" s="393"/>
      <c r="S161" s="393"/>
      <c r="T161" s="393"/>
      <c r="U161" s="393"/>
      <c r="V161" s="393"/>
      <c r="W161" s="332"/>
      <c r="X161" s="393"/>
      <c r="Y161" s="393"/>
      <c r="Z161" s="393"/>
    </row>
    <row r="162" ht="12.75" customHeight="1">
      <c r="A162" s="393"/>
      <c r="B162" s="393"/>
      <c r="C162" s="393"/>
      <c r="D162" s="393"/>
      <c r="E162" s="393"/>
      <c r="F162" s="393"/>
      <c r="G162" s="393"/>
      <c r="H162" s="393"/>
      <c r="I162" s="393"/>
      <c r="J162" s="393"/>
      <c r="K162" s="393"/>
      <c r="L162" s="393"/>
      <c r="M162" s="393"/>
      <c r="N162" s="393"/>
      <c r="O162" s="393"/>
      <c r="P162" s="393"/>
      <c r="Q162" s="393"/>
      <c r="R162" s="393"/>
      <c r="S162" s="393"/>
      <c r="T162" s="393"/>
      <c r="U162" s="393"/>
      <c r="V162" s="393"/>
      <c r="W162" s="332"/>
      <c r="X162" s="393"/>
      <c r="Y162" s="393"/>
      <c r="Z162" s="393"/>
    </row>
    <row r="163" ht="12.75" customHeight="1">
      <c r="A163" s="393"/>
      <c r="B163" s="393"/>
      <c r="C163" s="393"/>
      <c r="D163" s="393"/>
      <c r="E163" s="393"/>
      <c r="F163" s="393"/>
      <c r="G163" s="393"/>
      <c r="H163" s="393"/>
      <c r="I163" s="393"/>
      <c r="J163" s="393"/>
      <c r="K163" s="393"/>
      <c r="L163" s="393"/>
      <c r="M163" s="393"/>
      <c r="N163" s="393"/>
      <c r="O163" s="393"/>
      <c r="P163" s="393"/>
      <c r="Q163" s="393"/>
      <c r="R163" s="393"/>
      <c r="S163" s="393"/>
      <c r="T163" s="393"/>
      <c r="U163" s="393"/>
      <c r="V163" s="393"/>
      <c r="W163" s="332"/>
      <c r="X163" s="393"/>
      <c r="Y163" s="393"/>
      <c r="Z163" s="393"/>
    </row>
    <row r="164" ht="12.75" customHeight="1">
      <c r="A164" s="393"/>
      <c r="B164" s="393"/>
      <c r="C164" s="393"/>
      <c r="D164" s="393"/>
      <c r="E164" s="393"/>
      <c r="F164" s="393"/>
      <c r="G164" s="393"/>
      <c r="H164" s="393"/>
      <c r="I164" s="393"/>
      <c r="J164" s="393"/>
      <c r="K164" s="393"/>
      <c r="L164" s="393"/>
      <c r="M164" s="393"/>
      <c r="N164" s="393"/>
      <c r="O164" s="393"/>
      <c r="P164" s="393"/>
      <c r="Q164" s="393"/>
      <c r="R164" s="393"/>
      <c r="S164" s="393"/>
      <c r="T164" s="393"/>
      <c r="U164" s="393"/>
      <c r="V164" s="393"/>
      <c r="W164" s="332"/>
      <c r="X164" s="393"/>
      <c r="Y164" s="393"/>
      <c r="Z164" s="393"/>
    </row>
    <row r="165" ht="12.75" customHeight="1">
      <c r="A165" s="393"/>
      <c r="B165" s="393"/>
      <c r="C165" s="393"/>
      <c r="D165" s="393"/>
      <c r="E165" s="393"/>
      <c r="F165" s="393"/>
      <c r="G165" s="393"/>
      <c r="H165" s="393"/>
      <c r="I165" s="393"/>
      <c r="J165" s="393"/>
      <c r="K165" s="393"/>
      <c r="L165" s="393"/>
      <c r="M165" s="393"/>
      <c r="N165" s="393"/>
      <c r="O165" s="393"/>
      <c r="P165" s="393"/>
      <c r="Q165" s="393"/>
      <c r="R165" s="393"/>
      <c r="S165" s="393"/>
      <c r="T165" s="393"/>
      <c r="U165" s="393"/>
      <c r="V165" s="393"/>
      <c r="W165" s="332"/>
      <c r="X165" s="393"/>
      <c r="Y165" s="393"/>
      <c r="Z165" s="393"/>
    </row>
    <row r="166" ht="12.75" customHeight="1">
      <c r="A166" s="393"/>
      <c r="B166" s="393"/>
      <c r="C166" s="393"/>
      <c r="D166" s="393"/>
      <c r="E166" s="393"/>
      <c r="F166" s="393"/>
      <c r="G166" s="393"/>
      <c r="H166" s="393"/>
      <c r="I166" s="393"/>
      <c r="J166" s="393"/>
      <c r="K166" s="393"/>
      <c r="L166" s="393"/>
      <c r="M166" s="393"/>
      <c r="N166" s="393"/>
      <c r="O166" s="393"/>
      <c r="P166" s="393"/>
      <c r="Q166" s="393"/>
      <c r="R166" s="393"/>
      <c r="S166" s="393"/>
      <c r="T166" s="393"/>
      <c r="U166" s="393"/>
      <c r="V166" s="393"/>
      <c r="W166" s="332"/>
      <c r="X166" s="393"/>
      <c r="Y166" s="393"/>
      <c r="Z166" s="393"/>
    </row>
    <row r="167" ht="12.75" customHeight="1">
      <c r="A167" s="393"/>
      <c r="B167" s="393"/>
      <c r="C167" s="393"/>
      <c r="D167" s="393"/>
      <c r="E167" s="393"/>
      <c r="F167" s="393"/>
      <c r="G167" s="393"/>
      <c r="H167" s="393"/>
      <c r="I167" s="393"/>
      <c r="J167" s="393"/>
      <c r="K167" s="393"/>
      <c r="L167" s="393"/>
      <c r="M167" s="393"/>
      <c r="N167" s="393"/>
      <c r="O167" s="393"/>
      <c r="P167" s="393"/>
      <c r="Q167" s="393"/>
      <c r="R167" s="393"/>
      <c r="S167" s="393"/>
      <c r="T167" s="393"/>
      <c r="U167" s="393"/>
      <c r="V167" s="393"/>
      <c r="W167" s="332"/>
      <c r="X167" s="393"/>
      <c r="Y167" s="393"/>
      <c r="Z167" s="393"/>
    </row>
    <row r="168" ht="12.75" customHeight="1">
      <c r="A168" s="393"/>
      <c r="B168" s="393"/>
      <c r="C168" s="393"/>
      <c r="D168" s="393"/>
      <c r="E168" s="393"/>
      <c r="F168" s="393"/>
      <c r="G168" s="393"/>
      <c r="H168" s="393"/>
      <c r="I168" s="393"/>
      <c r="J168" s="393"/>
      <c r="K168" s="393"/>
      <c r="L168" s="393"/>
      <c r="M168" s="393"/>
      <c r="N168" s="393"/>
      <c r="O168" s="393"/>
      <c r="P168" s="393"/>
      <c r="Q168" s="393"/>
      <c r="R168" s="393"/>
      <c r="S168" s="393"/>
      <c r="T168" s="393"/>
      <c r="U168" s="393"/>
      <c r="V168" s="393"/>
      <c r="W168" s="332"/>
      <c r="X168" s="393"/>
      <c r="Y168" s="393"/>
      <c r="Z168" s="393"/>
    </row>
    <row r="169" ht="12.75" customHeight="1">
      <c r="A169" s="393"/>
      <c r="B169" s="393"/>
      <c r="C169" s="393"/>
      <c r="D169" s="393"/>
      <c r="E169" s="393"/>
      <c r="F169" s="393"/>
      <c r="G169" s="393"/>
      <c r="H169" s="393"/>
      <c r="I169" s="393"/>
      <c r="J169" s="393"/>
      <c r="K169" s="393"/>
      <c r="L169" s="393"/>
      <c r="M169" s="393"/>
      <c r="N169" s="393"/>
      <c r="O169" s="393"/>
      <c r="P169" s="393"/>
      <c r="Q169" s="393"/>
      <c r="R169" s="393"/>
      <c r="S169" s="393"/>
      <c r="T169" s="393"/>
      <c r="U169" s="393"/>
      <c r="V169" s="393"/>
      <c r="W169" s="332"/>
      <c r="X169" s="393"/>
      <c r="Y169" s="393"/>
      <c r="Z169" s="393"/>
    </row>
    <row r="170" ht="12.75" customHeight="1">
      <c r="A170" s="393"/>
      <c r="B170" s="393"/>
      <c r="C170" s="393"/>
      <c r="D170" s="393"/>
      <c r="E170" s="393"/>
      <c r="F170" s="393"/>
      <c r="G170" s="393"/>
      <c r="H170" s="393"/>
      <c r="I170" s="393"/>
      <c r="J170" s="393"/>
      <c r="K170" s="393"/>
      <c r="L170" s="393"/>
      <c r="M170" s="393"/>
      <c r="N170" s="393"/>
      <c r="O170" s="393"/>
      <c r="P170" s="393"/>
      <c r="Q170" s="393"/>
      <c r="R170" s="393"/>
      <c r="S170" s="393"/>
      <c r="T170" s="393"/>
      <c r="U170" s="393"/>
      <c r="V170" s="393"/>
      <c r="W170" s="332"/>
      <c r="X170" s="393"/>
      <c r="Y170" s="393"/>
      <c r="Z170" s="393"/>
    </row>
    <row r="171" ht="12.75" customHeight="1">
      <c r="A171" s="393"/>
      <c r="B171" s="393"/>
      <c r="C171" s="393"/>
      <c r="D171" s="393"/>
      <c r="E171" s="393"/>
      <c r="F171" s="393"/>
      <c r="G171" s="393"/>
      <c r="H171" s="393"/>
      <c r="I171" s="393"/>
      <c r="J171" s="393"/>
      <c r="K171" s="393"/>
      <c r="L171" s="393"/>
      <c r="M171" s="393"/>
      <c r="N171" s="393"/>
      <c r="O171" s="393"/>
      <c r="P171" s="393"/>
      <c r="Q171" s="393"/>
      <c r="R171" s="393"/>
      <c r="S171" s="393"/>
      <c r="T171" s="393"/>
      <c r="U171" s="393"/>
      <c r="V171" s="393"/>
      <c r="W171" s="332"/>
      <c r="X171" s="393"/>
      <c r="Y171" s="393"/>
      <c r="Z171" s="393"/>
    </row>
    <row r="172" ht="12.75" customHeight="1">
      <c r="A172" s="393"/>
      <c r="B172" s="393"/>
      <c r="C172" s="393"/>
      <c r="D172" s="393"/>
      <c r="E172" s="393"/>
      <c r="F172" s="393"/>
      <c r="G172" s="393"/>
      <c r="H172" s="393"/>
      <c r="I172" s="393"/>
      <c r="J172" s="393"/>
      <c r="K172" s="393"/>
      <c r="L172" s="393"/>
      <c r="M172" s="393"/>
      <c r="N172" s="393"/>
      <c r="O172" s="393"/>
      <c r="P172" s="393"/>
      <c r="Q172" s="393"/>
      <c r="R172" s="393"/>
      <c r="S172" s="393"/>
      <c r="T172" s="393"/>
      <c r="U172" s="393"/>
      <c r="V172" s="393"/>
      <c r="W172" s="332"/>
      <c r="X172" s="393"/>
      <c r="Y172" s="393"/>
      <c r="Z172" s="393"/>
    </row>
    <row r="173" ht="12.75" customHeight="1">
      <c r="A173" s="393"/>
      <c r="B173" s="393"/>
      <c r="C173" s="393"/>
      <c r="D173" s="393"/>
      <c r="E173" s="393"/>
      <c r="F173" s="393"/>
      <c r="G173" s="393"/>
      <c r="H173" s="393"/>
      <c r="I173" s="393"/>
      <c r="J173" s="393"/>
      <c r="K173" s="393"/>
      <c r="L173" s="393"/>
      <c r="M173" s="393"/>
      <c r="N173" s="393"/>
      <c r="O173" s="393"/>
      <c r="P173" s="393"/>
      <c r="Q173" s="393"/>
      <c r="R173" s="393"/>
      <c r="S173" s="393"/>
      <c r="T173" s="393"/>
      <c r="U173" s="393"/>
      <c r="V173" s="393"/>
      <c r="W173" s="332"/>
      <c r="X173" s="393"/>
      <c r="Y173" s="393"/>
      <c r="Z173" s="393"/>
    </row>
    <row r="174" ht="12.75" customHeight="1">
      <c r="A174" s="393"/>
      <c r="B174" s="393"/>
      <c r="C174" s="393"/>
      <c r="D174" s="393"/>
      <c r="E174" s="393"/>
      <c r="F174" s="393"/>
      <c r="G174" s="393"/>
      <c r="H174" s="393"/>
      <c r="I174" s="393"/>
      <c r="J174" s="393"/>
      <c r="K174" s="393"/>
      <c r="L174" s="393"/>
      <c r="M174" s="393"/>
      <c r="N174" s="393"/>
      <c r="O174" s="393"/>
      <c r="P174" s="393"/>
      <c r="Q174" s="393"/>
      <c r="R174" s="393"/>
      <c r="S174" s="393"/>
      <c r="T174" s="393"/>
      <c r="U174" s="393"/>
      <c r="V174" s="393"/>
      <c r="W174" s="332"/>
      <c r="X174" s="393"/>
      <c r="Y174" s="393"/>
      <c r="Z174" s="393"/>
    </row>
    <row r="175" ht="12.75" customHeight="1">
      <c r="A175" s="393"/>
      <c r="B175" s="393"/>
      <c r="C175" s="393"/>
      <c r="D175" s="393"/>
      <c r="E175" s="393"/>
      <c r="F175" s="393"/>
      <c r="G175" s="393"/>
      <c r="H175" s="393"/>
      <c r="I175" s="393"/>
      <c r="J175" s="393"/>
      <c r="K175" s="393"/>
      <c r="L175" s="393"/>
      <c r="M175" s="393"/>
      <c r="N175" s="393"/>
      <c r="O175" s="393"/>
      <c r="P175" s="393"/>
      <c r="Q175" s="393"/>
      <c r="R175" s="393"/>
      <c r="S175" s="393"/>
      <c r="T175" s="393"/>
      <c r="U175" s="393"/>
      <c r="V175" s="393"/>
      <c r="W175" s="332"/>
      <c r="X175" s="393"/>
      <c r="Y175" s="393"/>
      <c r="Z175" s="393"/>
    </row>
    <row r="176" ht="12.75" customHeight="1">
      <c r="A176" s="393"/>
      <c r="B176" s="393"/>
      <c r="C176" s="393"/>
      <c r="D176" s="393"/>
      <c r="E176" s="393"/>
      <c r="F176" s="393"/>
      <c r="G176" s="393"/>
      <c r="H176" s="393"/>
      <c r="I176" s="393"/>
      <c r="J176" s="393"/>
      <c r="K176" s="393"/>
      <c r="L176" s="393"/>
      <c r="M176" s="393"/>
      <c r="N176" s="393"/>
      <c r="O176" s="393"/>
      <c r="P176" s="393"/>
      <c r="Q176" s="393"/>
      <c r="R176" s="393"/>
      <c r="S176" s="393"/>
      <c r="T176" s="393"/>
      <c r="U176" s="393"/>
      <c r="V176" s="393"/>
      <c r="W176" s="332"/>
      <c r="X176" s="393"/>
      <c r="Y176" s="393"/>
      <c r="Z176" s="393"/>
    </row>
    <row r="177" ht="12.75" customHeight="1">
      <c r="A177" s="393"/>
      <c r="B177" s="393"/>
      <c r="C177" s="393"/>
      <c r="D177" s="393"/>
      <c r="E177" s="393"/>
      <c r="F177" s="393"/>
      <c r="G177" s="393"/>
      <c r="H177" s="393"/>
      <c r="I177" s="393"/>
      <c r="J177" s="393"/>
      <c r="K177" s="393"/>
      <c r="L177" s="393"/>
      <c r="M177" s="393"/>
      <c r="N177" s="393"/>
      <c r="O177" s="393"/>
      <c r="P177" s="393"/>
      <c r="Q177" s="393"/>
      <c r="R177" s="393"/>
      <c r="S177" s="393"/>
      <c r="T177" s="393"/>
      <c r="U177" s="393"/>
      <c r="V177" s="393"/>
      <c r="W177" s="332"/>
      <c r="X177" s="393"/>
      <c r="Y177" s="393"/>
      <c r="Z177" s="393"/>
    </row>
    <row r="178" ht="12.75" customHeight="1">
      <c r="A178" s="393"/>
      <c r="B178" s="393"/>
      <c r="C178" s="393"/>
      <c r="D178" s="393"/>
      <c r="E178" s="393"/>
      <c r="F178" s="393"/>
      <c r="G178" s="393"/>
      <c r="H178" s="393"/>
      <c r="I178" s="393"/>
      <c r="J178" s="393"/>
      <c r="K178" s="393"/>
      <c r="L178" s="393"/>
      <c r="M178" s="393"/>
      <c r="N178" s="393"/>
      <c r="O178" s="393"/>
      <c r="P178" s="393"/>
      <c r="Q178" s="393"/>
      <c r="R178" s="393"/>
      <c r="S178" s="393"/>
      <c r="T178" s="393"/>
      <c r="U178" s="393"/>
      <c r="V178" s="393"/>
      <c r="W178" s="332"/>
      <c r="X178" s="393"/>
      <c r="Y178" s="393"/>
      <c r="Z178" s="393"/>
    </row>
    <row r="179" ht="12.75" customHeight="1">
      <c r="A179" s="393"/>
      <c r="B179" s="393"/>
      <c r="C179" s="393"/>
      <c r="D179" s="393"/>
      <c r="E179" s="393"/>
      <c r="F179" s="393"/>
      <c r="G179" s="393"/>
      <c r="H179" s="393"/>
      <c r="I179" s="393"/>
      <c r="J179" s="393"/>
      <c r="K179" s="393"/>
      <c r="L179" s="393"/>
      <c r="M179" s="393"/>
      <c r="N179" s="393"/>
      <c r="O179" s="393"/>
      <c r="P179" s="393"/>
      <c r="Q179" s="393"/>
      <c r="R179" s="393"/>
      <c r="S179" s="393"/>
      <c r="T179" s="393"/>
      <c r="U179" s="393"/>
      <c r="V179" s="393"/>
      <c r="W179" s="332"/>
      <c r="X179" s="393"/>
      <c r="Y179" s="393"/>
      <c r="Z179" s="393"/>
    </row>
    <row r="180" ht="12.75" customHeight="1">
      <c r="A180" s="393"/>
      <c r="B180" s="393"/>
      <c r="C180" s="393"/>
      <c r="D180" s="393"/>
      <c r="E180" s="393"/>
      <c r="F180" s="393"/>
      <c r="G180" s="393"/>
      <c r="H180" s="393"/>
      <c r="I180" s="393"/>
      <c r="J180" s="393"/>
      <c r="K180" s="393"/>
      <c r="L180" s="393"/>
      <c r="M180" s="393"/>
      <c r="N180" s="393"/>
      <c r="O180" s="393"/>
      <c r="P180" s="393"/>
      <c r="Q180" s="393"/>
      <c r="R180" s="393"/>
      <c r="S180" s="393"/>
      <c r="T180" s="393"/>
      <c r="U180" s="393"/>
      <c r="V180" s="393"/>
      <c r="W180" s="332"/>
      <c r="X180" s="393"/>
      <c r="Y180" s="393"/>
      <c r="Z180" s="393"/>
    </row>
    <row r="181" ht="12.75" customHeight="1">
      <c r="A181" s="393"/>
      <c r="B181" s="393"/>
      <c r="C181" s="393"/>
      <c r="D181" s="393"/>
      <c r="E181" s="393"/>
      <c r="F181" s="393"/>
      <c r="G181" s="393"/>
      <c r="H181" s="393"/>
      <c r="I181" s="393"/>
      <c r="J181" s="393"/>
      <c r="K181" s="393"/>
      <c r="L181" s="393"/>
      <c r="M181" s="393"/>
      <c r="N181" s="393"/>
      <c r="O181" s="393"/>
      <c r="P181" s="393"/>
      <c r="Q181" s="393"/>
      <c r="R181" s="393"/>
      <c r="S181" s="393"/>
      <c r="T181" s="393"/>
      <c r="U181" s="393"/>
      <c r="V181" s="393"/>
      <c r="W181" s="332"/>
      <c r="X181" s="393"/>
      <c r="Y181" s="393"/>
      <c r="Z181" s="393"/>
    </row>
    <row r="182" ht="12.75" customHeight="1">
      <c r="A182" s="393"/>
      <c r="B182" s="393"/>
      <c r="C182" s="393"/>
      <c r="D182" s="393"/>
      <c r="E182" s="393"/>
      <c r="F182" s="393"/>
      <c r="G182" s="393"/>
      <c r="H182" s="393"/>
      <c r="I182" s="393"/>
      <c r="J182" s="393"/>
      <c r="K182" s="393"/>
      <c r="L182" s="393"/>
      <c r="M182" s="393"/>
      <c r="N182" s="393"/>
      <c r="O182" s="393"/>
      <c r="P182" s="393"/>
      <c r="Q182" s="393"/>
      <c r="R182" s="393"/>
      <c r="S182" s="393"/>
      <c r="T182" s="393"/>
      <c r="U182" s="393"/>
      <c r="V182" s="393"/>
      <c r="W182" s="332"/>
      <c r="X182" s="393"/>
      <c r="Y182" s="393"/>
      <c r="Z182" s="393"/>
    </row>
    <row r="183" ht="12.75" customHeight="1">
      <c r="A183" s="393"/>
      <c r="B183" s="393"/>
      <c r="C183" s="393"/>
      <c r="D183" s="393"/>
      <c r="E183" s="393"/>
      <c r="F183" s="393"/>
      <c r="G183" s="393"/>
      <c r="H183" s="393"/>
      <c r="I183" s="393"/>
      <c r="J183" s="393"/>
      <c r="K183" s="393"/>
      <c r="L183" s="393"/>
      <c r="M183" s="393"/>
      <c r="N183" s="393"/>
      <c r="O183" s="393"/>
      <c r="P183" s="393"/>
      <c r="Q183" s="393"/>
      <c r="R183" s="393"/>
      <c r="S183" s="393"/>
      <c r="T183" s="393"/>
      <c r="U183" s="393"/>
      <c r="V183" s="393"/>
      <c r="W183" s="332"/>
      <c r="X183" s="393"/>
      <c r="Y183" s="393"/>
      <c r="Z183" s="393"/>
    </row>
    <row r="184" ht="12.75" customHeight="1">
      <c r="A184" s="393"/>
      <c r="B184" s="393"/>
      <c r="C184" s="393"/>
      <c r="D184" s="393"/>
      <c r="E184" s="393"/>
      <c r="F184" s="393"/>
      <c r="G184" s="393"/>
      <c r="H184" s="393"/>
      <c r="I184" s="393"/>
      <c r="J184" s="393"/>
      <c r="K184" s="393"/>
      <c r="L184" s="393"/>
      <c r="M184" s="393"/>
      <c r="N184" s="393"/>
      <c r="O184" s="393"/>
      <c r="P184" s="393"/>
      <c r="Q184" s="393"/>
      <c r="R184" s="393"/>
      <c r="S184" s="393"/>
      <c r="T184" s="393"/>
      <c r="U184" s="393"/>
      <c r="V184" s="393"/>
      <c r="W184" s="332"/>
      <c r="X184" s="393"/>
      <c r="Y184" s="393"/>
      <c r="Z184" s="393"/>
    </row>
    <row r="185" ht="12.75" customHeight="1">
      <c r="A185" s="393"/>
      <c r="B185" s="393"/>
      <c r="C185" s="393"/>
      <c r="D185" s="393"/>
      <c r="E185" s="393"/>
      <c r="F185" s="393"/>
      <c r="G185" s="393"/>
      <c r="H185" s="393"/>
      <c r="I185" s="393"/>
      <c r="J185" s="393"/>
      <c r="K185" s="393"/>
      <c r="L185" s="393"/>
      <c r="M185" s="393"/>
      <c r="N185" s="393"/>
      <c r="O185" s="393"/>
      <c r="P185" s="393"/>
      <c r="Q185" s="393"/>
      <c r="R185" s="393"/>
      <c r="S185" s="393"/>
      <c r="T185" s="393"/>
      <c r="U185" s="393"/>
      <c r="V185" s="393"/>
      <c r="W185" s="332"/>
      <c r="X185" s="393"/>
      <c r="Y185" s="393"/>
      <c r="Z185" s="393"/>
    </row>
    <row r="186" ht="12.75" customHeight="1">
      <c r="A186" s="393"/>
      <c r="B186" s="393"/>
      <c r="C186" s="393"/>
      <c r="D186" s="393"/>
      <c r="E186" s="393"/>
      <c r="F186" s="393"/>
      <c r="G186" s="393"/>
      <c r="H186" s="393"/>
      <c r="I186" s="393"/>
      <c r="J186" s="393"/>
      <c r="K186" s="393"/>
      <c r="L186" s="393"/>
      <c r="M186" s="393"/>
      <c r="N186" s="393"/>
      <c r="O186" s="393"/>
      <c r="P186" s="393"/>
      <c r="Q186" s="393"/>
      <c r="R186" s="393"/>
      <c r="S186" s="393"/>
      <c r="T186" s="393"/>
      <c r="U186" s="393"/>
      <c r="V186" s="393"/>
      <c r="W186" s="332"/>
      <c r="X186" s="393"/>
      <c r="Y186" s="393"/>
      <c r="Z186" s="393"/>
    </row>
    <row r="187" ht="12.75" customHeight="1">
      <c r="A187" s="393"/>
      <c r="B187" s="393"/>
      <c r="C187" s="393"/>
      <c r="D187" s="393"/>
      <c r="E187" s="393"/>
      <c r="F187" s="393"/>
      <c r="G187" s="393"/>
      <c r="H187" s="393"/>
      <c r="I187" s="393"/>
      <c r="J187" s="393"/>
      <c r="K187" s="393"/>
      <c r="L187" s="393"/>
      <c r="M187" s="393"/>
      <c r="N187" s="393"/>
      <c r="O187" s="393"/>
      <c r="P187" s="393"/>
      <c r="Q187" s="393"/>
      <c r="R187" s="393"/>
      <c r="S187" s="393"/>
      <c r="T187" s="393"/>
      <c r="U187" s="393"/>
      <c r="V187" s="393"/>
      <c r="W187" s="332"/>
      <c r="X187" s="393"/>
      <c r="Y187" s="393"/>
      <c r="Z187" s="393"/>
    </row>
    <row r="188" ht="12.75" customHeight="1">
      <c r="A188" s="393"/>
      <c r="B188" s="393"/>
      <c r="C188" s="393"/>
      <c r="D188" s="393"/>
      <c r="E188" s="393"/>
      <c r="F188" s="393"/>
      <c r="G188" s="393"/>
      <c r="H188" s="393"/>
      <c r="I188" s="393"/>
      <c r="J188" s="393"/>
      <c r="K188" s="393"/>
      <c r="L188" s="393"/>
      <c r="M188" s="393"/>
      <c r="N188" s="393"/>
      <c r="O188" s="393"/>
      <c r="P188" s="393"/>
      <c r="Q188" s="393"/>
      <c r="R188" s="393"/>
      <c r="S188" s="393"/>
      <c r="T188" s="393"/>
      <c r="U188" s="393"/>
      <c r="V188" s="393"/>
      <c r="W188" s="332"/>
      <c r="X188" s="393"/>
      <c r="Y188" s="393"/>
      <c r="Z188" s="393"/>
    </row>
    <row r="189" ht="12.75" customHeight="1">
      <c r="A189" s="393"/>
      <c r="B189" s="393"/>
      <c r="C189" s="393"/>
      <c r="D189" s="393"/>
      <c r="E189" s="393"/>
      <c r="F189" s="393"/>
      <c r="G189" s="393"/>
      <c r="H189" s="393"/>
      <c r="I189" s="393"/>
      <c r="J189" s="393"/>
      <c r="K189" s="393"/>
      <c r="L189" s="393"/>
      <c r="M189" s="393"/>
      <c r="N189" s="393"/>
      <c r="O189" s="393"/>
      <c r="P189" s="393"/>
      <c r="Q189" s="393"/>
      <c r="R189" s="393"/>
      <c r="S189" s="393"/>
      <c r="T189" s="393"/>
      <c r="U189" s="393"/>
      <c r="V189" s="393"/>
      <c r="W189" s="332"/>
      <c r="X189" s="393"/>
      <c r="Y189" s="393"/>
      <c r="Z189" s="393"/>
    </row>
    <row r="190" ht="12.75" customHeight="1">
      <c r="A190" s="393"/>
      <c r="B190" s="393"/>
      <c r="C190" s="393"/>
      <c r="D190" s="393"/>
      <c r="E190" s="393"/>
      <c r="F190" s="393"/>
      <c r="G190" s="393"/>
      <c r="H190" s="393"/>
      <c r="I190" s="393"/>
      <c r="J190" s="393"/>
      <c r="K190" s="393"/>
      <c r="L190" s="393"/>
      <c r="M190" s="393"/>
      <c r="N190" s="393"/>
      <c r="O190" s="393"/>
      <c r="P190" s="393"/>
      <c r="Q190" s="393"/>
      <c r="R190" s="393"/>
      <c r="S190" s="393"/>
      <c r="T190" s="393"/>
      <c r="U190" s="393"/>
      <c r="V190" s="393"/>
      <c r="W190" s="332"/>
      <c r="X190" s="393"/>
      <c r="Y190" s="393"/>
      <c r="Z190" s="393"/>
    </row>
    <row r="191" ht="12.75" customHeight="1">
      <c r="A191" s="393"/>
      <c r="B191" s="393"/>
      <c r="C191" s="393"/>
      <c r="D191" s="393"/>
      <c r="E191" s="393"/>
      <c r="F191" s="393"/>
      <c r="G191" s="393"/>
      <c r="H191" s="393"/>
      <c r="I191" s="393"/>
      <c r="J191" s="393"/>
      <c r="K191" s="393"/>
      <c r="L191" s="393"/>
      <c r="M191" s="393"/>
      <c r="N191" s="393"/>
      <c r="O191" s="393"/>
      <c r="P191" s="393"/>
      <c r="Q191" s="393"/>
      <c r="R191" s="393"/>
      <c r="S191" s="393"/>
      <c r="T191" s="393"/>
      <c r="U191" s="393"/>
      <c r="V191" s="393"/>
      <c r="W191" s="332"/>
      <c r="X191" s="393"/>
      <c r="Y191" s="393"/>
      <c r="Z191" s="393"/>
    </row>
    <row r="192" ht="12.75" customHeight="1">
      <c r="A192" s="393"/>
      <c r="B192" s="393"/>
      <c r="C192" s="393"/>
      <c r="D192" s="393"/>
      <c r="E192" s="393"/>
      <c r="F192" s="393"/>
      <c r="G192" s="393"/>
      <c r="H192" s="393"/>
      <c r="I192" s="393"/>
      <c r="J192" s="393"/>
      <c r="K192" s="393"/>
      <c r="L192" s="393"/>
      <c r="M192" s="393"/>
      <c r="N192" s="393"/>
      <c r="O192" s="393"/>
      <c r="P192" s="393"/>
      <c r="Q192" s="393"/>
      <c r="R192" s="393"/>
      <c r="S192" s="393"/>
      <c r="T192" s="393"/>
      <c r="U192" s="393"/>
      <c r="V192" s="393"/>
      <c r="W192" s="332"/>
      <c r="X192" s="393"/>
      <c r="Y192" s="393"/>
      <c r="Z192" s="393"/>
    </row>
    <row r="193" ht="12.75" customHeight="1">
      <c r="A193" s="393"/>
      <c r="B193" s="393"/>
      <c r="C193" s="393"/>
      <c r="D193" s="393"/>
      <c r="E193" s="393"/>
      <c r="F193" s="393"/>
      <c r="G193" s="393"/>
      <c r="H193" s="393"/>
      <c r="I193" s="393"/>
      <c r="J193" s="393"/>
      <c r="K193" s="393"/>
      <c r="L193" s="393"/>
      <c r="M193" s="393"/>
      <c r="N193" s="393"/>
      <c r="O193" s="393"/>
      <c r="P193" s="393"/>
      <c r="Q193" s="393"/>
      <c r="R193" s="393"/>
      <c r="S193" s="393"/>
      <c r="T193" s="393"/>
      <c r="U193" s="393"/>
      <c r="V193" s="393"/>
      <c r="W193" s="332"/>
      <c r="X193" s="393"/>
      <c r="Y193" s="393"/>
      <c r="Z193" s="393"/>
    </row>
    <row r="194" ht="12.75" customHeight="1">
      <c r="A194" s="393"/>
      <c r="B194" s="393"/>
      <c r="C194" s="393"/>
      <c r="D194" s="393"/>
      <c r="E194" s="393"/>
      <c r="F194" s="393"/>
      <c r="G194" s="393"/>
      <c r="H194" s="393"/>
      <c r="I194" s="393"/>
      <c r="J194" s="393"/>
      <c r="K194" s="393"/>
      <c r="L194" s="393"/>
      <c r="M194" s="393"/>
      <c r="N194" s="393"/>
      <c r="O194" s="393"/>
      <c r="P194" s="393"/>
      <c r="Q194" s="393"/>
      <c r="R194" s="393"/>
      <c r="S194" s="393"/>
      <c r="T194" s="393"/>
      <c r="U194" s="393"/>
      <c r="V194" s="393"/>
      <c r="W194" s="332"/>
      <c r="X194" s="393"/>
      <c r="Y194" s="393"/>
      <c r="Z194" s="393"/>
    </row>
    <row r="195" ht="12.75" customHeight="1">
      <c r="A195" s="393"/>
      <c r="B195" s="393"/>
      <c r="C195" s="393"/>
      <c r="D195" s="393"/>
      <c r="E195" s="393"/>
      <c r="F195" s="393"/>
      <c r="G195" s="393"/>
      <c r="H195" s="393"/>
      <c r="I195" s="393"/>
      <c r="J195" s="393"/>
      <c r="K195" s="393"/>
      <c r="L195" s="393"/>
      <c r="M195" s="393"/>
      <c r="N195" s="393"/>
      <c r="O195" s="393"/>
      <c r="P195" s="393"/>
      <c r="Q195" s="393"/>
      <c r="R195" s="393"/>
      <c r="S195" s="393"/>
      <c r="T195" s="393"/>
      <c r="U195" s="393"/>
      <c r="V195" s="393"/>
      <c r="W195" s="332"/>
      <c r="X195" s="393"/>
      <c r="Y195" s="393"/>
      <c r="Z195" s="393"/>
    </row>
    <row r="196" ht="12.75" customHeight="1">
      <c r="A196" s="393"/>
      <c r="B196" s="393"/>
      <c r="C196" s="393"/>
      <c r="D196" s="393"/>
      <c r="E196" s="393"/>
      <c r="F196" s="393"/>
      <c r="G196" s="393"/>
      <c r="H196" s="393"/>
      <c r="I196" s="393"/>
      <c r="J196" s="393"/>
      <c r="K196" s="393"/>
      <c r="L196" s="393"/>
      <c r="M196" s="393"/>
      <c r="N196" s="393"/>
      <c r="O196" s="393"/>
      <c r="P196" s="393"/>
      <c r="Q196" s="393"/>
      <c r="R196" s="393"/>
      <c r="S196" s="393"/>
      <c r="T196" s="393"/>
      <c r="U196" s="393"/>
      <c r="V196" s="393"/>
      <c r="W196" s="332"/>
      <c r="X196" s="393"/>
      <c r="Y196" s="393"/>
      <c r="Z196" s="393"/>
    </row>
    <row r="197" ht="12.75" customHeight="1">
      <c r="A197" s="393"/>
      <c r="B197" s="393"/>
      <c r="C197" s="393"/>
      <c r="D197" s="393"/>
      <c r="E197" s="393"/>
      <c r="F197" s="393"/>
      <c r="G197" s="393"/>
      <c r="H197" s="393"/>
      <c r="I197" s="393"/>
      <c r="J197" s="393"/>
      <c r="K197" s="393"/>
      <c r="L197" s="393"/>
      <c r="M197" s="393"/>
      <c r="N197" s="393"/>
      <c r="O197" s="393"/>
      <c r="P197" s="393"/>
      <c r="Q197" s="393"/>
      <c r="R197" s="393"/>
      <c r="S197" s="393"/>
      <c r="T197" s="393"/>
      <c r="U197" s="393"/>
      <c r="V197" s="393"/>
      <c r="W197" s="332"/>
      <c r="X197" s="393"/>
      <c r="Y197" s="393"/>
      <c r="Z197" s="393"/>
    </row>
    <row r="198" ht="12.75" customHeight="1">
      <c r="A198" s="393"/>
      <c r="B198" s="393"/>
      <c r="C198" s="393"/>
      <c r="D198" s="393"/>
      <c r="E198" s="393"/>
      <c r="F198" s="393"/>
      <c r="G198" s="393"/>
      <c r="H198" s="393"/>
      <c r="I198" s="393"/>
      <c r="J198" s="393"/>
      <c r="K198" s="393"/>
      <c r="L198" s="393"/>
      <c r="M198" s="393"/>
      <c r="N198" s="393"/>
      <c r="O198" s="393"/>
      <c r="P198" s="393"/>
      <c r="Q198" s="393"/>
      <c r="R198" s="393"/>
      <c r="S198" s="393"/>
      <c r="T198" s="393"/>
      <c r="U198" s="393"/>
      <c r="V198" s="393"/>
      <c r="W198" s="332"/>
      <c r="X198" s="393"/>
      <c r="Y198" s="393"/>
      <c r="Z198" s="393"/>
    </row>
    <row r="199" ht="12.75" customHeight="1">
      <c r="A199" s="393"/>
      <c r="B199" s="393"/>
      <c r="C199" s="393"/>
      <c r="D199" s="393"/>
      <c r="E199" s="393"/>
      <c r="F199" s="393"/>
      <c r="G199" s="393"/>
      <c r="H199" s="393"/>
      <c r="I199" s="393"/>
      <c r="J199" s="393"/>
      <c r="K199" s="393"/>
      <c r="L199" s="393"/>
      <c r="M199" s="393"/>
      <c r="N199" s="393"/>
      <c r="O199" s="393"/>
      <c r="P199" s="393"/>
      <c r="Q199" s="393"/>
      <c r="R199" s="393"/>
      <c r="S199" s="393"/>
      <c r="T199" s="393"/>
      <c r="U199" s="393"/>
      <c r="V199" s="393"/>
      <c r="W199" s="332"/>
      <c r="X199" s="393"/>
      <c r="Y199" s="393"/>
      <c r="Z199" s="393"/>
    </row>
    <row r="200" ht="12.75" customHeight="1">
      <c r="A200" s="393"/>
      <c r="B200" s="393"/>
      <c r="C200" s="393"/>
      <c r="D200" s="393"/>
      <c r="E200" s="393"/>
      <c r="F200" s="393"/>
      <c r="G200" s="393"/>
      <c r="H200" s="393"/>
      <c r="I200" s="393"/>
      <c r="J200" s="393"/>
      <c r="K200" s="393"/>
      <c r="L200" s="393"/>
      <c r="M200" s="393"/>
      <c r="N200" s="393"/>
      <c r="O200" s="393"/>
      <c r="P200" s="393"/>
      <c r="Q200" s="393"/>
      <c r="R200" s="393"/>
      <c r="S200" s="393"/>
      <c r="T200" s="393"/>
      <c r="U200" s="393"/>
      <c r="V200" s="393"/>
      <c r="W200" s="332"/>
      <c r="X200" s="393"/>
      <c r="Y200" s="393"/>
      <c r="Z200" s="393"/>
    </row>
    <row r="201" ht="12.75" customHeight="1">
      <c r="A201" s="393"/>
      <c r="B201" s="393"/>
      <c r="C201" s="393"/>
      <c r="D201" s="393"/>
      <c r="E201" s="393"/>
      <c r="F201" s="393"/>
      <c r="G201" s="393"/>
      <c r="H201" s="393"/>
      <c r="I201" s="393"/>
      <c r="J201" s="393"/>
      <c r="K201" s="393"/>
      <c r="L201" s="393"/>
      <c r="M201" s="393"/>
      <c r="N201" s="393"/>
      <c r="O201" s="393"/>
      <c r="P201" s="393"/>
      <c r="Q201" s="393"/>
      <c r="R201" s="393"/>
      <c r="S201" s="393"/>
      <c r="T201" s="393"/>
      <c r="U201" s="393"/>
      <c r="V201" s="393"/>
      <c r="W201" s="332"/>
      <c r="X201" s="393"/>
      <c r="Y201" s="393"/>
      <c r="Z201" s="393"/>
    </row>
    <row r="202" ht="12.75" customHeight="1">
      <c r="A202" s="393"/>
      <c r="B202" s="393"/>
      <c r="C202" s="393"/>
      <c r="D202" s="393"/>
      <c r="E202" s="393"/>
      <c r="F202" s="393"/>
      <c r="G202" s="393"/>
      <c r="H202" s="393"/>
      <c r="I202" s="393"/>
      <c r="J202" s="393"/>
      <c r="K202" s="393"/>
      <c r="L202" s="393"/>
      <c r="M202" s="393"/>
      <c r="N202" s="393"/>
      <c r="O202" s="393"/>
      <c r="P202" s="393"/>
      <c r="Q202" s="393"/>
      <c r="R202" s="393"/>
      <c r="S202" s="393"/>
      <c r="T202" s="393"/>
      <c r="U202" s="393"/>
      <c r="V202" s="393"/>
      <c r="W202" s="332"/>
      <c r="X202" s="393"/>
      <c r="Y202" s="393"/>
      <c r="Z202" s="393"/>
    </row>
    <row r="203" ht="12.75" customHeight="1">
      <c r="A203" s="393"/>
      <c r="B203" s="393"/>
      <c r="C203" s="393"/>
      <c r="D203" s="393"/>
      <c r="E203" s="393"/>
      <c r="F203" s="393"/>
      <c r="G203" s="393"/>
      <c r="H203" s="393"/>
      <c r="I203" s="393"/>
      <c r="J203" s="393"/>
      <c r="K203" s="393"/>
      <c r="L203" s="393"/>
      <c r="M203" s="393"/>
      <c r="N203" s="393"/>
      <c r="O203" s="393"/>
      <c r="P203" s="393"/>
      <c r="Q203" s="393"/>
      <c r="R203" s="393"/>
      <c r="S203" s="393"/>
      <c r="T203" s="393"/>
      <c r="U203" s="393"/>
      <c r="V203" s="393"/>
      <c r="W203" s="332"/>
      <c r="X203" s="393"/>
      <c r="Y203" s="393"/>
      <c r="Z203" s="393"/>
    </row>
    <row r="204" ht="12.75" customHeight="1">
      <c r="A204" s="393"/>
      <c r="B204" s="393"/>
      <c r="C204" s="393"/>
      <c r="D204" s="393"/>
      <c r="E204" s="393"/>
      <c r="F204" s="393"/>
      <c r="G204" s="393"/>
      <c r="H204" s="393"/>
      <c r="I204" s="393"/>
      <c r="J204" s="393"/>
      <c r="K204" s="393"/>
      <c r="L204" s="393"/>
      <c r="M204" s="393"/>
      <c r="N204" s="393"/>
      <c r="O204" s="393"/>
      <c r="P204" s="393"/>
      <c r="Q204" s="393"/>
      <c r="R204" s="393"/>
      <c r="S204" s="393"/>
      <c r="T204" s="393"/>
      <c r="U204" s="393"/>
      <c r="V204" s="393"/>
      <c r="W204" s="332"/>
      <c r="X204" s="393"/>
      <c r="Y204" s="393"/>
      <c r="Z204" s="393"/>
    </row>
    <row r="205" ht="12.75" customHeight="1">
      <c r="A205" s="393"/>
      <c r="B205" s="393"/>
      <c r="C205" s="393"/>
      <c r="D205" s="393"/>
      <c r="E205" s="393"/>
      <c r="F205" s="393"/>
      <c r="G205" s="393"/>
      <c r="H205" s="393"/>
      <c r="I205" s="393"/>
      <c r="J205" s="393"/>
      <c r="K205" s="393"/>
      <c r="L205" s="393"/>
      <c r="M205" s="393"/>
      <c r="N205" s="393"/>
      <c r="O205" s="393"/>
      <c r="P205" s="393"/>
      <c r="Q205" s="393"/>
      <c r="R205" s="393"/>
      <c r="S205" s="393"/>
      <c r="T205" s="393"/>
      <c r="U205" s="393"/>
      <c r="V205" s="393"/>
      <c r="W205" s="332"/>
      <c r="X205" s="393"/>
      <c r="Y205" s="393"/>
      <c r="Z205" s="393"/>
    </row>
    <row r="206" ht="12.75" customHeight="1">
      <c r="A206" s="393"/>
      <c r="B206" s="393"/>
      <c r="C206" s="393"/>
      <c r="D206" s="393"/>
      <c r="E206" s="393"/>
      <c r="F206" s="393"/>
      <c r="G206" s="393"/>
      <c r="H206" s="393"/>
      <c r="I206" s="393"/>
      <c r="J206" s="393"/>
      <c r="K206" s="393"/>
      <c r="L206" s="393"/>
      <c r="M206" s="393"/>
      <c r="N206" s="393"/>
      <c r="O206" s="393"/>
      <c r="P206" s="393"/>
      <c r="Q206" s="393"/>
      <c r="R206" s="393"/>
      <c r="S206" s="393"/>
      <c r="T206" s="393"/>
      <c r="U206" s="393"/>
      <c r="V206" s="393"/>
      <c r="W206" s="332"/>
      <c r="X206" s="393"/>
      <c r="Y206" s="393"/>
      <c r="Z206" s="393"/>
    </row>
    <row r="207" ht="12.75" customHeight="1">
      <c r="A207" s="393"/>
      <c r="B207" s="393"/>
      <c r="C207" s="393"/>
      <c r="D207" s="393"/>
      <c r="E207" s="393"/>
      <c r="F207" s="393"/>
      <c r="G207" s="393"/>
      <c r="H207" s="393"/>
      <c r="I207" s="393"/>
      <c r="J207" s="393"/>
      <c r="K207" s="393"/>
      <c r="L207" s="393"/>
      <c r="M207" s="393"/>
      <c r="N207" s="393"/>
      <c r="O207" s="393"/>
      <c r="P207" s="393"/>
      <c r="Q207" s="393"/>
      <c r="R207" s="393"/>
      <c r="S207" s="393"/>
      <c r="T207" s="393"/>
      <c r="U207" s="393"/>
      <c r="V207" s="393"/>
      <c r="W207" s="332"/>
      <c r="X207" s="393"/>
      <c r="Y207" s="393"/>
      <c r="Z207" s="393"/>
    </row>
    <row r="208" ht="12.75" customHeight="1">
      <c r="A208" s="393"/>
      <c r="B208" s="393"/>
      <c r="C208" s="393"/>
      <c r="D208" s="393"/>
      <c r="E208" s="393"/>
      <c r="F208" s="393"/>
      <c r="G208" s="393"/>
      <c r="H208" s="393"/>
      <c r="I208" s="393"/>
      <c r="J208" s="393"/>
      <c r="K208" s="393"/>
      <c r="L208" s="393"/>
      <c r="M208" s="393"/>
      <c r="N208" s="393"/>
      <c r="O208" s="393"/>
      <c r="P208" s="393"/>
      <c r="Q208" s="393"/>
      <c r="R208" s="393"/>
      <c r="S208" s="393"/>
      <c r="T208" s="393"/>
      <c r="U208" s="393"/>
      <c r="V208" s="393"/>
      <c r="W208" s="332"/>
      <c r="X208" s="393"/>
      <c r="Y208" s="393"/>
      <c r="Z208" s="393"/>
    </row>
    <row r="209" ht="12.75" customHeight="1">
      <c r="A209" s="393"/>
      <c r="B209" s="393"/>
      <c r="C209" s="393"/>
      <c r="D209" s="393"/>
      <c r="E209" s="393"/>
      <c r="F209" s="393"/>
      <c r="G209" s="393"/>
      <c r="H209" s="393"/>
      <c r="I209" s="393"/>
      <c r="J209" s="393"/>
      <c r="K209" s="393"/>
      <c r="L209" s="393"/>
      <c r="M209" s="393"/>
      <c r="N209" s="393"/>
      <c r="O209" s="393"/>
      <c r="P209" s="393"/>
      <c r="Q209" s="393"/>
      <c r="R209" s="393"/>
      <c r="S209" s="393"/>
      <c r="T209" s="393"/>
      <c r="U209" s="393"/>
      <c r="V209" s="393"/>
      <c r="W209" s="332"/>
      <c r="X209" s="393"/>
      <c r="Y209" s="393"/>
      <c r="Z209" s="393"/>
    </row>
    <row r="210" ht="12.75" customHeight="1">
      <c r="A210" s="393"/>
      <c r="B210" s="393"/>
      <c r="C210" s="393"/>
      <c r="D210" s="393"/>
      <c r="E210" s="393"/>
      <c r="F210" s="393"/>
      <c r="G210" s="393"/>
      <c r="H210" s="393"/>
      <c r="I210" s="393"/>
      <c r="J210" s="393"/>
      <c r="K210" s="393"/>
      <c r="L210" s="393"/>
      <c r="M210" s="393"/>
      <c r="N210" s="393"/>
      <c r="O210" s="393"/>
      <c r="P210" s="393"/>
      <c r="Q210" s="393"/>
      <c r="R210" s="393"/>
      <c r="S210" s="393"/>
      <c r="T210" s="393"/>
      <c r="U210" s="393"/>
      <c r="V210" s="393"/>
      <c r="W210" s="332"/>
      <c r="X210" s="393"/>
      <c r="Y210" s="393"/>
      <c r="Z210" s="393"/>
    </row>
    <row r="211" ht="12.75" customHeight="1">
      <c r="A211" s="393"/>
      <c r="B211" s="393"/>
      <c r="C211" s="393"/>
      <c r="D211" s="393"/>
      <c r="E211" s="393"/>
      <c r="F211" s="393"/>
      <c r="G211" s="393"/>
      <c r="H211" s="393"/>
      <c r="I211" s="393"/>
      <c r="J211" s="393"/>
      <c r="K211" s="393"/>
      <c r="L211" s="393"/>
      <c r="M211" s="393"/>
      <c r="N211" s="393"/>
      <c r="O211" s="393"/>
      <c r="P211" s="393"/>
      <c r="Q211" s="393"/>
      <c r="R211" s="393"/>
      <c r="S211" s="393"/>
      <c r="T211" s="393"/>
      <c r="U211" s="393"/>
      <c r="V211" s="393"/>
      <c r="W211" s="332"/>
      <c r="X211" s="393"/>
      <c r="Y211" s="393"/>
      <c r="Z211" s="393"/>
    </row>
    <row r="212" ht="12.75" customHeight="1">
      <c r="A212" s="393"/>
      <c r="B212" s="393"/>
      <c r="C212" s="393"/>
      <c r="D212" s="393"/>
      <c r="E212" s="393"/>
      <c r="F212" s="393"/>
      <c r="G212" s="393"/>
      <c r="H212" s="393"/>
      <c r="I212" s="393"/>
      <c r="J212" s="393"/>
      <c r="K212" s="393"/>
      <c r="L212" s="393"/>
      <c r="M212" s="393"/>
      <c r="N212" s="393"/>
      <c r="O212" s="393"/>
      <c r="P212" s="393"/>
      <c r="Q212" s="393"/>
      <c r="R212" s="393"/>
      <c r="S212" s="393"/>
      <c r="T212" s="393"/>
      <c r="U212" s="393"/>
      <c r="V212" s="393"/>
      <c r="W212" s="332"/>
      <c r="X212" s="393"/>
      <c r="Y212" s="393"/>
      <c r="Z212" s="393"/>
    </row>
    <row r="213" ht="12.75" customHeight="1">
      <c r="A213" s="393"/>
      <c r="B213" s="393"/>
      <c r="C213" s="393"/>
      <c r="D213" s="393"/>
      <c r="E213" s="393"/>
      <c r="F213" s="393"/>
      <c r="G213" s="393"/>
      <c r="H213" s="393"/>
      <c r="I213" s="393"/>
      <c r="J213" s="393"/>
      <c r="K213" s="393"/>
      <c r="L213" s="393"/>
      <c r="M213" s="393"/>
      <c r="N213" s="393"/>
      <c r="O213" s="393"/>
      <c r="P213" s="393"/>
      <c r="Q213" s="393"/>
      <c r="R213" s="393"/>
      <c r="S213" s="393"/>
      <c r="T213" s="393"/>
      <c r="U213" s="393"/>
      <c r="V213" s="393"/>
      <c r="W213" s="332"/>
      <c r="X213" s="393"/>
      <c r="Y213" s="393"/>
      <c r="Z213" s="393"/>
    </row>
    <row r="214" ht="12.75" customHeight="1">
      <c r="A214" s="393"/>
      <c r="B214" s="393"/>
      <c r="C214" s="393"/>
      <c r="D214" s="393"/>
      <c r="E214" s="393"/>
      <c r="F214" s="393"/>
      <c r="G214" s="393"/>
      <c r="H214" s="393"/>
      <c r="I214" s="393"/>
      <c r="J214" s="393"/>
      <c r="K214" s="393"/>
      <c r="L214" s="393"/>
      <c r="M214" s="393"/>
      <c r="N214" s="393"/>
      <c r="O214" s="393"/>
      <c r="P214" s="393"/>
      <c r="Q214" s="393"/>
      <c r="R214" s="393"/>
      <c r="S214" s="393"/>
      <c r="T214" s="393"/>
      <c r="U214" s="393"/>
      <c r="V214" s="393"/>
      <c r="W214" s="332"/>
      <c r="X214" s="393"/>
      <c r="Y214" s="393"/>
      <c r="Z214" s="393"/>
    </row>
    <row r="215" ht="12.75" customHeight="1">
      <c r="A215" s="393"/>
      <c r="B215" s="393"/>
      <c r="C215" s="393"/>
      <c r="D215" s="393"/>
      <c r="E215" s="393"/>
      <c r="F215" s="393"/>
      <c r="G215" s="393"/>
      <c r="H215" s="393"/>
      <c r="I215" s="393"/>
      <c r="J215" s="393"/>
      <c r="K215" s="393"/>
      <c r="L215" s="393"/>
      <c r="M215" s="393"/>
      <c r="N215" s="393"/>
      <c r="O215" s="393"/>
      <c r="P215" s="393"/>
      <c r="Q215" s="393"/>
      <c r="R215" s="393"/>
      <c r="S215" s="393"/>
      <c r="T215" s="393"/>
      <c r="U215" s="393"/>
      <c r="V215" s="393"/>
      <c r="W215" s="332"/>
      <c r="X215" s="393"/>
      <c r="Y215" s="393"/>
      <c r="Z215" s="393"/>
    </row>
    <row r="216" ht="12.75" customHeight="1">
      <c r="A216" s="393"/>
      <c r="B216" s="393"/>
      <c r="C216" s="393"/>
      <c r="D216" s="393"/>
      <c r="E216" s="393"/>
      <c r="F216" s="393"/>
      <c r="G216" s="393"/>
      <c r="H216" s="393"/>
      <c r="I216" s="393"/>
      <c r="J216" s="393"/>
      <c r="K216" s="393"/>
      <c r="L216" s="393"/>
      <c r="M216" s="393"/>
      <c r="N216" s="393"/>
      <c r="O216" s="393"/>
      <c r="P216" s="393"/>
      <c r="Q216" s="393"/>
      <c r="R216" s="393"/>
      <c r="S216" s="393"/>
      <c r="T216" s="393"/>
      <c r="U216" s="393"/>
      <c r="V216" s="393"/>
      <c r="W216" s="332"/>
      <c r="X216" s="393"/>
      <c r="Y216" s="393"/>
      <c r="Z216" s="393"/>
    </row>
    <row r="217" ht="12.75" customHeight="1">
      <c r="A217" s="393"/>
      <c r="B217" s="393"/>
      <c r="C217" s="393"/>
      <c r="D217" s="393"/>
      <c r="E217" s="393"/>
      <c r="F217" s="393"/>
      <c r="G217" s="393"/>
      <c r="H217" s="393"/>
      <c r="I217" s="393"/>
      <c r="J217" s="393"/>
      <c r="K217" s="393"/>
      <c r="L217" s="393"/>
      <c r="M217" s="393"/>
      <c r="N217" s="393"/>
      <c r="O217" s="393"/>
      <c r="P217" s="393"/>
      <c r="Q217" s="393"/>
      <c r="R217" s="393"/>
      <c r="S217" s="393"/>
      <c r="T217" s="393"/>
      <c r="U217" s="393"/>
      <c r="V217" s="393"/>
      <c r="W217" s="332"/>
      <c r="X217" s="393"/>
      <c r="Y217" s="393"/>
      <c r="Z217" s="393"/>
    </row>
    <row r="218" ht="12.75" customHeight="1">
      <c r="A218" s="393"/>
      <c r="B218" s="393"/>
      <c r="C218" s="393"/>
      <c r="D218" s="393"/>
      <c r="E218" s="393"/>
      <c r="F218" s="393"/>
      <c r="G218" s="393"/>
      <c r="H218" s="393"/>
      <c r="I218" s="393"/>
      <c r="J218" s="393"/>
      <c r="K218" s="393"/>
      <c r="L218" s="393"/>
      <c r="M218" s="393"/>
      <c r="N218" s="393"/>
      <c r="O218" s="393"/>
      <c r="P218" s="393"/>
      <c r="Q218" s="393"/>
      <c r="R218" s="393"/>
      <c r="S218" s="393"/>
      <c r="T218" s="393"/>
      <c r="U218" s="393"/>
      <c r="V218" s="393"/>
      <c r="W218" s="332"/>
      <c r="X218" s="393"/>
      <c r="Y218" s="393"/>
      <c r="Z218" s="393"/>
    </row>
    <row r="219" ht="12.75" customHeight="1">
      <c r="A219" s="393"/>
      <c r="B219" s="393"/>
      <c r="C219" s="393"/>
      <c r="D219" s="393"/>
      <c r="E219" s="393"/>
      <c r="F219" s="393"/>
      <c r="G219" s="393"/>
      <c r="H219" s="393"/>
      <c r="I219" s="393"/>
      <c r="J219" s="393"/>
      <c r="K219" s="393"/>
      <c r="L219" s="393"/>
      <c r="M219" s="393"/>
      <c r="N219" s="393"/>
      <c r="O219" s="393"/>
      <c r="P219" s="393"/>
      <c r="Q219" s="393"/>
      <c r="R219" s="393"/>
      <c r="S219" s="393"/>
      <c r="T219" s="393"/>
      <c r="U219" s="393"/>
      <c r="V219" s="393"/>
      <c r="W219" s="332"/>
      <c r="X219" s="393"/>
      <c r="Y219" s="393"/>
      <c r="Z219" s="393"/>
    </row>
    <row r="220" ht="12.75" customHeight="1">
      <c r="A220" s="393"/>
      <c r="B220" s="393"/>
      <c r="C220" s="393"/>
      <c r="D220" s="393"/>
      <c r="E220" s="393"/>
      <c r="F220" s="393"/>
      <c r="G220" s="393"/>
      <c r="H220" s="393"/>
      <c r="I220" s="393"/>
      <c r="J220" s="393"/>
      <c r="K220" s="393"/>
      <c r="L220" s="393"/>
      <c r="M220" s="393"/>
      <c r="N220" s="393"/>
      <c r="O220" s="393"/>
      <c r="P220" s="393"/>
      <c r="Q220" s="393"/>
      <c r="R220" s="393"/>
      <c r="S220" s="393"/>
      <c r="T220" s="393"/>
      <c r="U220" s="393"/>
      <c r="V220" s="393"/>
      <c r="W220" s="332"/>
      <c r="X220" s="393"/>
      <c r="Y220" s="393"/>
      <c r="Z220" s="39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G1"/>
    <mergeCell ref="A2:A4"/>
    <mergeCell ref="B2:B4"/>
    <mergeCell ref="C2:G2"/>
    <mergeCell ref="C3:G3"/>
    <mergeCell ref="B6:F6"/>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Row="1"/>
  <cols>
    <col customWidth="1" min="1" max="1" width="6.0"/>
    <col customWidth="1" min="2" max="2" width="25.13"/>
    <col customWidth="1" min="3" max="3" width="10.38"/>
    <col customWidth="1" min="4" max="4" width="9.25"/>
    <col customWidth="1" min="5" max="5" width="9.75"/>
    <col customWidth="1" min="6" max="6" width="6.38"/>
    <col customWidth="1" min="7" max="21" width="8.5"/>
    <col customWidth="1" min="22" max="22" width="8.25"/>
    <col customWidth="1" min="23" max="23" width="11.5"/>
    <col customWidth="1" min="24" max="26" width="10.63"/>
  </cols>
  <sheetData>
    <row r="1" ht="14.25" hidden="1" customHeight="1" outlineLevel="1">
      <c r="A1" s="303"/>
      <c r="B1" s="303"/>
      <c r="C1" s="303"/>
      <c r="D1" s="303"/>
      <c r="E1" s="303"/>
      <c r="F1" s="303"/>
      <c r="G1" s="303"/>
      <c r="H1" s="303"/>
      <c r="I1" s="303"/>
      <c r="J1" s="303"/>
      <c r="K1" s="303"/>
      <c r="L1" s="303"/>
      <c r="M1" s="303"/>
      <c r="N1" s="303"/>
      <c r="O1" s="303"/>
      <c r="P1" s="303"/>
      <c r="Q1" s="303"/>
      <c r="R1" s="303"/>
      <c r="S1" s="303"/>
      <c r="T1" s="303"/>
      <c r="U1" s="303"/>
      <c r="V1" s="303"/>
      <c r="W1" s="303"/>
      <c r="X1" s="303"/>
      <c r="Y1" s="303"/>
      <c r="Z1" s="303"/>
    </row>
    <row r="2" ht="15.0" hidden="1" customHeight="1" outlineLevel="1">
      <c r="A2" s="1014" t="s">
        <v>1835</v>
      </c>
      <c r="B2" s="277"/>
      <c r="C2" s="277"/>
      <c r="D2" s="277"/>
      <c r="E2" s="278"/>
      <c r="F2" s="303"/>
      <c r="G2" s="303"/>
      <c r="H2" s="303"/>
      <c r="I2" s="303"/>
      <c r="J2" s="303"/>
      <c r="K2" s="303"/>
      <c r="L2" s="303"/>
      <c r="M2" s="303"/>
      <c r="N2" s="303"/>
      <c r="O2" s="303"/>
      <c r="P2" s="303"/>
      <c r="Q2" s="303"/>
      <c r="R2" s="303"/>
      <c r="S2" s="303"/>
      <c r="T2" s="303"/>
      <c r="U2" s="303"/>
      <c r="V2" s="303"/>
      <c r="W2" s="303"/>
      <c r="X2" s="303"/>
      <c r="Y2" s="303"/>
      <c r="Z2" s="303"/>
    </row>
    <row r="3" ht="15.0" hidden="1" customHeight="1" outlineLevel="1">
      <c r="A3" s="1015" t="s">
        <v>1649</v>
      </c>
      <c r="B3" s="1015" t="s">
        <v>1836</v>
      </c>
      <c r="C3" s="1016" t="s">
        <v>1691</v>
      </c>
      <c r="D3" s="277"/>
      <c r="E3" s="278"/>
      <c r="F3" s="303"/>
      <c r="G3" s="303"/>
      <c r="H3" s="303"/>
      <c r="I3" s="303"/>
      <c r="J3" s="303"/>
      <c r="K3" s="303"/>
      <c r="L3" s="303"/>
      <c r="M3" s="303"/>
      <c r="N3" s="303"/>
      <c r="O3" s="303"/>
      <c r="P3" s="303"/>
      <c r="Q3" s="303"/>
      <c r="R3" s="303"/>
      <c r="S3" s="303"/>
      <c r="T3" s="303"/>
      <c r="U3" s="303"/>
      <c r="V3" s="303"/>
      <c r="W3" s="303"/>
      <c r="X3" s="303"/>
      <c r="Y3" s="303"/>
      <c r="Z3" s="303"/>
    </row>
    <row r="4" ht="15.0" hidden="1" customHeight="1" outlineLevel="1">
      <c r="A4" s="612"/>
      <c r="B4" s="612"/>
      <c r="C4" s="1017">
        <v>45802.0</v>
      </c>
      <c r="D4" s="277"/>
      <c r="E4" s="278"/>
      <c r="F4" s="303"/>
      <c r="G4" s="303"/>
      <c r="H4" s="303"/>
      <c r="I4" s="303"/>
      <c r="J4" s="303"/>
      <c r="K4" s="303"/>
      <c r="L4" s="303"/>
      <c r="M4" s="303"/>
      <c r="N4" s="303"/>
      <c r="O4" s="303"/>
      <c r="P4" s="303"/>
      <c r="Q4" s="303"/>
      <c r="R4" s="303"/>
      <c r="S4" s="303"/>
      <c r="T4" s="303"/>
      <c r="U4" s="303"/>
      <c r="V4" s="303"/>
      <c r="W4" s="303"/>
      <c r="X4" s="303"/>
      <c r="Y4" s="303"/>
      <c r="Z4" s="303"/>
    </row>
    <row r="5" ht="14.25" hidden="1" customHeight="1" outlineLevel="1">
      <c r="A5" s="617"/>
      <c r="B5" s="617"/>
      <c r="C5" s="1018" t="s">
        <v>1520</v>
      </c>
      <c r="D5" s="1018" t="s">
        <v>1837</v>
      </c>
      <c r="E5" s="1018" t="s">
        <v>1838</v>
      </c>
      <c r="F5" s="303"/>
      <c r="G5" s="303"/>
      <c r="H5" s="303"/>
      <c r="I5" s="303"/>
      <c r="J5" s="303"/>
      <c r="K5" s="303"/>
      <c r="L5" s="303"/>
      <c r="M5" s="303"/>
      <c r="N5" s="303"/>
      <c r="O5" s="303"/>
      <c r="P5" s="303"/>
      <c r="Q5" s="303"/>
      <c r="R5" s="303"/>
      <c r="S5" s="303"/>
      <c r="T5" s="303"/>
      <c r="U5" s="303"/>
      <c r="V5" s="303"/>
      <c r="W5" s="303"/>
      <c r="X5" s="303"/>
      <c r="Y5" s="303"/>
      <c r="Z5" s="303"/>
    </row>
    <row r="6" ht="14.25" hidden="1" customHeight="1" outlineLevel="1">
      <c r="A6" s="1019">
        <v>5070.0</v>
      </c>
      <c r="B6" s="1020" t="s">
        <v>1839</v>
      </c>
      <c r="C6" s="1021">
        <v>69.0</v>
      </c>
      <c r="D6" s="1022">
        <v>286.48</v>
      </c>
      <c r="E6" s="1022">
        <v>19767.4</v>
      </c>
      <c r="F6" s="303"/>
      <c r="G6" s="303"/>
      <c r="H6" s="303"/>
      <c r="I6" s="303"/>
      <c r="J6" s="303"/>
      <c r="K6" s="303"/>
      <c r="L6" s="303"/>
      <c r="M6" s="303"/>
      <c r="N6" s="303"/>
      <c r="O6" s="303"/>
      <c r="P6" s="303"/>
      <c r="Q6" s="303"/>
      <c r="R6" s="303"/>
      <c r="S6" s="303"/>
      <c r="T6" s="303"/>
      <c r="U6" s="303"/>
      <c r="V6" s="303"/>
      <c r="W6" s="303"/>
      <c r="X6" s="303"/>
      <c r="Y6" s="303"/>
      <c r="Z6" s="303"/>
    </row>
    <row r="7" ht="14.25" hidden="1" customHeight="1" outlineLevel="1">
      <c r="A7" s="1019" t="s">
        <v>320</v>
      </c>
      <c r="B7" s="1023"/>
      <c r="C7" s="277"/>
      <c r="D7" s="278"/>
      <c r="E7" s="1024">
        <v>19767.4</v>
      </c>
      <c r="F7" s="303"/>
      <c r="G7" s="303"/>
      <c r="H7" s="303"/>
      <c r="I7" s="303"/>
      <c r="J7" s="303"/>
      <c r="K7" s="303"/>
      <c r="L7" s="303"/>
      <c r="M7" s="303"/>
      <c r="N7" s="303"/>
      <c r="O7" s="303"/>
      <c r="P7" s="303"/>
      <c r="Q7" s="303"/>
      <c r="R7" s="303"/>
      <c r="S7" s="303"/>
      <c r="T7" s="303"/>
      <c r="U7" s="303"/>
      <c r="V7" s="303"/>
      <c r="W7" s="303"/>
      <c r="X7" s="303"/>
      <c r="Y7" s="303"/>
      <c r="Z7" s="303"/>
    </row>
    <row r="8" ht="14.25" hidden="1" customHeight="1" outlineLevel="1">
      <c r="A8" s="303"/>
      <c r="B8" s="303"/>
      <c r="C8" s="303"/>
      <c r="D8" s="303"/>
      <c r="E8" s="303"/>
      <c r="F8" s="303"/>
      <c r="G8" s="303"/>
      <c r="H8" s="303"/>
      <c r="I8" s="303"/>
      <c r="J8" s="303"/>
      <c r="K8" s="303"/>
      <c r="L8" s="303"/>
      <c r="M8" s="303"/>
      <c r="N8" s="303"/>
      <c r="O8" s="303"/>
      <c r="P8" s="303"/>
      <c r="Q8" s="303"/>
      <c r="R8" s="303"/>
      <c r="S8" s="303"/>
      <c r="T8" s="303"/>
      <c r="U8" s="303"/>
      <c r="V8" s="303"/>
      <c r="W8" s="303"/>
      <c r="X8" s="303"/>
      <c r="Y8" s="303"/>
      <c r="Z8" s="303"/>
    </row>
    <row r="9" ht="15.0" hidden="1" customHeight="1" outlineLevel="1">
      <c r="A9" s="1014" t="s">
        <v>1840</v>
      </c>
      <c r="B9" s="277"/>
      <c r="C9" s="277"/>
      <c r="D9" s="277"/>
      <c r="E9" s="278"/>
      <c r="F9" s="303"/>
      <c r="G9" s="303"/>
      <c r="H9" s="303"/>
      <c r="I9" s="303"/>
      <c r="J9" s="303"/>
      <c r="K9" s="303"/>
      <c r="L9" s="303"/>
      <c r="M9" s="303"/>
      <c r="N9" s="303"/>
      <c r="O9" s="303"/>
      <c r="P9" s="303"/>
      <c r="Q9" s="303"/>
      <c r="R9" s="303"/>
      <c r="S9" s="303"/>
      <c r="T9" s="303"/>
      <c r="U9" s="303"/>
      <c r="V9" s="303"/>
      <c r="W9" s="303"/>
      <c r="X9" s="303"/>
      <c r="Y9" s="303"/>
      <c r="Z9" s="303"/>
    </row>
    <row r="10" ht="15.0" hidden="1" customHeight="1" outlineLevel="1">
      <c r="A10" s="1015" t="s">
        <v>1649</v>
      </c>
      <c r="B10" s="1015" t="s">
        <v>1836</v>
      </c>
      <c r="C10" s="1016" t="s">
        <v>1691</v>
      </c>
      <c r="D10" s="277"/>
      <c r="E10" s="278"/>
      <c r="F10" s="303"/>
      <c r="G10" s="303"/>
      <c r="H10" s="303"/>
      <c r="I10" s="303"/>
      <c r="J10" s="303"/>
      <c r="K10" s="303"/>
      <c r="L10" s="303"/>
      <c r="M10" s="303"/>
      <c r="N10" s="303"/>
      <c r="O10" s="303"/>
      <c r="P10" s="303"/>
      <c r="Q10" s="303"/>
      <c r="R10" s="303"/>
      <c r="S10" s="303"/>
      <c r="T10" s="303"/>
      <c r="U10" s="303"/>
      <c r="V10" s="303"/>
      <c r="W10" s="303"/>
      <c r="X10" s="303"/>
      <c r="Y10" s="303"/>
      <c r="Z10" s="303"/>
    </row>
    <row r="11" ht="15.0" hidden="1" customHeight="1" outlineLevel="1">
      <c r="A11" s="612"/>
      <c r="B11" s="612"/>
      <c r="C11" s="1017">
        <v>45833.0</v>
      </c>
      <c r="D11" s="277"/>
      <c r="E11" s="278"/>
      <c r="F11" s="303"/>
      <c r="G11" s="303"/>
      <c r="H11" s="303"/>
      <c r="I11" s="303"/>
      <c r="J11" s="303"/>
      <c r="K11" s="303"/>
      <c r="L11" s="303"/>
      <c r="M11" s="303"/>
      <c r="N11" s="303"/>
      <c r="O11" s="303"/>
      <c r="P11" s="303"/>
      <c r="Q11" s="303"/>
      <c r="R11" s="303"/>
      <c r="S11" s="303"/>
      <c r="T11" s="303"/>
      <c r="U11" s="303"/>
      <c r="V11" s="303"/>
      <c r="W11" s="303"/>
      <c r="X11" s="303"/>
      <c r="Y11" s="303"/>
      <c r="Z11" s="303"/>
    </row>
    <row r="12" ht="14.25" hidden="1" customHeight="1" outlineLevel="1">
      <c r="A12" s="617"/>
      <c r="B12" s="617"/>
      <c r="C12" s="1018" t="s">
        <v>1520</v>
      </c>
      <c r="D12" s="1018" t="s">
        <v>1837</v>
      </c>
      <c r="E12" s="1018" t="s">
        <v>1838</v>
      </c>
      <c r="F12" s="303"/>
      <c r="G12" s="303"/>
      <c r="H12" s="303"/>
      <c r="I12" s="303"/>
      <c r="J12" s="303"/>
      <c r="K12" s="303"/>
      <c r="L12" s="303"/>
      <c r="M12" s="303"/>
      <c r="N12" s="303"/>
      <c r="O12" s="303"/>
      <c r="P12" s="303"/>
      <c r="Q12" s="303"/>
      <c r="R12" s="303"/>
      <c r="S12" s="303"/>
      <c r="T12" s="303"/>
      <c r="U12" s="303"/>
      <c r="V12" s="303"/>
      <c r="W12" s="303"/>
      <c r="X12" s="303"/>
      <c r="Y12" s="303"/>
      <c r="Z12" s="303"/>
    </row>
    <row r="13" ht="14.25" hidden="1" customHeight="1" outlineLevel="1">
      <c r="A13" s="1019">
        <v>5070.0</v>
      </c>
      <c r="B13" s="1020" t="s">
        <v>1841</v>
      </c>
      <c r="C13" s="1021">
        <v>49.0</v>
      </c>
      <c r="D13" s="1022">
        <v>304.02</v>
      </c>
      <c r="E13" s="1022">
        <v>14896.98</v>
      </c>
      <c r="F13" s="987">
        <f>+D13/D6</f>
        <v>1.061225915</v>
      </c>
      <c r="G13" s="303"/>
      <c r="H13" s="303"/>
      <c r="I13" s="303"/>
      <c r="J13" s="303"/>
      <c r="K13" s="303"/>
      <c r="L13" s="303"/>
      <c r="M13" s="303"/>
      <c r="N13" s="303"/>
      <c r="O13" s="303"/>
      <c r="P13" s="303"/>
      <c r="Q13" s="303"/>
      <c r="R13" s="303"/>
      <c r="S13" s="303"/>
      <c r="T13" s="303"/>
      <c r="U13" s="303"/>
      <c r="V13" s="303"/>
      <c r="W13" s="303"/>
      <c r="X13" s="303"/>
      <c r="Y13" s="303"/>
      <c r="Z13" s="303"/>
    </row>
    <row r="14" ht="14.25" hidden="1" customHeight="1" outlineLevel="1">
      <c r="A14" s="1019" t="s">
        <v>320</v>
      </c>
      <c r="B14" s="1023"/>
      <c r="C14" s="277"/>
      <c r="D14" s="278"/>
      <c r="E14" s="1024">
        <v>14896.98</v>
      </c>
      <c r="F14" s="303"/>
      <c r="G14" s="303"/>
      <c r="H14" s="303"/>
      <c r="I14" s="303"/>
      <c r="J14" s="303"/>
      <c r="K14" s="303"/>
      <c r="L14" s="303"/>
      <c r="M14" s="303"/>
      <c r="N14" s="303"/>
      <c r="O14" s="303"/>
      <c r="P14" s="303"/>
      <c r="Q14" s="303"/>
      <c r="R14" s="303"/>
      <c r="S14" s="303"/>
      <c r="T14" s="303"/>
      <c r="U14" s="303"/>
      <c r="V14" s="303"/>
      <c r="W14" s="303"/>
      <c r="X14" s="303"/>
      <c r="Y14" s="303"/>
      <c r="Z14" s="303"/>
    </row>
    <row r="15" ht="14.25" hidden="1" customHeight="1" outlineLevel="1">
      <c r="A15" s="303"/>
      <c r="B15" s="303"/>
      <c r="C15" s="303"/>
      <c r="D15" s="303"/>
      <c r="E15" s="303"/>
      <c r="F15" s="303"/>
      <c r="G15" s="303"/>
      <c r="H15" s="303"/>
      <c r="I15" s="303"/>
      <c r="J15" s="303"/>
      <c r="K15" s="303"/>
      <c r="L15" s="303"/>
      <c r="M15" s="303"/>
      <c r="N15" s="303"/>
      <c r="O15" s="303"/>
      <c r="P15" s="303"/>
      <c r="Q15" s="303"/>
      <c r="R15" s="303"/>
      <c r="S15" s="303"/>
      <c r="T15" s="303"/>
      <c r="U15" s="303"/>
      <c r="V15" s="303"/>
      <c r="W15" s="303"/>
      <c r="X15" s="303"/>
      <c r="Y15" s="303"/>
      <c r="Z15" s="303"/>
    </row>
    <row r="16" ht="15.0" hidden="1" customHeight="1" outlineLevel="1">
      <c r="A16" s="1014" t="s">
        <v>1842</v>
      </c>
      <c r="B16" s="277"/>
      <c r="C16" s="277"/>
      <c r="D16" s="277"/>
      <c r="E16" s="278"/>
      <c r="F16" s="303"/>
      <c r="G16" s="303"/>
      <c r="H16" s="303"/>
      <c r="I16" s="303"/>
      <c r="J16" s="303"/>
      <c r="K16" s="303"/>
      <c r="L16" s="303"/>
      <c r="M16" s="303"/>
      <c r="N16" s="303"/>
      <c r="O16" s="303"/>
      <c r="P16" s="303"/>
      <c r="Q16" s="303"/>
      <c r="R16" s="303"/>
      <c r="S16" s="303"/>
      <c r="T16" s="303"/>
      <c r="U16" s="303"/>
      <c r="V16" s="303"/>
      <c r="W16" s="303"/>
      <c r="X16" s="303"/>
      <c r="Y16" s="303"/>
      <c r="Z16" s="303"/>
    </row>
    <row r="17" ht="15.0" hidden="1" customHeight="1" outlineLevel="1">
      <c r="A17" s="1015" t="s">
        <v>1649</v>
      </c>
      <c r="B17" s="1015" t="s">
        <v>1836</v>
      </c>
      <c r="C17" s="1016" t="s">
        <v>1691</v>
      </c>
      <c r="D17" s="277"/>
      <c r="E17" s="278"/>
      <c r="F17" s="303"/>
      <c r="G17" s="303"/>
      <c r="H17" s="303"/>
      <c r="I17" s="303"/>
      <c r="J17" s="303"/>
      <c r="K17" s="303"/>
      <c r="L17" s="303"/>
      <c r="M17" s="303"/>
      <c r="N17" s="303"/>
      <c r="O17" s="303"/>
      <c r="P17" s="303"/>
      <c r="Q17" s="303"/>
      <c r="R17" s="303"/>
      <c r="S17" s="303"/>
      <c r="T17" s="303"/>
      <c r="U17" s="303"/>
      <c r="V17" s="303"/>
      <c r="W17" s="303"/>
      <c r="X17" s="303"/>
      <c r="Y17" s="303"/>
      <c r="Z17" s="303"/>
    </row>
    <row r="18" ht="15.0" hidden="1" customHeight="1" outlineLevel="1">
      <c r="A18" s="612"/>
      <c r="B18" s="612"/>
      <c r="C18" s="1017">
        <v>45863.0</v>
      </c>
      <c r="D18" s="277"/>
      <c r="E18" s="278"/>
      <c r="F18" s="303"/>
      <c r="G18" s="303"/>
      <c r="H18" s="303"/>
      <c r="I18" s="303"/>
      <c r="J18" s="303"/>
      <c r="K18" s="303"/>
      <c r="L18" s="303"/>
      <c r="M18" s="303"/>
      <c r="N18" s="303"/>
      <c r="O18" s="303"/>
      <c r="P18" s="303"/>
      <c r="Q18" s="303"/>
      <c r="R18" s="303"/>
      <c r="S18" s="303"/>
      <c r="T18" s="303"/>
      <c r="U18" s="303"/>
      <c r="V18" s="303"/>
      <c r="W18" s="303"/>
      <c r="X18" s="303"/>
      <c r="Y18" s="303"/>
      <c r="Z18" s="303"/>
    </row>
    <row r="19" ht="14.25" hidden="1" customHeight="1" outlineLevel="1">
      <c r="A19" s="617"/>
      <c r="B19" s="617"/>
      <c r="C19" s="1018" t="s">
        <v>1520</v>
      </c>
      <c r="D19" s="1018" t="s">
        <v>1837</v>
      </c>
      <c r="E19" s="1018" t="s">
        <v>1838</v>
      </c>
      <c r="F19" s="303"/>
      <c r="G19" s="303"/>
      <c r="H19" s="303"/>
      <c r="I19" s="303"/>
      <c r="J19" s="303"/>
      <c r="K19" s="303"/>
      <c r="L19" s="303"/>
      <c r="M19" s="303"/>
      <c r="N19" s="303"/>
      <c r="O19" s="303"/>
      <c r="P19" s="303"/>
      <c r="Q19" s="303"/>
      <c r="R19" s="303"/>
      <c r="S19" s="303"/>
      <c r="T19" s="303"/>
      <c r="U19" s="303"/>
      <c r="V19" s="303"/>
      <c r="W19" s="303"/>
      <c r="X19" s="303"/>
      <c r="Y19" s="303"/>
      <c r="Z19" s="303"/>
    </row>
    <row r="20" ht="14.25" hidden="1" customHeight="1" outlineLevel="1">
      <c r="A20" s="1019">
        <v>5070.0</v>
      </c>
      <c r="B20" s="1020" t="s">
        <v>1841</v>
      </c>
      <c r="C20" s="1021">
        <v>41.0</v>
      </c>
      <c r="D20" s="1022">
        <v>304.02</v>
      </c>
      <c r="E20" s="1022">
        <v>12464.82</v>
      </c>
      <c r="F20" s="303"/>
      <c r="G20" s="303"/>
      <c r="H20" s="303"/>
      <c r="I20" s="303"/>
      <c r="J20" s="303"/>
      <c r="K20" s="303"/>
      <c r="L20" s="303"/>
      <c r="M20" s="303"/>
      <c r="N20" s="303"/>
      <c r="O20" s="303"/>
      <c r="P20" s="303"/>
      <c r="Q20" s="303"/>
      <c r="R20" s="303"/>
      <c r="S20" s="303"/>
      <c r="T20" s="303"/>
      <c r="U20" s="303"/>
      <c r="V20" s="303"/>
      <c r="W20" s="303"/>
      <c r="X20" s="303"/>
      <c r="Y20" s="303"/>
      <c r="Z20" s="303"/>
    </row>
    <row r="21" ht="14.25" hidden="1" customHeight="1" outlineLevel="1">
      <c r="A21" s="1019" t="s">
        <v>320</v>
      </c>
      <c r="B21" s="1023"/>
      <c r="C21" s="277"/>
      <c r="D21" s="278"/>
      <c r="E21" s="1024">
        <v>12464.82</v>
      </c>
      <c r="F21" s="303"/>
      <c r="G21" s="303"/>
      <c r="H21" s="303"/>
      <c r="I21" s="303"/>
      <c r="J21" s="303"/>
      <c r="K21" s="303"/>
      <c r="L21" s="303"/>
      <c r="M21" s="303"/>
      <c r="N21" s="303"/>
      <c r="O21" s="303"/>
      <c r="P21" s="303"/>
      <c r="Q21" s="303"/>
      <c r="R21" s="303"/>
      <c r="S21" s="303"/>
      <c r="T21" s="303"/>
      <c r="U21" s="303"/>
      <c r="V21" s="303"/>
      <c r="W21" s="303"/>
      <c r="X21" s="303"/>
      <c r="Y21" s="303"/>
      <c r="Z21" s="303"/>
    </row>
    <row r="22" ht="14.25" hidden="1" customHeight="1" outlineLevel="1">
      <c r="A22" s="303"/>
      <c r="B22" s="303"/>
      <c r="C22" s="303"/>
      <c r="D22" s="303"/>
      <c r="E22" s="303"/>
      <c r="F22" s="303"/>
      <c r="G22" s="303"/>
      <c r="H22" s="303"/>
      <c r="I22" s="303"/>
      <c r="J22" s="303"/>
      <c r="K22" s="303"/>
      <c r="L22" s="303"/>
      <c r="M22" s="303"/>
      <c r="N22" s="303"/>
      <c r="O22" s="303"/>
      <c r="P22" s="303"/>
      <c r="Q22" s="303"/>
      <c r="R22" s="303"/>
      <c r="S22" s="303"/>
      <c r="T22" s="303"/>
      <c r="U22" s="303"/>
      <c r="V22" s="303"/>
      <c r="W22" s="303"/>
      <c r="X22" s="303"/>
      <c r="Y22" s="303"/>
      <c r="Z22" s="303"/>
    </row>
    <row r="23" ht="15.0" hidden="1" customHeight="1" outlineLevel="1">
      <c r="A23" s="1014" t="s">
        <v>1843</v>
      </c>
      <c r="B23" s="277"/>
      <c r="C23" s="277"/>
      <c r="D23" s="277"/>
      <c r="E23" s="278"/>
      <c r="F23" s="303"/>
      <c r="G23" s="303"/>
      <c r="H23" s="303"/>
      <c r="I23" s="303"/>
      <c r="J23" s="303"/>
      <c r="K23" s="303"/>
      <c r="L23" s="303"/>
      <c r="M23" s="303"/>
      <c r="N23" s="303"/>
      <c r="O23" s="303"/>
      <c r="P23" s="303"/>
      <c r="Q23" s="303"/>
      <c r="R23" s="303"/>
      <c r="S23" s="303"/>
      <c r="T23" s="303"/>
      <c r="U23" s="303"/>
      <c r="V23" s="303"/>
      <c r="W23" s="303"/>
      <c r="X23" s="303"/>
      <c r="Y23" s="303"/>
      <c r="Z23" s="303"/>
    </row>
    <row r="24" ht="15.0" hidden="1" customHeight="1" outlineLevel="1">
      <c r="A24" s="1015" t="s">
        <v>1649</v>
      </c>
      <c r="B24" s="1015" t="s">
        <v>1836</v>
      </c>
      <c r="C24" s="1016" t="s">
        <v>1691</v>
      </c>
      <c r="D24" s="277"/>
      <c r="E24" s="278"/>
      <c r="F24" s="303"/>
      <c r="G24" s="303"/>
      <c r="H24" s="303"/>
      <c r="I24" s="303"/>
      <c r="J24" s="303"/>
      <c r="K24" s="303"/>
      <c r="L24" s="303"/>
      <c r="M24" s="303"/>
      <c r="N24" s="303"/>
      <c r="O24" s="303"/>
      <c r="P24" s="303"/>
      <c r="Q24" s="303"/>
      <c r="R24" s="303"/>
      <c r="S24" s="303"/>
      <c r="T24" s="303"/>
      <c r="U24" s="303"/>
      <c r="V24" s="303"/>
      <c r="W24" s="303"/>
      <c r="X24" s="303"/>
      <c r="Y24" s="303"/>
      <c r="Z24" s="303"/>
    </row>
    <row r="25" ht="15.0" hidden="1" customHeight="1" outlineLevel="1">
      <c r="A25" s="612"/>
      <c r="B25" s="612"/>
      <c r="C25" s="1025" t="s">
        <v>1844</v>
      </c>
      <c r="D25" s="277"/>
      <c r="E25" s="278"/>
      <c r="F25" s="303"/>
      <c r="G25" s="303"/>
      <c r="H25" s="303"/>
      <c r="I25" s="303"/>
      <c r="J25" s="303"/>
      <c r="K25" s="303"/>
      <c r="L25" s="303"/>
      <c r="M25" s="303"/>
      <c r="N25" s="303"/>
      <c r="O25" s="303"/>
      <c r="P25" s="303"/>
      <c r="Q25" s="303"/>
      <c r="R25" s="303"/>
      <c r="S25" s="303"/>
      <c r="T25" s="303"/>
      <c r="U25" s="303"/>
      <c r="V25" s="303"/>
      <c r="W25" s="303"/>
      <c r="X25" s="303"/>
      <c r="Y25" s="303"/>
      <c r="Z25" s="303"/>
    </row>
    <row r="26" ht="14.25" hidden="1" customHeight="1" outlineLevel="1">
      <c r="A26" s="617"/>
      <c r="B26" s="617"/>
      <c r="C26" s="1018" t="s">
        <v>1520</v>
      </c>
      <c r="D26" s="1018" t="s">
        <v>1837</v>
      </c>
      <c r="E26" s="1018" t="s">
        <v>1838</v>
      </c>
      <c r="F26" s="303"/>
      <c r="G26" s="303"/>
      <c r="H26" s="303"/>
      <c r="I26" s="303"/>
      <c r="J26" s="303"/>
      <c r="K26" s="303"/>
      <c r="L26" s="303"/>
      <c r="M26" s="303"/>
      <c r="N26" s="303"/>
      <c r="O26" s="303"/>
      <c r="P26" s="303"/>
      <c r="Q26" s="303"/>
      <c r="R26" s="303"/>
      <c r="S26" s="303"/>
      <c r="T26" s="303"/>
      <c r="U26" s="303"/>
      <c r="V26" s="303"/>
      <c r="W26" s="303"/>
      <c r="X26" s="303"/>
      <c r="Y26" s="303"/>
      <c r="Z26" s="303"/>
    </row>
    <row r="27" ht="14.25" hidden="1" customHeight="1" outlineLevel="1">
      <c r="A27" s="1019">
        <v>5070.0</v>
      </c>
      <c r="B27" s="1020" t="s">
        <v>1841</v>
      </c>
      <c r="C27" s="1021">
        <v>41.0</v>
      </c>
      <c r="D27" s="1022">
        <v>304.02</v>
      </c>
      <c r="E27" s="1022">
        <v>12464.82</v>
      </c>
      <c r="F27" s="303"/>
      <c r="G27" s="303"/>
      <c r="H27" s="303"/>
      <c r="I27" s="303"/>
      <c r="J27" s="303"/>
      <c r="K27" s="303"/>
      <c r="L27" s="303"/>
      <c r="M27" s="303"/>
      <c r="N27" s="303"/>
      <c r="O27" s="303"/>
      <c r="P27" s="303"/>
      <c r="Q27" s="303"/>
      <c r="R27" s="303"/>
      <c r="S27" s="303"/>
      <c r="T27" s="303"/>
      <c r="U27" s="303"/>
      <c r="V27" s="303"/>
      <c r="W27" s="303"/>
      <c r="X27" s="303"/>
      <c r="Y27" s="303"/>
      <c r="Z27" s="303"/>
    </row>
    <row r="28" ht="14.25" hidden="1" customHeight="1" outlineLevel="1">
      <c r="A28" s="1019" t="s">
        <v>320</v>
      </c>
      <c r="B28" s="1023"/>
      <c r="C28" s="277"/>
      <c r="D28" s="278"/>
      <c r="E28" s="1024">
        <v>12464.82</v>
      </c>
      <c r="F28" s="303"/>
      <c r="G28" s="303"/>
      <c r="H28" s="303"/>
      <c r="I28" s="303"/>
      <c r="J28" s="303"/>
      <c r="K28" s="303"/>
      <c r="L28" s="303"/>
      <c r="M28" s="303"/>
      <c r="N28" s="303"/>
      <c r="O28" s="303"/>
      <c r="P28" s="303"/>
      <c r="Q28" s="303"/>
      <c r="R28" s="303"/>
      <c r="S28" s="303"/>
      <c r="T28" s="303"/>
      <c r="U28" s="303"/>
      <c r="V28" s="303"/>
      <c r="W28" s="303"/>
      <c r="X28" s="303"/>
      <c r="Y28" s="303"/>
      <c r="Z28" s="303"/>
    </row>
    <row r="29" ht="14.25" customHeight="1" collapsed="1">
      <c r="A29" s="303"/>
      <c r="B29" s="303"/>
      <c r="C29" s="303"/>
      <c r="D29" s="303"/>
      <c r="E29" s="303"/>
      <c r="F29" s="303"/>
      <c r="G29" s="303"/>
      <c r="H29" s="303"/>
      <c r="I29" s="303"/>
      <c r="J29" s="303"/>
      <c r="K29" s="303"/>
      <c r="L29" s="303"/>
      <c r="M29" s="303"/>
      <c r="N29" s="303"/>
      <c r="O29" s="303"/>
      <c r="P29" s="303"/>
      <c r="Q29" s="303"/>
      <c r="R29" s="303"/>
      <c r="S29" s="303"/>
      <c r="T29" s="303"/>
      <c r="U29" s="303"/>
      <c r="V29" s="303"/>
      <c r="W29" s="303"/>
      <c r="X29" s="303"/>
      <c r="Y29" s="303"/>
      <c r="Z29" s="303"/>
    </row>
    <row r="30" ht="15.0" customHeight="1">
      <c r="A30" s="1026" t="s">
        <v>1845</v>
      </c>
      <c r="B30" s="277"/>
      <c r="C30" s="277"/>
      <c r="D30" s="277"/>
      <c r="E30" s="278"/>
      <c r="F30" s="1027" t="s">
        <v>1846</v>
      </c>
      <c r="G30" s="303"/>
      <c r="H30" s="303"/>
      <c r="I30" s="303"/>
      <c r="J30" s="303"/>
      <c r="K30" s="303"/>
      <c r="L30" s="303"/>
      <c r="M30" s="303"/>
      <c r="N30" s="303"/>
      <c r="O30" s="303"/>
      <c r="P30" s="303"/>
      <c r="Q30" s="303"/>
      <c r="R30" s="303"/>
      <c r="S30" s="303"/>
      <c r="T30" s="303"/>
      <c r="U30" s="303"/>
      <c r="V30" s="303"/>
      <c r="W30" s="303"/>
      <c r="X30" s="303"/>
      <c r="Y30" s="303"/>
      <c r="Z30" s="303"/>
    </row>
    <row r="31" ht="15.0" customHeight="1">
      <c r="A31" s="1015" t="s">
        <v>1649</v>
      </c>
      <c r="B31" s="1015" t="s">
        <v>1836</v>
      </c>
      <c r="C31" s="1016" t="s">
        <v>1691</v>
      </c>
      <c r="D31" s="277"/>
      <c r="E31" s="278"/>
      <c r="F31" s="303"/>
      <c r="G31" s="960" t="s">
        <v>1847</v>
      </c>
      <c r="H31" s="303"/>
      <c r="I31" s="303"/>
      <c r="J31" s="303"/>
      <c r="K31" s="303"/>
      <c r="L31" s="303"/>
      <c r="M31" s="303"/>
      <c r="N31" s="303"/>
      <c r="O31" s="303"/>
      <c r="P31" s="303"/>
      <c r="Q31" s="303"/>
      <c r="R31" s="303"/>
      <c r="S31" s="303"/>
      <c r="T31" s="303"/>
      <c r="U31" s="303"/>
      <c r="V31" s="303"/>
      <c r="W31" s="303"/>
      <c r="X31" s="303"/>
      <c r="Y31" s="303"/>
      <c r="Z31" s="303"/>
    </row>
    <row r="32" ht="15.0" customHeight="1">
      <c r="A32" s="612"/>
      <c r="B32" s="612"/>
      <c r="C32" s="1017">
        <v>45925.0</v>
      </c>
      <c r="D32" s="277"/>
      <c r="E32" s="278"/>
      <c r="F32" s="303"/>
      <c r="G32" s="642">
        <v>45957.0</v>
      </c>
      <c r="H32" s="642">
        <v>45987.0</v>
      </c>
      <c r="I32" s="642">
        <v>46017.0</v>
      </c>
      <c r="J32" s="642">
        <v>46023.0</v>
      </c>
      <c r="K32" s="642">
        <v>46054.0</v>
      </c>
      <c r="L32" s="642">
        <v>46112.0</v>
      </c>
      <c r="M32" s="642">
        <v>46142.0</v>
      </c>
      <c r="N32" s="642">
        <v>46172.0</v>
      </c>
      <c r="O32" s="642">
        <v>46202.0</v>
      </c>
      <c r="P32" s="642">
        <v>46232.0</v>
      </c>
      <c r="Q32" s="642">
        <v>46262.0</v>
      </c>
      <c r="R32" s="642">
        <v>46292.0</v>
      </c>
      <c r="S32" s="642">
        <v>46322.0</v>
      </c>
      <c r="T32" s="643">
        <v>46352.0</v>
      </c>
      <c r="U32" s="643">
        <v>46382.0</v>
      </c>
      <c r="V32" s="1028" t="s">
        <v>1848</v>
      </c>
      <c r="W32" s="303"/>
      <c r="X32" s="303"/>
      <c r="Y32" s="303"/>
      <c r="Z32" s="303"/>
    </row>
    <row r="33" ht="14.25" customHeight="1">
      <c r="A33" s="617"/>
      <c r="B33" s="617"/>
      <c r="C33" s="1018" t="s">
        <v>1520</v>
      </c>
      <c r="D33" s="1018" t="s">
        <v>1837</v>
      </c>
      <c r="E33" s="1018" t="s">
        <v>1838</v>
      </c>
      <c r="F33" s="303"/>
      <c r="G33" s="303"/>
      <c r="H33" s="303"/>
      <c r="I33" s="303"/>
      <c r="J33" s="303"/>
      <c r="K33" s="303"/>
      <c r="L33" s="303"/>
      <c r="M33" s="303"/>
      <c r="N33" s="303"/>
      <c r="O33" s="303"/>
      <c r="P33" s="303"/>
      <c r="Q33" s="303"/>
      <c r="R33" s="303"/>
      <c r="S33" s="303"/>
      <c r="T33" s="303"/>
      <c r="U33" s="303"/>
      <c r="V33" s="1029"/>
      <c r="W33" s="303"/>
      <c r="X33" s="303"/>
      <c r="Y33" s="303"/>
      <c r="Z33" s="303"/>
    </row>
    <row r="34" ht="14.25" customHeight="1">
      <c r="A34" s="1019">
        <v>5070.0</v>
      </c>
      <c r="B34" s="1020" t="s">
        <v>1841</v>
      </c>
      <c r="C34" s="1021">
        <v>34.0</v>
      </c>
      <c r="D34" s="1022">
        <v>323.26</v>
      </c>
      <c r="E34" s="1022">
        <v>10990.84</v>
      </c>
      <c r="F34" s="987">
        <f>+D34/D27</f>
        <v>1.06328531</v>
      </c>
      <c r="G34" s="1030">
        <f>+E34</f>
        <v>10990.84</v>
      </c>
      <c r="H34" s="1030">
        <f>+G34</f>
        <v>10990.84</v>
      </c>
      <c r="I34" s="1030">
        <f>+H34*I36</f>
        <v>11709.34045</v>
      </c>
      <c r="J34" s="1030">
        <f t="shared" ref="J34:K34" si="1">+I34</f>
        <v>11709.34045</v>
      </c>
      <c r="K34" s="1030">
        <f t="shared" si="1"/>
        <v>11709.34045</v>
      </c>
      <c r="L34" s="1030">
        <f>+K34*L36</f>
        <v>12646.29634</v>
      </c>
      <c r="M34" s="1030">
        <f t="shared" ref="M34:N34" si="2">+L34</f>
        <v>12646.29634</v>
      </c>
      <c r="N34" s="1030">
        <f t="shared" si="2"/>
        <v>12646.29634</v>
      </c>
      <c r="O34" s="1030">
        <f>+N34*O36</f>
        <v>13805.3248</v>
      </c>
      <c r="P34" s="1030">
        <f t="shared" ref="P34:Q34" si="3">+O34</f>
        <v>13805.3248</v>
      </c>
      <c r="Q34" s="1030">
        <f t="shared" si="3"/>
        <v>13805.3248</v>
      </c>
      <c r="R34" s="1030">
        <f>+Q34*R36</f>
        <v>15041.55559</v>
      </c>
      <c r="S34" s="1030">
        <f t="shared" ref="S34:T34" si="4">+R34</f>
        <v>15041.55559</v>
      </c>
      <c r="T34" s="1030">
        <f t="shared" si="4"/>
        <v>15041.55559</v>
      </c>
      <c r="U34" s="1030">
        <f>+T34*U36</f>
        <v>16388.48762</v>
      </c>
      <c r="V34" s="1031">
        <f>SUM(J34:U34)</f>
        <v>164286.6987</v>
      </c>
      <c r="W34" s="1032"/>
      <c r="X34" s="303"/>
      <c r="Y34" s="303"/>
      <c r="Z34" s="303"/>
    </row>
    <row r="35" ht="14.25" customHeight="1">
      <c r="A35" s="1019" t="s">
        <v>320</v>
      </c>
      <c r="B35" s="1023"/>
      <c r="C35" s="277"/>
      <c r="D35" s="278"/>
      <c r="E35" s="1024">
        <v>10990.84</v>
      </c>
      <c r="F35" s="303"/>
      <c r="G35" s="303"/>
      <c r="H35" s="303"/>
      <c r="I35" s="303"/>
      <c r="J35" s="303"/>
      <c r="K35" s="303"/>
      <c r="L35" s="303"/>
      <c r="M35" s="303"/>
      <c r="N35" s="303"/>
      <c r="O35" s="303"/>
      <c r="P35" s="303"/>
      <c r="Q35" s="303"/>
      <c r="R35" s="303"/>
      <c r="S35" s="303"/>
      <c r="T35" s="303"/>
      <c r="U35" s="303"/>
      <c r="V35" s="1033"/>
      <c r="W35" s="303"/>
      <c r="X35" s="303"/>
      <c r="Y35" s="303"/>
      <c r="Z35" s="303"/>
    </row>
    <row r="36" ht="14.25" customHeight="1">
      <c r="A36" s="303"/>
      <c r="B36" s="303"/>
      <c r="C36" s="303"/>
      <c r="D36" s="303"/>
      <c r="E36" s="303"/>
      <c r="F36" s="303"/>
      <c r="G36" s="303"/>
      <c r="H36" s="303"/>
      <c r="I36" s="605">
        <f>1*(1+F37)*(1+G37)*(1+H37)</f>
        <v>1.06537266</v>
      </c>
      <c r="J36" s="1034"/>
      <c r="K36" s="1034"/>
      <c r="L36" s="605">
        <f>1*(1+I37)*(1+J37)*(1+K37)</f>
        <v>1.08001782</v>
      </c>
      <c r="M36" s="1034"/>
      <c r="N36" s="1034"/>
      <c r="O36" s="605">
        <f>1*(1+L37)*(1+M37)*(1+N37)</f>
        <v>1.091649636</v>
      </c>
      <c r="P36" s="1034"/>
      <c r="Q36" s="1034"/>
      <c r="R36" s="605">
        <f>1*(1+O37)*(1+P37)*(1+Q37)</f>
        <v>1.089547389</v>
      </c>
      <c r="S36" s="303"/>
      <c r="T36" s="303"/>
      <c r="U36" s="605">
        <f>1*(1+R37)*(1+S37)*(1+T37)</f>
        <v>1.089547389</v>
      </c>
      <c r="V36" s="303"/>
      <c r="W36" s="303"/>
      <c r="X36" s="303"/>
      <c r="Y36" s="303"/>
      <c r="Z36" s="303"/>
    </row>
    <row r="37" ht="14.25" customHeight="1">
      <c r="A37" s="303"/>
      <c r="B37" s="303"/>
      <c r="C37" s="303"/>
      <c r="D37" s="422"/>
      <c r="E37" s="422" t="s">
        <v>1641</v>
      </c>
      <c r="F37" s="1035">
        <v>0.021</v>
      </c>
      <c r="G37" s="424">
        <f>+SidusDermo!G19</f>
        <v>0.023</v>
      </c>
      <c r="H37" s="424">
        <f>+SidusDermo!H19</f>
        <v>0.02</v>
      </c>
      <c r="I37" s="424">
        <f>+SidusDermo!I19</f>
        <v>0.02</v>
      </c>
      <c r="J37" s="424">
        <f>+SidusDermo!J19</f>
        <v>0.029</v>
      </c>
      <c r="K37" s="424">
        <f>+SidusDermo!K19</f>
        <v>0.029</v>
      </c>
      <c r="L37" s="424">
        <f>+SidusDermo!L19</f>
        <v>0.034</v>
      </c>
      <c r="M37" s="424">
        <f>+SidusDermo!M19</f>
        <v>0.026</v>
      </c>
      <c r="N37" s="424">
        <f>+SidusDermo!N19</f>
        <v>0.029</v>
      </c>
      <c r="O37" s="424">
        <f>+SidusDermo!O19</f>
        <v>0.029</v>
      </c>
      <c r="P37" s="424">
        <f>+SidusDermo!P19</f>
        <v>0.029</v>
      </c>
      <c r="Q37" s="424">
        <f>+SidusDermo!Q19</f>
        <v>0.029</v>
      </c>
      <c r="R37" s="424">
        <f>+SidusDermo!R19</f>
        <v>0.029</v>
      </c>
      <c r="S37" s="424">
        <f>+SidusDermo!S19</f>
        <v>0.029</v>
      </c>
      <c r="T37" s="424">
        <f>+SidusDermo!T19</f>
        <v>0.029</v>
      </c>
      <c r="U37" s="424">
        <f>+T37</f>
        <v>0.029</v>
      </c>
      <c r="V37" s="303"/>
      <c r="W37" s="303"/>
      <c r="X37" s="303"/>
      <c r="Y37" s="303"/>
      <c r="Z37" s="303"/>
    </row>
    <row r="38" ht="14.25" customHeight="1">
      <c r="A38" s="303"/>
      <c r="B38" s="303"/>
      <c r="C38" s="303"/>
      <c r="D38" s="303"/>
      <c r="E38" s="303"/>
      <c r="F38" s="303"/>
      <c r="G38" s="303"/>
      <c r="H38" s="303"/>
      <c r="I38" s="303"/>
      <c r="J38" s="303"/>
      <c r="K38" s="303"/>
      <c r="L38" s="303"/>
      <c r="M38" s="303"/>
      <c r="N38" s="303"/>
      <c r="O38" s="303"/>
      <c r="P38" s="303"/>
      <c r="Q38" s="303"/>
      <c r="R38" s="303"/>
      <c r="S38" s="303"/>
      <c r="T38" s="303"/>
      <c r="U38" s="303"/>
      <c r="V38" s="303"/>
      <c r="W38" s="303"/>
      <c r="X38" s="303"/>
      <c r="Y38" s="303"/>
      <c r="Z38" s="303"/>
    </row>
    <row r="39" ht="14.25" customHeight="1">
      <c r="A39" s="1036" t="s">
        <v>1849</v>
      </c>
      <c r="B39" s="277"/>
      <c r="C39" s="277"/>
      <c r="D39" s="278"/>
      <c r="E39" s="1037"/>
      <c r="F39" s="303"/>
      <c r="G39" s="960" t="s">
        <v>1850</v>
      </c>
      <c r="H39" s="303"/>
      <c r="I39" s="303"/>
      <c r="J39" s="303"/>
      <c r="K39" s="303"/>
      <c r="L39" s="303"/>
      <c r="M39" s="303"/>
      <c r="N39" s="303"/>
      <c r="O39" s="303"/>
      <c r="P39" s="303"/>
      <c r="Q39" s="303"/>
      <c r="R39" s="303"/>
      <c r="S39" s="303"/>
      <c r="T39" s="303"/>
      <c r="U39" s="303"/>
      <c r="V39" s="303"/>
      <c r="W39" s="303"/>
      <c r="X39" s="303"/>
      <c r="Y39" s="303"/>
      <c r="Z39" s="303"/>
    </row>
    <row r="40" ht="14.25" customHeight="1">
      <c r="A40" s="1038" t="s">
        <v>1851</v>
      </c>
      <c r="B40" s="278"/>
      <c r="C40" s="1039" t="s">
        <v>1852</v>
      </c>
      <c r="D40" s="1040">
        <v>25001.0</v>
      </c>
      <c r="E40" s="303"/>
      <c r="F40" s="303"/>
      <c r="G40" s="642">
        <v>45957.0</v>
      </c>
      <c r="H40" s="642">
        <v>45987.0</v>
      </c>
      <c r="I40" s="642">
        <v>46017.0</v>
      </c>
      <c r="J40" s="642">
        <v>46023.0</v>
      </c>
      <c r="K40" s="642">
        <v>46054.0</v>
      </c>
      <c r="L40" s="642">
        <v>46112.0</v>
      </c>
      <c r="M40" s="642">
        <v>46142.0</v>
      </c>
      <c r="N40" s="642">
        <v>46172.0</v>
      </c>
      <c r="O40" s="642">
        <v>46202.0</v>
      </c>
      <c r="P40" s="642">
        <v>46232.0</v>
      </c>
      <c r="Q40" s="642">
        <v>46262.0</v>
      </c>
      <c r="R40" s="642">
        <v>46292.0</v>
      </c>
      <c r="S40" s="642">
        <v>46322.0</v>
      </c>
      <c r="T40" s="643">
        <v>46352.0</v>
      </c>
      <c r="U40" s="642">
        <v>46382.0</v>
      </c>
      <c r="V40" s="303"/>
      <c r="W40" s="303"/>
      <c r="X40" s="303"/>
      <c r="Y40" s="303"/>
      <c r="Z40" s="303"/>
    </row>
    <row r="41" ht="14.25" customHeight="1">
      <c r="A41" s="1038" t="s">
        <v>1853</v>
      </c>
      <c r="B41" s="278"/>
      <c r="C41" s="1041">
        <v>74.806452</v>
      </c>
      <c r="D41" s="1041">
        <v>63.909656</v>
      </c>
      <c r="E41" s="303"/>
      <c r="F41" s="303"/>
      <c r="G41" s="303"/>
      <c r="H41" s="303"/>
      <c r="I41" s="303"/>
      <c r="J41" s="303"/>
      <c r="K41" s="303"/>
      <c r="L41" s="303"/>
      <c r="M41" s="303"/>
      <c r="N41" s="303"/>
      <c r="O41" s="303"/>
      <c r="P41" s="303"/>
      <c r="Q41" s="303"/>
      <c r="R41" s="303"/>
      <c r="S41" s="303"/>
      <c r="T41" s="303"/>
      <c r="U41" s="303"/>
      <c r="V41" s="303"/>
      <c r="W41" s="303"/>
      <c r="X41" s="303"/>
      <c r="Y41" s="303"/>
      <c r="Z41" s="303"/>
    </row>
    <row r="42" ht="14.25" customHeight="1">
      <c r="A42" s="1042" t="s">
        <v>1854</v>
      </c>
      <c r="B42" s="1043" t="s">
        <v>1836</v>
      </c>
      <c r="C42" s="1042"/>
      <c r="D42" s="1042" t="s">
        <v>1855</v>
      </c>
      <c r="E42" s="1044" t="s">
        <v>1838</v>
      </c>
      <c r="F42" s="303"/>
      <c r="G42" s="303"/>
      <c r="H42" s="303"/>
      <c r="I42" s="303"/>
      <c r="J42" s="303"/>
      <c r="K42" s="303"/>
      <c r="L42" s="303"/>
      <c r="M42" s="303"/>
      <c r="N42" s="303"/>
      <c r="O42" s="303"/>
      <c r="P42" s="303"/>
      <c r="Q42" s="303"/>
      <c r="R42" s="303"/>
      <c r="S42" s="303"/>
      <c r="T42" s="303"/>
      <c r="U42" s="303"/>
      <c r="V42" s="303"/>
      <c r="W42" s="303"/>
      <c r="X42" s="303"/>
      <c r="Y42" s="303"/>
      <c r="Z42" s="303"/>
    </row>
    <row r="43" ht="14.25" customHeight="1">
      <c r="A43" s="1028">
        <v>5070.0</v>
      </c>
      <c r="B43" s="1045" t="s">
        <v>1856</v>
      </c>
      <c r="C43" s="493">
        <v>29.0</v>
      </c>
      <c r="D43" s="1046">
        <v>0.0</v>
      </c>
      <c r="E43" s="1047">
        <f>(C43*C41)+D43*D41</f>
        <v>2169.387108</v>
      </c>
      <c r="F43" s="303"/>
      <c r="G43" s="1048">
        <f>+E43</f>
        <v>2169.387108</v>
      </c>
      <c r="H43" s="1048">
        <f>+G43</f>
        <v>2169.387108</v>
      </c>
      <c r="I43" s="1048">
        <f>+H43*I36</f>
        <v>2311.205714</v>
      </c>
      <c r="J43" s="1048">
        <f t="shared" ref="J43:K43" si="5">+I43</f>
        <v>2311.205714</v>
      </c>
      <c r="K43" s="1048">
        <f t="shared" si="5"/>
        <v>2311.205714</v>
      </c>
      <c r="L43" s="1048">
        <f>+K43*L36</f>
        <v>2496.143357</v>
      </c>
      <c r="M43" s="1048">
        <f t="shared" ref="M43:N43" si="6">+L43</f>
        <v>2496.143357</v>
      </c>
      <c r="N43" s="1048">
        <f t="shared" si="6"/>
        <v>2496.143357</v>
      </c>
      <c r="O43" s="1048">
        <f>+N43*O36</f>
        <v>2724.913987</v>
      </c>
      <c r="P43" s="1048">
        <f t="shared" ref="P43:Q43" si="7">+O43</f>
        <v>2724.913987</v>
      </c>
      <c r="Q43" s="1048">
        <f t="shared" si="7"/>
        <v>2724.913987</v>
      </c>
      <c r="R43" s="1048">
        <f>+Q43*R36</f>
        <v>2968.922919</v>
      </c>
      <c r="S43" s="1048">
        <f t="shared" ref="S43:T43" si="8">+R43</f>
        <v>2968.922919</v>
      </c>
      <c r="T43" s="1048">
        <f t="shared" si="8"/>
        <v>2968.922919</v>
      </c>
      <c r="U43" s="1048">
        <f>+T43*U36</f>
        <v>3234.782215</v>
      </c>
      <c r="V43" s="1049">
        <f>SUM(J43:U43)</f>
        <v>32427.13443</v>
      </c>
      <c r="W43" s="303"/>
      <c r="X43" s="303"/>
      <c r="Y43" s="303"/>
      <c r="Z43" s="303"/>
    </row>
    <row r="44" ht="14.25" customHeight="1">
      <c r="A44" s="985"/>
      <c r="B44" s="303"/>
      <c r="C44" s="1050"/>
      <c r="D44" s="1051" t="s">
        <v>1838</v>
      </c>
      <c r="E44" s="1052">
        <f>SUM(E43)</f>
        <v>2169.387108</v>
      </c>
      <c r="F44" s="303"/>
      <c r="G44" s="303"/>
      <c r="H44" s="303"/>
      <c r="I44" s="303"/>
      <c r="J44" s="303"/>
      <c r="K44" s="303"/>
      <c r="L44" s="303"/>
      <c r="M44" s="303"/>
      <c r="N44" s="303"/>
      <c r="O44" s="303"/>
      <c r="P44" s="303"/>
      <c r="Q44" s="303"/>
      <c r="R44" s="303"/>
      <c r="S44" s="303"/>
      <c r="T44" s="303"/>
      <c r="U44" s="303"/>
      <c r="V44" s="303"/>
      <c r="W44" s="303"/>
      <c r="X44" s="303"/>
      <c r="Y44" s="303"/>
      <c r="Z44" s="303"/>
    </row>
    <row r="45" ht="14.25" customHeight="1">
      <c r="A45" s="303"/>
      <c r="B45" s="303"/>
      <c r="C45" s="303"/>
      <c r="D45" s="303"/>
      <c r="E45" s="303"/>
      <c r="F45" s="303"/>
      <c r="G45" s="303"/>
      <c r="H45" s="303"/>
      <c r="I45" s="303"/>
      <c r="J45" s="303"/>
      <c r="K45" s="303"/>
      <c r="L45" s="303"/>
      <c r="M45" s="303"/>
      <c r="N45" s="303"/>
      <c r="O45" s="303"/>
      <c r="P45" s="303"/>
      <c r="Q45" s="303"/>
      <c r="R45" s="303"/>
      <c r="S45" s="303"/>
      <c r="T45" s="303"/>
      <c r="U45" s="303"/>
      <c r="V45" s="303"/>
      <c r="W45" s="303"/>
      <c r="X45" s="303"/>
      <c r="Y45" s="303"/>
      <c r="Z45" s="303"/>
    </row>
    <row r="46" ht="14.25" customHeight="1">
      <c r="A46" s="303"/>
      <c r="B46" s="303"/>
      <c r="C46" s="303"/>
      <c r="D46" s="303"/>
      <c r="E46" s="303"/>
      <c r="F46" s="303"/>
      <c r="G46" s="303"/>
      <c r="H46" s="303"/>
      <c r="I46" s="303"/>
      <c r="J46" s="303"/>
      <c r="K46" s="303"/>
      <c r="L46" s="303"/>
      <c r="M46" s="303"/>
      <c r="N46" s="303"/>
      <c r="O46" s="303"/>
      <c r="P46" s="303"/>
      <c r="Q46" s="303"/>
      <c r="R46" s="303"/>
      <c r="S46" s="303"/>
      <c r="T46" s="303"/>
      <c r="U46" s="303"/>
      <c r="V46" s="303"/>
      <c r="W46" s="303"/>
      <c r="X46" s="303"/>
      <c r="Y46" s="303"/>
      <c r="Z46" s="303"/>
    </row>
    <row r="47" ht="14.25" customHeight="1">
      <c r="A47" s="303"/>
      <c r="B47" s="303"/>
      <c r="C47" s="303"/>
      <c r="D47" s="303"/>
      <c r="E47" s="303"/>
      <c r="F47" s="303"/>
      <c r="G47" s="303"/>
      <c r="H47" s="303"/>
      <c r="I47" s="303"/>
      <c r="J47" s="303"/>
      <c r="K47" s="303"/>
      <c r="L47" s="303"/>
      <c r="M47" s="303"/>
      <c r="N47" s="303"/>
      <c r="O47" s="303"/>
      <c r="P47" s="303"/>
      <c r="Q47" s="303"/>
      <c r="R47" s="303"/>
      <c r="S47" s="303"/>
      <c r="T47" s="303"/>
      <c r="U47" s="303"/>
      <c r="V47" s="303"/>
      <c r="W47" s="303"/>
      <c r="X47" s="303"/>
      <c r="Y47" s="303"/>
      <c r="Z47" s="303"/>
    </row>
    <row r="48" ht="14.25" customHeight="1">
      <c r="A48" s="303"/>
      <c r="B48" s="303"/>
      <c r="C48" s="303"/>
      <c r="D48" s="303"/>
      <c r="E48" s="303"/>
      <c r="F48" s="303"/>
      <c r="G48" s="303"/>
      <c r="H48" s="303"/>
      <c r="I48" s="303"/>
      <c r="J48" s="303"/>
      <c r="K48" s="303"/>
      <c r="L48" s="303"/>
      <c r="M48" s="303"/>
      <c r="N48" s="303"/>
      <c r="O48" s="303"/>
      <c r="P48" s="303"/>
      <c r="Q48" s="303"/>
      <c r="R48" s="303"/>
      <c r="S48" s="303"/>
      <c r="T48" s="303"/>
      <c r="U48" s="303"/>
      <c r="V48" s="303"/>
      <c r="W48" s="303"/>
      <c r="X48" s="303"/>
      <c r="Y48" s="303"/>
      <c r="Z48" s="303"/>
    </row>
    <row r="49" ht="14.25" customHeight="1">
      <c r="A49" s="303"/>
      <c r="B49" s="303"/>
      <c r="C49" s="303"/>
      <c r="D49" s="303"/>
      <c r="E49" s="303"/>
      <c r="F49" s="303"/>
      <c r="G49" s="303"/>
      <c r="H49" s="303"/>
      <c r="I49" s="303"/>
      <c r="J49" s="303"/>
      <c r="K49" s="303"/>
      <c r="L49" s="303"/>
      <c r="M49" s="303"/>
      <c r="N49" s="303"/>
      <c r="O49" s="303"/>
      <c r="P49" s="303"/>
      <c r="Q49" s="303"/>
      <c r="R49" s="303"/>
      <c r="S49" s="303"/>
      <c r="T49" s="303"/>
      <c r="U49" s="303"/>
      <c r="V49" s="303"/>
      <c r="W49" s="303"/>
      <c r="X49" s="303"/>
      <c r="Y49" s="303"/>
      <c r="Z49" s="303"/>
    </row>
    <row r="50" ht="14.25" customHeight="1">
      <c r="A50" s="303"/>
      <c r="B50" s="303"/>
      <c r="C50" s="303"/>
      <c r="D50" s="303"/>
      <c r="E50" s="303"/>
      <c r="F50" s="303"/>
      <c r="G50" s="303"/>
      <c r="H50" s="303"/>
      <c r="I50" s="303"/>
      <c r="J50" s="303"/>
      <c r="K50" s="303"/>
      <c r="L50" s="303"/>
      <c r="M50" s="303"/>
      <c r="N50" s="303"/>
      <c r="O50" s="303"/>
      <c r="P50" s="303"/>
      <c r="Q50" s="303"/>
      <c r="R50" s="303"/>
      <c r="S50" s="303"/>
      <c r="T50" s="303"/>
      <c r="U50" s="303"/>
      <c r="V50" s="303"/>
      <c r="W50" s="303"/>
      <c r="X50" s="303"/>
      <c r="Y50" s="303"/>
      <c r="Z50" s="303"/>
    </row>
    <row r="51" ht="14.25" customHeight="1">
      <c r="A51" s="303"/>
      <c r="B51" s="303"/>
      <c r="C51" s="303"/>
      <c r="D51" s="303"/>
      <c r="E51" s="303"/>
      <c r="F51" s="303"/>
      <c r="G51" s="303"/>
      <c r="H51" s="303"/>
      <c r="I51" s="303"/>
      <c r="J51" s="303"/>
      <c r="K51" s="303"/>
      <c r="L51" s="303"/>
      <c r="M51" s="303"/>
      <c r="N51" s="303"/>
      <c r="O51" s="303"/>
      <c r="P51" s="303"/>
      <c r="Q51" s="303"/>
      <c r="R51" s="303"/>
      <c r="S51" s="303"/>
      <c r="T51" s="303"/>
      <c r="U51" s="303"/>
      <c r="V51" s="303"/>
      <c r="W51" s="303"/>
      <c r="X51" s="303"/>
      <c r="Y51" s="303"/>
      <c r="Z51" s="303"/>
    </row>
    <row r="52" ht="14.25" customHeight="1">
      <c r="A52" s="303"/>
      <c r="B52" s="303"/>
      <c r="C52" s="303"/>
      <c r="D52" s="303"/>
      <c r="E52" s="303"/>
      <c r="F52" s="303"/>
      <c r="G52" s="303"/>
      <c r="H52" s="303"/>
      <c r="I52" s="303"/>
      <c r="J52" s="303"/>
      <c r="K52" s="303"/>
      <c r="L52" s="303"/>
      <c r="M52" s="303"/>
      <c r="N52" s="303"/>
      <c r="O52" s="303"/>
      <c r="P52" s="303"/>
      <c r="Q52" s="303"/>
      <c r="R52" s="303"/>
      <c r="S52" s="303"/>
      <c r="T52" s="303"/>
      <c r="U52" s="303"/>
      <c r="V52" s="303"/>
      <c r="W52" s="303"/>
      <c r="X52" s="303"/>
      <c r="Y52" s="303"/>
      <c r="Z52" s="303"/>
    </row>
    <row r="53" ht="14.25" customHeight="1">
      <c r="A53" s="303"/>
      <c r="B53" s="303"/>
      <c r="C53" s="303"/>
      <c r="D53" s="303"/>
      <c r="E53" s="303"/>
      <c r="F53" s="303"/>
      <c r="G53" s="303"/>
      <c r="H53" s="303"/>
      <c r="I53" s="303"/>
      <c r="J53" s="303"/>
      <c r="K53" s="303"/>
      <c r="L53" s="303"/>
      <c r="M53" s="303"/>
      <c r="N53" s="303"/>
      <c r="O53" s="303"/>
      <c r="P53" s="303"/>
      <c r="Q53" s="303"/>
      <c r="R53" s="303"/>
      <c r="S53" s="303"/>
      <c r="T53" s="303"/>
      <c r="U53" s="303"/>
      <c r="V53" s="303"/>
      <c r="W53" s="303"/>
      <c r="X53" s="303"/>
      <c r="Y53" s="303"/>
      <c r="Z53" s="303"/>
    </row>
    <row r="54" ht="14.25" customHeight="1">
      <c r="A54" s="303"/>
      <c r="B54" s="303"/>
      <c r="C54" s="303"/>
      <c r="D54" s="303"/>
      <c r="E54" s="303"/>
      <c r="F54" s="303"/>
      <c r="G54" s="303"/>
      <c r="H54" s="303"/>
      <c r="I54" s="303"/>
      <c r="J54" s="303"/>
      <c r="K54" s="303"/>
      <c r="L54" s="303"/>
      <c r="M54" s="303"/>
      <c r="N54" s="303"/>
      <c r="O54" s="303"/>
      <c r="P54" s="303"/>
      <c r="Q54" s="303"/>
      <c r="R54" s="303"/>
      <c r="S54" s="303"/>
      <c r="T54" s="303"/>
      <c r="U54" s="303"/>
      <c r="V54" s="303"/>
      <c r="W54" s="303"/>
      <c r="X54" s="303"/>
      <c r="Y54" s="303"/>
      <c r="Z54" s="303"/>
    </row>
    <row r="55" ht="14.25" customHeight="1">
      <c r="A55" s="303"/>
      <c r="B55" s="303"/>
      <c r="C55" s="303"/>
      <c r="D55" s="303"/>
      <c r="E55" s="303"/>
      <c r="F55" s="303"/>
      <c r="G55" s="303"/>
      <c r="H55" s="303"/>
      <c r="I55" s="303"/>
      <c r="J55" s="303"/>
      <c r="K55" s="303"/>
      <c r="L55" s="303"/>
      <c r="M55" s="303"/>
      <c r="N55" s="303"/>
      <c r="O55" s="303"/>
      <c r="P55" s="303"/>
      <c r="Q55" s="303"/>
      <c r="R55" s="303"/>
      <c r="S55" s="303"/>
      <c r="T55" s="303"/>
      <c r="U55" s="303"/>
      <c r="V55" s="303"/>
      <c r="W55" s="303"/>
      <c r="X55" s="303"/>
      <c r="Y55" s="303"/>
      <c r="Z55" s="303"/>
    </row>
    <row r="56" ht="14.25" customHeight="1">
      <c r="A56" s="303"/>
      <c r="B56" s="303"/>
      <c r="C56" s="303"/>
      <c r="D56" s="303"/>
      <c r="E56" s="303"/>
      <c r="F56" s="303"/>
      <c r="G56" s="303"/>
      <c r="H56" s="303"/>
      <c r="I56" s="303"/>
      <c r="J56" s="303"/>
      <c r="K56" s="303"/>
      <c r="L56" s="303"/>
      <c r="M56" s="303"/>
      <c r="N56" s="303"/>
      <c r="O56" s="303"/>
      <c r="P56" s="303"/>
      <c r="Q56" s="303"/>
      <c r="R56" s="303"/>
      <c r="S56" s="303"/>
      <c r="T56" s="303"/>
      <c r="U56" s="303"/>
      <c r="V56" s="303"/>
      <c r="W56" s="303"/>
      <c r="X56" s="303"/>
      <c r="Y56" s="303"/>
      <c r="Z56" s="303"/>
    </row>
    <row r="57" ht="14.25" customHeight="1">
      <c r="A57" s="303"/>
      <c r="B57" s="303"/>
      <c r="C57" s="303"/>
      <c r="D57" s="303"/>
      <c r="E57" s="303"/>
      <c r="F57" s="303"/>
      <c r="G57" s="303"/>
      <c r="H57" s="303"/>
      <c r="I57" s="303"/>
      <c r="J57" s="303"/>
      <c r="K57" s="303"/>
      <c r="L57" s="303"/>
      <c r="M57" s="303"/>
      <c r="N57" s="303"/>
      <c r="O57" s="303"/>
      <c r="P57" s="303"/>
      <c r="Q57" s="303"/>
      <c r="R57" s="303"/>
      <c r="S57" s="303"/>
      <c r="T57" s="303"/>
      <c r="U57" s="303"/>
      <c r="V57" s="303"/>
      <c r="W57" s="303"/>
      <c r="X57" s="303"/>
      <c r="Y57" s="303"/>
      <c r="Z57" s="303"/>
    </row>
    <row r="58" ht="14.25" customHeight="1">
      <c r="A58" s="303"/>
      <c r="B58" s="303"/>
      <c r="C58" s="303"/>
      <c r="D58" s="303"/>
      <c r="E58" s="303"/>
      <c r="F58" s="303"/>
      <c r="G58" s="303"/>
      <c r="H58" s="303"/>
      <c r="I58" s="303"/>
      <c r="J58" s="303"/>
      <c r="K58" s="303"/>
      <c r="L58" s="303"/>
      <c r="M58" s="303"/>
      <c r="N58" s="303"/>
      <c r="O58" s="303"/>
      <c r="P58" s="303"/>
      <c r="Q58" s="303"/>
      <c r="R58" s="303"/>
      <c r="S58" s="303"/>
      <c r="T58" s="303"/>
      <c r="U58" s="303"/>
      <c r="V58" s="303"/>
      <c r="W58" s="303"/>
      <c r="X58" s="303"/>
      <c r="Y58" s="303"/>
      <c r="Z58" s="303"/>
    </row>
    <row r="59" ht="14.25" customHeight="1">
      <c r="A59" s="303"/>
      <c r="B59" s="303"/>
      <c r="C59" s="303"/>
      <c r="D59" s="303"/>
      <c r="E59" s="303"/>
      <c r="F59" s="303"/>
      <c r="G59" s="303"/>
      <c r="H59" s="303"/>
      <c r="I59" s="303"/>
      <c r="J59" s="303"/>
      <c r="K59" s="303"/>
      <c r="L59" s="303"/>
      <c r="M59" s="303"/>
      <c r="N59" s="303"/>
      <c r="O59" s="303"/>
      <c r="P59" s="303"/>
      <c r="Q59" s="303"/>
      <c r="R59" s="303"/>
      <c r="S59" s="303"/>
      <c r="T59" s="303"/>
      <c r="U59" s="303"/>
      <c r="V59" s="303"/>
      <c r="W59" s="303"/>
      <c r="X59" s="303"/>
      <c r="Y59" s="303"/>
      <c r="Z59" s="303"/>
    </row>
    <row r="60" ht="14.25" customHeight="1">
      <c r="A60" s="303"/>
      <c r="B60" s="303"/>
      <c r="C60" s="303"/>
      <c r="D60" s="303"/>
      <c r="E60" s="303"/>
      <c r="F60" s="303"/>
      <c r="G60" s="303"/>
      <c r="H60" s="303"/>
      <c r="I60" s="303"/>
      <c r="J60" s="303"/>
      <c r="K60" s="303"/>
      <c r="L60" s="303"/>
      <c r="M60" s="303"/>
      <c r="N60" s="303"/>
      <c r="O60" s="303"/>
      <c r="P60" s="303"/>
      <c r="Q60" s="303"/>
      <c r="R60" s="303"/>
      <c r="S60" s="303"/>
      <c r="T60" s="303"/>
      <c r="U60" s="303"/>
      <c r="V60" s="303"/>
      <c r="W60" s="303"/>
      <c r="X60" s="303"/>
      <c r="Y60" s="303"/>
      <c r="Z60" s="303"/>
    </row>
    <row r="61" ht="14.25" customHeight="1">
      <c r="A61" s="303"/>
      <c r="B61" s="303"/>
      <c r="C61" s="303"/>
      <c r="D61" s="303"/>
      <c r="E61" s="303"/>
      <c r="F61" s="303"/>
      <c r="G61" s="303"/>
      <c r="H61" s="303"/>
      <c r="I61" s="303"/>
      <c r="J61" s="303"/>
      <c r="K61" s="303"/>
      <c r="L61" s="303"/>
      <c r="M61" s="303"/>
      <c r="N61" s="303"/>
      <c r="O61" s="303"/>
      <c r="P61" s="303"/>
      <c r="Q61" s="303"/>
      <c r="R61" s="303"/>
      <c r="S61" s="303"/>
      <c r="T61" s="303"/>
      <c r="U61" s="303"/>
      <c r="V61" s="303"/>
      <c r="W61" s="303"/>
      <c r="X61" s="303"/>
      <c r="Y61" s="303"/>
      <c r="Z61" s="303"/>
    </row>
    <row r="62" ht="14.25" customHeight="1">
      <c r="A62" s="303"/>
      <c r="B62" s="303"/>
      <c r="C62" s="303"/>
      <c r="D62" s="303"/>
      <c r="E62" s="303"/>
      <c r="F62" s="303"/>
      <c r="G62" s="303"/>
      <c r="H62" s="303"/>
      <c r="I62" s="303"/>
      <c r="J62" s="303"/>
      <c r="K62" s="303"/>
      <c r="L62" s="303"/>
      <c r="M62" s="303"/>
      <c r="N62" s="303"/>
      <c r="O62" s="303"/>
      <c r="P62" s="303"/>
      <c r="Q62" s="303"/>
      <c r="R62" s="303"/>
      <c r="S62" s="303"/>
      <c r="T62" s="303"/>
      <c r="U62" s="303"/>
      <c r="V62" s="303"/>
      <c r="W62" s="303"/>
      <c r="X62" s="303"/>
      <c r="Y62" s="303"/>
      <c r="Z62" s="303"/>
    </row>
    <row r="63" ht="14.25" customHeight="1">
      <c r="A63" s="303"/>
      <c r="B63" s="303"/>
      <c r="C63" s="303"/>
      <c r="D63" s="303"/>
      <c r="E63" s="303"/>
      <c r="F63" s="303"/>
      <c r="G63" s="303"/>
      <c r="H63" s="303"/>
      <c r="I63" s="303"/>
      <c r="J63" s="303"/>
      <c r="K63" s="303"/>
      <c r="L63" s="303"/>
      <c r="M63" s="303"/>
      <c r="N63" s="303"/>
      <c r="O63" s="303"/>
      <c r="P63" s="303"/>
      <c r="Q63" s="303"/>
      <c r="R63" s="303"/>
      <c r="S63" s="303"/>
      <c r="T63" s="303"/>
      <c r="U63" s="303"/>
      <c r="V63" s="303"/>
      <c r="W63" s="303"/>
      <c r="X63" s="303"/>
      <c r="Y63" s="303"/>
      <c r="Z63" s="303"/>
    </row>
    <row r="64" ht="14.25" customHeight="1">
      <c r="A64" s="303"/>
      <c r="B64" s="303"/>
      <c r="C64" s="303"/>
      <c r="D64" s="303"/>
      <c r="E64" s="303"/>
      <c r="F64" s="303"/>
      <c r="G64" s="303"/>
      <c r="H64" s="303"/>
      <c r="I64" s="303"/>
      <c r="J64" s="303"/>
      <c r="K64" s="303"/>
      <c r="L64" s="303"/>
      <c r="M64" s="303"/>
      <c r="N64" s="303"/>
      <c r="O64" s="303"/>
      <c r="P64" s="303"/>
      <c r="Q64" s="303"/>
      <c r="R64" s="303"/>
      <c r="S64" s="303"/>
      <c r="T64" s="303"/>
      <c r="U64" s="303"/>
      <c r="V64" s="303"/>
      <c r="W64" s="303"/>
      <c r="X64" s="303"/>
      <c r="Y64" s="303"/>
      <c r="Z64" s="303"/>
    </row>
    <row r="65" ht="14.25" customHeight="1">
      <c r="A65" s="303"/>
      <c r="B65" s="303"/>
      <c r="C65" s="303"/>
      <c r="D65" s="303"/>
      <c r="E65" s="303"/>
      <c r="F65" s="303"/>
      <c r="G65" s="303"/>
      <c r="H65" s="303"/>
      <c r="I65" s="303"/>
      <c r="J65" s="303"/>
      <c r="K65" s="303"/>
      <c r="L65" s="303"/>
      <c r="M65" s="303"/>
      <c r="N65" s="303"/>
      <c r="O65" s="303"/>
      <c r="P65" s="303"/>
      <c r="Q65" s="303"/>
      <c r="R65" s="303"/>
      <c r="S65" s="303"/>
      <c r="T65" s="303"/>
      <c r="U65" s="303"/>
      <c r="V65" s="303"/>
      <c r="W65" s="303"/>
      <c r="X65" s="303"/>
      <c r="Y65" s="303"/>
      <c r="Z65" s="303"/>
    </row>
    <row r="66" ht="14.25" customHeight="1">
      <c r="A66" s="303"/>
      <c r="B66" s="303"/>
      <c r="C66" s="303"/>
      <c r="D66" s="303"/>
      <c r="E66" s="303"/>
      <c r="F66" s="303"/>
      <c r="G66" s="303"/>
      <c r="H66" s="303"/>
      <c r="I66" s="303"/>
      <c r="J66" s="303"/>
      <c r="K66" s="303"/>
      <c r="L66" s="303"/>
      <c r="M66" s="303"/>
      <c r="N66" s="303"/>
      <c r="O66" s="303"/>
      <c r="P66" s="303"/>
      <c r="Q66" s="303"/>
      <c r="R66" s="303"/>
      <c r="S66" s="303"/>
      <c r="T66" s="303"/>
      <c r="U66" s="303"/>
      <c r="V66" s="303"/>
      <c r="W66" s="303"/>
      <c r="X66" s="303"/>
      <c r="Y66" s="303"/>
      <c r="Z66" s="303"/>
    </row>
    <row r="67" ht="14.25" customHeight="1">
      <c r="A67" s="303"/>
      <c r="B67" s="303"/>
      <c r="C67" s="303"/>
      <c r="D67" s="303"/>
      <c r="E67" s="303"/>
      <c r="F67" s="303"/>
      <c r="G67" s="303"/>
      <c r="H67" s="303"/>
      <c r="I67" s="303"/>
      <c r="J67" s="303"/>
      <c r="K67" s="303"/>
      <c r="L67" s="303"/>
      <c r="M67" s="303"/>
      <c r="N67" s="303"/>
      <c r="O67" s="303"/>
      <c r="P67" s="303"/>
      <c r="Q67" s="303"/>
      <c r="R67" s="303"/>
      <c r="S67" s="303"/>
      <c r="T67" s="303"/>
      <c r="U67" s="303"/>
      <c r="V67" s="303"/>
      <c r="W67" s="303"/>
      <c r="X67" s="303"/>
      <c r="Y67" s="303"/>
      <c r="Z67" s="303"/>
    </row>
    <row r="68" ht="14.25" customHeight="1">
      <c r="A68" s="303"/>
      <c r="B68" s="303"/>
      <c r="C68" s="303"/>
      <c r="D68" s="303"/>
      <c r="E68" s="303"/>
      <c r="F68" s="303"/>
      <c r="G68" s="303"/>
      <c r="H68" s="303"/>
      <c r="I68" s="303"/>
      <c r="J68" s="303"/>
      <c r="K68" s="303"/>
      <c r="L68" s="303"/>
      <c r="M68" s="303"/>
      <c r="N68" s="303"/>
      <c r="O68" s="303"/>
      <c r="P68" s="303"/>
      <c r="Q68" s="303"/>
      <c r="R68" s="303"/>
      <c r="S68" s="303"/>
      <c r="T68" s="303"/>
      <c r="U68" s="303"/>
      <c r="V68" s="303"/>
      <c r="W68" s="303"/>
      <c r="X68" s="303"/>
      <c r="Y68" s="303"/>
      <c r="Z68" s="303"/>
    </row>
    <row r="69" ht="14.25" customHeight="1">
      <c r="A69" s="303"/>
      <c r="B69" s="303"/>
      <c r="C69" s="303"/>
      <c r="D69" s="303"/>
      <c r="E69" s="303"/>
      <c r="F69" s="303"/>
      <c r="G69" s="303"/>
      <c r="H69" s="303"/>
      <c r="I69" s="303"/>
      <c r="J69" s="303"/>
      <c r="K69" s="303"/>
      <c r="L69" s="303"/>
      <c r="M69" s="303"/>
      <c r="N69" s="303"/>
      <c r="O69" s="303"/>
      <c r="P69" s="303"/>
      <c r="Q69" s="303"/>
      <c r="R69" s="303"/>
      <c r="S69" s="303"/>
      <c r="T69" s="303"/>
      <c r="U69" s="303"/>
      <c r="V69" s="303"/>
      <c r="W69" s="303"/>
      <c r="X69" s="303"/>
      <c r="Y69" s="303"/>
      <c r="Z69" s="303"/>
    </row>
    <row r="70" ht="14.25" customHeight="1">
      <c r="A70" s="303"/>
      <c r="B70" s="303"/>
      <c r="C70" s="303"/>
      <c r="D70" s="303"/>
      <c r="E70" s="303"/>
      <c r="F70" s="303"/>
      <c r="G70" s="303"/>
      <c r="H70" s="303"/>
      <c r="I70" s="303"/>
      <c r="J70" s="303"/>
      <c r="K70" s="303"/>
      <c r="L70" s="303"/>
      <c r="M70" s="303"/>
      <c r="N70" s="303"/>
      <c r="O70" s="303"/>
      <c r="P70" s="303"/>
      <c r="Q70" s="303"/>
      <c r="R70" s="303"/>
      <c r="S70" s="303"/>
      <c r="T70" s="303"/>
      <c r="U70" s="303"/>
      <c r="V70" s="303"/>
      <c r="W70" s="303"/>
      <c r="X70" s="303"/>
      <c r="Y70" s="303"/>
      <c r="Z70" s="303"/>
    </row>
    <row r="71" ht="14.25" customHeight="1">
      <c r="A71" s="303"/>
      <c r="B71" s="303"/>
      <c r="C71" s="303"/>
      <c r="D71" s="303"/>
      <c r="E71" s="303"/>
      <c r="F71" s="303"/>
      <c r="G71" s="303"/>
      <c r="H71" s="303"/>
      <c r="I71" s="303"/>
      <c r="J71" s="303"/>
      <c r="K71" s="303"/>
      <c r="L71" s="303"/>
      <c r="M71" s="303"/>
      <c r="N71" s="303"/>
      <c r="O71" s="303"/>
      <c r="P71" s="303"/>
      <c r="Q71" s="303"/>
      <c r="R71" s="303"/>
      <c r="S71" s="303"/>
      <c r="T71" s="303"/>
      <c r="U71" s="303"/>
      <c r="V71" s="303"/>
      <c r="W71" s="303"/>
      <c r="X71" s="303"/>
      <c r="Y71" s="303"/>
      <c r="Z71" s="303"/>
    </row>
    <row r="72" ht="14.25" customHeight="1">
      <c r="A72" s="303"/>
      <c r="B72" s="303"/>
      <c r="C72" s="303"/>
      <c r="D72" s="303"/>
      <c r="E72" s="303"/>
      <c r="F72" s="303"/>
      <c r="G72" s="303"/>
      <c r="H72" s="303"/>
      <c r="I72" s="303"/>
      <c r="J72" s="303"/>
      <c r="K72" s="303"/>
      <c r="L72" s="303"/>
      <c r="M72" s="303"/>
      <c r="N72" s="303"/>
      <c r="O72" s="303"/>
      <c r="P72" s="303"/>
      <c r="Q72" s="303"/>
      <c r="R72" s="303"/>
      <c r="S72" s="303"/>
      <c r="T72" s="303"/>
      <c r="U72" s="303"/>
      <c r="V72" s="303"/>
      <c r="W72" s="303"/>
      <c r="X72" s="303"/>
      <c r="Y72" s="303"/>
      <c r="Z72" s="303"/>
    </row>
    <row r="73" ht="14.25" customHeight="1">
      <c r="A73" s="303"/>
      <c r="B73" s="303"/>
      <c r="C73" s="303"/>
      <c r="D73" s="303"/>
      <c r="E73" s="303"/>
      <c r="F73" s="303"/>
      <c r="G73" s="303"/>
      <c r="H73" s="303"/>
      <c r="I73" s="303"/>
      <c r="J73" s="303"/>
      <c r="K73" s="303"/>
      <c r="L73" s="303"/>
      <c r="M73" s="303"/>
      <c r="N73" s="303"/>
      <c r="O73" s="303"/>
      <c r="P73" s="303"/>
      <c r="Q73" s="303"/>
      <c r="R73" s="303"/>
      <c r="S73" s="303"/>
      <c r="T73" s="303"/>
      <c r="U73" s="303"/>
      <c r="V73" s="303"/>
      <c r="W73" s="303"/>
      <c r="X73" s="303"/>
      <c r="Y73" s="303"/>
      <c r="Z73" s="303"/>
    </row>
    <row r="74" ht="14.25" customHeight="1">
      <c r="A74" s="303"/>
      <c r="B74" s="303"/>
      <c r="C74" s="303"/>
      <c r="D74" s="303"/>
      <c r="E74" s="303"/>
      <c r="F74" s="303"/>
      <c r="G74" s="303"/>
      <c r="H74" s="303"/>
      <c r="I74" s="303"/>
      <c r="J74" s="303"/>
      <c r="K74" s="303"/>
      <c r="L74" s="303"/>
      <c r="M74" s="303"/>
      <c r="N74" s="303"/>
      <c r="O74" s="303"/>
      <c r="P74" s="303"/>
      <c r="Q74" s="303"/>
      <c r="R74" s="303"/>
      <c r="S74" s="303"/>
      <c r="T74" s="303"/>
      <c r="U74" s="303"/>
      <c r="V74" s="303"/>
      <c r="W74" s="303"/>
      <c r="X74" s="303"/>
      <c r="Y74" s="303"/>
      <c r="Z74" s="303"/>
    </row>
    <row r="75" ht="14.25" customHeight="1">
      <c r="A75" s="303"/>
      <c r="B75" s="303"/>
      <c r="C75" s="303"/>
      <c r="D75" s="303"/>
      <c r="E75" s="303"/>
      <c r="F75" s="303"/>
      <c r="G75" s="303"/>
      <c r="H75" s="303"/>
      <c r="I75" s="303"/>
      <c r="J75" s="303"/>
      <c r="K75" s="303"/>
      <c r="L75" s="303"/>
      <c r="M75" s="303"/>
      <c r="N75" s="303"/>
      <c r="O75" s="303"/>
      <c r="P75" s="303"/>
      <c r="Q75" s="303"/>
      <c r="R75" s="303"/>
      <c r="S75" s="303"/>
      <c r="T75" s="303"/>
      <c r="U75" s="303"/>
      <c r="V75" s="303"/>
      <c r="W75" s="303"/>
      <c r="X75" s="303"/>
      <c r="Y75" s="303"/>
      <c r="Z75" s="303"/>
    </row>
    <row r="76" ht="14.25" customHeight="1">
      <c r="A76" s="303"/>
      <c r="B76" s="303"/>
      <c r="C76" s="303"/>
      <c r="D76" s="303"/>
      <c r="E76" s="303"/>
      <c r="F76" s="303"/>
      <c r="G76" s="303"/>
      <c r="H76" s="303"/>
      <c r="I76" s="303"/>
      <c r="J76" s="303"/>
      <c r="K76" s="303"/>
      <c r="L76" s="303"/>
      <c r="M76" s="303"/>
      <c r="N76" s="303"/>
      <c r="O76" s="303"/>
      <c r="P76" s="303"/>
      <c r="Q76" s="303"/>
      <c r="R76" s="303"/>
      <c r="S76" s="303"/>
      <c r="T76" s="303"/>
      <c r="U76" s="303"/>
      <c r="V76" s="303"/>
      <c r="W76" s="303"/>
      <c r="X76" s="303"/>
      <c r="Y76" s="303"/>
      <c r="Z76" s="303"/>
    </row>
    <row r="77" ht="14.25" customHeight="1">
      <c r="A77" s="303"/>
      <c r="B77" s="303"/>
      <c r="C77" s="303"/>
      <c r="D77" s="303"/>
      <c r="E77" s="303"/>
      <c r="F77" s="303"/>
      <c r="G77" s="303"/>
      <c r="H77" s="303"/>
      <c r="I77" s="303"/>
      <c r="J77" s="303"/>
      <c r="K77" s="303"/>
      <c r="L77" s="303"/>
      <c r="M77" s="303"/>
      <c r="N77" s="303"/>
      <c r="O77" s="303"/>
      <c r="P77" s="303"/>
      <c r="Q77" s="303"/>
      <c r="R77" s="303"/>
      <c r="S77" s="303"/>
      <c r="T77" s="303"/>
      <c r="U77" s="303"/>
      <c r="V77" s="303"/>
      <c r="W77" s="303"/>
      <c r="X77" s="303"/>
      <c r="Y77" s="303"/>
      <c r="Z77" s="303"/>
    </row>
    <row r="78" ht="14.25" customHeight="1">
      <c r="A78" s="303"/>
      <c r="B78" s="303"/>
      <c r="C78" s="303"/>
      <c r="D78" s="303"/>
      <c r="E78" s="303"/>
      <c r="F78" s="303"/>
      <c r="G78" s="303"/>
      <c r="H78" s="303"/>
      <c r="I78" s="303"/>
      <c r="J78" s="303"/>
      <c r="K78" s="303"/>
      <c r="L78" s="303"/>
      <c r="M78" s="303"/>
      <c r="N78" s="303"/>
      <c r="O78" s="303"/>
      <c r="P78" s="303"/>
      <c r="Q78" s="303"/>
      <c r="R78" s="303"/>
      <c r="S78" s="303"/>
      <c r="T78" s="303"/>
      <c r="U78" s="303"/>
      <c r="V78" s="303"/>
      <c r="W78" s="303"/>
      <c r="X78" s="303"/>
      <c r="Y78" s="303"/>
      <c r="Z78" s="303"/>
    </row>
    <row r="79" ht="14.25" customHeight="1">
      <c r="A79" s="303"/>
      <c r="B79" s="303"/>
      <c r="C79" s="303"/>
      <c r="D79" s="303"/>
      <c r="E79" s="303"/>
      <c r="F79" s="303"/>
      <c r="G79" s="303"/>
      <c r="H79" s="303"/>
      <c r="I79" s="303"/>
      <c r="J79" s="303"/>
      <c r="K79" s="303"/>
      <c r="L79" s="303"/>
      <c r="M79" s="303"/>
      <c r="N79" s="303"/>
      <c r="O79" s="303"/>
      <c r="P79" s="303"/>
      <c r="Q79" s="303"/>
      <c r="R79" s="303"/>
      <c r="S79" s="303"/>
      <c r="T79" s="303"/>
      <c r="U79" s="303"/>
      <c r="V79" s="303"/>
      <c r="W79" s="303"/>
      <c r="X79" s="303"/>
      <c r="Y79" s="303"/>
      <c r="Z79" s="303"/>
    </row>
    <row r="80" ht="14.25" customHeight="1">
      <c r="A80" s="303"/>
      <c r="B80" s="303"/>
      <c r="C80" s="303"/>
      <c r="D80" s="303"/>
      <c r="E80" s="303"/>
      <c r="F80" s="303"/>
      <c r="G80" s="303"/>
      <c r="H80" s="303"/>
      <c r="I80" s="303"/>
      <c r="J80" s="303"/>
      <c r="K80" s="303"/>
      <c r="L80" s="303"/>
      <c r="M80" s="303"/>
      <c r="N80" s="303"/>
      <c r="O80" s="303"/>
      <c r="P80" s="303"/>
      <c r="Q80" s="303"/>
      <c r="R80" s="303"/>
      <c r="S80" s="303"/>
      <c r="T80" s="303"/>
      <c r="U80" s="303"/>
      <c r="V80" s="303"/>
      <c r="W80" s="303"/>
      <c r="X80" s="303"/>
      <c r="Y80" s="303"/>
      <c r="Z80" s="303"/>
    </row>
    <row r="81" ht="14.25" customHeight="1">
      <c r="A81" s="303"/>
      <c r="B81" s="303"/>
      <c r="C81" s="303"/>
      <c r="D81" s="303"/>
      <c r="E81" s="303"/>
      <c r="F81" s="303"/>
      <c r="G81" s="303"/>
      <c r="H81" s="303"/>
      <c r="I81" s="303"/>
      <c r="J81" s="303"/>
      <c r="K81" s="303"/>
      <c r="L81" s="303"/>
      <c r="M81" s="303"/>
      <c r="N81" s="303"/>
      <c r="O81" s="303"/>
      <c r="P81" s="303"/>
      <c r="Q81" s="303"/>
      <c r="R81" s="303"/>
      <c r="S81" s="303"/>
      <c r="T81" s="303"/>
      <c r="U81" s="303"/>
      <c r="V81" s="303"/>
      <c r="W81" s="303"/>
      <c r="X81" s="303"/>
      <c r="Y81" s="303"/>
      <c r="Z81" s="303"/>
    </row>
    <row r="82" ht="14.25" customHeight="1">
      <c r="A82" s="303"/>
      <c r="B82" s="303"/>
      <c r="C82" s="303"/>
      <c r="D82" s="303"/>
      <c r="E82" s="303"/>
      <c r="F82" s="303"/>
      <c r="G82" s="303"/>
      <c r="H82" s="303"/>
      <c r="I82" s="303"/>
      <c r="J82" s="303"/>
      <c r="K82" s="303"/>
      <c r="L82" s="303"/>
      <c r="M82" s="303"/>
      <c r="N82" s="303"/>
      <c r="O82" s="303"/>
      <c r="P82" s="303"/>
      <c r="Q82" s="303"/>
      <c r="R82" s="303"/>
      <c r="S82" s="303"/>
      <c r="T82" s="303"/>
      <c r="U82" s="303"/>
      <c r="V82" s="303"/>
      <c r="W82" s="303"/>
      <c r="X82" s="303"/>
      <c r="Y82" s="303"/>
      <c r="Z82" s="303"/>
    </row>
    <row r="83" ht="14.25" customHeight="1">
      <c r="A83" s="303"/>
      <c r="B83" s="303"/>
      <c r="C83" s="303"/>
      <c r="D83" s="303"/>
      <c r="E83" s="303"/>
      <c r="F83" s="303"/>
      <c r="G83" s="303"/>
      <c r="H83" s="303"/>
      <c r="I83" s="303"/>
      <c r="J83" s="303"/>
      <c r="K83" s="303"/>
      <c r="L83" s="303"/>
      <c r="M83" s="303"/>
      <c r="N83" s="303"/>
      <c r="O83" s="303"/>
      <c r="P83" s="303"/>
      <c r="Q83" s="303"/>
      <c r="R83" s="303"/>
      <c r="S83" s="303"/>
      <c r="T83" s="303"/>
      <c r="U83" s="303"/>
      <c r="V83" s="303"/>
      <c r="W83" s="303"/>
      <c r="X83" s="303"/>
      <c r="Y83" s="303"/>
      <c r="Z83" s="303"/>
    </row>
    <row r="84" ht="14.25" customHeight="1">
      <c r="A84" s="303"/>
      <c r="B84" s="303"/>
      <c r="C84" s="303"/>
      <c r="D84" s="303"/>
      <c r="E84" s="303"/>
      <c r="F84" s="303"/>
      <c r="G84" s="303"/>
      <c r="H84" s="303"/>
      <c r="I84" s="303"/>
      <c r="J84" s="303"/>
      <c r="K84" s="303"/>
      <c r="L84" s="303"/>
      <c r="M84" s="303"/>
      <c r="N84" s="303"/>
      <c r="O84" s="303"/>
      <c r="P84" s="303"/>
      <c r="Q84" s="303"/>
      <c r="R84" s="303"/>
      <c r="S84" s="303"/>
      <c r="T84" s="303"/>
      <c r="U84" s="303"/>
      <c r="V84" s="303"/>
      <c r="W84" s="303"/>
      <c r="X84" s="303"/>
      <c r="Y84" s="303"/>
      <c r="Z84" s="303"/>
    </row>
    <row r="85" ht="14.25" customHeight="1">
      <c r="A85" s="303"/>
      <c r="B85" s="303"/>
      <c r="C85" s="303"/>
      <c r="D85" s="303"/>
      <c r="E85" s="303"/>
      <c r="F85" s="303"/>
      <c r="G85" s="303"/>
      <c r="H85" s="303"/>
      <c r="I85" s="303"/>
      <c r="J85" s="303"/>
      <c r="K85" s="303"/>
      <c r="L85" s="303"/>
      <c r="M85" s="303"/>
      <c r="N85" s="303"/>
      <c r="O85" s="303"/>
      <c r="P85" s="303"/>
      <c r="Q85" s="303"/>
      <c r="R85" s="303"/>
      <c r="S85" s="303"/>
      <c r="T85" s="303"/>
      <c r="U85" s="303"/>
      <c r="V85" s="303"/>
      <c r="W85" s="303"/>
      <c r="X85" s="303"/>
      <c r="Y85" s="303"/>
      <c r="Z85" s="303"/>
    </row>
    <row r="86" ht="14.25" customHeight="1">
      <c r="A86" s="303"/>
      <c r="B86" s="303"/>
      <c r="C86" s="303"/>
      <c r="D86" s="303"/>
      <c r="E86" s="303"/>
      <c r="F86" s="303"/>
      <c r="G86" s="303"/>
      <c r="H86" s="303"/>
      <c r="I86" s="303"/>
      <c r="J86" s="303"/>
      <c r="K86" s="303"/>
      <c r="L86" s="303"/>
      <c r="M86" s="303"/>
      <c r="N86" s="303"/>
      <c r="O86" s="303"/>
      <c r="P86" s="303"/>
      <c r="Q86" s="303"/>
      <c r="R86" s="303"/>
      <c r="S86" s="303"/>
      <c r="T86" s="303"/>
      <c r="U86" s="303"/>
      <c r="V86" s="303"/>
      <c r="W86" s="303"/>
      <c r="X86" s="303"/>
      <c r="Y86" s="303"/>
      <c r="Z86" s="303"/>
    </row>
    <row r="87" ht="14.25" customHeight="1">
      <c r="A87" s="303"/>
      <c r="B87" s="303"/>
      <c r="C87" s="303"/>
      <c r="D87" s="303"/>
      <c r="E87" s="303"/>
      <c r="F87" s="303"/>
      <c r="G87" s="303"/>
      <c r="H87" s="303"/>
      <c r="I87" s="303"/>
      <c r="J87" s="303"/>
      <c r="K87" s="303"/>
      <c r="L87" s="303"/>
      <c r="M87" s="303"/>
      <c r="N87" s="303"/>
      <c r="O87" s="303"/>
      <c r="P87" s="303"/>
      <c r="Q87" s="303"/>
      <c r="R87" s="303"/>
      <c r="S87" s="303"/>
      <c r="T87" s="303"/>
      <c r="U87" s="303"/>
      <c r="V87" s="303"/>
      <c r="W87" s="303"/>
      <c r="X87" s="303"/>
      <c r="Y87" s="303"/>
      <c r="Z87" s="303"/>
    </row>
    <row r="88" ht="14.25" customHeight="1">
      <c r="A88" s="303"/>
      <c r="B88" s="303"/>
      <c r="C88" s="303"/>
      <c r="D88" s="303"/>
      <c r="E88" s="303"/>
      <c r="F88" s="303"/>
      <c r="G88" s="303"/>
      <c r="H88" s="303"/>
      <c r="I88" s="303"/>
      <c r="J88" s="303"/>
      <c r="K88" s="303"/>
      <c r="L88" s="303"/>
      <c r="M88" s="303"/>
      <c r="N88" s="303"/>
      <c r="O88" s="303"/>
      <c r="P88" s="303"/>
      <c r="Q88" s="303"/>
      <c r="R88" s="303"/>
      <c r="S88" s="303"/>
      <c r="T88" s="303"/>
      <c r="U88" s="303"/>
      <c r="V88" s="303"/>
      <c r="W88" s="303"/>
      <c r="X88" s="303"/>
      <c r="Y88" s="303"/>
      <c r="Z88" s="303"/>
    </row>
    <row r="89" ht="14.25" customHeight="1">
      <c r="A89" s="303"/>
      <c r="B89" s="303"/>
      <c r="C89" s="303"/>
      <c r="D89" s="303"/>
      <c r="E89" s="303"/>
      <c r="F89" s="303"/>
      <c r="G89" s="303"/>
      <c r="H89" s="303"/>
      <c r="I89" s="303"/>
      <c r="J89" s="303"/>
      <c r="K89" s="303"/>
      <c r="L89" s="303"/>
      <c r="M89" s="303"/>
      <c r="N89" s="303"/>
      <c r="O89" s="303"/>
      <c r="P89" s="303"/>
      <c r="Q89" s="303"/>
      <c r="R89" s="303"/>
      <c r="S89" s="303"/>
      <c r="T89" s="303"/>
      <c r="U89" s="303"/>
      <c r="V89" s="303"/>
      <c r="W89" s="303"/>
      <c r="X89" s="303"/>
      <c r="Y89" s="303"/>
      <c r="Z89" s="303"/>
    </row>
    <row r="90" ht="14.25" customHeight="1">
      <c r="A90" s="303"/>
      <c r="B90" s="303"/>
      <c r="C90" s="303"/>
      <c r="D90" s="303"/>
      <c r="E90" s="303"/>
      <c r="F90" s="303"/>
      <c r="G90" s="303"/>
      <c r="H90" s="303"/>
      <c r="I90" s="303"/>
      <c r="J90" s="303"/>
      <c r="K90" s="303"/>
      <c r="L90" s="303"/>
      <c r="M90" s="303"/>
      <c r="N90" s="303"/>
      <c r="O90" s="303"/>
      <c r="P90" s="303"/>
      <c r="Q90" s="303"/>
      <c r="R90" s="303"/>
      <c r="S90" s="303"/>
      <c r="T90" s="303"/>
      <c r="U90" s="303"/>
      <c r="V90" s="303"/>
      <c r="W90" s="303"/>
      <c r="X90" s="303"/>
      <c r="Y90" s="303"/>
      <c r="Z90" s="303"/>
    </row>
    <row r="91" ht="14.25" customHeight="1">
      <c r="A91" s="303"/>
      <c r="B91" s="303"/>
      <c r="C91" s="303"/>
      <c r="D91" s="303"/>
      <c r="E91" s="303"/>
      <c r="F91" s="303"/>
      <c r="G91" s="303"/>
      <c r="H91" s="303"/>
      <c r="I91" s="303"/>
      <c r="J91" s="303"/>
      <c r="K91" s="303"/>
      <c r="L91" s="303"/>
      <c r="M91" s="303"/>
      <c r="N91" s="303"/>
      <c r="O91" s="303"/>
      <c r="P91" s="303"/>
      <c r="Q91" s="303"/>
      <c r="R91" s="303"/>
      <c r="S91" s="303"/>
      <c r="T91" s="303"/>
      <c r="U91" s="303"/>
      <c r="V91" s="303"/>
      <c r="W91" s="303"/>
      <c r="X91" s="303"/>
      <c r="Y91" s="303"/>
      <c r="Z91" s="303"/>
    </row>
    <row r="92" ht="14.25" customHeight="1">
      <c r="A92" s="303"/>
      <c r="B92" s="303"/>
      <c r="C92" s="303"/>
      <c r="D92" s="303"/>
      <c r="E92" s="303"/>
      <c r="F92" s="303"/>
      <c r="G92" s="303"/>
      <c r="H92" s="303"/>
      <c r="I92" s="303"/>
      <c r="J92" s="303"/>
      <c r="K92" s="303"/>
      <c r="L92" s="303"/>
      <c r="M92" s="303"/>
      <c r="N92" s="303"/>
      <c r="O92" s="303"/>
      <c r="P92" s="303"/>
      <c r="Q92" s="303"/>
      <c r="R92" s="303"/>
      <c r="S92" s="303"/>
      <c r="T92" s="303"/>
      <c r="U92" s="303"/>
      <c r="V92" s="303"/>
      <c r="W92" s="303"/>
      <c r="X92" s="303"/>
      <c r="Y92" s="303"/>
      <c r="Z92" s="303"/>
    </row>
    <row r="93" ht="14.25" customHeight="1">
      <c r="A93" s="303"/>
      <c r="B93" s="303"/>
      <c r="C93" s="303"/>
      <c r="D93" s="303"/>
      <c r="E93" s="303"/>
      <c r="F93" s="303"/>
      <c r="G93" s="303"/>
      <c r="H93" s="303"/>
      <c r="I93" s="303"/>
      <c r="J93" s="303"/>
      <c r="K93" s="303"/>
      <c r="L93" s="303"/>
      <c r="M93" s="303"/>
      <c r="N93" s="303"/>
      <c r="O93" s="303"/>
      <c r="P93" s="303"/>
      <c r="Q93" s="303"/>
      <c r="R93" s="303"/>
      <c r="S93" s="303"/>
      <c r="T93" s="303"/>
      <c r="U93" s="303"/>
      <c r="V93" s="303"/>
      <c r="W93" s="303"/>
      <c r="X93" s="303"/>
      <c r="Y93" s="303"/>
      <c r="Z93" s="303"/>
    </row>
    <row r="94" ht="14.25" customHeight="1">
      <c r="A94" s="303"/>
      <c r="B94" s="303"/>
      <c r="C94" s="303"/>
      <c r="D94" s="303"/>
      <c r="E94" s="303"/>
      <c r="F94" s="303"/>
      <c r="G94" s="303"/>
      <c r="H94" s="303"/>
      <c r="I94" s="303"/>
      <c r="J94" s="303"/>
      <c r="K94" s="303"/>
      <c r="L94" s="303"/>
      <c r="M94" s="303"/>
      <c r="N94" s="303"/>
      <c r="O94" s="303"/>
      <c r="P94" s="303"/>
      <c r="Q94" s="303"/>
      <c r="R94" s="303"/>
      <c r="S94" s="303"/>
      <c r="T94" s="303"/>
      <c r="U94" s="303"/>
      <c r="V94" s="303"/>
      <c r="W94" s="303"/>
      <c r="X94" s="303"/>
      <c r="Y94" s="303"/>
      <c r="Z94" s="303"/>
    </row>
    <row r="95" ht="14.25" customHeight="1">
      <c r="A95" s="303"/>
      <c r="B95" s="303"/>
      <c r="C95" s="303"/>
      <c r="D95" s="303"/>
      <c r="E95" s="303"/>
      <c r="F95" s="303"/>
      <c r="G95" s="303"/>
      <c r="H95" s="303"/>
      <c r="I95" s="303"/>
      <c r="J95" s="303"/>
      <c r="K95" s="303"/>
      <c r="L95" s="303"/>
      <c r="M95" s="303"/>
      <c r="N95" s="303"/>
      <c r="O95" s="303"/>
      <c r="P95" s="303"/>
      <c r="Q95" s="303"/>
      <c r="R95" s="303"/>
      <c r="S95" s="303"/>
      <c r="T95" s="303"/>
      <c r="U95" s="303"/>
      <c r="V95" s="303"/>
      <c r="W95" s="303"/>
      <c r="X95" s="303"/>
      <c r="Y95" s="303"/>
      <c r="Z95" s="303"/>
    </row>
    <row r="96" ht="14.25" customHeight="1">
      <c r="A96" s="303"/>
      <c r="B96" s="303"/>
      <c r="C96" s="303"/>
      <c r="D96" s="303"/>
      <c r="E96" s="303"/>
      <c r="F96" s="303"/>
      <c r="G96" s="303"/>
      <c r="H96" s="303"/>
      <c r="I96" s="303"/>
      <c r="J96" s="303"/>
      <c r="K96" s="303"/>
      <c r="L96" s="303"/>
      <c r="M96" s="303"/>
      <c r="N96" s="303"/>
      <c r="O96" s="303"/>
      <c r="P96" s="303"/>
      <c r="Q96" s="303"/>
      <c r="R96" s="303"/>
      <c r="S96" s="303"/>
      <c r="T96" s="303"/>
      <c r="U96" s="303"/>
      <c r="V96" s="303"/>
      <c r="W96" s="303"/>
      <c r="X96" s="303"/>
      <c r="Y96" s="303"/>
      <c r="Z96" s="303"/>
    </row>
    <row r="97" ht="14.25" customHeight="1">
      <c r="A97" s="303"/>
      <c r="B97" s="303"/>
      <c r="C97" s="303"/>
      <c r="D97" s="303"/>
      <c r="E97" s="303"/>
      <c r="F97" s="303"/>
      <c r="G97" s="303"/>
      <c r="H97" s="303"/>
      <c r="I97" s="303"/>
      <c r="J97" s="303"/>
      <c r="K97" s="303"/>
      <c r="L97" s="303"/>
      <c r="M97" s="303"/>
      <c r="N97" s="303"/>
      <c r="O97" s="303"/>
      <c r="P97" s="303"/>
      <c r="Q97" s="303"/>
      <c r="R97" s="303"/>
      <c r="S97" s="303"/>
      <c r="T97" s="303"/>
      <c r="U97" s="303"/>
      <c r="V97" s="303"/>
      <c r="W97" s="303"/>
      <c r="X97" s="303"/>
      <c r="Y97" s="303"/>
      <c r="Z97" s="303"/>
    </row>
    <row r="98" ht="14.25" customHeight="1">
      <c r="A98" s="303"/>
      <c r="B98" s="303"/>
      <c r="C98" s="303"/>
      <c r="D98" s="303"/>
      <c r="E98" s="303"/>
      <c r="F98" s="303"/>
      <c r="G98" s="303"/>
      <c r="H98" s="303"/>
      <c r="I98" s="303"/>
      <c r="J98" s="303"/>
      <c r="K98" s="303"/>
      <c r="L98" s="303"/>
      <c r="M98" s="303"/>
      <c r="N98" s="303"/>
      <c r="O98" s="303"/>
      <c r="P98" s="303"/>
      <c r="Q98" s="303"/>
      <c r="R98" s="303"/>
      <c r="S98" s="303"/>
      <c r="T98" s="303"/>
      <c r="U98" s="303"/>
      <c r="V98" s="303"/>
      <c r="W98" s="303"/>
      <c r="X98" s="303"/>
      <c r="Y98" s="303"/>
      <c r="Z98" s="303"/>
    </row>
    <row r="99" ht="14.25" customHeight="1">
      <c r="A99" s="303"/>
      <c r="B99" s="303"/>
      <c r="C99" s="303"/>
      <c r="D99" s="303"/>
      <c r="E99" s="303"/>
      <c r="F99" s="303"/>
      <c r="G99" s="303"/>
      <c r="H99" s="303"/>
      <c r="I99" s="303"/>
      <c r="J99" s="303"/>
      <c r="K99" s="303"/>
      <c r="L99" s="303"/>
      <c r="M99" s="303"/>
      <c r="N99" s="303"/>
      <c r="O99" s="303"/>
      <c r="P99" s="303"/>
      <c r="Q99" s="303"/>
      <c r="R99" s="303"/>
      <c r="S99" s="303"/>
      <c r="T99" s="303"/>
      <c r="U99" s="303"/>
      <c r="V99" s="303"/>
      <c r="W99" s="303"/>
      <c r="X99" s="303"/>
      <c r="Y99" s="303"/>
      <c r="Z99" s="303"/>
    </row>
    <row r="100" ht="14.25" customHeight="1">
      <c r="A100" s="303"/>
      <c r="B100" s="303"/>
      <c r="C100" s="303"/>
      <c r="D100" s="303"/>
      <c r="E100" s="303"/>
      <c r="F100" s="303"/>
      <c r="G100" s="303"/>
      <c r="H100" s="303"/>
      <c r="I100" s="303"/>
      <c r="J100" s="303"/>
      <c r="K100" s="303"/>
      <c r="L100" s="303"/>
      <c r="M100" s="303"/>
      <c r="N100" s="303"/>
      <c r="O100" s="303"/>
      <c r="P100" s="303"/>
      <c r="Q100" s="303"/>
      <c r="R100" s="303"/>
      <c r="S100" s="303"/>
      <c r="T100" s="303"/>
      <c r="U100" s="303"/>
      <c r="V100" s="303"/>
      <c r="W100" s="303"/>
      <c r="X100" s="303"/>
      <c r="Y100" s="303"/>
      <c r="Z100" s="303"/>
    </row>
    <row r="101" ht="14.25" customHeight="1">
      <c r="A101" s="303"/>
      <c r="B101" s="303"/>
      <c r="C101" s="303"/>
      <c r="D101" s="303"/>
      <c r="E101" s="303"/>
      <c r="F101" s="303"/>
      <c r="G101" s="303"/>
      <c r="H101" s="303"/>
      <c r="I101" s="303"/>
      <c r="J101" s="303"/>
      <c r="K101" s="303"/>
      <c r="L101" s="303"/>
      <c r="M101" s="303"/>
      <c r="N101" s="303"/>
      <c r="O101" s="303"/>
      <c r="P101" s="303"/>
      <c r="Q101" s="303"/>
      <c r="R101" s="303"/>
      <c r="S101" s="303"/>
      <c r="T101" s="303"/>
      <c r="U101" s="303"/>
      <c r="V101" s="303"/>
      <c r="W101" s="303"/>
      <c r="X101" s="303"/>
      <c r="Y101" s="303"/>
      <c r="Z101" s="303"/>
    </row>
    <row r="102" ht="14.25" customHeight="1">
      <c r="A102" s="303"/>
      <c r="B102" s="303"/>
      <c r="C102" s="303"/>
      <c r="D102" s="303"/>
      <c r="E102" s="303"/>
      <c r="F102" s="303"/>
      <c r="G102" s="303"/>
      <c r="H102" s="303"/>
      <c r="I102" s="303"/>
      <c r="J102" s="303"/>
      <c r="K102" s="303"/>
      <c r="L102" s="303"/>
      <c r="M102" s="303"/>
      <c r="N102" s="303"/>
      <c r="O102" s="303"/>
      <c r="P102" s="303"/>
      <c r="Q102" s="303"/>
      <c r="R102" s="303"/>
      <c r="S102" s="303"/>
      <c r="T102" s="303"/>
      <c r="U102" s="303"/>
      <c r="V102" s="303"/>
      <c r="W102" s="303"/>
      <c r="X102" s="303"/>
      <c r="Y102" s="303"/>
      <c r="Z102" s="303"/>
    </row>
    <row r="103" ht="14.25" customHeight="1">
      <c r="A103" s="303"/>
      <c r="B103" s="303"/>
      <c r="C103" s="303"/>
      <c r="D103" s="303"/>
      <c r="E103" s="303"/>
      <c r="F103" s="303"/>
      <c r="G103" s="303"/>
      <c r="H103" s="303"/>
      <c r="I103" s="303"/>
      <c r="J103" s="303"/>
      <c r="K103" s="303"/>
      <c r="L103" s="303"/>
      <c r="M103" s="303"/>
      <c r="N103" s="303"/>
      <c r="O103" s="303"/>
      <c r="P103" s="303"/>
      <c r="Q103" s="303"/>
      <c r="R103" s="303"/>
      <c r="S103" s="303"/>
      <c r="T103" s="303"/>
      <c r="U103" s="303"/>
      <c r="V103" s="303"/>
      <c r="W103" s="303"/>
      <c r="X103" s="303"/>
      <c r="Y103" s="303"/>
      <c r="Z103" s="303"/>
    </row>
    <row r="104" ht="14.25" customHeight="1">
      <c r="A104" s="303"/>
      <c r="B104" s="303"/>
      <c r="C104" s="303"/>
      <c r="D104" s="303"/>
      <c r="E104" s="303"/>
      <c r="F104" s="303"/>
      <c r="G104" s="303"/>
      <c r="H104" s="303"/>
      <c r="I104" s="303"/>
      <c r="J104" s="303"/>
      <c r="K104" s="303"/>
      <c r="L104" s="303"/>
      <c r="M104" s="303"/>
      <c r="N104" s="303"/>
      <c r="O104" s="303"/>
      <c r="P104" s="303"/>
      <c r="Q104" s="303"/>
      <c r="R104" s="303"/>
      <c r="S104" s="303"/>
      <c r="T104" s="303"/>
      <c r="U104" s="303"/>
      <c r="V104" s="303"/>
      <c r="W104" s="303"/>
      <c r="X104" s="303"/>
      <c r="Y104" s="303"/>
      <c r="Z104" s="303"/>
    </row>
    <row r="105" ht="14.25" customHeight="1">
      <c r="A105" s="303"/>
      <c r="B105" s="303"/>
      <c r="C105" s="303"/>
      <c r="D105" s="303"/>
      <c r="E105" s="303"/>
      <c r="F105" s="303"/>
      <c r="G105" s="303"/>
      <c r="H105" s="303"/>
      <c r="I105" s="303"/>
      <c r="J105" s="303"/>
      <c r="K105" s="303"/>
      <c r="L105" s="303"/>
      <c r="M105" s="303"/>
      <c r="N105" s="303"/>
      <c r="O105" s="303"/>
      <c r="P105" s="303"/>
      <c r="Q105" s="303"/>
      <c r="R105" s="303"/>
      <c r="S105" s="303"/>
      <c r="T105" s="303"/>
      <c r="U105" s="303"/>
      <c r="V105" s="303"/>
      <c r="W105" s="303"/>
      <c r="X105" s="303"/>
      <c r="Y105" s="303"/>
      <c r="Z105" s="303"/>
    </row>
    <row r="106" ht="14.25" customHeight="1">
      <c r="A106" s="303"/>
      <c r="B106" s="303"/>
      <c r="C106" s="303"/>
      <c r="D106" s="303"/>
      <c r="E106" s="303"/>
      <c r="F106" s="303"/>
      <c r="G106" s="303"/>
      <c r="H106" s="303"/>
      <c r="I106" s="303"/>
      <c r="J106" s="303"/>
      <c r="K106" s="303"/>
      <c r="L106" s="303"/>
      <c r="M106" s="303"/>
      <c r="N106" s="303"/>
      <c r="O106" s="303"/>
      <c r="P106" s="303"/>
      <c r="Q106" s="303"/>
      <c r="R106" s="303"/>
      <c r="S106" s="303"/>
      <c r="T106" s="303"/>
      <c r="U106" s="303"/>
      <c r="V106" s="303"/>
      <c r="W106" s="303"/>
      <c r="X106" s="303"/>
      <c r="Y106" s="303"/>
      <c r="Z106" s="303"/>
    </row>
    <row r="107" ht="14.25" customHeight="1">
      <c r="A107" s="303"/>
      <c r="B107" s="303"/>
      <c r="C107" s="303"/>
      <c r="D107" s="303"/>
      <c r="E107" s="303"/>
      <c r="F107" s="303"/>
      <c r="G107" s="303"/>
      <c r="H107" s="303"/>
      <c r="I107" s="303"/>
      <c r="J107" s="303"/>
      <c r="K107" s="303"/>
      <c r="L107" s="303"/>
      <c r="M107" s="303"/>
      <c r="N107" s="303"/>
      <c r="O107" s="303"/>
      <c r="P107" s="303"/>
      <c r="Q107" s="303"/>
      <c r="R107" s="303"/>
      <c r="S107" s="303"/>
      <c r="T107" s="303"/>
      <c r="U107" s="303"/>
      <c r="V107" s="303"/>
      <c r="W107" s="303"/>
      <c r="X107" s="303"/>
      <c r="Y107" s="303"/>
      <c r="Z107" s="303"/>
    </row>
    <row r="108" ht="14.25" customHeight="1">
      <c r="A108" s="303"/>
      <c r="B108" s="303"/>
      <c r="C108" s="303"/>
      <c r="D108" s="303"/>
      <c r="E108" s="303"/>
      <c r="F108" s="303"/>
      <c r="G108" s="303"/>
      <c r="H108" s="303"/>
      <c r="I108" s="303"/>
      <c r="J108" s="303"/>
      <c r="K108" s="303"/>
      <c r="L108" s="303"/>
      <c r="M108" s="303"/>
      <c r="N108" s="303"/>
      <c r="O108" s="303"/>
      <c r="P108" s="303"/>
      <c r="Q108" s="303"/>
      <c r="R108" s="303"/>
      <c r="S108" s="303"/>
      <c r="T108" s="303"/>
      <c r="U108" s="303"/>
      <c r="V108" s="303"/>
      <c r="W108" s="303"/>
      <c r="X108" s="303"/>
      <c r="Y108" s="303"/>
      <c r="Z108" s="303"/>
    </row>
    <row r="109" ht="14.25" customHeight="1">
      <c r="A109" s="303"/>
      <c r="B109" s="303"/>
      <c r="C109" s="303"/>
      <c r="D109" s="303"/>
      <c r="E109" s="303"/>
      <c r="F109" s="303"/>
      <c r="G109" s="303"/>
      <c r="H109" s="303"/>
      <c r="I109" s="303"/>
      <c r="J109" s="303"/>
      <c r="K109" s="303"/>
      <c r="L109" s="303"/>
      <c r="M109" s="303"/>
      <c r="N109" s="303"/>
      <c r="O109" s="303"/>
      <c r="P109" s="303"/>
      <c r="Q109" s="303"/>
      <c r="R109" s="303"/>
      <c r="S109" s="303"/>
      <c r="T109" s="303"/>
      <c r="U109" s="303"/>
      <c r="V109" s="303"/>
      <c r="W109" s="303"/>
      <c r="X109" s="303"/>
      <c r="Y109" s="303"/>
      <c r="Z109" s="303"/>
    </row>
    <row r="110" ht="14.25" customHeight="1">
      <c r="A110" s="303"/>
      <c r="B110" s="303"/>
      <c r="C110" s="303"/>
      <c r="D110" s="303"/>
      <c r="E110" s="303"/>
      <c r="F110" s="303"/>
      <c r="G110" s="303"/>
      <c r="H110" s="303"/>
      <c r="I110" s="303"/>
      <c r="J110" s="303"/>
      <c r="K110" s="303"/>
      <c r="L110" s="303"/>
      <c r="M110" s="303"/>
      <c r="N110" s="303"/>
      <c r="O110" s="303"/>
      <c r="P110" s="303"/>
      <c r="Q110" s="303"/>
      <c r="R110" s="303"/>
      <c r="S110" s="303"/>
      <c r="T110" s="303"/>
      <c r="U110" s="303"/>
      <c r="V110" s="303"/>
      <c r="W110" s="303"/>
      <c r="X110" s="303"/>
      <c r="Y110" s="303"/>
      <c r="Z110" s="303"/>
    </row>
    <row r="111" ht="14.25" customHeight="1">
      <c r="A111" s="303"/>
      <c r="B111" s="303"/>
      <c r="C111" s="303"/>
      <c r="D111" s="303"/>
      <c r="E111" s="303"/>
      <c r="F111" s="303"/>
      <c r="G111" s="303"/>
      <c r="H111" s="303"/>
      <c r="I111" s="303"/>
      <c r="J111" s="303"/>
      <c r="K111" s="303"/>
      <c r="L111" s="303"/>
      <c r="M111" s="303"/>
      <c r="N111" s="303"/>
      <c r="O111" s="303"/>
      <c r="P111" s="303"/>
      <c r="Q111" s="303"/>
      <c r="R111" s="303"/>
      <c r="S111" s="303"/>
      <c r="T111" s="303"/>
      <c r="U111" s="303"/>
      <c r="V111" s="303"/>
      <c r="W111" s="303"/>
      <c r="X111" s="303"/>
      <c r="Y111" s="303"/>
      <c r="Z111" s="303"/>
    </row>
    <row r="112" ht="14.25" customHeight="1">
      <c r="A112" s="303"/>
      <c r="B112" s="303"/>
      <c r="C112" s="303"/>
      <c r="D112" s="303"/>
      <c r="E112" s="303"/>
      <c r="F112" s="303"/>
      <c r="G112" s="303"/>
      <c r="H112" s="303"/>
      <c r="I112" s="303"/>
      <c r="J112" s="303"/>
      <c r="K112" s="303"/>
      <c r="L112" s="303"/>
      <c r="M112" s="303"/>
      <c r="N112" s="303"/>
      <c r="O112" s="303"/>
      <c r="P112" s="303"/>
      <c r="Q112" s="303"/>
      <c r="R112" s="303"/>
      <c r="S112" s="303"/>
      <c r="T112" s="303"/>
      <c r="U112" s="303"/>
      <c r="V112" s="303"/>
      <c r="W112" s="303"/>
      <c r="X112" s="303"/>
      <c r="Y112" s="303"/>
      <c r="Z112" s="303"/>
    </row>
    <row r="113" ht="14.25" customHeight="1">
      <c r="A113" s="303"/>
      <c r="B113" s="303"/>
      <c r="C113" s="303"/>
      <c r="D113" s="303"/>
      <c r="E113" s="303"/>
      <c r="F113" s="303"/>
      <c r="G113" s="303"/>
      <c r="H113" s="303"/>
      <c r="I113" s="303"/>
      <c r="J113" s="303"/>
      <c r="K113" s="303"/>
      <c r="L113" s="303"/>
      <c r="M113" s="303"/>
      <c r="N113" s="303"/>
      <c r="O113" s="303"/>
      <c r="P113" s="303"/>
      <c r="Q113" s="303"/>
      <c r="R113" s="303"/>
      <c r="S113" s="303"/>
      <c r="T113" s="303"/>
      <c r="U113" s="303"/>
      <c r="V113" s="303"/>
      <c r="W113" s="303"/>
      <c r="X113" s="303"/>
      <c r="Y113" s="303"/>
      <c r="Z113" s="303"/>
    </row>
    <row r="114" ht="14.25" customHeight="1">
      <c r="A114" s="303"/>
      <c r="B114" s="303"/>
      <c r="C114" s="303"/>
      <c r="D114" s="303"/>
      <c r="E114" s="303"/>
      <c r="F114" s="303"/>
      <c r="G114" s="303"/>
      <c r="H114" s="303"/>
      <c r="I114" s="303"/>
      <c r="J114" s="303"/>
      <c r="K114" s="303"/>
      <c r="L114" s="303"/>
      <c r="M114" s="303"/>
      <c r="N114" s="303"/>
      <c r="O114" s="303"/>
      <c r="P114" s="303"/>
      <c r="Q114" s="303"/>
      <c r="R114" s="303"/>
      <c r="S114" s="303"/>
      <c r="T114" s="303"/>
      <c r="U114" s="303"/>
      <c r="V114" s="303"/>
      <c r="W114" s="303"/>
      <c r="X114" s="303"/>
      <c r="Y114" s="303"/>
      <c r="Z114" s="303"/>
    </row>
    <row r="115" ht="14.25" customHeight="1">
      <c r="A115" s="303"/>
      <c r="B115" s="303"/>
      <c r="C115" s="303"/>
      <c r="D115" s="303"/>
      <c r="E115" s="303"/>
      <c r="F115" s="303"/>
      <c r="G115" s="303"/>
      <c r="H115" s="303"/>
      <c r="I115" s="303"/>
      <c r="J115" s="303"/>
      <c r="K115" s="303"/>
      <c r="L115" s="303"/>
      <c r="M115" s="303"/>
      <c r="N115" s="303"/>
      <c r="O115" s="303"/>
      <c r="P115" s="303"/>
      <c r="Q115" s="303"/>
      <c r="R115" s="303"/>
      <c r="S115" s="303"/>
      <c r="T115" s="303"/>
      <c r="U115" s="303"/>
      <c r="V115" s="303"/>
      <c r="W115" s="303"/>
      <c r="X115" s="303"/>
      <c r="Y115" s="303"/>
      <c r="Z115" s="303"/>
    </row>
    <row r="116" ht="14.25" customHeight="1">
      <c r="A116" s="303"/>
      <c r="B116" s="303"/>
      <c r="C116" s="303"/>
      <c r="D116" s="303"/>
      <c r="E116" s="303"/>
      <c r="F116" s="303"/>
      <c r="G116" s="303"/>
      <c r="H116" s="303"/>
      <c r="I116" s="303"/>
      <c r="J116" s="303"/>
      <c r="K116" s="303"/>
      <c r="L116" s="303"/>
      <c r="M116" s="303"/>
      <c r="N116" s="303"/>
      <c r="O116" s="303"/>
      <c r="P116" s="303"/>
      <c r="Q116" s="303"/>
      <c r="R116" s="303"/>
      <c r="S116" s="303"/>
      <c r="T116" s="303"/>
      <c r="U116" s="303"/>
      <c r="V116" s="303"/>
      <c r="W116" s="303"/>
      <c r="X116" s="303"/>
      <c r="Y116" s="303"/>
      <c r="Z116" s="303"/>
    </row>
    <row r="117" ht="14.25" customHeight="1">
      <c r="A117" s="303"/>
      <c r="B117" s="303"/>
      <c r="C117" s="303"/>
      <c r="D117" s="303"/>
      <c r="E117" s="303"/>
      <c r="F117" s="303"/>
      <c r="G117" s="303"/>
      <c r="H117" s="303"/>
      <c r="I117" s="303"/>
      <c r="J117" s="303"/>
      <c r="K117" s="303"/>
      <c r="L117" s="303"/>
      <c r="M117" s="303"/>
      <c r="N117" s="303"/>
      <c r="O117" s="303"/>
      <c r="P117" s="303"/>
      <c r="Q117" s="303"/>
      <c r="R117" s="303"/>
      <c r="S117" s="303"/>
      <c r="T117" s="303"/>
      <c r="U117" s="303"/>
      <c r="V117" s="303"/>
      <c r="W117" s="303"/>
      <c r="X117" s="303"/>
      <c r="Y117" s="303"/>
      <c r="Z117" s="303"/>
    </row>
    <row r="118" ht="14.25" customHeight="1">
      <c r="A118" s="303"/>
      <c r="B118" s="303"/>
      <c r="C118" s="303"/>
      <c r="D118" s="303"/>
      <c r="E118" s="303"/>
      <c r="F118" s="303"/>
      <c r="G118" s="303"/>
      <c r="H118" s="303"/>
      <c r="I118" s="303"/>
      <c r="J118" s="303"/>
      <c r="K118" s="303"/>
      <c r="L118" s="303"/>
      <c r="M118" s="303"/>
      <c r="N118" s="303"/>
      <c r="O118" s="303"/>
      <c r="P118" s="303"/>
      <c r="Q118" s="303"/>
      <c r="R118" s="303"/>
      <c r="S118" s="303"/>
      <c r="T118" s="303"/>
      <c r="U118" s="303"/>
      <c r="V118" s="303"/>
      <c r="W118" s="303"/>
      <c r="X118" s="303"/>
      <c r="Y118" s="303"/>
      <c r="Z118" s="303"/>
    </row>
    <row r="119" ht="14.25" customHeight="1">
      <c r="A119" s="303"/>
      <c r="B119" s="303"/>
      <c r="C119" s="303"/>
      <c r="D119" s="303"/>
      <c r="E119" s="303"/>
      <c r="F119" s="303"/>
      <c r="G119" s="303"/>
      <c r="H119" s="303"/>
      <c r="I119" s="303"/>
      <c r="J119" s="303"/>
      <c r="K119" s="303"/>
      <c r="L119" s="303"/>
      <c r="M119" s="303"/>
      <c r="N119" s="303"/>
      <c r="O119" s="303"/>
      <c r="P119" s="303"/>
      <c r="Q119" s="303"/>
      <c r="R119" s="303"/>
      <c r="S119" s="303"/>
      <c r="T119" s="303"/>
      <c r="U119" s="303"/>
      <c r="V119" s="303"/>
      <c r="W119" s="303"/>
      <c r="X119" s="303"/>
      <c r="Y119" s="303"/>
      <c r="Z119" s="303"/>
    </row>
    <row r="120" ht="14.25" customHeight="1">
      <c r="A120" s="303"/>
      <c r="B120" s="303"/>
      <c r="C120" s="303"/>
      <c r="D120" s="303"/>
      <c r="E120" s="303"/>
      <c r="F120" s="303"/>
      <c r="G120" s="303"/>
      <c r="H120" s="303"/>
      <c r="I120" s="303"/>
      <c r="J120" s="303"/>
      <c r="K120" s="303"/>
      <c r="L120" s="303"/>
      <c r="M120" s="303"/>
      <c r="N120" s="303"/>
      <c r="O120" s="303"/>
      <c r="P120" s="303"/>
      <c r="Q120" s="303"/>
      <c r="R120" s="303"/>
      <c r="S120" s="303"/>
      <c r="T120" s="303"/>
      <c r="U120" s="303"/>
      <c r="V120" s="303"/>
      <c r="W120" s="303"/>
      <c r="X120" s="303"/>
      <c r="Y120" s="303"/>
      <c r="Z120" s="303"/>
    </row>
    <row r="121" ht="14.25" customHeight="1">
      <c r="A121" s="303"/>
      <c r="B121" s="303"/>
      <c r="C121" s="303"/>
      <c r="D121" s="303"/>
      <c r="E121" s="303"/>
      <c r="F121" s="303"/>
      <c r="G121" s="303"/>
      <c r="H121" s="303"/>
      <c r="I121" s="303"/>
      <c r="J121" s="303"/>
      <c r="K121" s="303"/>
      <c r="L121" s="303"/>
      <c r="M121" s="303"/>
      <c r="N121" s="303"/>
      <c r="O121" s="303"/>
      <c r="P121" s="303"/>
      <c r="Q121" s="303"/>
      <c r="R121" s="303"/>
      <c r="S121" s="303"/>
      <c r="T121" s="303"/>
      <c r="U121" s="303"/>
      <c r="V121" s="303"/>
      <c r="W121" s="303"/>
      <c r="X121" s="303"/>
      <c r="Y121" s="303"/>
      <c r="Z121" s="303"/>
    </row>
    <row r="122" ht="14.25" customHeight="1">
      <c r="A122" s="303"/>
      <c r="B122" s="303"/>
      <c r="C122" s="303"/>
      <c r="D122" s="303"/>
      <c r="E122" s="303"/>
      <c r="F122" s="303"/>
      <c r="G122" s="303"/>
      <c r="H122" s="303"/>
      <c r="I122" s="303"/>
      <c r="J122" s="303"/>
      <c r="K122" s="303"/>
      <c r="L122" s="303"/>
      <c r="M122" s="303"/>
      <c r="N122" s="303"/>
      <c r="O122" s="303"/>
      <c r="P122" s="303"/>
      <c r="Q122" s="303"/>
      <c r="R122" s="303"/>
      <c r="S122" s="303"/>
      <c r="T122" s="303"/>
      <c r="U122" s="303"/>
      <c r="V122" s="303"/>
      <c r="W122" s="303"/>
      <c r="X122" s="303"/>
      <c r="Y122" s="303"/>
      <c r="Z122" s="303"/>
    </row>
    <row r="123" ht="14.25" customHeight="1">
      <c r="A123" s="303"/>
      <c r="B123" s="303"/>
      <c r="C123" s="303"/>
      <c r="D123" s="303"/>
      <c r="E123" s="303"/>
      <c r="F123" s="303"/>
      <c r="G123" s="303"/>
      <c r="H123" s="303"/>
      <c r="I123" s="303"/>
      <c r="J123" s="303"/>
      <c r="K123" s="303"/>
      <c r="L123" s="303"/>
      <c r="M123" s="303"/>
      <c r="N123" s="303"/>
      <c r="O123" s="303"/>
      <c r="P123" s="303"/>
      <c r="Q123" s="303"/>
      <c r="R123" s="303"/>
      <c r="S123" s="303"/>
      <c r="T123" s="303"/>
      <c r="U123" s="303"/>
      <c r="V123" s="303"/>
      <c r="W123" s="303"/>
      <c r="X123" s="303"/>
      <c r="Y123" s="303"/>
      <c r="Z123" s="303"/>
    </row>
    <row r="124" ht="14.25" customHeight="1">
      <c r="A124" s="303"/>
      <c r="B124" s="303"/>
      <c r="C124" s="303"/>
      <c r="D124" s="303"/>
      <c r="E124" s="303"/>
      <c r="F124" s="303"/>
      <c r="G124" s="303"/>
      <c r="H124" s="303"/>
      <c r="I124" s="303"/>
      <c r="J124" s="303"/>
      <c r="K124" s="303"/>
      <c r="L124" s="303"/>
      <c r="M124" s="303"/>
      <c r="N124" s="303"/>
      <c r="O124" s="303"/>
      <c r="P124" s="303"/>
      <c r="Q124" s="303"/>
      <c r="R124" s="303"/>
      <c r="S124" s="303"/>
      <c r="T124" s="303"/>
      <c r="U124" s="303"/>
      <c r="V124" s="303"/>
      <c r="W124" s="303"/>
      <c r="X124" s="303"/>
      <c r="Y124" s="303"/>
      <c r="Z124" s="303"/>
    </row>
    <row r="125" ht="14.25" customHeight="1">
      <c r="A125" s="303"/>
      <c r="B125" s="303"/>
      <c r="C125" s="303"/>
      <c r="D125" s="303"/>
      <c r="E125" s="303"/>
      <c r="F125" s="303"/>
      <c r="G125" s="303"/>
      <c r="H125" s="303"/>
      <c r="I125" s="303"/>
      <c r="J125" s="303"/>
      <c r="K125" s="303"/>
      <c r="L125" s="303"/>
      <c r="M125" s="303"/>
      <c r="N125" s="303"/>
      <c r="O125" s="303"/>
      <c r="P125" s="303"/>
      <c r="Q125" s="303"/>
      <c r="R125" s="303"/>
      <c r="S125" s="303"/>
      <c r="T125" s="303"/>
      <c r="U125" s="303"/>
      <c r="V125" s="303"/>
      <c r="W125" s="303"/>
      <c r="X125" s="303"/>
      <c r="Y125" s="303"/>
      <c r="Z125" s="303"/>
    </row>
    <row r="126" ht="14.25" customHeight="1">
      <c r="A126" s="303"/>
      <c r="B126" s="303"/>
      <c r="C126" s="303"/>
      <c r="D126" s="303"/>
      <c r="E126" s="303"/>
      <c r="F126" s="303"/>
      <c r="G126" s="303"/>
      <c r="H126" s="303"/>
      <c r="I126" s="303"/>
      <c r="J126" s="303"/>
      <c r="K126" s="303"/>
      <c r="L126" s="303"/>
      <c r="M126" s="303"/>
      <c r="N126" s="303"/>
      <c r="O126" s="303"/>
      <c r="P126" s="303"/>
      <c r="Q126" s="303"/>
      <c r="R126" s="303"/>
      <c r="S126" s="303"/>
      <c r="T126" s="303"/>
      <c r="U126" s="303"/>
      <c r="V126" s="303"/>
      <c r="W126" s="303"/>
      <c r="X126" s="303"/>
      <c r="Y126" s="303"/>
      <c r="Z126" s="303"/>
    </row>
    <row r="127" ht="14.25" customHeight="1">
      <c r="A127" s="303"/>
      <c r="B127" s="303"/>
      <c r="C127" s="303"/>
      <c r="D127" s="303"/>
      <c r="E127" s="303"/>
      <c r="F127" s="303"/>
      <c r="G127" s="303"/>
      <c r="H127" s="303"/>
      <c r="I127" s="303"/>
      <c r="J127" s="303"/>
      <c r="K127" s="303"/>
      <c r="L127" s="303"/>
      <c r="M127" s="303"/>
      <c r="N127" s="303"/>
      <c r="O127" s="303"/>
      <c r="P127" s="303"/>
      <c r="Q127" s="303"/>
      <c r="R127" s="303"/>
      <c r="S127" s="303"/>
      <c r="T127" s="303"/>
      <c r="U127" s="303"/>
      <c r="V127" s="303"/>
      <c r="W127" s="303"/>
      <c r="X127" s="303"/>
      <c r="Y127" s="303"/>
      <c r="Z127" s="303"/>
    </row>
    <row r="128" ht="14.25" customHeight="1">
      <c r="A128" s="303"/>
      <c r="B128" s="303"/>
      <c r="C128" s="303"/>
      <c r="D128" s="303"/>
      <c r="E128" s="303"/>
      <c r="F128" s="303"/>
      <c r="G128" s="303"/>
      <c r="H128" s="303"/>
      <c r="I128" s="303"/>
      <c r="J128" s="303"/>
      <c r="K128" s="303"/>
      <c r="L128" s="303"/>
      <c r="M128" s="303"/>
      <c r="N128" s="303"/>
      <c r="O128" s="303"/>
      <c r="P128" s="303"/>
      <c r="Q128" s="303"/>
      <c r="R128" s="303"/>
      <c r="S128" s="303"/>
      <c r="T128" s="303"/>
      <c r="U128" s="303"/>
      <c r="V128" s="303"/>
      <c r="W128" s="303"/>
      <c r="X128" s="303"/>
      <c r="Y128" s="303"/>
      <c r="Z128" s="303"/>
    </row>
    <row r="129" ht="14.25" customHeight="1">
      <c r="A129" s="303"/>
      <c r="B129" s="303"/>
      <c r="C129" s="303"/>
      <c r="D129" s="303"/>
      <c r="E129" s="303"/>
      <c r="F129" s="303"/>
      <c r="G129" s="303"/>
      <c r="H129" s="303"/>
      <c r="I129" s="303"/>
      <c r="J129" s="303"/>
      <c r="K129" s="303"/>
      <c r="L129" s="303"/>
      <c r="M129" s="303"/>
      <c r="N129" s="303"/>
      <c r="O129" s="303"/>
      <c r="P129" s="303"/>
      <c r="Q129" s="303"/>
      <c r="R129" s="303"/>
      <c r="S129" s="303"/>
      <c r="T129" s="303"/>
      <c r="U129" s="303"/>
      <c r="V129" s="303"/>
      <c r="W129" s="303"/>
      <c r="X129" s="303"/>
      <c r="Y129" s="303"/>
      <c r="Z129" s="303"/>
    </row>
    <row r="130" ht="14.25" customHeight="1">
      <c r="A130" s="303"/>
      <c r="B130" s="303"/>
      <c r="C130" s="303"/>
      <c r="D130" s="303"/>
      <c r="E130" s="303"/>
      <c r="F130" s="303"/>
      <c r="G130" s="303"/>
      <c r="H130" s="303"/>
      <c r="I130" s="303"/>
      <c r="J130" s="303"/>
      <c r="K130" s="303"/>
      <c r="L130" s="303"/>
      <c r="M130" s="303"/>
      <c r="N130" s="303"/>
      <c r="O130" s="303"/>
      <c r="P130" s="303"/>
      <c r="Q130" s="303"/>
      <c r="R130" s="303"/>
      <c r="S130" s="303"/>
      <c r="T130" s="303"/>
      <c r="U130" s="303"/>
      <c r="V130" s="303"/>
      <c r="W130" s="303"/>
      <c r="X130" s="303"/>
      <c r="Y130" s="303"/>
      <c r="Z130" s="303"/>
    </row>
    <row r="131" ht="14.25" customHeight="1">
      <c r="A131" s="303"/>
      <c r="B131" s="303"/>
      <c r="C131" s="303"/>
      <c r="D131" s="303"/>
      <c r="E131" s="303"/>
      <c r="F131" s="303"/>
      <c r="G131" s="303"/>
      <c r="H131" s="303"/>
      <c r="I131" s="303"/>
      <c r="J131" s="303"/>
      <c r="K131" s="303"/>
      <c r="L131" s="303"/>
      <c r="M131" s="303"/>
      <c r="N131" s="303"/>
      <c r="O131" s="303"/>
      <c r="P131" s="303"/>
      <c r="Q131" s="303"/>
      <c r="R131" s="303"/>
      <c r="S131" s="303"/>
      <c r="T131" s="303"/>
      <c r="U131" s="303"/>
      <c r="V131" s="303"/>
      <c r="W131" s="303"/>
      <c r="X131" s="303"/>
      <c r="Y131" s="303"/>
      <c r="Z131" s="303"/>
    </row>
    <row r="132" ht="14.25" customHeight="1">
      <c r="A132" s="303"/>
      <c r="B132" s="303"/>
      <c r="C132" s="303"/>
      <c r="D132" s="303"/>
      <c r="E132" s="303"/>
      <c r="F132" s="303"/>
      <c r="G132" s="303"/>
      <c r="H132" s="303"/>
      <c r="I132" s="303"/>
      <c r="J132" s="303"/>
      <c r="K132" s="303"/>
      <c r="L132" s="303"/>
      <c r="M132" s="303"/>
      <c r="N132" s="303"/>
      <c r="O132" s="303"/>
      <c r="P132" s="303"/>
      <c r="Q132" s="303"/>
      <c r="R132" s="303"/>
      <c r="S132" s="303"/>
      <c r="T132" s="303"/>
      <c r="U132" s="303"/>
      <c r="V132" s="303"/>
      <c r="W132" s="303"/>
      <c r="X132" s="303"/>
      <c r="Y132" s="303"/>
      <c r="Z132" s="303"/>
    </row>
    <row r="133" ht="14.25" customHeight="1">
      <c r="A133" s="303"/>
      <c r="B133" s="303"/>
      <c r="C133" s="303"/>
      <c r="D133" s="303"/>
      <c r="E133" s="303"/>
      <c r="F133" s="303"/>
      <c r="G133" s="303"/>
      <c r="H133" s="303"/>
      <c r="I133" s="303"/>
      <c r="J133" s="303"/>
      <c r="K133" s="303"/>
      <c r="L133" s="303"/>
      <c r="M133" s="303"/>
      <c r="N133" s="303"/>
      <c r="O133" s="303"/>
      <c r="P133" s="303"/>
      <c r="Q133" s="303"/>
      <c r="R133" s="303"/>
      <c r="S133" s="303"/>
      <c r="T133" s="303"/>
      <c r="U133" s="303"/>
      <c r="V133" s="303"/>
      <c r="W133" s="303"/>
      <c r="X133" s="303"/>
      <c r="Y133" s="303"/>
      <c r="Z133" s="303"/>
    </row>
    <row r="134" ht="14.25" customHeight="1">
      <c r="A134" s="303"/>
      <c r="B134" s="303"/>
      <c r="C134" s="303"/>
      <c r="D134" s="303"/>
      <c r="E134" s="303"/>
      <c r="F134" s="303"/>
      <c r="G134" s="303"/>
      <c r="H134" s="303"/>
      <c r="I134" s="303"/>
      <c r="J134" s="303"/>
      <c r="K134" s="303"/>
      <c r="L134" s="303"/>
      <c r="M134" s="303"/>
      <c r="N134" s="303"/>
      <c r="O134" s="303"/>
      <c r="P134" s="303"/>
      <c r="Q134" s="303"/>
      <c r="R134" s="303"/>
      <c r="S134" s="303"/>
      <c r="T134" s="303"/>
      <c r="U134" s="303"/>
      <c r="V134" s="303"/>
      <c r="W134" s="303"/>
      <c r="X134" s="303"/>
      <c r="Y134" s="303"/>
      <c r="Z134" s="303"/>
    </row>
    <row r="135" ht="14.25" customHeight="1">
      <c r="A135" s="303"/>
      <c r="B135" s="303"/>
      <c r="C135" s="303"/>
      <c r="D135" s="303"/>
      <c r="E135" s="303"/>
      <c r="F135" s="303"/>
      <c r="G135" s="303"/>
      <c r="H135" s="303"/>
      <c r="I135" s="303"/>
      <c r="J135" s="303"/>
      <c r="K135" s="303"/>
      <c r="L135" s="303"/>
      <c r="M135" s="303"/>
      <c r="N135" s="303"/>
      <c r="O135" s="303"/>
      <c r="P135" s="303"/>
      <c r="Q135" s="303"/>
      <c r="R135" s="303"/>
      <c r="S135" s="303"/>
      <c r="T135" s="303"/>
      <c r="U135" s="303"/>
      <c r="V135" s="303"/>
      <c r="W135" s="303"/>
      <c r="X135" s="303"/>
      <c r="Y135" s="303"/>
      <c r="Z135" s="303"/>
    </row>
    <row r="136" ht="14.25" customHeight="1">
      <c r="A136" s="303"/>
      <c r="B136" s="303"/>
      <c r="C136" s="303"/>
      <c r="D136" s="303"/>
      <c r="E136" s="303"/>
      <c r="F136" s="303"/>
      <c r="G136" s="303"/>
      <c r="H136" s="303"/>
      <c r="I136" s="303"/>
      <c r="J136" s="303"/>
      <c r="K136" s="303"/>
      <c r="L136" s="303"/>
      <c r="M136" s="303"/>
      <c r="N136" s="303"/>
      <c r="O136" s="303"/>
      <c r="P136" s="303"/>
      <c r="Q136" s="303"/>
      <c r="R136" s="303"/>
      <c r="S136" s="303"/>
      <c r="T136" s="303"/>
      <c r="U136" s="303"/>
      <c r="V136" s="303"/>
      <c r="W136" s="303"/>
      <c r="X136" s="303"/>
      <c r="Y136" s="303"/>
      <c r="Z136" s="303"/>
    </row>
    <row r="137" ht="14.25" customHeight="1">
      <c r="A137" s="303"/>
      <c r="B137" s="303"/>
      <c r="C137" s="303"/>
      <c r="D137" s="303"/>
      <c r="E137" s="303"/>
      <c r="F137" s="303"/>
      <c r="G137" s="303"/>
      <c r="H137" s="303"/>
      <c r="I137" s="303"/>
      <c r="J137" s="303"/>
      <c r="K137" s="303"/>
      <c r="L137" s="303"/>
      <c r="M137" s="303"/>
      <c r="N137" s="303"/>
      <c r="O137" s="303"/>
      <c r="P137" s="303"/>
      <c r="Q137" s="303"/>
      <c r="R137" s="303"/>
      <c r="S137" s="303"/>
      <c r="T137" s="303"/>
      <c r="U137" s="303"/>
      <c r="V137" s="303"/>
      <c r="W137" s="303"/>
      <c r="X137" s="303"/>
      <c r="Y137" s="303"/>
      <c r="Z137" s="303"/>
    </row>
    <row r="138" ht="14.25" customHeight="1">
      <c r="A138" s="303"/>
      <c r="B138" s="303"/>
      <c r="C138" s="303"/>
      <c r="D138" s="303"/>
      <c r="E138" s="303"/>
      <c r="F138" s="303"/>
      <c r="G138" s="303"/>
      <c r="H138" s="303"/>
      <c r="I138" s="303"/>
      <c r="J138" s="303"/>
      <c r="K138" s="303"/>
      <c r="L138" s="303"/>
      <c r="M138" s="303"/>
      <c r="N138" s="303"/>
      <c r="O138" s="303"/>
      <c r="P138" s="303"/>
      <c r="Q138" s="303"/>
      <c r="R138" s="303"/>
      <c r="S138" s="303"/>
      <c r="T138" s="303"/>
      <c r="U138" s="303"/>
      <c r="V138" s="303"/>
      <c r="W138" s="303"/>
      <c r="X138" s="303"/>
      <c r="Y138" s="303"/>
      <c r="Z138" s="303"/>
    </row>
    <row r="139" ht="14.25" customHeight="1">
      <c r="A139" s="303"/>
      <c r="B139" s="303"/>
      <c r="C139" s="303"/>
      <c r="D139" s="303"/>
      <c r="E139" s="303"/>
      <c r="F139" s="303"/>
      <c r="G139" s="303"/>
      <c r="H139" s="303"/>
      <c r="I139" s="303"/>
      <c r="J139" s="303"/>
      <c r="K139" s="303"/>
      <c r="L139" s="303"/>
      <c r="M139" s="303"/>
      <c r="N139" s="303"/>
      <c r="O139" s="303"/>
      <c r="P139" s="303"/>
      <c r="Q139" s="303"/>
      <c r="R139" s="303"/>
      <c r="S139" s="303"/>
      <c r="T139" s="303"/>
      <c r="U139" s="303"/>
      <c r="V139" s="303"/>
      <c r="W139" s="303"/>
      <c r="X139" s="303"/>
      <c r="Y139" s="303"/>
      <c r="Z139" s="303"/>
    </row>
    <row r="140" ht="14.25" customHeight="1">
      <c r="A140" s="303"/>
      <c r="B140" s="303"/>
      <c r="C140" s="303"/>
      <c r="D140" s="303"/>
      <c r="E140" s="303"/>
      <c r="F140" s="303"/>
      <c r="G140" s="303"/>
      <c r="H140" s="303"/>
      <c r="I140" s="303"/>
      <c r="J140" s="303"/>
      <c r="K140" s="303"/>
      <c r="L140" s="303"/>
      <c r="M140" s="303"/>
      <c r="N140" s="303"/>
      <c r="O140" s="303"/>
      <c r="P140" s="303"/>
      <c r="Q140" s="303"/>
      <c r="R140" s="303"/>
      <c r="S140" s="303"/>
      <c r="T140" s="303"/>
      <c r="U140" s="303"/>
      <c r="V140" s="303"/>
      <c r="W140" s="303"/>
      <c r="X140" s="303"/>
      <c r="Y140" s="303"/>
      <c r="Z140" s="303"/>
    </row>
    <row r="141" ht="14.25" customHeight="1">
      <c r="A141" s="303"/>
      <c r="B141" s="303"/>
      <c r="C141" s="303"/>
      <c r="D141" s="303"/>
      <c r="E141" s="303"/>
      <c r="F141" s="303"/>
      <c r="G141" s="303"/>
      <c r="H141" s="303"/>
      <c r="I141" s="303"/>
      <c r="J141" s="303"/>
      <c r="K141" s="303"/>
      <c r="L141" s="303"/>
      <c r="M141" s="303"/>
      <c r="N141" s="303"/>
      <c r="O141" s="303"/>
      <c r="P141" s="303"/>
      <c r="Q141" s="303"/>
      <c r="R141" s="303"/>
      <c r="S141" s="303"/>
      <c r="T141" s="303"/>
      <c r="U141" s="303"/>
      <c r="V141" s="303"/>
      <c r="W141" s="303"/>
      <c r="X141" s="303"/>
      <c r="Y141" s="303"/>
      <c r="Z141" s="303"/>
    </row>
    <row r="142" ht="14.25" customHeight="1">
      <c r="A142" s="303"/>
      <c r="B142" s="303"/>
      <c r="C142" s="303"/>
      <c r="D142" s="303"/>
      <c r="E142" s="303"/>
      <c r="F142" s="303"/>
      <c r="G142" s="303"/>
      <c r="H142" s="303"/>
      <c r="I142" s="303"/>
      <c r="J142" s="303"/>
      <c r="K142" s="303"/>
      <c r="L142" s="303"/>
      <c r="M142" s="303"/>
      <c r="N142" s="303"/>
      <c r="O142" s="303"/>
      <c r="P142" s="303"/>
      <c r="Q142" s="303"/>
      <c r="R142" s="303"/>
      <c r="S142" s="303"/>
      <c r="T142" s="303"/>
      <c r="U142" s="303"/>
      <c r="V142" s="303"/>
      <c r="W142" s="303"/>
      <c r="X142" s="303"/>
      <c r="Y142" s="303"/>
      <c r="Z142" s="303"/>
    </row>
    <row r="143" ht="14.25" customHeight="1">
      <c r="A143" s="303"/>
      <c r="B143" s="303"/>
      <c r="C143" s="303"/>
      <c r="D143" s="303"/>
      <c r="E143" s="303"/>
      <c r="F143" s="303"/>
      <c r="G143" s="303"/>
      <c r="H143" s="303"/>
      <c r="I143" s="303"/>
      <c r="J143" s="303"/>
      <c r="K143" s="303"/>
      <c r="L143" s="303"/>
      <c r="M143" s="303"/>
      <c r="N143" s="303"/>
      <c r="O143" s="303"/>
      <c r="P143" s="303"/>
      <c r="Q143" s="303"/>
      <c r="R143" s="303"/>
      <c r="S143" s="303"/>
      <c r="T143" s="303"/>
      <c r="U143" s="303"/>
      <c r="V143" s="303"/>
      <c r="W143" s="303"/>
      <c r="X143" s="303"/>
      <c r="Y143" s="303"/>
      <c r="Z143" s="303"/>
    </row>
    <row r="144" ht="14.25" customHeight="1">
      <c r="A144" s="303"/>
      <c r="B144" s="303"/>
      <c r="C144" s="303"/>
      <c r="D144" s="303"/>
      <c r="E144" s="303"/>
      <c r="F144" s="303"/>
      <c r="G144" s="303"/>
      <c r="H144" s="303"/>
      <c r="I144" s="303"/>
      <c r="J144" s="303"/>
      <c r="K144" s="303"/>
      <c r="L144" s="303"/>
      <c r="M144" s="303"/>
      <c r="N144" s="303"/>
      <c r="O144" s="303"/>
      <c r="P144" s="303"/>
      <c r="Q144" s="303"/>
      <c r="R144" s="303"/>
      <c r="S144" s="303"/>
      <c r="T144" s="303"/>
      <c r="U144" s="303"/>
      <c r="V144" s="303"/>
      <c r="W144" s="303"/>
      <c r="X144" s="303"/>
      <c r="Y144" s="303"/>
      <c r="Z144" s="303"/>
    </row>
    <row r="145" ht="14.25" customHeight="1">
      <c r="A145" s="303"/>
      <c r="B145" s="303"/>
      <c r="C145" s="303"/>
      <c r="D145" s="303"/>
      <c r="E145" s="303"/>
      <c r="F145" s="303"/>
      <c r="G145" s="303"/>
      <c r="H145" s="303"/>
      <c r="I145" s="303"/>
      <c r="J145" s="303"/>
      <c r="K145" s="303"/>
      <c r="L145" s="303"/>
      <c r="M145" s="303"/>
      <c r="N145" s="303"/>
      <c r="O145" s="303"/>
      <c r="P145" s="303"/>
      <c r="Q145" s="303"/>
      <c r="R145" s="303"/>
      <c r="S145" s="303"/>
      <c r="T145" s="303"/>
      <c r="U145" s="303"/>
      <c r="V145" s="303"/>
      <c r="W145" s="303"/>
      <c r="X145" s="303"/>
      <c r="Y145" s="303"/>
      <c r="Z145" s="303"/>
    </row>
    <row r="146" ht="14.25" customHeight="1">
      <c r="A146" s="303"/>
      <c r="B146" s="303"/>
      <c r="C146" s="303"/>
      <c r="D146" s="303"/>
      <c r="E146" s="303"/>
      <c r="F146" s="303"/>
      <c r="G146" s="303"/>
      <c r="H146" s="303"/>
      <c r="I146" s="303"/>
      <c r="J146" s="303"/>
      <c r="K146" s="303"/>
      <c r="L146" s="303"/>
      <c r="M146" s="303"/>
      <c r="N146" s="303"/>
      <c r="O146" s="303"/>
      <c r="P146" s="303"/>
      <c r="Q146" s="303"/>
      <c r="R146" s="303"/>
      <c r="S146" s="303"/>
      <c r="T146" s="303"/>
      <c r="U146" s="303"/>
      <c r="V146" s="303"/>
      <c r="W146" s="303"/>
      <c r="X146" s="303"/>
      <c r="Y146" s="303"/>
      <c r="Z146" s="303"/>
    </row>
    <row r="147" ht="14.25" customHeight="1">
      <c r="A147" s="303"/>
      <c r="B147" s="303"/>
      <c r="C147" s="303"/>
      <c r="D147" s="303"/>
      <c r="E147" s="303"/>
      <c r="F147" s="303"/>
      <c r="G147" s="303"/>
      <c r="H147" s="303"/>
      <c r="I147" s="303"/>
      <c r="J147" s="303"/>
      <c r="K147" s="303"/>
      <c r="L147" s="303"/>
      <c r="M147" s="303"/>
      <c r="N147" s="303"/>
      <c r="O147" s="303"/>
      <c r="P147" s="303"/>
      <c r="Q147" s="303"/>
      <c r="R147" s="303"/>
      <c r="S147" s="303"/>
      <c r="T147" s="303"/>
      <c r="U147" s="303"/>
      <c r="V147" s="303"/>
      <c r="W147" s="303"/>
      <c r="X147" s="303"/>
      <c r="Y147" s="303"/>
      <c r="Z147" s="303"/>
    </row>
    <row r="148" ht="14.25" customHeight="1">
      <c r="A148" s="303"/>
      <c r="B148" s="303"/>
      <c r="C148" s="303"/>
      <c r="D148" s="303"/>
      <c r="E148" s="303"/>
      <c r="F148" s="303"/>
      <c r="G148" s="303"/>
      <c r="H148" s="303"/>
      <c r="I148" s="303"/>
      <c r="J148" s="303"/>
      <c r="K148" s="303"/>
      <c r="L148" s="303"/>
      <c r="M148" s="303"/>
      <c r="N148" s="303"/>
      <c r="O148" s="303"/>
      <c r="P148" s="303"/>
      <c r="Q148" s="303"/>
      <c r="R148" s="303"/>
      <c r="S148" s="303"/>
      <c r="T148" s="303"/>
      <c r="U148" s="303"/>
      <c r="V148" s="303"/>
      <c r="W148" s="303"/>
      <c r="X148" s="303"/>
      <c r="Y148" s="303"/>
      <c r="Z148" s="303"/>
    </row>
    <row r="149" ht="14.25" customHeight="1">
      <c r="A149" s="303"/>
      <c r="B149" s="303"/>
      <c r="C149" s="303"/>
      <c r="D149" s="303"/>
      <c r="E149" s="303"/>
      <c r="F149" s="303"/>
      <c r="G149" s="303"/>
      <c r="H149" s="303"/>
      <c r="I149" s="303"/>
      <c r="J149" s="303"/>
      <c r="K149" s="303"/>
      <c r="L149" s="303"/>
      <c r="M149" s="303"/>
      <c r="N149" s="303"/>
      <c r="O149" s="303"/>
      <c r="P149" s="303"/>
      <c r="Q149" s="303"/>
      <c r="R149" s="303"/>
      <c r="S149" s="303"/>
      <c r="T149" s="303"/>
      <c r="U149" s="303"/>
      <c r="V149" s="303"/>
      <c r="W149" s="303"/>
      <c r="X149" s="303"/>
      <c r="Y149" s="303"/>
      <c r="Z149" s="303"/>
    </row>
    <row r="150" ht="14.25" customHeight="1">
      <c r="A150" s="303"/>
      <c r="B150" s="303"/>
      <c r="C150" s="303"/>
      <c r="D150" s="303"/>
      <c r="E150" s="303"/>
      <c r="F150" s="303"/>
      <c r="G150" s="303"/>
      <c r="H150" s="303"/>
      <c r="I150" s="303"/>
      <c r="J150" s="303"/>
      <c r="K150" s="303"/>
      <c r="L150" s="303"/>
      <c r="M150" s="303"/>
      <c r="N150" s="303"/>
      <c r="O150" s="303"/>
      <c r="P150" s="303"/>
      <c r="Q150" s="303"/>
      <c r="R150" s="303"/>
      <c r="S150" s="303"/>
      <c r="T150" s="303"/>
      <c r="U150" s="303"/>
      <c r="V150" s="303"/>
      <c r="W150" s="303"/>
      <c r="X150" s="303"/>
      <c r="Y150" s="303"/>
      <c r="Z150" s="303"/>
    </row>
    <row r="151" ht="14.25" customHeight="1">
      <c r="A151" s="303"/>
      <c r="B151" s="303"/>
      <c r="C151" s="303"/>
      <c r="D151" s="303"/>
      <c r="E151" s="303"/>
      <c r="F151" s="303"/>
      <c r="G151" s="303"/>
      <c r="H151" s="303"/>
      <c r="I151" s="303"/>
      <c r="J151" s="303"/>
      <c r="K151" s="303"/>
      <c r="L151" s="303"/>
      <c r="M151" s="303"/>
      <c r="N151" s="303"/>
      <c r="O151" s="303"/>
      <c r="P151" s="303"/>
      <c r="Q151" s="303"/>
      <c r="R151" s="303"/>
      <c r="S151" s="303"/>
      <c r="T151" s="303"/>
      <c r="U151" s="303"/>
      <c r="V151" s="303"/>
      <c r="W151" s="303"/>
      <c r="X151" s="303"/>
      <c r="Y151" s="303"/>
      <c r="Z151" s="303"/>
    </row>
    <row r="152" ht="14.25" customHeight="1">
      <c r="A152" s="303"/>
      <c r="B152" s="303"/>
      <c r="C152" s="303"/>
      <c r="D152" s="303"/>
      <c r="E152" s="303"/>
      <c r="F152" s="303"/>
      <c r="G152" s="303"/>
      <c r="H152" s="303"/>
      <c r="I152" s="303"/>
      <c r="J152" s="303"/>
      <c r="K152" s="303"/>
      <c r="L152" s="303"/>
      <c r="M152" s="303"/>
      <c r="N152" s="303"/>
      <c r="O152" s="303"/>
      <c r="P152" s="303"/>
      <c r="Q152" s="303"/>
      <c r="R152" s="303"/>
      <c r="S152" s="303"/>
      <c r="T152" s="303"/>
      <c r="U152" s="303"/>
      <c r="V152" s="303"/>
      <c r="W152" s="303"/>
      <c r="X152" s="303"/>
      <c r="Y152" s="303"/>
      <c r="Z152" s="303"/>
    </row>
    <row r="153" ht="14.25" customHeight="1">
      <c r="A153" s="303"/>
      <c r="B153" s="303"/>
      <c r="C153" s="303"/>
      <c r="D153" s="303"/>
      <c r="E153" s="303"/>
      <c r="F153" s="303"/>
      <c r="G153" s="303"/>
      <c r="H153" s="303"/>
      <c r="I153" s="303"/>
      <c r="J153" s="303"/>
      <c r="K153" s="303"/>
      <c r="L153" s="303"/>
      <c r="M153" s="303"/>
      <c r="N153" s="303"/>
      <c r="O153" s="303"/>
      <c r="P153" s="303"/>
      <c r="Q153" s="303"/>
      <c r="R153" s="303"/>
      <c r="S153" s="303"/>
      <c r="T153" s="303"/>
      <c r="U153" s="303"/>
      <c r="V153" s="303"/>
      <c r="W153" s="303"/>
      <c r="X153" s="303"/>
      <c r="Y153" s="303"/>
      <c r="Z153" s="303"/>
    </row>
    <row r="154" ht="14.25" customHeight="1">
      <c r="A154" s="303"/>
      <c r="B154" s="303"/>
      <c r="C154" s="303"/>
      <c r="D154" s="303"/>
      <c r="E154" s="303"/>
      <c r="F154" s="303"/>
      <c r="G154" s="303"/>
      <c r="H154" s="303"/>
      <c r="I154" s="303"/>
      <c r="J154" s="303"/>
      <c r="K154" s="303"/>
      <c r="L154" s="303"/>
      <c r="M154" s="303"/>
      <c r="N154" s="303"/>
      <c r="O154" s="303"/>
      <c r="P154" s="303"/>
      <c r="Q154" s="303"/>
      <c r="R154" s="303"/>
      <c r="S154" s="303"/>
      <c r="T154" s="303"/>
      <c r="U154" s="303"/>
      <c r="V154" s="303"/>
      <c r="W154" s="303"/>
      <c r="X154" s="303"/>
      <c r="Y154" s="303"/>
      <c r="Z154" s="303"/>
    </row>
    <row r="155" ht="14.25" customHeight="1">
      <c r="A155" s="303"/>
      <c r="B155" s="303"/>
      <c r="C155" s="303"/>
      <c r="D155" s="303"/>
      <c r="E155" s="303"/>
      <c r="F155" s="303"/>
      <c r="G155" s="303"/>
      <c r="H155" s="303"/>
      <c r="I155" s="303"/>
      <c r="J155" s="303"/>
      <c r="K155" s="303"/>
      <c r="L155" s="303"/>
      <c r="M155" s="303"/>
      <c r="N155" s="303"/>
      <c r="O155" s="303"/>
      <c r="P155" s="303"/>
      <c r="Q155" s="303"/>
      <c r="R155" s="303"/>
      <c r="S155" s="303"/>
      <c r="T155" s="303"/>
      <c r="U155" s="303"/>
      <c r="V155" s="303"/>
      <c r="W155" s="303"/>
      <c r="X155" s="303"/>
      <c r="Y155" s="303"/>
      <c r="Z155" s="303"/>
    </row>
    <row r="156" ht="14.25" customHeight="1">
      <c r="A156" s="303"/>
      <c r="B156" s="303"/>
      <c r="C156" s="303"/>
      <c r="D156" s="303"/>
      <c r="E156" s="303"/>
      <c r="F156" s="303"/>
      <c r="G156" s="303"/>
      <c r="H156" s="303"/>
      <c r="I156" s="303"/>
      <c r="J156" s="303"/>
      <c r="K156" s="303"/>
      <c r="L156" s="303"/>
      <c r="M156" s="303"/>
      <c r="N156" s="303"/>
      <c r="O156" s="303"/>
      <c r="P156" s="303"/>
      <c r="Q156" s="303"/>
      <c r="R156" s="303"/>
      <c r="S156" s="303"/>
      <c r="T156" s="303"/>
      <c r="U156" s="303"/>
      <c r="V156" s="303"/>
      <c r="W156" s="303"/>
      <c r="X156" s="303"/>
      <c r="Y156" s="303"/>
      <c r="Z156" s="303"/>
    </row>
    <row r="157" ht="14.25" customHeight="1">
      <c r="A157" s="303"/>
      <c r="B157" s="303"/>
      <c r="C157" s="303"/>
      <c r="D157" s="303"/>
      <c r="E157" s="303"/>
      <c r="F157" s="303"/>
      <c r="G157" s="303"/>
      <c r="H157" s="303"/>
      <c r="I157" s="303"/>
      <c r="J157" s="303"/>
      <c r="K157" s="303"/>
      <c r="L157" s="303"/>
      <c r="M157" s="303"/>
      <c r="N157" s="303"/>
      <c r="O157" s="303"/>
      <c r="P157" s="303"/>
      <c r="Q157" s="303"/>
      <c r="R157" s="303"/>
      <c r="S157" s="303"/>
      <c r="T157" s="303"/>
      <c r="U157" s="303"/>
      <c r="V157" s="303"/>
      <c r="W157" s="303"/>
      <c r="X157" s="303"/>
      <c r="Y157" s="303"/>
      <c r="Z157" s="303"/>
    </row>
    <row r="158" ht="14.25" customHeight="1">
      <c r="A158" s="303"/>
      <c r="B158" s="303"/>
      <c r="C158" s="303"/>
      <c r="D158" s="303"/>
      <c r="E158" s="303"/>
      <c r="F158" s="303"/>
      <c r="G158" s="303"/>
      <c r="H158" s="303"/>
      <c r="I158" s="303"/>
      <c r="J158" s="303"/>
      <c r="K158" s="303"/>
      <c r="L158" s="303"/>
      <c r="M158" s="303"/>
      <c r="N158" s="303"/>
      <c r="O158" s="303"/>
      <c r="P158" s="303"/>
      <c r="Q158" s="303"/>
      <c r="R158" s="303"/>
      <c r="S158" s="303"/>
      <c r="T158" s="303"/>
      <c r="U158" s="303"/>
      <c r="V158" s="303"/>
      <c r="W158" s="303"/>
      <c r="X158" s="303"/>
      <c r="Y158" s="303"/>
      <c r="Z158" s="303"/>
    </row>
    <row r="159" ht="14.25" customHeight="1">
      <c r="A159" s="303"/>
      <c r="B159" s="303"/>
      <c r="C159" s="303"/>
      <c r="D159" s="303"/>
      <c r="E159" s="303"/>
      <c r="F159" s="303"/>
      <c r="G159" s="303"/>
      <c r="H159" s="303"/>
      <c r="I159" s="303"/>
      <c r="J159" s="303"/>
      <c r="K159" s="303"/>
      <c r="L159" s="303"/>
      <c r="M159" s="303"/>
      <c r="N159" s="303"/>
      <c r="O159" s="303"/>
      <c r="P159" s="303"/>
      <c r="Q159" s="303"/>
      <c r="R159" s="303"/>
      <c r="S159" s="303"/>
      <c r="T159" s="303"/>
      <c r="U159" s="303"/>
      <c r="V159" s="303"/>
      <c r="W159" s="303"/>
      <c r="X159" s="303"/>
      <c r="Y159" s="303"/>
      <c r="Z159" s="303"/>
    </row>
    <row r="160" ht="14.25" customHeight="1">
      <c r="A160" s="303"/>
      <c r="B160" s="303"/>
      <c r="C160" s="303"/>
      <c r="D160" s="303"/>
      <c r="E160" s="303"/>
      <c r="F160" s="303"/>
      <c r="G160" s="303"/>
      <c r="H160" s="303"/>
      <c r="I160" s="303"/>
      <c r="J160" s="303"/>
      <c r="K160" s="303"/>
      <c r="L160" s="303"/>
      <c r="M160" s="303"/>
      <c r="N160" s="303"/>
      <c r="O160" s="303"/>
      <c r="P160" s="303"/>
      <c r="Q160" s="303"/>
      <c r="R160" s="303"/>
      <c r="S160" s="303"/>
      <c r="T160" s="303"/>
      <c r="U160" s="303"/>
      <c r="V160" s="303"/>
      <c r="W160" s="303"/>
      <c r="X160" s="303"/>
      <c r="Y160" s="303"/>
      <c r="Z160" s="303"/>
    </row>
    <row r="161" ht="14.25" customHeight="1">
      <c r="A161" s="303"/>
      <c r="B161" s="303"/>
      <c r="C161" s="303"/>
      <c r="D161" s="303"/>
      <c r="E161" s="303"/>
      <c r="F161" s="303"/>
      <c r="G161" s="303"/>
      <c r="H161" s="303"/>
      <c r="I161" s="303"/>
      <c r="J161" s="303"/>
      <c r="K161" s="303"/>
      <c r="L161" s="303"/>
      <c r="M161" s="303"/>
      <c r="N161" s="303"/>
      <c r="O161" s="303"/>
      <c r="P161" s="303"/>
      <c r="Q161" s="303"/>
      <c r="R161" s="303"/>
      <c r="S161" s="303"/>
      <c r="T161" s="303"/>
      <c r="U161" s="303"/>
      <c r="V161" s="303"/>
      <c r="W161" s="303"/>
      <c r="X161" s="303"/>
      <c r="Y161" s="303"/>
      <c r="Z161" s="303"/>
    </row>
    <row r="162" ht="14.25" customHeight="1">
      <c r="A162" s="303"/>
      <c r="B162" s="303"/>
      <c r="C162" s="303"/>
      <c r="D162" s="303"/>
      <c r="E162" s="303"/>
      <c r="F162" s="303"/>
      <c r="G162" s="303"/>
      <c r="H162" s="303"/>
      <c r="I162" s="303"/>
      <c r="J162" s="303"/>
      <c r="K162" s="303"/>
      <c r="L162" s="303"/>
      <c r="M162" s="303"/>
      <c r="N162" s="303"/>
      <c r="O162" s="303"/>
      <c r="P162" s="303"/>
      <c r="Q162" s="303"/>
      <c r="R162" s="303"/>
      <c r="S162" s="303"/>
      <c r="T162" s="303"/>
      <c r="U162" s="303"/>
      <c r="V162" s="303"/>
      <c r="W162" s="303"/>
      <c r="X162" s="303"/>
      <c r="Y162" s="303"/>
      <c r="Z162" s="303"/>
    </row>
    <row r="163" ht="14.25" customHeight="1">
      <c r="A163" s="303"/>
      <c r="B163" s="303"/>
      <c r="C163" s="303"/>
      <c r="D163" s="303"/>
      <c r="E163" s="303"/>
      <c r="F163" s="303"/>
      <c r="G163" s="303"/>
      <c r="H163" s="303"/>
      <c r="I163" s="303"/>
      <c r="J163" s="303"/>
      <c r="K163" s="303"/>
      <c r="L163" s="303"/>
      <c r="M163" s="303"/>
      <c r="N163" s="303"/>
      <c r="O163" s="303"/>
      <c r="P163" s="303"/>
      <c r="Q163" s="303"/>
      <c r="R163" s="303"/>
      <c r="S163" s="303"/>
      <c r="T163" s="303"/>
      <c r="U163" s="303"/>
      <c r="V163" s="303"/>
      <c r="W163" s="303"/>
      <c r="X163" s="303"/>
      <c r="Y163" s="303"/>
      <c r="Z163" s="303"/>
    </row>
    <row r="164" ht="14.25" customHeight="1">
      <c r="A164" s="303"/>
      <c r="B164" s="303"/>
      <c r="C164" s="303"/>
      <c r="D164" s="303"/>
      <c r="E164" s="303"/>
      <c r="F164" s="303"/>
      <c r="G164" s="303"/>
      <c r="H164" s="303"/>
      <c r="I164" s="303"/>
      <c r="J164" s="303"/>
      <c r="K164" s="303"/>
      <c r="L164" s="303"/>
      <c r="M164" s="303"/>
      <c r="N164" s="303"/>
      <c r="O164" s="303"/>
      <c r="P164" s="303"/>
      <c r="Q164" s="303"/>
      <c r="R164" s="303"/>
      <c r="S164" s="303"/>
      <c r="T164" s="303"/>
      <c r="U164" s="303"/>
      <c r="V164" s="303"/>
      <c r="W164" s="303"/>
      <c r="X164" s="303"/>
      <c r="Y164" s="303"/>
      <c r="Z164" s="303"/>
    </row>
    <row r="165" ht="14.25" customHeight="1">
      <c r="A165" s="303"/>
      <c r="B165" s="303"/>
      <c r="C165" s="303"/>
      <c r="D165" s="303"/>
      <c r="E165" s="303"/>
      <c r="F165" s="303"/>
      <c r="G165" s="303"/>
      <c r="H165" s="303"/>
      <c r="I165" s="303"/>
      <c r="J165" s="303"/>
      <c r="K165" s="303"/>
      <c r="L165" s="303"/>
      <c r="M165" s="303"/>
      <c r="N165" s="303"/>
      <c r="O165" s="303"/>
      <c r="P165" s="303"/>
      <c r="Q165" s="303"/>
      <c r="R165" s="303"/>
      <c r="S165" s="303"/>
      <c r="T165" s="303"/>
      <c r="U165" s="303"/>
      <c r="V165" s="303"/>
      <c r="W165" s="303"/>
      <c r="X165" s="303"/>
      <c r="Y165" s="303"/>
      <c r="Z165" s="303"/>
    </row>
    <row r="166" ht="14.25" customHeight="1">
      <c r="A166" s="303"/>
      <c r="B166" s="303"/>
      <c r="C166" s="303"/>
      <c r="D166" s="303"/>
      <c r="E166" s="303"/>
      <c r="F166" s="303"/>
      <c r="G166" s="303"/>
      <c r="H166" s="303"/>
      <c r="I166" s="303"/>
      <c r="J166" s="303"/>
      <c r="K166" s="303"/>
      <c r="L166" s="303"/>
      <c r="M166" s="303"/>
      <c r="N166" s="303"/>
      <c r="O166" s="303"/>
      <c r="P166" s="303"/>
      <c r="Q166" s="303"/>
      <c r="R166" s="303"/>
      <c r="S166" s="303"/>
      <c r="T166" s="303"/>
      <c r="U166" s="303"/>
      <c r="V166" s="303"/>
      <c r="W166" s="303"/>
      <c r="X166" s="303"/>
      <c r="Y166" s="303"/>
      <c r="Z166" s="303"/>
    </row>
    <row r="167" ht="14.25" customHeight="1">
      <c r="A167" s="303"/>
      <c r="B167" s="303"/>
      <c r="C167" s="303"/>
      <c r="D167" s="303"/>
      <c r="E167" s="303"/>
      <c r="F167" s="303"/>
      <c r="G167" s="303"/>
      <c r="H167" s="303"/>
      <c r="I167" s="303"/>
      <c r="J167" s="303"/>
      <c r="K167" s="303"/>
      <c r="L167" s="303"/>
      <c r="M167" s="303"/>
      <c r="N167" s="303"/>
      <c r="O167" s="303"/>
      <c r="P167" s="303"/>
      <c r="Q167" s="303"/>
      <c r="R167" s="303"/>
      <c r="S167" s="303"/>
      <c r="T167" s="303"/>
      <c r="U167" s="303"/>
      <c r="V167" s="303"/>
      <c r="W167" s="303"/>
      <c r="X167" s="303"/>
      <c r="Y167" s="303"/>
      <c r="Z167" s="303"/>
    </row>
    <row r="168" ht="14.25" customHeight="1">
      <c r="A168" s="303"/>
      <c r="B168" s="303"/>
      <c r="C168" s="303"/>
      <c r="D168" s="303"/>
      <c r="E168" s="303"/>
      <c r="F168" s="303"/>
      <c r="G168" s="303"/>
      <c r="H168" s="303"/>
      <c r="I168" s="303"/>
      <c r="J168" s="303"/>
      <c r="K168" s="303"/>
      <c r="L168" s="303"/>
      <c r="M168" s="303"/>
      <c r="N168" s="303"/>
      <c r="O168" s="303"/>
      <c r="P168" s="303"/>
      <c r="Q168" s="303"/>
      <c r="R168" s="303"/>
      <c r="S168" s="303"/>
      <c r="T168" s="303"/>
      <c r="U168" s="303"/>
      <c r="V168" s="303"/>
      <c r="W168" s="303"/>
      <c r="X168" s="303"/>
      <c r="Y168" s="303"/>
      <c r="Z168" s="303"/>
    </row>
    <row r="169" ht="14.25" customHeight="1">
      <c r="A169" s="303"/>
      <c r="B169" s="303"/>
      <c r="C169" s="303"/>
      <c r="D169" s="303"/>
      <c r="E169" s="303"/>
      <c r="F169" s="303"/>
      <c r="G169" s="303"/>
      <c r="H169" s="303"/>
      <c r="I169" s="303"/>
      <c r="J169" s="303"/>
      <c r="K169" s="303"/>
      <c r="L169" s="303"/>
      <c r="M169" s="303"/>
      <c r="N169" s="303"/>
      <c r="O169" s="303"/>
      <c r="P169" s="303"/>
      <c r="Q169" s="303"/>
      <c r="R169" s="303"/>
      <c r="S169" s="303"/>
      <c r="T169" s="303"/>
      <c r="U169" s="303"/>
      <c r="V169" s="303"/>
      <c r="W169" s="303"/>
      <c r="X169" s="303"/>
      <c r="Y169" s="303"/>
      <c r="Z169" s="303"/>
    </row>
    <row r="170" ht="14.25" customHeight="1">
      <c r="A170" s="303"/>
      <c r="B170" s="303"/>
      <c r="C170" s="303"/>
      <c r="D170" s="303"/>
      <c r="E170" s="303"/>
      <c r="F170" s="303"/>
      <c r="G170" s="303"/>
      <c r="H170" s="303"/>
      <c r="I170" s="303"/>
      <c r="J170" s="303"/>
      <c r="K170" s="303"/>
      <c r="L170" s="303"/>
      <c r="M170" s="303"/>
      <c r="N170" s="303"/>
      <c r="O170" s="303"/>
      <c r="P170" s="303"/>
      <c r="Q170" s="303"/>
      <c r="R170" s="303"/>
      <c r="S170" s="303"/>
      <c r="T170" s="303"/>
      <c r="U170" s="303"/>
      <c r="V170" s="303"/>
      <c r="W170" s="303"/>
      <c r="X170" s="303"/>
      <c r="Y170" s="303"/>
      <c r="Z170" s="303"/>
    </row>
    <row r="171" ht="14.25" customHeight="1">
      <c r="A171" s="303"/>
      <c r="B171" s="303"/>
      <c r="C171" s="303"/>
      <c r="D171" s="303"/>
      <c r="E171" s="303"/>
      <c r="F171" s="303"/>
      <c r="G171" s="303"/>
      <c r="H171" s="303"/>
      <c r="I171" s="303"/>
      <c r="J171" s="303"/>
      <c r="K171" s="303"/>
      <c r="L171" s="303"/>
      <c r="M171" s="303"/>
      <c r="N171" s="303"/>
      <c r="O171" s="303"/>
      <c r="P171" s="303"/>
      <c r="Q171" s="303"/>
      <c r="R171" s="303"/>
      <c r="S171" s="303"/>
      <c r="T171" s="303"/>
      <c r="U171" s="303"/>
      <c r="V171" s="303"/>
      <c r="W171" s="303"/>
      <c r="X171" s="303"/>
      <c r="Y171" s="303"/>
      <c r="Z171" s="303"/>
    </row>
    <row r="172" ht="14.25" customHeight="1">
      <c r="A172" s="303"/>
      <c r="B172" s="303"/>
      <c r="C172" s="303"/>
      <c r="D172" s="303"/>
      <c r="E172" s="303"/>
      <c r="F172" s="303"/>
      <c r="G172" s="303"/>
      <c r="H172" s="303"/>
      <c r="I172" s="303"/>
      <c r="J172" s="303"/>
      <c r="K172" s="303"/>
      <c r="L172" s="303"/>
      <c r="M172" s="303"/>
      <c r="N172" s="303"/>
      <c r="O172" s="303"/>
      <c r="P172" s="303"/>
      <c r="Q172" s="303"/>
      <c r="R172" s="303"/>
      <c r="S172" s="303"/>
      <c r="T172" s="303"/>
      <c r="U172" s="303"/>
      <c r="V172" s="303"/>
      <c r="W172" s="303"/>
      <c r="X172" s="303"/>
      <c r="Y172" s="303"/>
      <c r="Z172" s="303"/>
    </row>
    <row r="173" ht="14.25" customHeight="1">
      <c r="A173" s="303"/>
      <c r="B173" s="303"/>
      <c r="C173" s="303"/>
      <c r="D173" s="303"/>
      <c r="E173" s="303"/>
      <c r="F173" s="303"/>
      <c r="G173" s="303"/>
      <c r="H173" s="303"/>
      <c r="I173" s="303"/>
      <c r="J173" s="303"/>
      <c r="K173" s="303"/>
      <c r="L173" s="303"/>
      <c r="M173" s="303"/>
      <c r="N173" s="303"/>
      <c r="O173" s="303"/>
      <c r="P173" s="303"/>
      <c r="Q173" s="303"/>
      <c r="R173" s="303"/>
      <c r="S173" s="303"/>
      <c r="T173" s="303"/>
      <c r="U173" s="303"/>
      <c r="V173" s="303"/>
      <c r="W173" s="303"/>
      <c r="X173" s="303"/>
      <c r="Y173" s="303"/>
      <c r="Z173" s="303"/>
    </row>
    <row r="174" ht="14.25" customHeight="1">
      <c r="A174" s="303"/>
      <c r="B174" s="303"/>
      <c r="C174" s="303"/>
      <c r="D174" s="303"/>
      <c r="E174" s="303"/>
      <c r="F174" s="303"/>
      <c r="G174" s="303"/>
      <c r="H174" s="303"/>
      <c r="I174" s="303"/>
      <c r="J174" s="303"/>
      <c r="K174" s="303"/>
      <c r="L174" s="303"/>
      <c r="M174" s="303"/>
      <c r="N174" s="303"/>
      <c r="O174" s="303"/>
      <c r="P174" s="303"/>
      <c r="Q174" s="303"/>
      <c r="R174" s="303"/>
      <c r="S174" s="303"/>
      <c r="T174" s="303"/>
      <c r="U174" s="303"/>
      <c r="V174" s="303"/>
      <c r="W174" s="303"/>
      <c r="X174" s="303"/>
      <c r="Y174" s="303"/>
      <c r="Z174" s="303"/>
    </row>
    <row r="175" ht="14.25" customHeight="1">
      <c r="A175" s="303"/>
      <c r="B175" s="303"/>
      <c r="C175" s="303"/>
      <c r="D175" s="303"/>
      <c r="E175" s="303"/>
      <c r="F175" s="303"/>
      <c r="G175" s="303"/>
      <c r="H175" s="303"/>
      <c r="I175" s="303"/>
      <c r="J175" s="303"/>
      <c r="K175" s="303"/>
      <c r="L175" s="303"/>
      <c r="M175" s="303"/>
      <c r="N175" s="303"/>
      <c r="O175" s="303"/>
      <c r="P175" s="303"/>
      <c r="Q175" s="303"/>
      <c r="R175" s="303"/>
      <c r="S175" s="303"/>
      <c r="T175" s="303"/>
      <c r="U175" s="303"/>
      <c r="V175" s="303"/>
      <c r="W175" s="303"/>
      <c r="X175" s="303"/>
      <c r="Y175" s="303"/>
      <c r="Z175" s="303"/>
    </row>
    <row r="176" ht="14.25" customHeight="1">
      <c r="A176" s="303"/>
      <c r="B176" s="303"/>
      <c r="C176" s="303"/>
      <c r="D176" s="303"/>
      <c r="E176" s="303"/>
      <c r="F176" s="303"/>
      <c r="G176" s="303"/>
      <c r="H176" s="303"/>
      <c r="I176" s="303"/>
      <c r="J176" s="303"/>
      <c r="K176" s="303"/>
      <c r="L176" s="303"/>
      <c r="M176" s="303"/>
      <c r="N176" s="303"/>
      <c r="O176" s="303"/>
      <c r="P176" s="303"/>
      <c r="Q176" s="303"/>
      <c r="R176" s="303"/>
      <c r="S176" s="303"/>
      <c r="T176" s="303"/>
      <c r="U176" s="303"/>
      <c r="V176" s="303"/>
      <c r="W176" s="303"/>
      <c r="X176" s="303"/>
      <c r="Y176" s="303"/>
      <c r="Z176" s="303"/>
    </row>
    <row r="177" ht="14.25" customHeight="1">
      <c r="A177" s="303"/>
      <c r="B177" s="303"/>
      <c r="C177" s="303"/>
      <c r="D177" s="303"/>
      <c r="E177" s="303"/>
      <c r="F177" s="303"/>
      <c r="G177" s="303"/>
      <c r="H177" s="303"/>
      <c r="I177" s="303"/>
      <c r="J177" s="303"/>
      <c r="K177" s="303"/>
      <c r="L177" s="303"/>
      <c r="M177" s="303"/>
      <c r="N177" s="303"/>
      <c r="O177" s="303"/>
      <c r="P177" s="303"/>
      <c r="Q177" s="303"/>
      <c r="R177" s="303"/>
      <c r="S177" s="303"/>
      <c r="T177" s="303"/>
      <c r="U177" s="303"/>
      <c r="V177" s="303"/>
      <c r="W177" s="303"/>
      <c r="X177" s="303"/>
      <c r="Y177" s="303"/>
      <c r="Z177" s="303"/>
    </row>
    <row r="178" ht="14.25" customHeight="1">
      <c r="A178" s="303"/>
      <c r="B178" s="303"/>
      <c r="C178" s="303"/>
      <c r="D178" s="303"/>
      <c r="E178" s="303"/>
      <c r="F178" s="303"/>
      <c r="G178" s="303"/>
      <c r="H178" s="303"/>
      <c r="I178" s="303"/>
      <c r="J178" s="303"/>
      <c r="K178" s="303"/>
      <c r="L178" s="303"/>
      <c r="M178" s="303"/>
      <c r="N178" s="303"/>
      <c r="O178" s="303"/>
      <c r="P178" s="303"/>
      <c r="Q178" s="303"/>
      <c r="R178" s="303"/>
      <c r="S178" s="303"/>
      <c r="T178" s="303"/>
      <c r="U178" s="303"/>
      <c r="V178" s="303"/>
      <c r="W178" s="303"/>
      <c r="X178" s="303"/>
      <c r="Y178" s="303"/>
      <c r="Z178" s="303"/>
    </row>
    <row r="179" ht="14.25" customHeight="1">
      <c r="A179" s="303"/>
      <c r="B179" s="303"/>
      <c r="C179" s="303"/>
      <c r="D179" s="303"/>
      <c r="E179" s="303"/>
      <c r="F179" s="303"/>
      <c r="G179" s="303"/>
      <c r="H179" s="303"/>
      <c r="I179" s="303"/>
      <c r="J179" s="303"/>
      <c r="K179" s="303"/>
      <c r="L179" s="303"/>
      <c r="M179" s="303"/>
      <c r="N179" s="303"/>
      <c r="O179" s="303"/>
      <c r="P179" s="303"/>
      <c r="Q179" s="303"/>
      <c r="R179" s="303"/>
      <c r="S179" s="303"/>
      <c r="T179" s="303"/>
      <c r="U179" s="303"/>
      <c r="V179" s="303"/>
      <c r="W179" s="303"/>
      <c r="X179" s="303"/>
      <c r="Y179" s="303"/>
      <c r="Z179" s="303"/>
    </row>
    <row r="180" ht="14.25" customHeight="1">
      <c r="A180" s="303"/>
      <c r="B180" s="303"/>
      <c r="C180" s="303"/>
      <c r="D180" s="303"/>
      <c r="E180" s="303"/>
      <c r="F180" s="303"/>
      <c r="G180" s="303"/>
      <c r="H180" s="303"/>
      <c r="I180" s="303"/>
      <c r="J180" s="303"/>
      <c r="K180" s="303"/>
      <c r="L180" s="303"/>
      <c r="M180" s="303"/>
      <c r="N180" s="303"/>
      <c r="O180" s="303"/>
      <c r="P180" s="303"/>
      <c r="Q180" s="303"/>
      <c r="R180" s="303"/>
      <c r="S180" s="303"/>
      <c r="T180" s="303"/>
      <c r="U180" s="303"/>
      <c r="V180" s="303"/>
      <c r="W180" s="303"/>
      <c r="X180" s="303"/>
      <c r="Y180" s="303"/>
      <c r="Z180" s="303"/>
    </row>
    <row r="181" ht="14.25" customHeight="1">
      <c r="A181" s="303"/>
      <c r="B181" s="303"/>
      <c r="C181" s="303"/>
      <c r="D181" s="303"/>
      <c r="E181" s="303"/>
      <c r="F181" s="303"/>
      <c r="G181" s="303"/>
      <c r="H181" s="303"/>
      <c r="I181" s="303"/>
      <c r="J181" s="303"/>
      <c r="K181" s="303"/>
      <c r="L181" s="303"/>
      <c r="M181" s="303"/>
      <c r="N181" s="303"/>
      <c r="O181" s="303"/>
      <c r="P181" s="303"/>
      <c r="Q181" s="303"/>
      <c r="R181" s="303"/>
      <c r="S181" s="303"/>
      <c r="T181" s="303"/>
      <c r="U181" s="303"/>
      <c r="V181" s="303"/>
      <c r="W181" s="303"/>
      <c r="X181" s="303"/>
      <c r="Y181" s="303"/>
      <c r="Z181" s="303"/>
    </row>
    <row r="182" ht="14.25" customHeight="1">
      <c r="A182" s="303"/>
      <c r="B182" s="303"/>
      <c r="C182" s="303"/>
      <c r="D182" s="303"/>
      <c r="E182" s="303"/>
      <c r="F182" s="303"/>
      <c r="G182" s="303"/>
      <c r="H182" s="303"/>
      <c r="I182" s="303"/>
      <c r="J182" s="303"/>
      <c r="K182" s="303"/>
      <c r="L182" s="303"/>
      <c r="M182" s="303"/>
      <c r="N182" s="303"/>
      <c r="O182" s="303"/>
      <c r="P182" s="303"/>
      <c r="Q182" s="303"/>
      <c r="R182" s="303"/>
      <c r="S182" s="303"/>
      <c r="T182" s="303"/>
      <c r="U182" s="303"/>
      <c r="V182" s="303"/>
      <c r="W182" s="303"/>
      <c r="X182" s="303"/>
      <c r="Y182" s="303"/>
      <c r="Z182" s="303"/>
    </row>
    <row r="183" ht="14.25" customHeight="1">
      <c r="A183" s="303"/>
      <c r="B183" s="303"/>
      <c r="C183" s="303"/>
      <c r="D183" s="303"/>
      <c r="E183" s="303"/>
      <c r="F183" s="303"/>
      <c r="G183" s="303"/>
      <c r="H183" s="303"/>
      <c r="I183" s="303"/>
      <c r="J183" s="303"/>
      <c r="K183" s="303"/>
      <c r="L183" s="303"/>
      <c r="M183" s="303"/>
      <c r="N183" s="303"/>
      <c r="O183" s="303"/>
      <c r="P183" s="303"/>
      <c r="Q183" s="303"/>
      <c r="R183" s="303"/>
      <c r="S183" s="303"/>
      <c r="T183" s="303"/>
      <c r="U183" s="303"/>
      <c r="V183" s="303"/>
      <c r="W183" s="303"/>
      <c r="X183" s="303"/>
      <c r="Y183" s="303"/>
      <c r="Z183" s="303"/>
    </row>
    <row r="184" ht="14.25" customHeight="1">
      <c r="A184" s="303"/>
      <c r="B184" s="303"/>
      <c r="C184" s="303"/>
      <c r="D184" s="303"/>
      <c r="E184" s="303"/>
      <c r="F184" s="303"/>
      <c r="G184" s="303"/>
      <c r="H184" s="303"/>
      <c r="I184" s="303"/>
      <c r="J184" s="303"/>
      <c r="K184" s="303"/>
      <c r="L184" s="303"/>
      <c r="M184" s="303"/>
      <c r="N184" s="303"/>
      <c r="O184" s="303"/>
      <c r="P184" s="303"/>
      <c r="Q184" s="303"/>
      <c r="R184" s="303"/>
      <c r="S184" s="303"/>
      <c r="T184" s="303"/>
      <c r="U184" s="303"/>
      <c r="V184" s="303"/>
      <c r="W184" s="303"/>
      <c r="X184" s="303"/>
      <c r="Y184" s="303"/>
      <c r="Z184" s="303"/>
    </row>
    <row r="185" ht="14.25" customHeight="1">
      <c r="A185" s="303"/>
      <c r="B185" s="303"/>
      <c r="C185" s="303"/>
      <c r="D185" s="303"/>
      <c r="E185" s="303"/>
      <c r="F185" s="303"/>
      <c r="G185" s="303"/>
      <c r="H185" s="303"/>
      <c r="I185" s="303"/>
      <c r="J185" s="303"/>
      <c r="K185" s="303"/>
      <c r="L185" s="303"/>
      <c r="M185" s="303"/>
      <c r="N185" s="303"/>
      <c r="O185" s="303"/>
      <c r="P185" s="303"/>
      <c r="Q185" s="303"/>
      <c r="R185" s="303"/>
      <c r="S185" s="303"/>
      <c r="T185" s="303"/>
      <c r="U185" s="303"/>
      <c r="V185" s="303"/>
      <c r="W185" s="303"/>
      <c r="X185" s="303"/>
      <c r="Y185" s="303"/>
      <c r="Z185" s="303"/>
    </row>
    <row r="186" ht="14.25" customHeight="1">
      <c r="A186" s="303"/>
      <c r="B186" s="303"/>
      <c r="C186" s="303"/>
      <c r="D186" s="303"/>
      <c r="E186" s="303"/>
      <c r="F186" s="303"/>
      <c r="G186" s="303"/>
      <c r="H186" s="303"/>
      <c r="I186" s="303"/>
      <c r="J186" s="303"/>
      <c r="K186" s="303"/>
      <c r="L186" s="303"/>
      <c r="M186" s="303"/>
      <c r="N186" s="303"/>
      <c r="O186" s="303"/>
      <c r="P186" s="303"/>
      <c r="Q186" s="303"/>
      <c r="R186" s="303"/>
      <c r="S186" s="303"/>
      <c r="T186" s="303"/>
      <c r="U186" s="303"/>
      <c r="V186" s="303"/>
      <c r="W186" s="303"/>
      <c r="X186" s="303"/>
      <c r="Y186" s="303"/>
      <c r="Z186" s="303"/>
    </row>
    <row r="187" ht="14.25" customHeight="1">
      <c r="A187" s="303"/>
      <c r="B187" s="303"/>
      <c r="C187" s="303"/>
      <c r="D187" s="303"/>
      <c r="E187" s="303"/>
      <c r="F187" s="303"/>
      <c r="G187" s="303"/>
      <c r="H187" s="303"/>
      <c r="I187" s="303"/>
      <c r="J187" s="303"/>
      <c r="K187" s="303"/>
      <c r="L187" s="303"/>
      <c r="M187" s="303"/>
      <c r="N187" s="303"/>
      <c r="O187" s="303"/>
      <c r="P187" s="303"/>
      <c r="Q187" s="303"/>
      <c r="R187" s="303"/>
      <c r="S187" s="303"/>
      <c r="T187" s="303"/>
      <c r="U187" s="303"/>
      <c r="V187" s="303"/>
      <c r="W187" s="303"/>
      <c r="X187" s="303"/>
      <c r="Y187" s="303"/>
      <c r="Z187" s="303"/>
    </row>
    <row r="188" ht="14.25" customHeight="1">
      <c r="A188" s="303"/>
      <c r="B188" s="303"/>
      <c r="C188" s="303"/>
      <c r="D188" s="303"/>
      <c r="E188" s="303"/>
      <c r="F188" s="303"/>
      <c r="G188" s="303"/>
      <c r="H188" s="303"/>
      <c r="I188" s="303"/>
      <c r="J188" s="303"/>
      <c r="K188" s="303"/>
      <c r="L188" s="303"/>
      <c r="M188" s="303"/>
      <c r="N188" s="303"/>
      <c r="O188" s="303"/>
      <c r="P188" s="303"/>
      <c r="Q188" s="303"/>
      <c r="R188" s="303"/>
      <c r="S188" s="303"/>
      <c r="T188" s="303"/>
      <c r="U188" s="303"/>
      <c r="V188" s="303"/>
      <c r="W188" s="303"/>
      <c r="X188" s="303"/>
      <c r="Y188" s="303"/>
      <c r="Z188" s="303"/>
    </row>
    <row r="189" ht="14.25" customHeight="1">
      <c r="A189" s="303"/>
      <c r="B189" s="303"/>
      <c r="C189" s="303"/>
      <c r="D189" s="303"/>
      <c r="E189" s="303"/>
      <c r="F189" s="303"/>
      <c r="G189" s="303"/>
      <c r="H189" s="303"/>
      <c r="I189" s="303"/>
      <c r="J189" s="303"/>
      <c r="K189" s="303"/>
      <c r="L189" s="303"/>
      <c r="M189" s="303"/>
      <c r="N189" s="303"/>
      <c r="O189" s="303"/>
      <c r="P189" s="303"/>
      <c r="Q189" s="303"/>
      <c r="R189" s="303"/>
      <c r="S189" s="303"/>
      <c r="T189" s="303"/>
      <c r="U189" s="303"/>
      <c r="V189" s="303"/>
      <c r="W189" s="303"/>
      <c r="X189" s="303"/>
      <c r="Y189" s="303"/>
      <c r="Z189" s="303"/>
    </row>
    <row r="190" ht="14.25" customHeight="1">
      <c r="A190" s="303"/>
      <c r="B190" s="303"/>
      <c r="C190" s="303"/>
      <c r="D190" s="303"/>
      <c r="E190" s="303"/>
      <c r="F190" s="303"/>
      <c r="G190" s="303"/>
      <c r="H190" s="303"/>
      <c r="I190" s="303"/>
      <c r="J190" s="303"/>
      <c r="K190" s="303"/>
      <c r="L190" s="303"/>
      <c r="M190" s="303"/>
      <c r="N190" s="303"/>
      <c r="O190" s="303"/>
      <c r="P190" s="303"/>
      <c r="Q190" s="303"/>
      <c r="R190" s="303"/>
      <c r="S190" s="303"/>
      <c r="T190" s="303"/>
      <c r="U190" s="303"/>
      <c r="V190" s="303"/>
      <c r="W190" s="303"/>
      <c r="X190" s="303"/>
      <c r="Y190" s="303"/>
      <c r="Z190" s="303"/>
    </row>
    <row r="191" ht="14.25" customHeight="1">
      <c r="A191" s="303"/>
      <c r="B191" s="303"/>
      <c r="C191" s="303"/>
      <c r="D191" s="303"/>
      <c r="E191" s="303"/>
      <c r="F191" s="303"/>
      <c r="G191" s="303"/>
      <c r="H191" s="303"/>
      <c r="I191" s="303"/>
      <c r="J191" s="303"/>
      <c r="K191" s="303"/>
      <c r="L191" s="303"/>
      <c r="M191" s="303"/>
      <c r="N191" s="303"/>
      <c r="O191" s="303"/>
      <c r="P191" s="303"/>
      <c r="Q191" s="303"/>
      <c r="R191" s="303"/>
      <c r="S191" s="303"/>
      <c r="T191" s="303"/>
      <c r="U191" s="303"/>
      <c r="V191" s="303"/>
      <c r="W191" s="303"/>
      <c r="X191" s="303"/>
      <c r="Y191" s="303"/>
      <c r="Z191" s="303"/>
    </row>
    <row r="192" ht="14.25" customHeight="1">
      <c r="A192" s="303"/>
      <c r="B192" s="303"/>
      <c r="C192" s="303"/>
      <c r="D192" s="303"/>
      <c r="E192" s="303"/>
      <c r="F192" s="303"/>
      <c r="G192" s="303"/>
      <c r="H192" s="303"/>
      <c r="I192" s="303"/>
      <c r="J192" s="303"/>
      <c r="K192" s="303"/>
      <c r="L192" s="303"/>
      <c r="M192" s="303"/>
      <c r="N192" s="303"/>
      <c r="O192" s="303"/>
      <c r="P192" s="303"/>
      <c r="Q192" s="303"/>
      <c r="R192" s="303"/>
      <c r="S192" s="303"/>
      <c r="T192" s="303"/>
      <c r="U192" s="303"/>
      <c r="V192" s="303"/>
      <c r="W192" s="303"/>
      <c r="X192" s="303"/>
      <c r="Y192" s="303"/>
      <c r="Z192" s="303"/>
    </row>
    <row r="193" ht="14.25" customHeight="1">
      <c r="A193" s="303"/>
      <c r="B193" s="303"/>
      <c r="C193" s="303"/>
      <c r="D193" s="303"/>
      <c r="E193" s="303"/>
      <c r="F193" s="303"/>
      <c r="G193" s="303"/>
      <c r="H193" s="303"/>
      <c r="I193" s="303"/>
      <c r="J193" s="303"/>
      <c r="K193" s="303"/>
      <c r="L193" s="303"/>
      <c r="M193" s="303"/>
      <c r="N193" s="303"/>
      <c r="O193" s="303"/>
      <c r="P193" s="303"/>
      <c r="Q193" s="303"/>
      <c r="R193" s="303"/>
      <c r="S193" s="303"/>
      <c r="T193" s="303"/>
      <c r="U193" s="303"/>
      <c r="V193" s="303"/>
      <c r="W193" s="303"/>
      <c r="X193" s="303"/>
      <c r="Y193" s="303"/>
      <c r="Z193" s="303"/>
    </row>
    <row r="194" ht="14.25" customHeight="1">
      <c r="A194" s="303"/>
      <c r="B194" s="303"/>
      <c r="C194" s="303"/>
      <c r="D194" s="303"/>
      <c r="E194" s="303"/>
      <c r="F194" s="303"/>
      <c r="G194" s="303"/>
      <c r="H194" s="303"/>
      <c r="I194" s="303"/>
      <c r="J194" s="303"/>
      <c r="K194" s="303"/>
      <c r="L194" s="303"/>
      <c r="M194" s="303"/>
      <c r="N194" s="303"/>
      <c r="O194" s="303"/>
      <c r="P194" s="303"/>
      <c r="Q194" s="303"/>
      <c r="R194" s="303"/>
      <c r="S194" s="303"/>
      <c r="T194" s="303"/>
      <c r="U194" s="303"/>
      <c r="V194" s="303"/>
      <c r="W194" s="303"/>
      <c r="X194" s="303"/>
      <c r="Y194" s="303"/>
      <c r="Z194" s="303"/>
    </row>
    <row r="195" ht="14.25" customHeight="1">
      <c r="A195" s="303"/>
      <c r="B195" s="303"/>
      <c r="C195" s="303"/>
      <c r="D195" s="303"/>
      <c r="E195" s="303"/>
      <c r="F195" s="303"/>
      <c r="G195" s="303"/>
      <c r="H195" s="303"/>
      <c r="I195" s="303"/>
      <c r="J195" s="303"/>
      <c r="K195" s="303"/>
      <c r="L195" s="303"/>
      <c r="M195" s="303"/>
      <c r="N195" s="303"/>
      <c r="O195" s="303"/>
      <c r="P195" s="303"/>
      <c r="Q195" s="303"/>
      <c r="R195" s="303"/>
      <c r="S195" s="303"/>
      <c r="T195" s="303"/>
      <c r="U195" s="303"/>
      <c r="V195" s="303"/>
      <c r="W195" s="303"/>
      <c r="X195" s="303"/>
      <c r="Y195" s="303"/>
      <c r="Z195" s="303"/>
    </row>
    <row r="196" ht="14.25" customHeight="1">
      <c r="A196" s="303"/>
      <c r="B196" s="303"/>
      <c r="C196" s="303"/>
      <c r="D196" s="303"/>
      <c r="E196" s="303"/>
      <c r="F196" s="303"/>
      <c r="G196" s="303"/>
      <c r="H196" s="303"/>
      <c r="I196" s="303"/>
      <c r="J196" s="303"/>
      <c r="K196" s="303"/>
      <c r="L196" s="303"/>
      <c r="M196" s="303"/>
      <c r="N196" s="303"/>
      <c r="O196" s="303"/>
      <c r="P196" s="303"/>
      <c r="Q196" s="303"/>
      <c r="R196" s="303"/>
      <c r="S196" s="303"/>
      <c r="T196" s="303"/>
      <c r="U196" s="303"/>
      <c r="V196" s="303"/>
      <c r="W196" s="303"/>
      <c r="X196" s="303"/>
      <c r="Y196" s="303"/>
      <c r="Z196" s="303"/>
    </row>
    <row r="197" ht="14.25" customHeight="1">
      <c r="A197" s="303"/>
      <c r="B197" s="303"/>
      <c r="C197" s="303"/>
      <c r="D197" s="303"/>
      <c r="E197" s="303"/>
      <c r="F197" s="303"/>
      <c r="G197" s="303"/>
      <c r="H197" s="303"/>
      <c r="I197" s="303"/>
      <c r="J197" s="303"/>
      <c r="K197" s="303"/>
      <c r="L197" s="303"/>
      <c r="M197" s="303"/>
      <c r="N197" s="303"/>
      <c r="O197" s="303"/>
      <c r="P197" s="303"/>
      <c r="Q197" s="303"/>
      <c r="R197" s="303"/>
      <c r="S197" s="303"/>
      <c r="T197" s="303"/>
      <c r="U197" s="303"/>
      <c r="V197" s="303"/>
      <c r="W197" s="303"/>
      <c r="X197" s="303"/>
      <c r="Y197" s="303"/>
      <c r="Z197" s="303"/>
    </row>
    <row r="198" ht="14.25" customHeight="1">
      <c r="A198" s="303"/>
      <c r="B198" s="303"/>
      <c r="C198" s="303"/>
      <c r="D198" s="303"/>
      <c r="E198" s="303"/>
      <c r="F198" s="303"/>
      <c r="G198" s="303"/>
      <c r="H198" s="303"/>
      <c r="I198" s="303"/>
      <c r="J198" s="303"/>
      <c r="K198" s="303"/>
      <c r="L198" s="303"/>
      <c r="M198" s="303"/>
      <c r="N198" s="303"/>
      <c r="O198" s="303"/>
      <c r="P198" s="303"/>
      <c r="Q198" s="303"/>
      <c r="R198" s="303"/>
      <c r="S198" s="303"/>
      <c r="T198" s="303"/>
      <c r="U198" s="303"/>
      <c r="V198" s="303"/>
      <c r="W198" s="303"/>
      <c r="X198" s="303"/>
      <c r="Y198" s="303"/>
      <c r="Z198" s="303"/>
    </row>
    <row r="199" ht="14.25" customHeight="1">
      <c r="A199" s="303"/>
      <c r="B199" s="303"/>
      <c r="C199" s="303"/>
      <c r="D199" s="303"/>
      <c r="E199" s="303"/>
      <c r="F199" s="303"/>
      <c r="G199" s="303"/>
      <c r="H199" s="303"/>
      <c r="I199" s="303"/>
      <c r="J199" s="303"/>
      <c r="K199" s="303"/>
      <c r="L199" s="303"/>
      <c r="M199" s="303"/>
      <c r="N199" s="303"/>
      <c r="O199" s="303"/>
      <c r="P199" s="303"/>
      <c r="Q199" s="303"/>
      <c r="R199" s="303"/>
      <c r="S199" s="303"/>
      <c r="T199" s="303"/>
      <c r="U199" s="303"/>
      <c r="V199" s="303"/>
      <c r="W199" s="303"/>
      <c r="X199" s="303"/>
      <c r="Y199" s="303"/>
      <c r="Z199" s="303"/>
    </row>
    <row r="200" ht="14.25" customHeight="1">
      <c r="A200" s="303"/>
      <c r="B200" s="303"/>
      <c r="C200" s="303"/>
      <c r="D200" s="303"/>
      <c r="E200" s="303"/>
      <c r="F200" s="303"/>
      <c r="G200" s="303"/>
      <c r="H200" s="303"/>
      <c r="I200" s="303"/>
      <c r="J200" s="303"/>
      <c r="K200" s="303"/>
      <c r="L200" s="303"/>
      <c r="M200" s="303"/>
      <c r="N200" s="303"/>
      <c r="O200" s="303"/>
      <c r="P200" s="303"/>
      <c r="Q200" s="303"/>
      <c r="R200" s="303"/>
      <c r="S200" s="303"/>
      <c r="T200" s="303"/>
      <c r="U200" s="303"/>
      <c r="V200" s="303"/>
      <c r="W200" s="303"/>
      <c r="X200" s="303"/>
      <c r="Y200" s="303"/>
      <c r="Z200" s="303"/>
    </row>
    <row r="201" ht="14.25" customHeight="1">
      <c r="A201" s="303"/>
      <c r="B201" s="303"/>
      <c r="C201" s="303"/>
      <c r="D201" s="303"/>
      <c r="E201" s="303"/>
      <c r="F201" s="303"/>
      <c r="G201" s="303"/>
      <c r="H201" s="303"/>
      <c r="I201" s="303"/>
      <c r="J201" s="303"/>
      <c r="K201" s="303"/>
      <c r="L201" s="303"/>
      <c r="M201" s="303"/>
      <c r="N201" s="303"/>
      <c r="O201" s="303"/>
      <c r="P201" s="303"/>
      <c r="Q201" s="303"/>
      <c r="R201" s="303"/>
      <c r="S201" s="303"/>
      <c r="T201" s="303"/>
      <c r="U201" s="303"/>
      <c r="V201" s="303"/>
      <c r="W201" s="303"/>
      <c r="X201" s="303"/>
      <c r="Y201" s="303"/>
      <c r="Z201" s="303"/>
    </row>
    <row r="202" ht="14.25" customHeight="1">
      <c r="A202" s="303"/>
      <c r="B202" s="303"/>
      <c r="C202" s="303"/>
      <c r="D202" s="303"/>
      <c r="E202" s="303"/>
      <c r="F202" s="303"/>
      <c r="G202" s="303"/>
      <c r="H202" s="303"/>
      <c r="I202" s="303"/>
      <c r="J202" s="303"/>
      <c r="K202" s="303"/>
      <c r="L202" s="303"/>
      <c r="M202" s="303"/>
      <c r="N202" s="303"/>
      <c r="O202" s="303"/>
      <c r="P202" s="303"/>
      <c r="Q202" s="303"/>
      <c r="R202" s="303"/>
      <c r="S202" s="303"/>
      <c r="T202" s="303"/>
      <c r="U202" s="303"/>
      <c r="V202" s="303"/>
      <c r="W202" s="303"/>
      <c r="X202" s="303"/>
      <c r="Y202" s="303"/>
      <c r="Z202" s="303"/>
    </row>
    <row r="203" ht="14.25" customHeight="1">
      <c r="A203" s="303"/>
      <c r="B203" s="303"/>
      <c r="C203" s="303"/>
      <c r="D203" s="303"/>
      <c r="E203" s="303"/>
      <c r="F203" s="303"/>
      <c r="G203" s="303"/>
      <c r="H203" s="303"/>
      <c r="I203" s="303"/>
      <c r="J203" s="303"/>
      <c r="K203" s="303"/>
      <c r="L203" s="303"/>
      <c r="M203" s="303"/>
      <c r="N203" s="303"/>
      <c r="O203" s="303"/>
      <c r="P203" s="303"/>
      <c r="Q203" s="303"/>
      <c r="R203" s="303"/>
      <c r="S203" s="303"/>
      <c r="T203" s="303"/>
      <c r="U203" s="303"/>
      <c r="V203" s="303"/>
      <c r="W203" s="303"/>
      <c r="X203" s="303"/>
      <c r="Y203" s="303"/>
      <c r="Z203" s="303"/>
    </row>
    <row r="204" ht="14.25" customHeight="1">
      <c r="A204" s="303"/>
      <c r="B204" s="303"/>
      <c r="C204" s="303"/>
      <c r="D204" s="303"/>
      <c r="E204" s="303"/>
      <c r="F204" s="303"/>
      <c r="G204" s="303"/>
      <c r="H204" s="303"/>
      <c r="I204" s="303"/>
      <c r="J204" s="303"/>
      <c r="K204" s="303"/>
      <c r="L204" s="303"/>
      <c r="M204" s="303"/>
      <c r="N204" s="303"/>
      <c r="O204" s="303"/>
      <c r="P204" s="303"/>
      <c r="Q204" s="303"/>
      <c r="R204" s="303"/>
      <c r="S204" s="303"/>
      <c r="T204" s="303"/>
      <c r="U204" s="303"/>
      <c r="V204" s="303"/>
      <c r="W204" s="303"/>
      <c r="X204" s="303"/>
      <c r="Y204" s="303"/>
      <c r="Z204" s="303"/>
    </row>
    <row r="205" ht="14.25" customHeight="1">
      <c r="A205" s="303"/>
      <c r="B205" s="303"/>
      <c r="C205" s="303"/>
      <c r="D205" s="303"/>
      <c r="E205" s="303"/>
      <c r="F205" s="303"/>
      <c r="G205" s="303"/>
      <c r="H205" s="303"/>
      <c r="I205" s="303"/>
      <c r="J205" s="303"/>
      <c r="K205" s="303"/>
      <c r="L205" s="303"/>
      <c r="M205" s="303"/>
      <c r="N205" s="303"/>
      <c r="O205" s="303"/>
      <c r="P205" s="303"/>
      <c r="Q205" s="303"/>
      <c r="R205" s="303"/>
      <c r="S205" s="303"/>
      <c r="T205" s="303"/>
      <c r="U205" s="303"/>
      <c r="V205" s="303"/>
      <c r="W205" s="303"/>
      <c r="X205" s="303"/>
      <c r="Y205" s="303"/>
      <c r="Z205" s="303"/>
    </row>
    <row r="206" ht="14.25" customHeight="1">
      <c r="A206" s="303"/>
      <c r="B206" s="303"/>
      <c r="C206" s="303"/>
      <c r="D206" s="303"/>
      <c r="E206" s="303"/>
      <c r="F206" s="303"/>
      <c r="G206" s="303"/>
      <c r="H206" s="303"/>
      <c r="I206" s="303"/>
      <c r="J206" s="303"/>
      <c r="K206" s="303"/>
      <c r="L206" s="303"/>
      <c r="M206" s="303"/>
      <c r="N206" s="303"/>
      <c r="O206" s="303"/>
      <c r="P206" s="303"/>
      <c r="Q206" s="303"/>
      <c r="R206" s="303"/>
      <c r="S206" s="303"/>
      <c r="T206" s="303"/>
      <c r="U206" s="303"/>
      <c r="V206" s="303"/>
      <c r="W206" s="303"/>
      <c r="X206" s="303"/>
      <c r="Y206" s="303"/>
      <c r="Z206" s="303"/>
    </row>
    <row r="207" ht="14.25" customHeight="1">
      <c r="A207" s="303"/>
      <c r="B207" s="303"/>
      <c r="C207" s="303"/>
      <c r="D207" s="303"/>
      <c r="E207" s="303"/>
      <c r="F207" s="303"/>
      <c r="G207" s="303"/>
      <c r="H207" s="303"/>
      <c r="I207" s="303"/>
      <c r="J207" s="303"/>
      <c r="K207" s="303"/>
      <c r="L207" s="303"/>
      <c r="M207" s="303"/>
      <c r="N207" s="303"/>
      <c r="O207" s="303"/>
      <c r="P207" s="303"/>
      <c r="Q207" s="303"/>
      <c r="R207" s="303"/>
      <c r="S207" s="303"/>
      <c r="T207" s="303"/>
      <c r="U207" s="303"/>
      <c r="V207" s="303"/>
      <c r="W207" s="303"/>
      <c r="X207" s="303"/>
      <c r="Y207" s="303"/>
      <c r="Z207" s="303"/>
    </row>
    <row r="208" ht="14.25" customHeight="1">
      <c r="A208" s="303"/>
      <c r="B208" s="303"/>
      <c r="C208" s="303"/>
      <c r="D208" s="303"/>
      <c r="E208" s="303"/>
      <c r="F208" s="303"/>
      <c r="G208" s="303"/>
      <c r="H208" s="303"/>
      <c r="I208" s="303"/>
      <c r="J208" s="303"/>
      <c r="K208" s="303"/>
      <c r="L208" s="303"/>
      <c r="M208" s="303"/>
      <c r="N208" s="303"/>
      <c r="O208" s="303"/>
      <c r="P208" s="303"/>
      <c r="Q208" s="303"/>
      <c r="R208" s="303"/>
      <c r="S208" s="303"/>
      <c r="T208" s="303"/>
      <c r="U208" s="303"/>
      <c r="V208" s="303"/>
      <c r="W208" s="303"/>
      <c r="X208" s="303"/>
      <c r="Y208" s="303"/>
      <c r="Z208" s="303"/>
    </row>
    <row r="209" ht="14.25" customHeight="1">
      <c r="A209" s="303"/>
      <c r="B209" s="303"/>
      <c r="C209" s="303"/>
      <c r="D209" s="303"/>
      <c r="E209" s="303"/>
      <c r="F209" s="303"/>
      <c r="G209" s="303"/>
      <c r="H209" s="303"/>
      <c r="I209" s="303"/>
      <c r="J209" s="303"/>
      <c r="K209" s="303"/>
      <c r="L209" s="303"/>
      <c r="M209" s="303"/>
      <c r="N209" s="303"/>
      <c r="O209" s="303"/>
      <c r="P209" s="303"/>
      <c r="Q209" s="303"/>
      <c r="R209" s="303"/>
      <c r="S209" s="303"/>
      <c r="T209" s="303"/>
      <c r="U209" s="303"/>
      <c r="V209" s="303"/>
      <c r="W209" s="303"/>
      <c r="X209" s="303"/>
      <c r="Y209" s="303"/>
      <c r="Z209" s="303"/>
    </row>
    <row r="210" ht="14.25" customHeight="1">
      <c r="A210" s="303"/>
      <c r="B210" s="303"/>
      <c r="C210" s="303"/>
      <c r="D210" s="303"/>
      <c r="E210" s="303"/>
      <c r="F210" s="303"/>
      <c r="G210" s="303"/>
      <c r="H210" s="303"/>
      <c r="I210" s="303"/>
      <c r="J210" s="303"/>
      <c r="K210" s="303"/>
      <c r="L210" s="303"/>
      <c r="M210" s="303"/>
      <c r="N210" s="303"/>
      <c r="O210" s="303"/>
      <c r="P210" s="303"/>
      <c r="Q210" s="303"/>
      <c r="R210" s="303"/>
      <c r="S210" s="303"/>
      <c r="T210" s="303"/>
      <c r="U210" s="303"/>
      <c r="V210" s="303"/>
      <c r="W210" s="303"/>
      <c r="X210" s="303"/>
      <c r="Y210" s="303"/>
      <c r="Z210" s="303"/>
    </row>
    <row r="211" ht="14.25" customHeight="1">
      <c r="A211" s="303"/>
      <c r="B211" s="303"/>
      <c r="C211" s="303"/>
      <c r="D211" s="303"/>
      <c r="E211" s="303"/>
      <c r="F211" s="303"/>
      <c r="G211" s="303"/>
      <c r="H211" s="303"/>
      <c r="I211" s="303"/>
      <c r="J211" s="303"/>
      <c r="K211" s="303"/>
      <c r="L211" s="303"/>
      <c r="M211" s="303"/>
      <c r="N211" s="303"/>
      <c r="O211" s="303"/>
      <c r="P211" s="303"/>
      <c r="Q211" s="303"/>
      <c r="R211" s="303"/>
      <c r="S211" s="303"/>
      <c r="T211" s="303"/>
      <c r="U211" s="303"/>
      <c r="V211" s="303"/>
      <c r="W211" s="303"/>
      <c r="X211" s="303"/>
      <c r="Y211" s="303"/>
      <c r="Z211" s="303"/>
    </row>
    <row r="212" ht="14.25" customHeight="1">
      <c r="A212" s="303"/>
      <c r="B212" s="303"/>
      <c r="C212" s="303"/>
      <c r="D212" s="303"/>
      <c r="E212" s="303"/>
      <c r="F212" s="303"/>
      <c r="G212" s="303"/>
      <c r="H212" s="303"/>
      <c r="I212" s="303"/>
      <c r="J212" s="303"/>
      <c r="K212" s="303"/>
      <c r="L212" s="303"/>
      <c r="M212" s="303"/>
      <c r="N212" s="303"/>
      <c r="O212" s="303"/>
      <c r="P212" s="303"/>
      <c r="Q212" s="303"/>
      <c r="R212" s="303"/>
      <c r="S212" s="303"/>
      <c r="T212" s="303"/>
      <c r="U212" s="303"/>
      <c r="V212" s="303"/>
      <c r="W212" s="303"/>
      <c r="X212" s="303"/>
      <c r="Y212" s="303"/>
      <c r="Z212" s="303"/>
    </row>
    <row r="213" ht="14.25" customHeight="1">
      <c r="A213" s="303"/>
      <c r="B213" s="303"/>
      <c r="C213" s="303"/>
      <c r="D213" s="303"/>
      <c r="E213" s="303"/>
      <c r="F213" s="303"/>
      <c r="G213" s="303"/>
      <c r="H213" s="303"/>
      <c r="I213" s="303"/>
      <c r="J213" s="303"/>
      <c r="K213" s="303"/>
      <c r="L213" s="303"/>
      <c r="M213" s="303"/>
      <c r="N213" s="303"/>
      <c r="O213" s="303"/>
      <c r="P213" s="303"/>
      <c r="Q213" s="303"/>
      <c r="R213" s="303"/>
      <c r="S213" s="303"/>
      <c r="T213" s="303"/>
      <c r="U213" s="303"/>
      <c r="V213" s="303"/>
      <c r="W213" s="303"/>
      <c r="X213" s="303"/>
      <c r="Y213" s="303"/>
      <c r="Z213" s="303"/>
    </row>
    <row r="214" ht="14.25" customHeight="1">
      <c r="A214" s="303"/>
      <c r="B214" s="303"/>
      <c r="C214" s="303"/>
      <c r="D214" s="303"/>
      <c r="E214" s="303"/>
      <c r="F214" s="303"/>
      <c r="G214" s="303"/>
      <c r="H214" s="303"/>
      <c r="I214" s="303"/>
      <c r="J214" s="303"/>
      <c r="K214" s="303"/>
      <c r="L214" s="303"/>
      <c r="M214" s="303"/>
      <c r="N214" s="303"/>
      <c r="O214" s="303"/>
      <c r="P214" s="303"/>
      <c r="Q214" s="303"/>
      <c r="R214" s="303"/>
      <c r="S214" s="303"/>
      <c r="T214" s="303"/>
      <c r="U214" s="303"/>
      <c r="V214" s="303"/>
      <c r="W214" s="303"/>
      <c r="X214" s="303"/>
      <c r="Y214" s="303"/>
      <c r="Z214" s="303"/>
    </row>
    <row r="215" ht="14.25" customHeight="1">
      <c r="A215" s="303"/>
      <c r="B215" s="303"/>
      <c r="C215" s="303"/>
      <c r="D215" s="303"/>
      <c r="E215" s="303"/>
      <c r="F215" s="303"/>
      <c r="G215" s="303"/>
      <c r="H215" s="303"/>
      <c r="I215" s="303"/>
      <c r="J215" s="303"/>
      <c r="K215" s="303"/>
      <c r="L215" s="303"/>
      <c r="M215" s="303"/>
      <c r="N215" s="303"/>
      <c r="O215" s="303"/>
      <c r="P215" s="303"/>
      <c r="Q215" s="303"/>
      <c r="R215" s="303"/>
      <c r="S215" s="303"/>
      <c r="T215" s="303"/>
      <c r="U215" s="303"/>
      <c r="V215" s="303"/>
      <c r="W215" s="303"/>
      <c r="X215" s="303"/>
      <c r="Y215" s="303"/>
      <c r="Z215" s="303"/>
    </row>
    <row r="216" ht="14.25" customHeight="1">
      <c r="A216" s="303"/>
      <c r="B216" s="303"/>
      <c r="C216" s="303"/>
      <c r="D216" s="303"/>
      <c r="E216" s="303"/>
      <c r="F216" s="303"/>
      <c r="G216" s="303"/>
      <c r="H216" s="303"/>
      <c r="I216" s="303"/>
      <c r="J216" s="303"/>
      <c r="K216" s="303"/>
      <c r="L216" s="303"/>
      <c r="M216" s="303"/>
      <c r="N216" s="303"/>
      <c r="O216" s="303"/>
      <c r="P216" s="303"/>
      <c r="Q216" s="303"/>
      <c r="R216" s="303"/>
      <c r="S216" s="303"/>
      <c r="T216" s="303"/>
      <c r="U216" s="303"/>
      <c r="V216" s="303"/>
      <c r="W216" s="303"/>
      <c r="X216" s="303"/>
      <c r="Y216" s="303"/>
      <c r="Z216" s="303"/>
    </row>
    <row r="217" ht="14.25" customHeight="1">
      <c r="A217" s="303"/>
      <c r="B217" s="303"/>
      <c r="C217" s="303"/>
      <c r="D217" s="303"/>
      <c r="E217" s="303"/>
      <c r="F217" s="303"/>
      <c r="G217" s="303"/>
      <c r="H217" s="303"/>
      <c r="I217" s="303"/>
      <c r="J217" s="303"/>
      <c r="K217" s="303"/>
      <c r="L217" s="303"/>
      <c r="M217" s="303"/>
      <c r="N217" s="303"/>
      <c r="O217" s="303"/>
      <c r="P217" s="303"/>
      <c r="Q217" s="303"/>
      <c r="R217" s="303"/>
      <c r="S217" s="303"/>
      <c r="T217" s="303"/>
      <c r="U217" s="303"/>
      <c r="V217" s="303"/>
      <c r="W217" s="303"/>
      <c r="X217" s="303"/>
      <c r="Y217" s="303"/>
      <c r="Z217" s="303"/>
    </row>
    <row r="218" ht="14.25" customHeight="1">
      <c r="A218" s="303"/>
      <c r="B218" s="303"/>
      <c r="C218" s="303"/>
      <c r="D218" s="303"/>
      <c r="E218" s="303"/>
      <c r="F218" s="303"/>
      <c r="G218" s="303"/>
      <c r="H218" s="303"/>
      <c r="I218" s="303"/>
      <c r="J218" s="303"/>
      <c r="K218" s="303"/>
      <c r="L218" s="303"/>
      <c r="M218" s="303"/>
      <c r="N218" s="303"/>
      <c r="O218" s="303"/>
      <c r="P218" s="303"/>
      <c r="Q218" s="303"/>
      <c r="R218" s="303"/>
      <c r="S218" s="303"/>
      <c r="T218" s="303"/>
      <c r="U218" s="303"/>
      <c r="V218" s="303"/>
      <c r="W218" s="303"/>
      <c r="X218" s="303"/>
      <c r="Y218" s="303"/>
      <c r="Z218" s="303"/>
    </row>
    <row r="219" ht="14.25" customHeight="1">
      <c r="A219" s="303"/>
      <c r="B219" s="303"/>
      <c r="C219" s="303"/>
      <c r="D219" s="303"/>
      <c r="E219" s="303"/>
      <c r="F219" s="303"/>
      <c r="G219" s="303"/>
      <c r="H219" s="303"/>
      <c r="I219" s="303"/>
      <c r="J219" s="303"/>
      <c r="K219" s="303"/>
      <c r="L219" s="303"/>
      <c r="M219" s="303"/>
      <c r="N219" s="303"/>
      <c r="O219" s="303"/>
      <c r="P219" s="303"/>
      <c r="Q219" s="303"/>
      <c r="R219" s="303"/>
      <c r="S219" s="303"/>
      <c r="T219" s="303"/>
      <c r="U219" s="303"/>
      <c r="V219" s="303"/>
      <c r="W219" s="303"/>
      <c r="X219" s="303"/>
      <c r="Y219" s="303"/>
      <c r="Z219" s="303"/>
    </row>
    <row r="220" ht="14.25" customHeight="1">
      <c r="A220" s="303"/>
      <c r="B220" s="303"/>
      <c r="C220" s="303"/>
      <c r="D220" s="303"/>
      <c r="E220" s="303"/>
      <c r="F220" s="303"/>
      <c r="G220" s="303"/>
      <c r="H220" s="303"/>
      <c r="I220" s="303"/>
      <c r="J220" s="303"/>
      <c r="K220" s="303"/>
      <c r="L220" s="303"/>
      <c r="M220" s="303"/>
      <c r="N220" s="303"/>
      <c r="O220" s="303"/>
      <c r="P220" s="303"/>
      <c r="Q220" s="303"/>
      <c r="R220" s="303"/>
      <c r="S220" s="303"/>
      <c r="T220" s="303"/>
      <c r="U220" s="303"/>
      <c r="V220" s="303"/>
      <c r="W220" s="303"/>
      <c r="X220" s="303"/>
      <c r="Y220" s="303"/>
      <c r="Z220" s="303"/>
    </row>
    <row r="221" ht="14.25" customHeight="1">
      <c r="A221" s="303"/>
      <c r="B221" s="303"/>
      <c r="C221" s="303"/>
      <c r="D221" s="303"/>
      <c r="E221" s="303"/>
      <c r="F221" s="303"/>
      <c r="G221" s="303"/>
      <c r="H221" s="303"/>
      <c r="I221" s="303"/>
      <c r="J221" s="303"/>
      <c r="K221" s="303"/>
      <c r="L221" s="303"/>
      <c r="M221" s="303"/>
      <c r="N221" s="303"/>
      <c r="O221" s="303"/>
      <c r="P221" s="303"/>
      <c r="Q221" s="303"/>
      <c r="R221" s="303"/>
      <c r="S221" s="303"/>
      <c r="T221" s="303"/>
      <c r="U221" s="303"/>
      <c r="V221" s="303"/>
      <c r="W221" s="303"/>
      <c r="X221" s="303"/>
      <c r="Y221" s="303"/>
      <c r="Z221" s="303"/>
    </row>
    <row r="222" ht="14.25" customHeight="1">
      <c r="A222" s="303"/>
      <c r="B222" s="303"/>
      <c r="C222" s="303"/>
      <c r="D222" s="303"/>
      <c r="E222" s="303"/>
      <c r="F222" s="303"/>
      <c r="G222" s="303"/>
      <c r="H222" s="303"/>
      <c r="I222" s="303"/>
      <c r="J222" s="303"/>
      <c r="K222" s="303"/>
      <c r="L222" s="303"/>
      <c r="M222" s="303"/>
      <c r="N222" s="303"/>
      <c r="O222" s="303"/>
      <c r="P222" s="303"/>
      <c r="Q222" s="303"/>
      <c r="R222" s="303"/>
      <c r="S222" s="303"/>
      <c r="T222" s="303"/>
      <c r="U222" s="303"/>
      <c r="V222" s="303"/>
      <c r="W222" s="303"/>
      <c r="X222" s="303"/>
      <c r="Y222" s="303"/>
      <c r="Z222" s="303"/>
    </row>
    <row r="223" ht="14.25" customHeight="1">
      <c r="A223" s="303"/>
      <c r="B223" s="303"/>
      <c r="C223" s="303"/>
      <c r="D223" s="303"/>
      <c r="E223" s="303"/>
      <c r="F223" s="303"/>
      <c r="G223" s="303"/>
      <c r="H223" s="303"/>
      <c r="I223" s="303"/>
      <c r="J223" s="303"/>
      <c r="K223" s="303"/>
      <c r="L223" s="303"/>
      <c r="M223" s="303"/>
      <c r="N223" s="303"/>
      <c r="O223" s="303"/>
      <c r="P223" s="303"/>
      <c r="Q223" s="303"/>
      <c r="R223" s="303"/>
      <c r="S223" s="303"/>
      <c r="T223" s="303"/>
      <c r="U223" s="303"/>
      <c r="V223" s="303"/>
      <c r="W223" s="303"/>
      <c r="X223" s="303"/>
      <c r="Y223" s="303"/>
      <c r="Z223" s="303"/>
    </row>
    <row r="224" ht="14.25" customHeight="1">
      <c r="A224" s="303"/>
      <c r="B224" s="303"/>
      <c r="C224" s="303"/>
      <c r="D224" s="303"/>
      <c r="E224" s="303"/>
      <c r="F224" s="303"/>
      <c r="G224" s="303"/>
      <c r="H224" s="303"/>
      <c r="I224" s="303"/>
      <c r="J224" s="303"/>
      <c r="K224" s="303"/>
      <c r="L224" s="303"/>
      <c r="M224" s="303"/>
      <c r="N224" s="303"/>
      <c r="O224" s="303"/>
      <c r="P224" s="303"/>
      <c r="Q224" s="303"/>
      <c r="R224" s="303"/>
      <c r="S224" s="303"/>
      <c r="T224" s="303"/>
      <c r="U224" s="303"/>
      <c r="V224" s="303"/>
      <c r="W224" s="303"/>
      <c r="X224" s="303"/>
      <c r="Y224" s="303"/>
      <c r="Z224" s="303"/>
    </row>
    <row r="225" ht="14.25" customHeight="1">
      <c r="A225" s="303"/>
      <c r="B225" s="303"/>
      <c r="C225" s="303"/>
      <c r="D225" s="303"/>
      <c r="E225" s="303"/>
      <c r="F225" s="303"/>
      <c r="G225" s="303"/>
      <c r="H225" s="303"/>
      <c r="I225" s="303"/>
      <c r="J225" s="303"/>
      <c r="K225" s="303"/>
      <c r="L225" s="303"/>
      <c r="M225" s="303"/>
      <c r="N225" s="303"/>
      <c r="O225" s="303"/>
      <c r="P225" s="303"/>
      <c r="Q225" s="303"/>
      <c r="R225" s="303"/>
      <c r="S225" s="303"/>
      <c r="T225" s="303"/>
      <c r="U225" s="303"/>
      <c r="V225" s="303"/>
      <c r="W225" s="303"/>
      <c r="X225" s="303"/>
      <c r="Y225" s="303"/>
      <c r="Z225" s="303"/>
    </row>
    <row r="226" ht="14.25" customHeight="1">
      <c r="A226" s="303"/>
      <c r="B226" s="303"/>
      <c r="C226" s="303"/>
      <c r="D226" s="303"/>
      <c r="E226" s="303"/>
      <c r="F226" s="303"/>
      <c r="G226" s="303"/>
      <c r="H226" s="303"/>
      <c r="I226" s="303"/>
      <c r="J226" s="303"/>
      <c r="K226" s="303"/>
      <c r="L226" s="303"/>
      <c r="M226" s="303"/>
      <c r="N226" s="303"/>
      <c r="O226" s="303"/>
      <c r="P226" s="303"/>
      <c r="Q226" s="303"/>
      <c r="R226" s="303"/>
      <c r="S226" s="303"/>
      <c r="T226" s="303"/>
      <c r="U226" s="303"/>
      <c r="V226" s="303"/>
      <c r="W226" s="303"/>
      <c r="X226" s="303"/>
      <c r="Y226" s="303"/>
      <c r="Z226" s="303"/>
    </row>
    <row r="227" ht="14.25" customHeight="1">
      <c r="A227" s="303"/>
      <c r="B227" s="303"/>
      <c r="C227" s="303"/>
      <c r="D227" s="303"/>
      <c r="E227" s="303"/>
      <c r="F227" s="303"/>
      <c r="G227" s="303"/>
      <c r="H227" s="303"/>
      <c r="I227" s="303"/>
      <c r="J227" s="303"/>
      <c r="K227" s="303"/>
      <c r="L227" s="303"/>
      <c r="M227" s="303"/>
      <c r="N227" s="303"/>
      <c r="O227" s="303"/>
      <c r="P227" s="303"/>
      <c r="Q227" s="303"/>
      <c r="R227" s="303"/>
      <c r="S227" s="303"/>
      <c r="T227" s="303"/>
      <c r="U227" s="303"/>
      <c r="V227" s="303"/>
      <c r="W227" s="303"/>
      <c r="X227" s="303"/>
      <c r="Y227" s="303"/>
      <c r="Z227" s="303"/>
    </row>
    <row r="228" ht="14.25" customHeight="1">
      <c r="A228" s="303"/>
      <c r="B228" s="303"/>
      <c r="C228" s="303"/>
      <c r="D228" s="303"/>
      <c r="E228" s="303"/>
      <c r="F228" s="303"/>
      <c r="G228" s="303"/>
      <c r="H228" s="303"/>
      <c r="I228" s="303"/>
      <c r="J228" s="303"/>
      <c r="K228" s="303"/>
      <c r="L228" s="303"/>
      <c r="M228" s="303"/>
      <c r="N228" s="303"/>
      <c r="O228" s="303"/>
      <c r="P228" s="303"/>
      <c r="Q228" s="303"/>
      <c r="R228" s="303"/>
      <c r="S228" s="303"/>
      <c r="T228" s="303"/>
      <c r="U228" s="303"/>
      <c r="V228" s="303"/>
      <c r="W228" s="303"/>
      <c r="X228" s="303"/>
      <c r="Y228" s="303"/>
      <c r="Z228" s="303"/>
    </row>
    <row r="229" ht="14.25" customHeight="1">
      <c r="A229" s="303"/>
      <c r="B229" s="303"/>
      <c r="C229" s="303"/>
      <c r="D229" s="303"/>
      <c r="E229" s="303"/>
      <c r="F229" s="303"/>
      <c r="G229" s="303"/>
      <c r="H229" s="303"/>
      <c r="I229" s="303"/>
      <c r="J229" s="303"/>
      <c r="K229" s="303"/>
      <c r="L229" s="303"/>
      <c r="M229" s="303"/>
      <c r="N229" s="303"/>
      <c r="O229" s="303"/>
      <c r="P229" s="303"/>
      <c r="Q229" s="303"/>
      <c r="R229" s="303"/>
      <c r="S229" s="303"/>
      <c r="T229" s="303"/>
      <c r="U229" s="303"/>
      <c r="V229" s="303"/>
      <c r="W229" s="303"/>
      <c r="X229" s="303"/>
      <c r="Y229" s="303"/>
      <c r="Z229" s="303"/>
    </row>
    <row r="230" ht="14.25" customHeight="1">
      <c r="A230" s="303"/>
      <c r="B230" s="303"/>
      <c r="C230" s="303"/>
      <c r="D230" s="303"/>
      <c r="E230" s="303"/>
      <c r="F230" s="303"/>
      <c r="G230" s="303"/>
      <c r="H230" s="303"/>
      <c r="I230" s="303"/>
      <c r="J230" s="303"/>
      <c r="K230" s="303"/>
      <c r="L230" s="303"/>
      <c r="M230" s="303"/>
      <c r="N230" s="303"/>
      <c r="O230" s="303"/>
      <c r="P230" s="303"/>
      <c r="Q230" s="303"/>
      <c r="R230" s="303"/>
      <c r="S230" s="303"/>
      <c r="T230" s="303"/>
      <c r="U230" s="303"/>
      <c r="V230" s="303"/>
      <c r="W230" s="303"/>
      <c r="X230" s="303"/>
      <c r="Y230" s="303"/>
      <c r="Z230" s="303"/>
    </row>
    <row r="231" ht="14.25" customHeight="1">
      <c r="A231" s="303"/>
      <c r="B231" s="303"/>
      <c r="C231" s="303"/>
      <c r="D231" s="303"/>
      <c r="E231" s="303"/>
      <c r="F231" s="303"/>
      <c r="G231" s="303"/>
      <c r="H231" s="303"/>
      <c r="I231" s="303"/>
      <c r="J231" s="303"/>
      <c r="K231" s="303"/>
      <c r="L231" s="303"/>
      <c r="M231" s="303"/>
      <c r="N231" s="303"/>
      <c r="O231" s="303"/>
      <c r="P231" s="303"/>
      <c r="Q231" s="303"/>
      <c r="R231" s="303"/>
      <c r="S231" s="303"/>
      <c r="T231" s="303"/>
      <c r="U231" s="303"/>
      <c r="V231" s="303"/>
      <c r="W231" s="303"/>
      <c r="X231" s="303"/>
      <c r="Y231" s="303"/>
      <c r="Z231" s="303"/>
    </row>
    <row r="232" ht="14.25" customHeight="1">
      <c r="A232" s="303"/>
      <c r="B232" s="303"/>
      <c r="C232" s="303"/>
      <c r="D232" s="303"/>
      <c r="E232" s="303"/>
      <c r="F232" s="303"/>
      <c r="G232" s="303"/>
      <c r="H232" s="303"/>
      <c r="I232" s="303"/>
      <c r="J232" s="303"/>
      <c r="K232" s="303"/>
      <c r="L232" s="303"/>
      <c r="M232" s="303"/>
      <c r="N232" s="303"/>
      <c r="O232" s="303"/>
      <c r="P232" s="303"/>
      <c r="Q232" s="303"/>
      <c r="R232" s="303"/>
      <c r="S232" s="303"/>
      <c r="T232" s="303"/>
      <c r="U232" s="303"/>
      <c r="V232" s="303"/>
      <c r="W232" s="303"/>
      <c r="X232" s="303"/>
      <c r="Y232" s="303"/>
      <c r="Z232" s="303"/>
    </row>
    <row r="233" ht="14.25" customHeight="1">
      <c r="A233" s="303"/>
      <c r="B233" s="303"/>
      <c r="C233" s="303"/>
      <c r="D233" s="303"/>
      <c r="E233" s="303"/>
      <c r="F233" s="303"/>
      <c r="G233" s="303"/>
      <c r="H233" s="303"/>
      <c r="I233" s="303"/>
      <c r="J233" s="303"/>
      <c r="K233" s="303"/>
      <c r="L233" s="303"/>
      <c r="M233" s="303"/>
      <c r="N233" s="303"/>
      <c r="O233" s="303"/>
      <c r="P233" s="303"/>
      <c r="Q233" s="303"/>
      <c r="R233" s="303"/>
      <c r="S233" s="303"/>
      <c r="T233" s="303"/>
      <c r="U233" s="303"/>
      <c r="V233" s="303"/>
      <c r="W233" s="303"/>
      <c r="X233" s="303"/>
      <c r="Y233" s="303"/>
      <c r="Z233" s="303"/>
    </row>
    <row r="234" ht="14.25" customHeight="1">
      <c r="A234" s="303"/>
      <c r="B234" s="303"/>
      <c r="C234" s="303"/>
      <c r="D234" s="303"/>
      <c r="E234" s="303"/>
      <c r="F234" s="303"/>
      <c r="G234" s="303"/>
      <c r="H234" s="303"/>
      <c r="I234" s="303"/>
      <c r="J234" s="303"/>
      <c r="K234" s="303"/>
      <c r="L234" s="303"/>
      <c r="M234" s="303"/>
      <c r="N234" s="303"/>
      <c r="O234" s="303"/>
      <c r="P234" s="303"/>
      <c r="Q234" s="303"/>
      <c r="R234" s="303"/>
      <c r="S234" s="303"/>
      <c r="T234" s="303"/>
      <c r="U234" s="303"/>
      <c r="V234" s="303"/>
      <c r="W234" s="303"/>
      <c r="X234" s="303"/>
      <c r="Y234" s="303"/>
      <c r="Z234" s="303"/>
    </row>
    <row r="235" ht="14.25" customHeight="1">
      <c r="A235" s="303"/>
      <c r="B235" s="303"/>
      <c r="C235" s="303"/>
      <c r="D235" s="303"/>
      <c r="E235" s="303"/>
      <c r="F235" s="303"/>
      <c r="G235" s="303"/>
      <c r="H235" s="303"/>
      <c r="I235" s="303"/>
      <c r="J235" s="303"/>
      <c r="K235" s="303"/>
      <c r="L235" s="303"/>
      <c r="M235" s="303"/>
      <c r="N235" s="303"/>
      <c r="O235" s="303"/>
      <c r="P235" s="303"/>
      <c r="Q235" s="303"/>
      <c r="R235" s="303"/>
      <c r="S235" s="303"/>
      <c r="T235" s="303"/>
      <c r="U235" s="303"/>
      <c r="V235" s="303"/>
      <c r="W235" s="303"/>
      <c r="X235" s="303"/>
      <c r="Y235" s="303"/>
      <c r="Z235" s="303"/>
    </row>
    <row r="236" ht="14.25" customHeight="1">
      <c r="A236" s="303"/>
      <c r="B236" s="303"/>
      <c r="C236" s="303"/>
      <c r="D236" s="303"/>
      <c r="E236" s="303"/>
      <c r="F236" s="303"/>
      <c r="G236" s="303"/>
      <c r="H236" s="303"/>
      <c r="I236" s="303"/>
      <c r="J236" s="303"/>
      <c r="K236" s="303"/>
      <c r="L236" s="303"/>
      <c r="M236" s="303"/>
      <c r="N236" s="303"/>
      <c r="O236" s="303"/>
      <c r="P236" s="303"/>
      <c r="Q236" s="303"/>
      <c r="R236" s="303"/>
      <c r="S236" s="303"/>
      <c r="T236" s="303"/>
      <c r="U236" s="303"/>
      <c r="V236" s="303"/>
      <c r="W236" s="303"/>
      <c r="X236" s="303"/>
      <c r="Y236" s="303"/>
      <c r="Z236" s="303"/>
    </row>
    <row r="237" ht="14.25" customHeight="1">
      <c r="A237" s="303"/>
      <c r="B237" s="303"/>
      <c r="C237" s="303"/>
      <c r="D237" s="303"/>
      <c r="E237" s="303"/>
      <c r="F237" s="303"/>
      <c r="G237" s="303"/>
      <c r="H237" s="303"/>
      <c r="I237" s="303"/>
      <c r="J237" s="303"/>
      <c r="K237" s="303"/>
      <c r="L237" s="303"/>
      <c r="M237" s="303"/>
      <c r="N237" s="303"/>
      <c r="O237" s="303"/>
      <c r="P237" s="303"/>
      <c r="Q237" s="303"/>
      <c r="R237" s="303"/>
      <c r="S237" s="303"/>
      <c r="T237" s="303"/>
      <c r="U237" s="303"/>
      <c r="V237" s="303"/>
      <c r="W237" s="303"/>
      <c r="X237" s="303"/>
      <c r="Y237" s="303"/>
      <c r="Z237" s="303"/>
    </row>
    <row r="238" ht="14.25" customHeight="1">
      <c r="A238" s="303"/>
      <c r="B238" s="303"/>
      <c r="C238" s="303"/>
      <c r="D238" s="303"/>
      <c r="E238" s="303"/>
      <c r="F238" s="303"/>
      <c r="G238" s="303"/>
      <c r="H238" s="303"/>
      <c r="I238" s="303"/>
      <c r="J238" s="303"/>
      <c r="K238" s="303"/>
      <c r="L238" s="303"/>
      <c r="M238" s="303"/>
      <c r="N238" s="303"/>
      <c r="O238" s="303"/>
      <c r="P238" s="303"/>
      <c r="Q238" s="303"/>
      <c r="R238" s="303"/>
      <c r="S238" s="303"/>
      <c r="T238" s="303"/>
      <c r="U238" s="303"/>
      <c r="V238" s="303"/>
      <c r="W238" s="303"/>
      <c r="X238" s="303"/>
      <c r="Y238" s="303"/>
      <c r="Z238" s="303"/>
    </row>
    <row r="239" ht="14.25" customHeight="1">
      <c r="A239" s="303"/>
      <c r="B239" s="303"/>
      <c r="C239" s="303"/>
      <c r="D239" s="303"/>
      <c r="E239" s="303"/>
      <c r="F239" s="303"/>
      <c r="G239" s="303"/>
      <c r="H239" s="303"/>
      <c r="I239" s="303"/>
      <c r="J239" s="303"/>
      <c r="K239" s="303"/>
      <c r="L239" s="303"/>
      <c r="M239" s="303"/>
      <c r="N239" s="303"/>
      <c r="O239" s="303"/>
      <c r="P239" s="303"/>
      <c r="Q239" s="303"/>
      <c r="R239" s="303"/>
      <c r="S239" s="303"/>
      <c r="T239" s="303"/>
      <c r="U239" s="303"/>
      <c r="V239" s="303"/>
      <c r="W239" s="303"/>
      <c r="X239" s="303"/>
      <c r="Y239" s="303"/>
      <c r="Z239" s="303"/>
    </row>
    <row r="240" ht="14.25" customHeight="1">
      <c r="A240" s="303"/>
      <c r="B240" s="303"/>
      <c r="C240" s="303"/>
      <c r="D240" s="303"/>
      <c r="E240" s="303"/>
      <c r="F240" s="303"/>
      <c r="G240" s="303"/>
      <c r="H240" s="303"/>
      <c r="I240" s="303"/>
      <c r="J240" s="303"/>
      <c r="K240" s="303"/>
      <c r="L240" s="303"/>
      <c r="M240" s="303"/>
      <c r="N240" s="303"/>
      <c r="O240" s="303"/>
      <c r="P240" s="303"/>
      <c r="Q240" s="303"/>
      <c r="R240" s="303"/>
      <c r="S240" s="303"/>
      <c r="T240" s="303"/>
      <c r="U240" s="303"/>
      <c r="V240" s="303"/>
      <c r="W240" s="303"/>
      <c r="X240" s="303"/>
      <c r="Y240" s="303"/>
      <c r="Z240" s="303"/>
    </row>
    <row r="241" ht="14.25" customHeight="1">
      <c r="A241" s="303"/>
      <c r="B241" s="303"/>
      <c r="C241" s="303"/>
      <c r="D241" s="303"/>
      <c r="E241" s="303"/>
      <c r="F241" s="303"/>
      <c r="G241" s="303"/>
      <c r="H241" s="303"/>
      <c r="I241" s="303"/>
      <c r="J241" s="303"/>
      <c r="K241" s="303"/>
      <c r="L241" s="303"/>
      <c r="M241" s="303"/>
      <c r="N241" s="303"/>
      <c r="O241" s="303"/>
      <c r="P241" s="303"/>
      <c r="Q241" s="303"/>
      <c r="R241" s="303"/>
      <c r="S241" s="303"/>
      <c r="T241" s="303"/>
      <c r="U241" s="303"/>
      <c r="V241" s="303"/>
      <c r="W241" s="303"/>
      <c r="X241" s="303"/>
      <c r="Y241" s="303"/>
      <c r="Z241" s="303"/>
    </row>
    <row r="242" ht="14.25" customHeight="1">
      <c r="A242" s="303"/>
      <c r="B242" s="303"/>
      <c r="C242" s="303"/>
      <c r="D242" s="303"/>
      <c r="E242" s="303"/>
      <c r="F242" s="303"/>
      <c r="G242" s="303"/>
      <c r="H242" s="303"/>
      <c r="I242" s="303"/>
      <c r="J242" s="303"/>
      <c r="K242" s="303"/>
      <c r="L242" s="303"/>
      <c r="M242" s="303"/>
      <c r="N242" s="303"/>
      <c r="O242" s="303"/>
      <c r="P242" s="303"/>
      <c r="Q242" s="303"/>
      <c r="R242" s="303"/>
      <c r="S242" s="303"/>
      <c r="T242" s="303"/>
      <c r="U242" s="303"/>
      <c r="V242" s="303"/>
      <c r="W242" s="303"/>
      <c r="X242" s="303"/>
      <c r="Y242" s="303"/>
      <c r="Z242" s="303"/>
    </row>
    <row r="243" ht="14.25" customHeight="1">
      <c r="A243" s="303"/>
      <c r="B243" s="303"/>
      <c r="C243" s="303"/>
      <c r="D243" s="303"/>
      <c r="E243" s="303"/>
      <c r="F243" s="303"/>
      <c r="G243" s="303"/>
      <c r="H243" s="303"/>
      <c r="I243" s="303"/>
      <c r="J243" s="303"/>
      <c r="K243" s="303"/>
      <c r="L243" s="303"/>
      <c r="M243" s="303"/>
      <c r="N243" s="303"/>
      <c r="O243" s="303"/>
      <c r="P243" s="303"/>
      <c r="Q243" s="303"/>
      <c r="R243" s="303"/>
      <c r="S243" s="303"/>
      <c r="T243" s="303"/>
      <c r="U243" s="303"/>
      <c r="V243" s="303"/>
      <c r="W243" s="303"/>
      <c r="X243" s="303"/>
      <c r="Y243" s="303"/>
      <c r="Z243" s="303"/>
    </row>
    <row r="244" ht="14.25" customHeight="1">
      <c r="A244" s="303"/>
      <c r="B244" s="303"/>
      <c r="C244" s="303"/>
      <c r="D244" s="303"/>
      <c r="E244" s="303"/>
      <c r="F244" s="303"/>
      <c r="G244" s="303"/>
      <c r="H244" s="303"/>
      <c r="I244" s="303"/>
      <c r="J244" s="303"/>
      <c r="K244" s="303"/>
      <c r="L244" s="303"/>
      <c r="M244" s="303"/>
      <c r="N244" s="303"/>
      <c r="O244" s="303"/>
      <c r="P244" s="303"/>
      <c r="Q244" s="303"/>
      <c r="R244" s="303"/>
      <c r="S244" s="303"/>
      <c r="T244" s="303"/>
      <c r="U244" s="303"/>
      <c r="V244" s="303"/>
      <c r="W244" s="303"/>
      <c r="X244" s="303"/>
      <c r="Y244" s="303"/>
      <c r="Z244" s="303"/>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A10:A12"/>
    <mergeCell ref="B10:B12"/>
    <mergeCell ref="A17:A19"/>
    <mergeCell ref="B17:B19"/>
    <mergeCell ref="A24:A26"/>
    <mergeCell ref="B24:B26"/>
    <mergeCell ref="A31:A33"/>
    <mergeCell ref="B31:B33"/>
    <mergeCell ref="A2:E2"/>
    <mergeCell ref="A3:A5"/>
    <mergeCell ref="B3:B5"/>
    <mergeCell ref="C3:E3"/>
    <mergeCell ref="C4:E4"/>
    <mergeCell ref="B7:D7"/>
    <mergeCell ref="A9:E9"/>
    <mergeCell ref="C10:E10"/>
    <mergeCell ref="C11:E11"/>
    <mergeCell ref="B14:D14"/>
    <mergeCell ref="A16:E16"/>
    <mergeCell ref="C17:E17"/>
    <mergeCell ref="C18:E18"/>
    <mergeCell ref="B21:D21"/>
    <mergeCell ref="B35:D35"/>
    <mergeCell ref="A39:D39"/>
    <mergeCell ref="A40:B40"/>
    <mergeCell ref="A41:B41"/>
    <mergeCell ref="A23:E23"/>
    <mergeCell ref="C24:E24"/>
    <mergeCell ref="C25:E25"/>
    <mergeCell ref="B28:D28"/>
    <mergeCell ref="A30:E30"/>
    <mergeCell ref="C31:E31"/>
    <mergeCell ref="C32:E32"/>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CC"/>
    <pageSetUpPr/>
  </sheetPr>
  <sheetViews>
    <sheetView showGridLines="0" workbookViewId="0"/>
  </sheetViews>
  <sheetFormatPr customHeight="1" defaultColWidth="12.63" defaultRowHeight="15.0" outlineLevelCol="1" outlineLevelRow="1"/>
  <cols>
    <col customWidth="1" min="1" max="1" width="5.5"/>
    <col customWidth="1" min="2" max="2" width="15.0"/>
    <col customWidth="1" min="3" max="6" width="14.0"/>
    <col customWidth="1" min="7" max="8" width="12.25"/>
    <col customWidth="1" min="9" max="9" width="11.5"/>
    <col customWidth="1" min="10" max="10" width="11.25"/>
    <col customWidth="1" min="11" max="11" width="11.0"/>
    <col customWidth="1" min="12" max="12" width="11.38"/>
    <col customWidth="1" min="13" max="16" width="8.38"/>
    <col customWidth="1" min="17" max="32" width="11.13" outlineLevel="1"/>
    <col customWidth="1" min="33" max="40" width="11.13"/>
    <col customWidth="1" min="41" max="41" width="14.88"/>
  </cols>
  <sheetData>
    <row r="1" ht="14.25" hidden="1" customHeight="1" outlineLevel="1">
      <c r="A1" s="332"/>
      <c r="B1" s="332"/>
      <c r="C1" s="332"/>
      <c r="D1" s="332"/>
      <c r="E1" s="332"/>
      <c r="F1" s="332"/>
      <c r="G1" s="332"/>
      <c r="H1" s="332"/>
      <c r="I1" s="332"/>
      <c r="J1" s="332"/>
      <c r="K1" s="763">
        <v>45957.0</v>
      </c>
      <c r="L1" s="764"/>
      <c r="M1" s="763">
        <f>+K1+30</f>
        <v>45987</v>
      </c>
      <c r="N1" s="764"/>
      <c r="O1" s="763">
        <f>+M1+30</f>
        <v>46017</v>
      </c>
      <c r="P1" s="764"/>
      <c r="Q1" s="763">
        <f>+O1+30</f>
        <v>46047</v>
      </c>
      <c r="R1" s="764"/>
      <c r="S1" s="765">
        <f>+Q1+30</f>
        <v>46077</v>
      </c>
      <c r="T1" s="706"/>
      <c r="U1" s="765">
        <f>+S1+30</f>
        <v>46107</v>
      </c>
      <c r="V1" s="706"/>
      <c r="W1" s="765">
        <v>46142.0</v>
      </c>
      <c r="X1" s="706"/>
      <c r="Y1" s="765">
        <v>46172.0</v>
      </c>
      <c r="Z1" s="706"/>
      <c r="AA1" s="765">
        <v>46202.0</v>
      </c>
      <c r="AB1" s="706"/>
      <c r="AC1" s="765">
        <v>46232.0</v>
      </c>
      <c r="AD1" s="706"/>
      <c r="AE1" s="765">
        <v>46262.0</v>
      </c>
      <c r="AF1" s="706"/>
      <c r="AG1" s="765">
        <v>46292.0</v>
      </c>
      <c r="AH1" s="706"/>
      <c r="AI1" s="765">
        <v>46322.0</v>
      </c>
      <c r="AJ1" s="706"/>
      <c r="AK1" s="765">
        <v>46352.0</v>
      </c>
      <c r="AL1" s="706"/>
      <c r="AM1" s="765">
        <v>46382.0</v>
      </c>
      <c r="AN1" s="706"/>
      <c r="AO1" s="332"/>
      <c r="AP1" s="332"/>
    </row>
    <row r="2" ht="14.25" hidden="1" customHeight="1" outlineLevel="1">
      <c r="A2" s="332"/>
      <c r="B2" s="332"/>
      <c r="C2" s="332"/>
      <c r="D2" s="332"/>
      <c r="E2" s="332"/>
      <c r="F2" s="1053" t="s">
        <v>1845</v>
      </c>
      <c r="G2" s="602"/>
      <c r="H2" s="602"/>
      <c r="I2" s="602"/>
      <c r="J2" s="924"/>
      <c r="K2" s="708"/>
      <c r="L2" s="767"/>
      <c r="M2" s="708"/>
      <c r="N2" s="767"/>
      <c r="O2" s="708"/>
      <c r="P2" s="767"/>
      <c r="Q2" s="708"/>
      <c r="R2" s="767"/>
      <c r="S2" s="708"/>
      <c r="T2" s="709"/>
      <c r="U2" s="708"/>
      <c r="V2" s="709"/>
      <c r="W2" s="708"/>
      <c r="X2" s="709"/>
      <c r="Y2" s="708"/>
      <c r="Z2" s="709"/>
      <c r="AA2" s="708"/>
      <c r="AB2" s="709"/>
      <c r="AC2" s="708"/>
      <c r="AD2" s="709"/>
      <c r="AE2" s="708"/>
      <c r="AF2" s="709"/>
      <c r="AG2" s="708"/>
      <c r="AH2" s="709"/>
      <c r="AI2" s="708"/>
      <c r="AJ2" s="709"/>
      <c r="AK2" s="708"/>
      <c r="AL2" s="709"/>
      <c r="AM2" s="708"/>
      <c r="AN2" s="709"/>
      <c r="AO2" s="332"/>
      <c r="AP2" s="332"/>
    </row>
    <row r="3" ht="14.25" hidden="1" customHeight="1" outlineLevel="1">
      <c r="A3" s="332"/>
      <c r="B3" s="332"/>
      <c r="C3" s="332"/>
      <c r="D3" s="332"/>
      <c r="E3" s="332"/>
      <c r="F3" s="1054" t="s">
        <v>1851</v>
      </c>
      <c r="G3" s="278"/>
      <c r="H3" s="1055" t="s">
        <v>1852</v>
      </c>
      <c r="I3" s="1056">
        <v>25001.0</v>
      </c>
      <c r="J3" s="1057" t="s">
        <v>1838</v>
      </c>
      <c r="K3" s="1055" t="s">
        <v>1852</v>
      </c>
      <c r="L3" s="1056">
        <v>25001.0</v>
      </c>
      <c r="M3" s="1055" t="s">
        <v>1852</v>
      </c>
      <c r="N3" s="1056">
        <v>25001.0</v>
      </c>
      <c r="O3" s="1055" t="s">
        <v>1852</v>
      </c>
      <c r="P3" s="1056">
        <v>25001.0</v>
      </c>
      <c r="Q3" s="1055" t="s">
        <v>1852</v>
      </c>
      <c r="R3" s="1056">
        <v>25001.0</v>
      </c>
      <c r="S3" s="1055" t="s">
        <v>1852</v>
      </c>
      <c r="T3" s="1056">
        <v>25001.0</v>
      </c>
      <c r="U3" s="1055" t="s">
        <v>1852</v>
      </c>
      <c r="V3" s="1056">
        <v>25001.0</v>
      </c>
      <c r="W3" s="1055" t="s">
        <v>1852</v>
      </c>
      <c r="X3" s="1056">
        <v>25001.0</v>
      </c>
      <c r="Y3" s="1055" t="s">
        <v>1852</v>
      </c>
      <c r="Z3" s="1056">
        <v>25001.0</v>
      </c>
      <c r="AA3" s="1055" t="s">
        <v>1852</v>
      </c>
      <c r="AB3" s="1056">
        <v>25001.0</v>
      </c>
      <c r="AC3" s="1055" t="s">
        <v>1852</v>
      </c>
      <c r="AD3" s="1056">
        <v>25001.0</v>
      </c>
      <c r="AE3" s="1055" t="s">
        <v>1852</v>
      </c>
      <c r="AF3" s="1056">
        <v>25001.0</v>
      </c>
      <c r="AG3" s="1055" t="s">
        <v>1852</v>
      </c>
      <c r="AH3" s="1056">
        <v>25001.0</v>
      </c>
      <c r="AI3" s="1055" t="s">
        <v>1852</v>
      </c>
      <c r="AJ3" s="1056">
        <v>25001.0</v>
      </c>
      <c r="AK3" s="1055" t="s">
        <v>1852</v>
      </c>
      <c r="AL3" s="1056">
        <v>25001.0</v>
      </c>
      <c r="AM3" s="1055" t="s">
        <v>1852</v>
      </c>
      <c r="AN3" s="1056">
        <v>25001.0</v>
      </c>
      <c r="AO3" s="332"/>
      <c r="AP3" s="332"/>
    </row>
    <row r="4" ht="14.25" hidden="1" customHeight="1" outlineLevel="1">
      <c r="A4" s="332"/>
      <c r="B4" s="332"/>
      <c r="C4" s="332"/>
      <c r="D4" s="332"/>
      <c r="E4" s="332"/>
      <c r="F4" s="1054" t="s">
        <v>1857</v>
      </c>
      <c r="G4" s="278"/>
      <c r="H4" s="1058">
        <v>74.806452</v>
      </c>
      <c r="I4" s="1058">
        <v>63.909656</v>
      </c>
      <c r="J4" s="1059"/>
      <c r="K4" s="1060">
        <f t="shared" ref="K4:L4" si="1">+H4*$K$55</f>
        <v>79.30730045</v>
      </c>
      <c r="L4" s="1060">
        <f t="shared" si="1"/>
        <v>67.75488149</v>
      </c>
      <c r="M4" s="1060">
        <f t="shared" ref="M4:P4" si="2">+K4</f>
        <v>79.30730045</v>
      </c>
      <c r="N4" s="1060">
        <f t="shared" si="2"/>
        <v>67.75488149</v>
      </c>
      <c r="O4" s="1060">
        <f t="shared" si="2"/>
        <v>79.30730045</v>
      </c>
      <c r="P4" s="1060">
        <f t="shared" si="2"/>
        <v>67.75488149</v>
      </c>
      <c r="Q4" s="1060">
        <f>+O4*Q55</f>
        <v>84.40907565</v>
      </c>
      <c r="R4" s="1060">
        <f>+P4*Q55</f>
        <v>72.11349882</v>
      </c>
      <c r="S4" s="1060">
        <f t="shared" ref="S4:V4" si="3">+Q4</f>
        <v>84.40907565</v>
      </c>
      <c r="T4" s="1060">
        <f t="shared" si="3"/>
        <v>72.11349882</v>
      </c>
      <c r="U4" s="1060">
        <f t="shared" si="3"/>
        <v>84.40907565</v>
      </c>
      <c r="V4" s="1060">
        <f t="shared" si="3"/>
        <v>72.11349882</v>
      </c>
      <c r="W4" s="1060">
        <f>+U4*W55</f>
        <v>88.26474506</v>
      </c>
      <c r="X4" s="1060">
        <f>+V4*W55</f>
        <v>75.40752626</v>
      </c>
      <c r="Y4" s="1060">
        <f t="shared" ref="Y4:AB4" si="4">+W4</f>
        <v>88.26474506</v>
      </c>
      <c r="Z4" s="1060">
        <f t="shared" si="4"/>
        <v>75.40752626</v>
      </c>
      <c r="AA4" s="1060">
        <f t="shared" si="4"/>
        <v>88.26474506</v>
      </c>
      <c r="AB4" s="1060">
        <f t="shared" si="4"/>
        <v>75.40752626</v>
      </c>
      <c r="AC4" s="1060">
        <f>+AA4*AC55</f>
        <v>92.29653518</v>
      </c>
      <c r="AD4" s="1060">
        <f>+AB4*AC55</f>
        <v>78.85201952</v>
      </c>
      <c r="AE4" s="1060">
        <f t="shared" ref="AE4:AH4" si="5">+AC4</f>
        <v>92.29653518</v>
      </c>
      <c r="AF4" s="1060">
        <f t="shared" si="5"/>
        <v>78.85201952</v>
      </c>
      <c r="AG4" s="1060">
        <f t="shared" si="5"/>
        <v>92.29653518</v>
      </c>
      <c r="AH4" s="1060">
        <f t="shared" si="5"/>
        <v>78.85201952</v>
      </c>
      <c r="AI4" s="1060">
        <f>+AG4*AI55</f>
        <v>96.51249093</v>
      </c>
      <c r="AJ4" s="1060">
        <f>+AH4*AI55</f>
        <v>82.45385164</v>
      </c>
      <c r="AK4" s="1060">
        <f t="shared" ref="AK4:AN4" si="6">+AI4</f>
        <v>96.51249093</v>
      </c>
      <c r="AL4" s="1060">
        <f t="shared" si="6"/>
        <v>82.45385164</v>
      </c>
      <c r="AM4" s="1060">
        <f t="shared" si="6"/>
        <v>96.51249093</v>
      </c>
      <c r="AN4" s="1060">
        <f t="shared" si="6"/>
        <v>82.45385164</v>
      </c>
      <c r="AO4" s="332"/>
      <c r="AP4" s="332"/>
    </row>
    <row r="5" ht="14.25" hidden="1" customHeight="1" outlineLevel="1">
      <c r="A5" s="332"/>
      <c r="B5" s="332"/>
      <c r="C5" s="332"/>
      <c r="D5" s="332"/>
      <c r="E5" s="332"/>
      <c r="F5" s="1061" t="s">
        <v>1854</v>
      </c>
      <c r="G5" s="1061" t="s">
        <v>1836</v>
      </c>
      <c r="H5" s="1061" t="s">
        <v>1855</v>
      </c>
      <c r="I5" s="1062" t="s">
        <v>1855</v>
      </c>
      <c r="J5" s="1063"/>
      <c r="K5" s="1064">
        <v>1.05</v>
      </c>
      <c r="L5" s="1065" t="s">
        <v>1858</v>
      </c>
      <c r="M5" s="1064">
        <v>1.1</v>
      </c>
      <c r="N5" s="1065" t="s">
        <v>1858</v>
      </c>
      <c r="O5" s="1064">
        <v>1.2</v>
      </c>
      <c r="P5" s="1065" t="s">
        <v>1858</v>
      </c>
      <c r="Q5" s="1064">
        <v>1.2</v>
      </c>
      <c r="R5" s="1065" t="s">
        <v>1858</v>
      </c>
      <c r="S5" s="1064">
        <v>1.1</v>
      </c>
      <c r="T5" s="1065" t="s">
        <v>1858</v>
      </c>
      <c r="U5" s="1064">
        <v>1.0</v>
      </c>
      <c r="V5" s="1065" t="s">
        <v>1858</v>
      </c>
      <c r="W5" s="1064">
        <v>1.0</v>
      </c>
      <c r="X5" s="1065" t="s">
        <v>1858</v>
      </c>
      <c r="Y5" s="1064">
        <v>1.0</v>
      </c>
      <c r="Z5" s="1065" t="s">
        <v>1858</v>
      </c>
      <c r="AA5" s="1064">
        <v>1.0</v>
      </c>
      <c r="AB5" s="1065" t="s">
        <v>1858</v>
      </c>
      <c r="AC5" s="1064">
        <v>1.0</v>
      </c>
      <c r="AD5" s="1065" t="s">
        <v>1858</v>
      </c>
      <c r="AE5" s="1064">
        <v>1.0</v>
      </c>
      <c r="AF5" s="1065" t="s">
        <v>1858</v>
      </c>
      <c r="AG5" s="1064">
        <v>1.0</v>
      </c>
      <c r="AH5" s="1065" t="s">
        <v>1858</v>
      </c>
      <c r="AI5" s="1064">
        <v>1.05</v>
      </c>
      <c r="AJ5" s="1065" t="s">
        <v>1858</v>
      </c>
      <c r="AK5" s="1064">
        <v>1.1</v>
      </c>
      <c r="AL5" s="1065" t="s">
        <v>1858</v>
      </c>
      <c r="AM5" s="1064">
        <v>1.2</v>
      </c>
      <c r="AN5" s="1065" t="s">
        <v>1858</v>
      </c>
      <c r="AO5" s="332"/>
      <c r="AP5" s="332"/>
    </row>
    <row r="6" ht="14.25" hidden="1" customHeight="1" outlineLevel="1">
      <c r="A6" s="332"/>
      <c r="B6" s="332"/>
      <c r="C6" s="332"/>
      <c r="D6" s="332"/>
      <c r="E6" s="332"/>
      <c r="F6" s="1066">
        <v>5010.0</v>
      </c>
      <c r="G6" s="1067" t="s">
        <v>1859</v>
      </c>
      <c r="H6" s="1068">
        <v>25000.0</v>
      </c>
      <c r="I6" s="1068">
        <v>20579.0</v>
      </c>
      <c r="J6" s="1069">
        <f>(H6*H4)+I6*I4</f>
        <v>3185358.111</v>
      </c>
      <c r="K6" s="1070">
        <f>+H6*$K$4</f>
        <v>1982682.511</v>
      </c>
      <c r="L6" s="1071">
        <f>(((H6+I6)*$K$5)-H6)*$L$4</f>
        <v>1548737.693</v>
      </c>
      <c r="M6" s="1070">
        <f>+H6*$M$4</f>
        <v>1982682.511</v>
      </c>
      <c r="N6" s="1071">
        <f>(((H6+I6)*$M$5)-H6)*$N$4</f>
        <v>1703147.681</v>
      </c>
      <c r="O6" s="1070">
        <f>+H6*$O$4</f>
        <v>1982682.511</v>
      </c>
      <c r="P6" s="1071">
        <f>(((H6+I6)*$O$5)-H6)*$P$4</f>
        <v>2011967.655</v>
      </c>
      <c r="Q6" s="1070">
        <f>+H6*$Q$4</f>
        <v>2110226.891</v>
      </c>
      <c r="R6" s="1071">
        <f>(((H6+I6)*$Q$5)-H6)*$R$4</f>
        <v>2141395.925</v>
      </c>
      <c r="S6" s="1070">
        <f>+H6*$S$4</f>
        <v>2110226.891</v>
      </c>
      <c r="T6" s="1071">
        <f>(((H6+I6)*$S$5)-H6)*$T$4</f>
        <v>1812709.808</v>
      </c>
      <c r="U6" s="1070">
        <f>+$H$6*$U$4</f>
        <v>2110226.891</v>
      </c>
      <c r="V6" s="1071">
        <f>+$I$6*V4</f>
        <v>1484023.692</v>
      </c>
      <c r="W6" s="1070">
        <f>+$H$6*W4</f>
        <v>2206618.626</v>
      </c>
      <c r="X6" s="1071">
        <f>+$I$6*X4</f>
        <v>1551811.483</v>
      </c>
      <c r="Y6" s="1070">
        <f>+$H$6*Y4</f>
        <v>2206618.626</v>
      </c>
      <c r="Z6" s="1071">
        <f>+$I$6*Z4</f>
        <v>1551811.483</v>
      </c>
      <c r="AA6" s="1070">
        <f>+$H$6*AA4</f>
        <v>2206618.626</v>
      </c>
      <c r="AB6" s="1071">
        <f>+$I$6*AB4</f>
        <v>1551811.483</v>
      </c>
      <c r="AC6" s="1070">
        <f>+$H$6*AC4</f>
        <v>2307413.38</v>
      </c>
      <c r="AD6" s="1071">
        <f>+$I$6*AD4</f>
        <v>1622695.71</v>
      </c>
      <c r="AE6" s="1070">
        <f>+$H$6*AE4</f>
        <v>2307413.38</v>
      </c>
      <c r="AF6" s="1071">
        <f>+$I$6*AF4</f>
        <v>1622695.71</v>
      </c>
      <c r="AG6" s="1070">
        <f>+$H$6*AG4</f>
        <v>2307413.38</v>
      </c>
      <c r="AH6" s="1071">
        <f>+$I$6*AH4</f>
        <v>1622695.71</v>
      </c>
      <c r="AI6" s="1070">
        <f>+H6*$AI$4</f>
        <v>2412812.273</v>
      </c>
      <c r="AJ6" s="1071">
        <f>(((H6+I6)*$AI$5)-H6)*$AJ$4</f>
        <v>1884726.018</v>
      </c>
      <c r="AK6" s="1070">
        <f>+H6*$AK$4</f>
        <v>2412812.273</v>
      </c>
      <c r="AL6" s="1071">
        <f>(((H6+I6)*$AK$5)-H6)*$AL$4</f>
        <v>2072634.223</v>
      </c>
      <c r="AM6" s="1070">
        <f>+H6*$AM$4</f>
        <v>2412812.273</v>
      </c>
      <c r="AN6" s="1071">
        <f>(((H6+I6)*$AM$5)-H6)*$AN$4</f>
        <v>2448450.634</v>
      </c>
      <c r="AO6" s="332"/>
      <c r="AP6" s="332"/>
    </row>
    <row r="7" ht="14.25" hidden="1" customHeight="1" outlineLevel="1">
      <c r="A7" s="332"/>
      <c r="B7" s="332"/>
      <c r="C7" s="332"/>
      <c r="D7" s="332"/>
      <c r="E7" s="332"/>
      <c r="F7" s="1066">
        <v>5020.0</v>
      </c>
      <c r="G7" s="1067" t="s">
        <v>1860</v>
      </c>
      <c r="H7" s="1068">
        <v>21072.0</v>
      </c>
      <c r="I7" s="1068">
        <v>0.0</v>
      </c>
      <c r="J7" s="1072">
        <f>(H7*H4)+I7*I4</f>
        <v>1576321.557</v>
      </c>
      <c r="K7" s="1073">
        <f t="shared" ref="K7:K8" si="7">+H7*$K$5*$K$4</f>
        <v>1754721.607</v>
      </c>
      <c r="L7" s="1074"/>
      <c r="M7" s="1073">
        <f t="shared" ref="M7:M8" si="8">+H7*$M$5*$M$4</f>
        <v>1838279.779</v>
      </c>
      <c r="N7" s="1074"/>
      <c r="O7" s="1073">
        <f t="shared" ref="O7:O8" si="9">+H7*$O$5*$O$4</f>
        <v>2005396.122</v>
      </c>
      <c r="P7" s="1074"/>
      <c r="Q7" s="1073">
        <f t="shared" ref="Q7:Q8" si="10">+H7*$Q$5*$Q$4</f>
        <v>2134401.65</v>
      </c>
      <c r="R7" s="1074"/>
      <c r="S7" s="1073">
        <f t="shared" ref="S7:S8" si="11">+H7*$S$5*$S$4</f>
        <v>1956534.846</v>
      </c>
      <c r="T7" s="1074"/>
      <c r="U7" s="1073">
        <f>+$H$7*U4</f>
        <v>1778668.042</v>
      </c>
      <c r="V7" s="1074"/>
      <c r="W7" s="1073">
        <f>+$H$7*W4</f>
        <v>1859914.708</v>
      </c>
      <c r="X7" s="1074"/>
      <c r="Y7" s="1073">
        <f>+$H$7*Y4</f>
        <v>1859914.708</v>
      </c>
      <c r="Z7" s="1074"/>
      <c r="AA7" s="1073">
        <f>+$H$7*AA4</f>
        <v>1859914.708</v>
      </c>
      <c r="AB7" s="1074"/>
      <c r="AC7" s="1073">
        <f>+$H$7*AC4</f>
        <v>1944872.589</v>
      </c>
      <c r="AD7" s="1074"/>
      <c r="AE7" s="1073">
        <f>+$H$7*AE4</f>
        <v>1944872.589</v>
      </c>
      <c r="AF7" s="1074"/>
      <c r="AG7" s="1073">
        <f>+$H$7*AG4</f>
        <v>1944872.589</v>
      </c>
      <c r="AH7" s="1074"/>
      <c r="AI7" s="1073">
        <f t="shared" ref="AI7:AI8" si="12">+H7*$AI$5*$AI$4</f>
        <v>2135396.769</v>
      </c>
      <c r="AJ7" s="1074"/>
      <c r="AK7" s="1073">
        <f t="shared" ref="AK7:AK8" si="13">+H7*$AK$5*$AK$4</f>
        <v>2237082.33</v>
      </c>
      <c r="AL7" s="1074"/>
      <c r="AM7" s="1073">
        <f t="shared" ref="AM7:AM8" si="14">+H7*$AM$5*$AM$4</f>
        <v>2440453.451</v>
      </c>
      <c r="AN7" s="1074"/>
      <c r="AO7" s="332"/>
      <c r="AP7" s="332"/>
    </row>
    <row r="8" ht="14.25" hidden="1" customHeight="1" outlineLevel="1">
      <c r="A8" s="332"/>
      <c r="B8" s="332"/>
      <c r="C8" s="332"/>
      <c r="D8" s="332"/>
      <c r="E8" s="332"/>
      <c r="F8" s="1066">
        <v>5022.0</v>
      </c>
      <c r="G8" s="1067" t="s">
        <v>1861</v>
      </c>
      <c r="H8" s="1068">
        <v>1567.0</v>
      </c>
      <c r="I8" s="1068">
        <v>0.0</v>
      </c>
      <c r="J8" s="1072">
        <f>(H8*H4)+I8*I4</f>
        <v>117221.7103</v>
      </c>
      <c r="K8" s="1073">
        <f t="shared" si="7"/>
        <v>130488.2668</v>
      </c>
      <c r="L8" s="1074"/>
      <c r="M8" s="1073">
        <f t="shared" si="8"/>
        <v>136701.9938</v>
      </c>
      <c r="N8" s="1074"/>
      <c r="O8" s="1073">
        <f t="shared" si="9"/>
        <v>149129.4478</v>
      </c>
      <c r="P8" s="1074"/>
      <c r="Q8" s="1073">
        <f t="shared" si="10"/>
        <v>158722.8258</v>
      </c>
      <c r="R8" s="1074"/>
      <c r="S8" s="1073">
        <f t="shared" si="11"/>
        <v>145495.9237</v>
      </c>
      <c r="T8" s="1074"/>
      <c r="U8" s="1073">
        <f>+$H$8*U4</f>
        <v>132269.0215</v>
      </c>
      <c r="V8" s="1074"/>
      <c r="W8" s="1073">
        <f>+$H$8*W4</f>
        <v>138310.8555</v>
      </c>
      <c r="X8" s="1074"/>
      <c r="Y8" s="1073">
        <f>+$H$8*Y4</f>
        <v>138310.8555</v>
      </c>
      <c r="Z8" s="1074"/>
      <c r="AA8" s="1073">
        <f>+$H$8*AA4</f>
        <v>138310.8555</v>
      </c>
      <c r="AB8" s="1074"/>
      <c r="AC8" s="1073">
        <f>+$H$8*AC4</f>
        <v>144628.6706</v>
      </c>
      <c r="AD8" s="1074"/>
      <c r="AE8" s="1073">
        <f>+$H$8*AE4</f>
        <v>144628.6706</v>
      </c>
      <c r="AF8" s="1074"/>
      <c r="AG8" s="1073">
        <f>+$H$8*AG4</f>
        <v>144628.6706</v>
      </c>
      <c r="AH8" s="1074"/>
      <c r="AI8" s="1073">
        <f t="shared" si="12"/>
        <v>158796.8269</v>
      </c>
      <c r="AJ8" s="1074"/>
      <c r="AK8" s="1073">
        <f t="shared" si="13"/>
        <v>166358.5806</v>
      </c>
      <c r="AL8" s="1074"/>
      <c r="AM8" s="1073">
        <f t="shared" si="14"/>
        <v>181482.0879</v>
      </c>
      <c r="AN8" s="1074"/>
      <c r="AO8" s="332"/>
      <c r="AP8" s="332"/>
    </row>
    <row r="9" ht="14.25" hidden="1" customHeight="1" outlineLevel="1">
      <c r="A9" s="332"/>
      <c r="B9" s="332"/>
      <c r="C9" s="332"/>
      <c r="D9" s="332"/>
      <c r="E9" s="332"/>
      <c r="F9" s="1066">
        <v>5050.0</v>
      </c>
      <c r="G9" s="1067" t="s">
        <v>1862</v>
      </c>
      <c r="H9" s="1068">
        <v>25000.0</v>
      </c>
      <c r="I9" s="1068">
        <v>5390.0</v>
      </c>
      <c r="J9" s="1072">
        <f>(H9*H4)+I9*I4</f>
        <v>2214634.346</v>
      </c>
      <c r="K9" s="1073">
        <f>+H9*$K$4</f>
        <v>1982682.511</v>
      </c>
      <c r="L9" s="1074">
        <f>(((H9+I9)*$K$5)-H9)*$L$4</f>
        <v>468152.3537</v>
      </c>
      <c r="M9" s="1073">
        <f>+H9*$M$4</f>
        <v>1982682.511</v>
      </c>
      <c r="N9" s="1074">
        <f>(((H9+I9)*$M$5)-H9)*$N$4</f>
        <v>571105.8961</v>
      </c>
      <c r="O9" s="1073">
        <f>+H9*$O$4</f>
        <v>1982682.511</v>
      </c>
      <c r="P9" s="1074">
        <f>(((H9+I9)*$O$5)-H9)*$P$4</f>
        <v>777012.981</v>
      </c>
      <c r="Q9" s="1073">
        <f>+H9*$Q$4</f>
        <v>2110226.891</v>
      </c>
      <c r="R9" s="1074">
        <f>(((H9+I9)*$Q$5)-H9)*$R$4</f>
        <v>826997.6044</v>
      </c>
      <c r="S9" s="1073">
        <f>+H9*$S$4</f>
        <v>2110226.891</v>
      </c>
      <c r="T9" s="1074">
        <f>(((H9+I9)*$S$5)-H9)*$T$4</f>
        <v>607844.6815</v>
      </c>
      <c r="U9" s="1073">
        <f>+$H$9*U4</f>
        <v>2110226.891</v>
      </c>
      <c r="V9" s="1074">
        <f>+$I$9*V4</f>
        <v>388691.7586</v>
      </c>
      <c r="W9" s="1073">
        <f>+$H$9*W4</f>
        <v>2206618.626</v>
      </c>
      <c r="X9" s="1074">
        <f>+$I$9*X4</f>
        <v>406446.5665</v>
      </c>
      <c r="Y9" s="1073">
        <f>+$H$9*Y4</f>
        <v>2206618.626</v>
      </c>
      <c r="Z9" s="1074">
        <f>+$I$9*Z4</f>
        <v>406446.5665</v>
      </c>
      <c r="AA9" s="1073">
        <f>+$H$9*AA4</f>
        <v>2206618.626</v>
      </c>
      <c r="AB9" s="1074">
        <f>+$I$9*AB4</f>
        <v>406446.5665</v>
      </c>
      <c r="AC9" s="1073">
        <f>+$H$9*AC4</f>
        <v>2307413.38</v>
      </c>
      <c r="AD9" s="1074">
        <f>+$I$9*AD4</f>
        <v>425012.3852</v>
      </c>
      <c r="AE9" s="1073">
        <f>+$H$9*AE4</f>
        <v>2307413.38</v>
      </c>
      <c r="AF9" s="1074">
        <f>+$I$9*AF4</f>
        <v>425012.3852</v>
      </c>
      <c r="AG9" s="1073">
        <f>+$H$9*AG4</f>
        <v>2307413.38</v>
      </c>
      <c r="AH9" s="1074">
        <f>+$I$9*AH4</f>
        <v>425012.3852</v>
      </c>
      <c r="AI9" s="1073">
        <f>+H9*$AI$4</f>
        <v>2412812.273</v>
      </c>
      <c r="AJ9" s="1074">
        <f>(((H9+I9)*$AI$5)-H9)*$AJ$4</f>
        <v>569714.8879</v>
      </c>
      <c r="AK9" s="1073">
        <f>+H9*$AK$4</f>
        <v>2412812.273</v>
      </c>
      <c r="AL9" s="1074">
        <f>(((H9+I9)*$AK$5)-H9)*$AL$4</f>
        <v>695003.5155</v>
      </c>
      <c r="AM9" s="1073">
        <f>+H9*$AM$4</f>
        <v>2412812.273</v>
      </c>
      <c r="AN9" s="1074">
        <f>(((H9+I9)*$AM$5)-H9)*$AN$4</f>
        <v>945580.7706</v>
      </c>
      <c r="AO9" s="332"/>
      <c r="AP9" s="332"/>
    </row>
    <row r="10" ht="14.25" hidden="1" customHeight="1" outlineLevel="1">
      <c r="A10" s="332"/>
      <c r="B10" s="332"/>
      <c r="C10" s="332"/>
      <c r="D10" s="332"/>
      <c r="E10" s="332"/>
      <c r="F10" s="1066">
        <v>5060.0</v>
      </c>
      <c r="G10" s="1067" t="s">
        <v>1863</v>
      </c>
      <c r="H10" s="1068">
        <v>7028.0</v>
      </c>
      <c r="I10" s="1068">
        <v>0.0</v>
      </c>
      <c r="J10" s="1072">
        <f>(H10*H4)+I10*I4</f>
        <v>525739.7447</v>
      </c>
      <c r="K10" s="1073">
        <f t="shared" ref="K10:K19" si="15">+H10*$K$5*$K$4</f>
        <v>585240.293</v>
      </c>
      <c r="L10" s="1074"/>
      <c r="M10" s="1073">
        <f t="shared" ref="M10:M19" si="16">+H10*$M$5*$M$4</f>
        <v>613108.8783</v>
      </c>
      <c r="N10" s="1074"/>
      <c r="O10" s="1073">
        <f t="shared" ref="O10:O19" si="17">+H10*$O$5*$O$4</f>
        <v>668846.0491</v>
      </c>
      <c r="P10" s="1074"/>
      <c r="Q10" s="1073">
        <f t="shared" ref="Q10:Q19" si="18">+H10*$Q$5*$Q$4</f>
        <v>711872.3804</v>
      </c>
      <c r="R10" s="1074"/>
      <c r="S10" s="1073">
        <f t="shared" ref="S10:S19" si="19">+H10*$S$5*$S$4</f>
        <v>652549.682</v>
      </c>
      <c r="T10" s="1074"/>
      <c r="U10" s="1073">
        <f>+$H$10*U4</f>
        <v>593226.9836</v>
      </c>
      <c r="V10" s="1074"/>
      <c r="W10" s="1073">
        <f>+$H$10*W4</f>
        <v>620324.6283</v>
      </c>
      <c r="X10" s="1074"/>
      <c r="Y10" s="1073">
        <f>+$H$10*Y4</f>
        <v>620324.6283</v>
      </c>
      <c r="Z10" s="1074"/>
      <c r="AA10" s="1073">
        <f>+$H$10*AA4</f>
        <v>620324.6283</v>
      </c>
      <c r="AB10" s="1074"/>
      <c r="AC10" s="1073">
        <f>+$H$10*AC4</f>
        <v>648660.0492</v>
      </c>
      <c r="AD10" s="1074"/>
      <c r="AE10" s="1073">
        <f>+$H$10*AE4</f>
        <v>648660.0492</v>
      </c>
      <c r="AF10" s="1074"/>
      <c r="AG10" s="1073">
        <f>+$H$10*AG4</f>
        <v>648660.0492</v>
      </c>
      <c r="AH10" s="1074"/>
      <c r="AI10" s="1073">
        <f t="shared" ref="AI10:AI19" si="20">+H10*$AI$5*$AI$4</f>
        <v>712204.2755</v>
      </c>
      <c r="AJ10" s="1074"/>
      <c r="AK10" s="1073">
        <f t="shared" ref="AK10:AK19" si="21">+H10*$AK$5*$AK$4</f>
        <v>746118.7648</v>
      </c>
      <c r="AL10" s="1074"/>
      <c r="AM10" s="1073">
        <f t="shared" ref="AM10:AM19" si="22">+H10*$AM$5*$AM$4</f>
        <v>813947.7435</v>
      </c>
      <c r="AN10" s="1074"/>
      <c r="AO10" s="332"/>
      <c r="AP10" s="332"/>
    </row>
    <row r="11" ht="14.25" hidden="1" customHeight="1" outlineLevel="1">
      <c r="A11" s="332"/>
      <c r="B11" s="332"/>
      <c r="C11" s="332"/>
      <c r="D11" s="332"/>
      <c r="E11" s="332"/>
      <c r="F11" s="1066">
        <v>5090.0</v>
      </c>
      <c r="G11" s="1067" t="s">
        <v>1864</v>
      </c>
      <c r="H11" s="1068">
        <v>5783.0</v>
      </c>
      <c r="I11" s="1068">
        <v>0.0</v>
      </c>
      <c r="J11" s="1072">
        <f>(H11*H4)+I11*I4</f>
        <v>432605.7119</v>
      </c>
      <c r="K11" s="1073">
        <f t="shared" si="15"/>
        <v>481565.8244</v>
      </c>
      <c r="L11" s="1074"/>
      <c r="M11" s="1073">
        <f t="shared" si="16"/>
        <v>504497.5304</v>
      </c>
      <c r="N11" s="1074"/>
      <c r="O11" s="1073">
        <f t="shared" si="17"/>
        <v>550360.9422</v>
      </c>
      <c r="P11" s="1074"/>
      <c r="Q11" s="1073">
        <f t="shared" si="18"/>
        <v>585765.2214</v>
      </c>
      <c r="R11" s="1074"/>
      <c r="S11" s="1073">
        <f t="shared" si="19"/>
        <v>536951.4529</v>
      </c>
      <c r="T11" s="1074"/>
      <c r="U11" s="1073">
        <f>+$H$11*U4</f>
        <v>488137.6845</v>
      </c>
      <c r="V11" s="1074"/>
      <c r="W11" s="1073">
        <f>+$H$11*W4</f>
        <v>510435.0207</v>
      </c>
      <c r="X11" s="1074"/>
      <c r="Y11" s="1073">
        <f>+$H$11*Y4</f>
        <v>510435.0207</v>
      </c>
      <c r="Z11" s="1074"/>
      <c r="AA11" s="1073">
        <f>+$H$11*AA4</f>
        <v>510435.0207</v>
      </c>
      <c r="AB11" s="1074"/>
      <c r="AC11" s="1073">
        <f>+$H$11*AC4</f>
        <v>533750.8629</v>
      </c>
      <c r="AD11" s="1074"/>
      <c r="AE11" s="1073">
        <f>+$H$11*AE4</f>
        <v>533750.8629</v>
      </c>
      <c r="AF11" s="1074"/>
      <c r="AG11" s="1073">
        <f>+$H$11*AG4</f>
        <v>533750.8629</v>
      </c>
      <c r="AH11" s="1074"/>
      <c r="AI11" s="1073">
        <f t="shared" si="20"/>
        <v>586038.3218</v>
      </c>
      <c r="AJ11" s="1074"/>
      <c r="AK11" s="1073">
        <f t="shared" si="21"/>
        <v>613944.9085</v>
      </c>
      <c r="AL11" s="1074"/>
      <c r="AM11" s="1073">
        <f t="shared" si="22"/>
        <v>669758.082</v>
      </c>
      <c r="AN11" s="1074"/>
      <c r="AO11" s="332"/>
      <c r="AP11" s="332"/>
    </row>
    <row r="12" ht="14.25" hidden="1" customHeight="1" outlineLevel="1">
      <c r="A12" s="332"/>
      <c r="B12" s="332"/>
      <c r="C12" s="332"/>
      <c r="D12" s="332"/>
      <c r="E12" s="332"/>
      <c r="F12" s="1066">
        <v>5100.0</v>
      </c>
      <c r="G12" s="1067" t="s">
        <v>1865</v>
      </c>
      <c r="H12" s="1068">
        <v>3162.0</v>
      </c>
      <c r="I12" s="1068">
        <v>0.0</v>
      </c>
      <c r="J12" s="1072">
        <f>(H12*H4)+I12*I4</f>
        <v>236538.0012</v>
      </c>
      <c r="K12" s="1073">
        <f t="shared" si="15"/>
        <v>263308.1682</v>
      </c>
      <c r="L12" s="1074"/>
      <c r="M12" s="1073">
        <f t="shared" si="16"/>
        <v>275846.6524</v>
      </c>
      <c r="N12" s="1074"/>
      <c r="O12" s="1073">
        <f t="shared" si="17"/>
        <v>300923.6208</v>
      </c>
      <c r="P12" s="1074"/>
      <c r="Q12" s="1073">
        <f t="shared" si="18"/>
        <v>320281.7966</v>
      </c>
      <c r="R12" s="1074"/>
      <c r="S12" s="1073">
        <f t="shared" si="19"/>
        <v>293591.6469</v>
      </c>
      <c r="T12" s="1074"/>
      <c r="U12" s="1073">
        <f>+$H$12*U4</f>
        <v>266901.4972</v>
      </c>
      <c r="V12" s="1074"/>
      <c r="W12" s="1073">
        <f>+$H$12*W4</f>
        <v>279093.1239</v>
      </c>
      <c r="X12" s="1074"/>
      <c r="Y12" s="1073">
        <f>+$H$12*Y4</f>
        <v>279093.1239</v>
      </c>
      <c r="Z12" s="1074"/>
      <c r="AA12" s="1073">
        <f>+$H$12*AA4</f>
        <v>279093.1239</v>
      </c>
      <c r="AB12" s="1074"/>
      <c r="AC12" s="1073">
        <f>+$H$12*AC4</f>
        <v>291841.6442</v>
      </c>
      <c r="AD12" s="1074"/>
      <c r="AE12" s="1073">
        <f>+$H$12*AE4</f>
        <v>291841.6442</v>
      </c>
      <c r="AF12" s="1074"/>
      <c r="AG12" s="1073">
        <f>+$H$12*AG4</f>
        <v>291841.6442</v>
      </c>
      <c r="AH12" s="1074"/>
      <c r="AI12" s="1073">
        <f t="shared" si="20"/>
        <v>320431.1211</v>
      </c>
      <c r="AJ12" s="1074"/>
      <c r="AK12" s="1073">
        <f t="shared" si="21"/>
        <v>335689.7459</v>
      </c>
      <c r="AL12" s="1074"/>
      <c r="AM12" s="1073">
        <f t="shared" si="22"/>
        <v>366206.9956</v>
      </c>
      <c r="AN12" s="1074"/>
      <c r="AO12" s="332"/>
      <c r="AP12" s="332"/>
    </row>
    <row r="13" ht="14.25" hidden="1" customHeight="1" outlineLevel="1">
      <c r="A13" s="332"/>
      <c r="B13" s="332"/>
      <c r="C13" s="332"/>
      <c r="D13" s="332"/>
      <c r="E13" s="332"/>
      <c r="F13" s="1066">
        <v>5110.0</v>
      </c>
      <c r="G13" s="1067" t="s">
        <v>1866</v>
      </c>
      <c r="H13" s="1068">
        <v>21131.0</v>
      </c>
      <c r="I13" s="1068">
        <v>0.0</v>
      </c>
      <c r="J13" s="1072">
        <f>(H13*H4)+I13*I4</f>
        <v>1580735.137</v>
      </c>
      <c r="K13" s="1073">
        <f t="shared" si="15"/>
        <v>1759634.694</v>
      </c>
      <c r="L13" s="1074"/>
      <c r="M13" s="1073">
        <f t="shared" si="16"/>
        <v>1843426.822</v>
      </c>
      <c r="N13" s="1074"/>
      <c r="O13" s="1073">
        <f t="shared" si="17"/>
        <v>2011011.079</v>
      </c>
      <c r="P13" s="1074"/>
      <c r="Q13" s="1073">
        <f t="shared" si="18"/>
        <v>2140377.813</v>
      </c>
      <c r="R13" s="1074"/>
      <c r="S13" s="1073">
        <f t="shared" si="19"/>
        <v>1962012.995</v>
      </c>
      <c r="T13" s="1074"/>
      <c r="U13" s="1073">
        <f>+$H$13*U4</f>
        <v>1783648.177</v>
      </c>
      <c r="V13" s="1074"/>
      <c r="W13" s="1073">
        <f>+$H$13*W4</f>
        <v>1865122.328</v>
      </c>
      <c r="X13" s="1074"/>
      <c r="Y13" s="1073">
        <f>+$H$13*Y4</f>
        <v>1865122.328</v>
      </c>
      <c r="Z13" s="1074"/>
      <c r="AA13" s="1073">
        <f>+$H$13*AA4</f>
        <v>1865122.328</v>
      </c>
      <c r="AB13" s="1074"/>
      <c r="AC13" s="1073">
        <f>+$H$13*AC4</f>
        <v>1950318.085</v>
      </c>
      <c r="AD13" s="1074"/>
      <c r="AE13" s="1073">
        <f>+$H$13*AE4</f>
        <v>1950318.085</v>
      </c>
      <c r="AF13" s="1074"/>
      <c r="AG13" s="1073">
        <f>+$H$13*AG4</f>
        <v>1950318.085</v>
      </c>
      <c r="AH13" s="1074"/>
      <c r="AI13" s="1073">
        <f t="shared" si="20"/>
        <v>2141375.718</v>
      </c>
      <c r="AJ13" s="1074"/>
      <c r="AK13" s="1073">
        <f t="shared" si="21"/>
        <v>2243345.99</v>
      </c>
      <c r="AL13" s="1074"/>
      <c r="AM13" s="1073">
        <f t="shared" si="22"/>
        <v>2447286.535</v>
      </c>
      <c r="AN13" s="1074"/>
      <c r="AO13" s="332"/>
      <c r="AP13" s="332"/>
    </row>
    <row r="14" ht="14.25" hidden="1" customHeight="1" outlineLevel="1">
      <c r="A14" s="332"/>
      <c r="B14" s="332"/>
      <c r="C14" s="332"/>
      <c r="D14" s="332"/>
      <c r="E14" s="332"/>
      <c r="F14" s="1066">
        <v>5130.0</v>
      </c>
      <c r="G14" s="1067" t="s">
        <v>1867</v>
      </c>
      <c r="H14" s="1068">
        <v>8617.0</v>
      </c>
      <c r="I14" s="1068">
        <v>0.0</v>
      </c>
      <c r="J14" s="1072">
        <f>(H14*H4)+I14*I4</f>
        <v>644607.1969</v>
      </c>
      <c r="K14" s="1073">
        <f t="shared" si="15"/>
        <v>717560.5584</v>
      </c>
      <c r="L14" s="1074"/>
      <c r="M14" s="1073">
        <f t="shared" si="16"/>
        <v>751730.1088</v>
      </c>
      <c r="N14" s="1074"/>
      <c r="O14" s="1073">
        <f t="shared" si="17"/>
        <v>820069.2096</v>
      </c>
      <c r="P14" s="1074"/>
      <c r="Q14" s="1073">
        <f t="shared" si="18"/>
        <v>872823.6058</v>
      </c>
      <c r="R14" s="1074"/>
      <c r="S14" s="1073">
        <f t="shared" si="19"/>
        <v>800088.3053</v>
      </c>
      <c r="T14" s="1074"/>
      <c r="U14" s="1073">
        <f>+$H$14*U4</f>
        <v>727353.0048</v>
      </c>
      <c r="V14" s="1074"/>
      <c r="W14" s="1073">
        <f>+$H$14*W4</f>
        <v>760577.3082</v>
      </c>
      <c r="X14" s="1074"/>
      <c r="Y14" s="1073">
        <f>+$H$14*Y4</f>
        <v>760577.3082</v>
      </c>
      <c r="Z14" s="1074"/>
      <c r="AA14" s="1073">
        <f>+$H$14*AA4</f>
        <v>760577.3082</v>
      </c>
      <c r="AB14" s="1074"/>
      <c r="AC14" s="1073">
        <f>+$H$14*AC4</f>
        <v>795319.2437</v>
      </c>
      <c r="AD14" s="1074"/>
      <c r="AE14" s="1073">
        <f>+$H$14*AE4</f>
        <v>795319.2437</v>
      </c>
      <c r="AF14" s="1074"/>
      <c r="AG14" s="1073">
        <f>+$H$14*AG4</f>
        <v>795319.2437</v>
      </c>
      <c r="AH14" s="1074"/>
      <c r="AI14" s="1073">
        <f t="shared" si="20"/>
        <v>873230.541</v>
      </c>
      <c r="AJ14" s="1074"/>
      <c r="AK14" s="1073">
        <f t="shared" si="21"/>
        <v>914812.9477</v>
      </c>
      <c r="AL14" s="1074"/>
      <c r="AM14" s="1073">
        <f t="shared" si="22"/>
        <v>997977.7612</v>
      </c>
      <c r="AN14" s="1074"/>
      <c r="AO14" s="332"/>
      <c r="AP14" s="332"/>
    </row>
    <row r="15" ht="14.25" hidden="1" customHeight="1" outlineLevel="1">
      <c r="A15" s="332"/>
      <c r="B15" s="332"/>
      <c r="C15" s="332"/>
      <c r="D15" s="332"/>
      <c r="E15" s="332"/>
      <c r="F15" s="1066">
        <v>5140.0</v>
      </c>
      <c r="G15" s="1067" t="s">
        <v>1868</v>
      </c>
      <c r="H15" s="1068">
        <v>15.0</v>
      </c>
      <c r="I15" s="1068">
        <v>0.0</v>
      </c>
      <c r="J15" s="1072">
        <f>(H15*H4)+I15*I4</f>
        <v>1122.09678</v>
      </c>
      <c r="K15" s="1073">
        <f t="shared" si="15"/>
        <v>1249.089982</v>
      </c>
      <c r="L15" s="1074"/>
      <c r="M15" s="1073">
        <f t="shared" si="16"/>
        <v>1308.570457</v>
      </c>
      <c r="N15" s="1074"/>
      <c r="O15" s="1073">
        <f t="shared" si="17"/>
        <v>1427.531408</v>
      </c>
      <c r="P15" s="1074"/>
      <c r="Q15" s="1073">
        <f t="shared" si="18"/>
        <v>1519.363362</v>
      </c>
      <c r="R15" s="1074"/>
      <c r="S15" s="1073">
        <f t="shared" si="19"/>
        <v>1392.749748</v>
      </c>
      <c r="T15" s="1074"/>
      <c r="U15" s="1073">
        <f>+$H$15*U4</f>
        <v>1266.136135</v>
      </c>
      <c r="V15" s="1074"/>
      <c r="W15" s="1073">
        <f>+$H$15*W4</f>
        <v>1323.971176</v>
      </c>
      <c r="X15" s="1074"/>
      <c r="Y15" s="1073">
        <f>+$H$15*Y4</f>
        <v>1323.971176</v>
      </c>
      <c r="Z15" s="1074"/>
      <c r="AA15" s="1073">
        <f>+$H$15*AA4</f>
        <v>1323.971176</v>
      </c>
      <c r="AB15" s="1074"/>
      <c r="AC15" s="1073">
        <f>+$H$15*AC4</f>
        <v>1384.448028</v>
      </c>
      <c r="AD15" s="1074"/>
      <c r="AE15" s="1073">
        <f>+$H$15*AE4</f>
        <v>1384.448028</v>
      </c>
      <c r="AF15" s="1074"/>
      <c r="AG15" s="1073">
        <f>+$H$15*AG4</f>
        <v>1384.448028</v>
      </c>
      <c r="AH15" s="1074"/>
      <c r="AI15" s="1073">
        <f t="shared" si="20"/>
        <v>1520.071732</v>
      </c>
      <c r="AJ15" s="1074"/>
      <c r="AK15" s="1073">
        <f t="shared" si="21"/>
        <v>1592.4561</v>
      </c>
      <c r="AL15" s="1074"/>
      <c r="AM15" s="1073">
        <f t="shared" si="22"/>
        <v>1737.224837</v>
      </c>
      <c r="AN15" s="1074"/>
      <c r="AO15" s="332"/>
      <c r="AP15" s="332"/>
    </row>
    <row r="16" ht="14.25" hidden="1" customHeight="1" outlineLevel="1">
      <c r="A16" s="332"/>
      <c r="B16" s="332"/>
      <c r="C16" s="332"/>
      <c r="D16" s="332"/>
      <c r="E16" s="332"/>
      <c r="F16" s="1066">
        <v>5150.0</v>
      </c>
      <c r="G16" s="1067" t="s">
        <v>1869</v>
      </c>
      <c r="H16" s="1068">
        <v>707.0</v>
      </c>
      <c r="I16" s="1068">
        <v>0.0</v>
      </c>
      <c r="J16" s="1072">
        <f>(H16*H4)+I16*I4</f>
        <v>52888.16156</v>
      </c>
      <c r="K16" s="1073">
        <f t="shared" si="15"/>
        <v>58873.77449</v>
      </c>
      <c r="L16" s="1074"/>
      <c r="M16" s="1073">
        <f t="shared" si="16"/>
        <v>61677.28756</v>
      </c>
      <c r="N16" s="1074"/>
      <c r="O16" s="1073">
        <f t="shared" si="17"/>
        <v>67284.3137</v>
      </c>
      <c r="P16" s="1074"/>
      <c r="Q16" s="1073">
        <f t="shared" si="18"/>
        <v>71612.65978</v>
      </c>
      <c r="R16" s="1074"/>
      <c r="S16" s="1073">
        <f t="shared" si="19"/>
        <v>65644.93813</v>
      </c>
      <c r="T16" s="1074"/>
      <c r="U16" s="1073">
        <f>+$H$16*U4</f>
        <v>59677.21648</v>
      </c>
      <c r="V16" s="1074"/>
      <c r="W16" s="1073">
        <f>+$H$16*W4</f>
        <v>62403.17476</v>
      </c>
      <c r="X16" s="1074"/>
      <c r="Y16" s="1073">
        <f>+$H$16*Y4</f>
        <v>62403.17476</v>
      </c>
      <c r="Z16" s="1074"/>
      <c r="AA16" s="1073">
        <f>+$H$16*AA4</f>
        <v>62403.17476</v>
      </c>
      <c r="AB16" s="1074"/>
      <c r="AC16" s="1073">
        <f>+$H$16*AC4</f>
        <v>65253.65037</v>
      </c>
      <c r="AD16" s="1074"/>
      <c r="AE16" s="1073">
        <f>+$H$16*AE4</f>
        <v>65253.65037</v>
      </c>
      <c r="AF16" s="1074"/>
      <c r="AG16" s="1073">
        <f>+$H$16*AG4</f>
        <v>65253.65037</v>
      </c>
      <c r="AH16" s="1074"/>
      <c r="AI16" s="1073">
        <f t="shared" si="20"/>
        <v>71646.04764</v>
      </c>
      <c r="AJ16" s="1074"/>
      <c r="AK16" s="1073">
        <f t="shared" si="21"/>
        <v>75057.76419</v>
      </c>
      <c r="AL16" s="1074"/>
      <c r="AM16" s="1073">
        <f t="shared" si="22"/>
        <v>81881.1973</v>
      </c>
      <c r="AN16" s="1074"/>
      <c r="AO16" s="332"/>
      <c r="AP16" s="332"/>
    </row>
    <row r="17" ht="14.25" hidden="1" customHeight="1" outlineLevel="1">
      <c r="A17" s="332"/>
      <c r="B17" s="332"/>
      <c r="C17" s="332"/>
      <c r="D17" s="332"/>
      <c r="E17" s="332"/>
      <c r="F17" s="1066">
        <v>5160.0</v>
      </c>
      <c r="G17" s="1067" t="s">
        <v>1870</v>
      </c>
      <c r="H17" s="1068">
        <v>1122.0</v>
      </c>
      <c r="I17" s="1068">
        <v>0.0</v>
      </c>
      <c r="J17" s="1072">
        <f>(H17*H4)+I17*I4</f>
        <v>83932.83914</v>
      </c>
      <c r="K17" s="1073">
        <f t="shared" si="15"/>
        <v>93431.93066</v>
      </c>
      <c r="L17" s="1074"/>
      <c r="M17" s="1073">
        <f t="shared" si="16"/>
        <v>97881.07022</v>
      </c>
      <c r="N17" s="1074"/>
      <c r="O17" s="1073">
        <f t="shared" si="17"/>
        <v>106779.3493</v>
      </c>
      <c r="P17" s="1074"/>
      <c r="Q17" s="1073">
        <f t="shared" si="18"/>
        <v>113648.3794</v>
      </c>
      <c r="R17" s="1074"/>
      <c r="S17" s="1073">
        <f t="shared" si="19"/>
        <v>104177.6812</v>
      </c>
      <c r="T17" s="1074"/>
      <c r="U17" s="1073">
        <f>+$H$17*U4</f>
        <v>94706.98287</v>
      </c>
      <c r="V17" s="1074"/>
      <c r="W17" s="1073">
        <f>+$H$17*W4</f>
        <v>99033.04395</v>
      </c>
      <c r="X17" s="1074"/>
      <c r="Y17" s="1073">
        <f>+$H$17*Y4</f>
        <v>99033.04395</v>
      </c>
      <c r="Z17" s="1074"/>
      <c r="AA17" s="1073">
        <f>+$H$17*AA4</f>
        <v>99033.04395</v>
      </c>
      <c r="AB17" s="1074"/>
      <c r="AC17" s="1073">
        <f>+$H$17*AC4</f>
        <v>103556.7125</v>
      </c>
      <c r="AD17" s="1074"/>
      <c r="AE17" s="1073">
        <f>+$H$17*AE4</f>
        <v>103556.7125</v>
      </c>
      <c r="AF17" s="1074"/>
      <c r="AG17" s="1073">
        <f>+$H$17*AG4</f>
        <v>103556.7125</v>
      </c>
      <c r="AH17" s="1074"/>
      <c r="AI17" s="1073">
        <f t="shared" si="20"/>
        <v>113701.3656</v>
      </c>
      <c r="AJ17" s="1074"/>
      <c r="AK17" s="1073">
        <f t="shared" si="21"/>
        <v>119115.7163</v>
      </c>
      <c r="AL17" s="1074"/>
      <c r="AM17" s="1073">
        <f t="shared" si="22"/>
        <v>129944.4178</v>
      </c>
      <c r="AN17" s="1074"/>
      <c r="AO17" s="332"/>
      <c r="AP17" s="332"/>
    </row>
    <row r="18" ht="14.25" hidden="1" customHeight="1" outlineLevel="1">
      <c r="A18" s="332"/>
      <c r="B18" s="332"/>
      <c r="C18" s="332"/>
      <c r="D18" s="332"/>
      <c r="E18" s="332"/>
      <c r="F18" s="1066">
        <v>5170.0</v>
      </c>
      <c r="G18" s="1075" t="s">
        <v>1871</v>
      </c>
      <c r="H18" s="1068">
        <v>376.0</v>
      </c>
      <c r="I18" s="1068">
        <v>0.0</v>
      </c>
      <c r="J18" s="1072">
        <f>(H18*H4)+I18*I4</f>
        <v>28127.22595</v>
      </c>
      <c r="K18" s="1073">
        <f t="shared" si="15"/>
        <v>31310.52222</v>
      </c>
      <c r="L18" s="1074"/>
      <c r="M18" s="1073">
        <f t="shared" si="16"/>
        <v>32801.49947</v>
      </c>
      <c r="N18" s="1074"/>
      <c r="O18" s="1073">
        <f t="shared" si="17"/>
        <v>35783.45396</v>
      </c>
      <c r="P18" s="1074"/>
      <c r="Q18" s="1073">
        <f t="shared" si="18"/>
        <v>38085.37493</v>
      </c>
      <c r="R18" s="1074"/>
      <c r="S18" s="1073">
        <f t="shared" si="19"/>
        <v>34911.59369</v>
      </c>
      <c r="T18" s="1074"/>
      <c r="U18" s="1073">
        <f>+$H$18*U4</f>
        <v>31737.81244</v>
      </c>
      <c r="V18" s="1074"/>
      <c r="W18" s="1073">
        <f>+$H$18*W4</f>
        <v>33187.54414</v>
      </c>
      <c r="X18" s="1074"/>
      <c r="Y18" s="1073">
        <f>+$H$18*Y4</f>
        <v>33187.54414</v>
      </c>
      <c r="Z18" s="1074"/>
      <c r="AA18" s="1073">
        <f>+$H$18*AA4</f>
        <v>33187.54414</v>
      </c>
      <c r="AB18" s="1074"/>
      <c r="AC18" s="1073">
        <f>+$H$18*AC4</f>
        <v>34703.49723</v>
      </c>
      <c r="AD18" s="1074"/>
      <c r="AE18" s="1073">
        <f>+$H$18*AE4</f>
        <v>34703.49723</v>
      </c>
      <c r="AF18" s="1074"/>
      <c r="AG18" s="1073">
        <f>+$H$18*AG4</f>
        <v>34703.49723</v>
      </c>
      <c r="AH18" s="1074"/>
      <c r="AI18" s="1073">
        <f t="shared" si="20"/>
        <v>38103.13142</v>
      </c>
      <c r="AJ18" s="1074"/>
      <c r="AK18" s="1073">
        <f t="shared" si="21"/>
        <v>39917.56625</v>
      </c>
      <c r="AL18" s="1074"/>
      <c r="AM18" s="1073">
        <f t="shared" si="22"/>
        <v>43546.43591</v>
      </c>
      <c r="AN18" s="1074"/>
      <c r="AO18" s="332"/>
      <c r="AP18" s="332"/>
    </row>
    <row r="19" ht="14.25" hidden="1" customHeight="1" outlineLevel="1">
      <c r="A19" s="332"/>
      <c r="B19" s="332"/>
      <c r="C19" s="332"/>
      <c r="D19" s="332"/>
      <c r="E19" s="332"/>
      <c r="F19" s="1066">
        <v>5190.0</v>
      </c>
      <c r="G19" s="1075" t="s">
        <v>1872</v>
      </c>
      <c r="H19" s="1068">
        <v>3.0</v>
      </c>
      <c r="I19" s="1068">
        <v>0.0</v>
      </c>
      <c r="J19" s="1072">
        <f>(H19*H4)+I19*I4</f>
        <v>224.419356</v>
      </c>
      <c r="K19" s="1076">
        <f t="shared" si="15"/>
        <v>249.8179964</v>
      </c>
      <c r="L19" s="1077"/>
      <c r="M19" s="1076">
        <f t="shared" si="16"/>
        <v>261.7140915</v>
      </c>
      <c r="N19" s="1077"/>
      <c r="O19" s="1076">
        <f t="shared" si="17"/>
        <v>285.5062816</v>
      </c>
      <c r="P19" s="1077"/>
      <c r="Q19" s="1076">
        <f t="shared" si="18"/>
        <v>303.8726723</v>
      </c>
      <c r="R19" s="1077"/>
      <c r="S19" s="1076">
        <f t="shared" si="19"/>
        <v>278.5499496</v>
      </c>
      <c r="T19" s="1077"/>
      <c r="U19" s="1076">
        <f>+$H$19*U4</f>
        <v>253.2272269</v>
      </c>
      <c r="V19" s="1077"/>
      <c r="W19" s="1076">
        <f>+$H$19*W4</f>
        <v>264.7942352</v>
      </c>
      <c r="X19" s="1077"/>
      <c r="Y19" s="1076">
        <f>+$H$19*Y4</f>
        <v>264.7942352</v>
      </c>
      <c r="Z19" s="1077"/>
      <c r="AA19" s="1076">
        <f>+$H$19*AA4</f>
        <v>264.7942352</v>
      </c>
      <c r="AB19" s="1077"/>
      <c r="AC19" s="1076">
        <f>+$H$19*AC4</f>
        <v>276.8896055</v>
      </c>
      <c r="AD19" s="1077"/>
      <c r="AE19" s="1076">
        <f>+$H$19*AE4</f>
        <v>276.8896055</v>
      </c>
      <c r="AF19" s="1077"/>
      <c r="AG19" s="1076">
        <f>+$H$19*AG4</f>
        <v>276.8896055</v>
      </c>
      <c r="AH19" s="1077"/>
      <c r="AI19" s="1076">
        <f t="shared" si="20"/>
        <v>304.0143464</v>
      </c>
      <c r="AJ19" s="1077"/>
      <c r="AK19" s="1076">
        <f t="shared" si="21"/>
        <v>318.4912201</v>
      </c>
      <c r="AL19" s="1077"/>
      <c r="AM19" s="1076">
        <f t="shared" si="22"/>
        <v>347.4449673</v>
      </c>
      <c r="AN19" s="1077"/>
      <c r="AO19" s="332"/>
      <c r="AP19" s="332"/>
    </row>
    <row r="20" ht="14.25" hidden="1" customHeight="1" outlineLevel="1">
      <c r="A20" s="332"/>
      <c r="B20" s="332"/>
      <c r="C20" s="332"/>
      <c r="D20" s="332"/>
      <c r="E20" s="332"/>
      <c r="F20" s="1078" t="s">
        <v>1838</v>
      </c>
      <c r="G20" s="1079"/>
      <c r="H20" s="1079"/>
      <c r="I20" s="1080"/>
      <c r="J20" s="1081">
        <f>SUM(J6:J19)</f>
        <v>10680056.26</v>
      </c>
      <c r="K20" s="332"/>
      <c r="L20" s="1081">
        <f>SUM(K6:L19)</f>
        <v>11859889.62</v>
      </c>
      <c r="M20" s="332"/>
      <c r="N20" s="1081">
        <f>SUM(M6:N19)</f>
        <v>12397140.51</v>
      </c>
      <c r="O20" s="332"/>
      <c r="P20" s="1081">
        <f>SUM(O6:P19)</f>
        <v>13471642.28</v>
      </c>
      <c r="Q20" s="332"/>
      <c r="R20" s="1081">
        <f>SUM(Q6:R19)</f>
        <v>14338262.25</v>
      </c>
      <c r="S20" s="332"/>
      <c r="T20" s="1081">
        <f>SUM(S6:T19)</f>
        <v>13194638.64</v>
      </c>
      <c r="U20" s="332"/>
      <c r="V20" s="1081">
        <f>SUM(U6:V19)</f>
        <v>12051015.02</v>
      </c>
      <c r="W20" s="332"/>
      <c r="X20" s="1081">
        <f>SUM(W6:X19)</f>
        <v>12601485.8</v>
      </c>
      <c r="Y20" s="332"/>
      <c r="Z20" s="1081">
        <f>SUM(Y6:Z19)</f>
        <v>12601485.8</v>
      </c>
      <c r="AA20" s="332"/>
      <c r="AB20" s="1081">
        <f>SUM(AA6:AB19)</f>
        <v>12601485.8</v>
      </c>
      <c r="AC20" s="332"/>
      <c r="AD20" s="1081">
        <f>SUM(AC6:AD19)</f>
        <v>13177101.2</v>
      </c>
      <c r="AE20" s="332"/>
      <c r="AF20" s="1081">
        <f>SUM(AE6:AF19)</f>
        <v>13177101.2</v>
      </c>
      <c r="AG20" s="332"/>
      <c r="AH20" s="1081">
        <f>SUM(AG6:AH19)</f>
        <v>13177101.2</v>
      </c>
      <c r="AI20" s="332"/>
      <c r="AJ20" s="1081">
        <f>SUM(AI6:AJ19)</f>
        <v>14432813.66</v>
      </c>
      <c r="AK20" s="332"/>
      <c r="AL20" s="1081">
        <f>SUM(AK6:AL19)</f>
        <v>15086617.55</v>
      </c>
      <c r="AM20" s="332"/>
      <c r="AN20" s="1081">
        <f>SUM(AM6:AN19)</f>
        <v>16394225.33</v>
      </c>
      <c r="AO20" s="332"/>
      <c r="AP20" s="332"/>
    </row>
    <row r="21" ht="14.25" hidden="1" customHeight="1" outlineLevel="1">
      <c r="A21" s="332"/>
      <c r="B21" s="332"/>
      <c r="C21" s="332"/>
      <c r="D21" s="332"/>
      <c r="E21" s="332"/>
      <c r="F21" s="332"/>
      <c r="G21" s="332"/>
      <c r="H21" s="332"/>
      <c r="I21" s="332"/>
      <c r="J21" s="332"/>
      <c r="K21" s="332"/>
      <c r="L21" s="332"/>
      <c r="M21" s="332"/>
      <c r="N21" s="332"/>
      <c r="O21" s="332"/>
      <c r="P21" s="332"/>
      <c r="Q21" s="332"/>
      <c r="R21" s="332"/>
      <c r="S21" s="332"/>
      <c r="T21" s="332"/>
      <c r="U21" s="332"/>
      <c r="V21" s="332"/>
      <c r="W21" s="332"/>
      <c r="X21" s="332"/>
      <c r="Y21" s="332"/>
      <c r="Z21" s="332"/>
      <c r="AA21" s="332"/>
      <c r="AB21" s="332"/>
      <c r="AC21" s="332"/>
      <c r="AD21" s="332"/>
      <c r="AE21" s="332"/>
      <c r="AF21" s="332"/>
      <c r="AG21" s="332"/>
      <c r="AH21" s="332"/>
      <c r="AI21" s="332"/>
      <c r="AJ21" s="332"/>
      <c r="AK21" s="332"/>
      <c r="AL21" s="332"/>
      <c r="AM21" s="332"/>
      <c r="AN21" s="332"/>
      <c r="AO21" s="332"/>
      <c r="AP21" s="332"/>
    </row>
    <row r="22" ht="14.25" hidden="1" customHeight="1" outlineLevel="1">
      <c r="A22" s="1053" t="s">
        <v>1873</v>
      </c>
      <c r="B22" s="602"/>
      <c r="C22" s="602"/>
      <c r="D22" s="602"/>
      <c r="E22" s="602"/>
      <c r="F22" s="602"/>
      <c r="G22" s="602"/>
      <c r="H22" s="602"/>
      <c r="I22" s="602"/>
      <c r="J22" s="924"/>
      <c r="K22" s="1082">
        <f>+K1</f>
        <v>45957</v>
      </c>
      <c r="L22" s="278"/>
      <c r="M22" s="1082">
        <f>+M1</f>
        <v>45987</v>
      </c>
      <c r="N22" s="278"/>
      <c r="O22" s="1082">
        <f>+O1</f>
        <v>46017</v>
      </c>
      <c r="P22" s="278"/>
      <c r="Q22" s="1082">
        <f>+Q1</f>
        <v>46047</v>
      </c>
      <c r="R22" s="278"/>
      <c r="S22" s="1082">
        <f>+S1</f>
        <v>46077</v>
      </c>
      <c r="T22" s="278"/>
      <c r="U22" s="1082">
        <f>+U1</f>
        <v>46107</v>
      </c>
      <c r="V22" s="278"/>
      <c r="W22" s="1082">
        <f>+W1</f>
        <v>46142</v>
      </c>
      <c r="X22" s="278"/>
      <c r="Y22" s="1082">
        <f>+Y1</f>
        <v>46172</v>
      </c>
      <c r="Z22" s="278"/>
      <c r="AA22" s="1082">
        <f>+AA1</f>
        <v>46202</v>
      </c>
      <c r="AB22" s="278"/>
      <c r="AC22" s="1082">
        <f>+AC1</f>
        <v>46232</v>
      </c>
      <c r="AD22" s="278"/>
      <c r="AE22" s="1082">
        <f>+AE1</f>
        <v>46262</v>
      </c>
      <c r="AF22" s="278"/>
      <c r="AG22" s="1082">
        <f>+AG1</f>
        <v>46292</v>
      </c>
      <c r="AH22" s="278"/>
      <c r="AI22" s="1082">
        <f>+AI1</f>
        <v>46322</v>
      </c>
      <c r="AJ22" s="278"/>
      <c r="AK22" s="1082">
        <f>+AK1</f>
        <v>46352</v>
      </c>
      <c r="AL22" s="278"/>
      <c r="AM22" s="1082">
        <f>+AM1</f>
        <v>46382</v>
      </c>
      <c r="AN22" s="278"/>
      <c r="AO22" s="332"/>
      <c r="AP22" s="332"/>
    </row>
    <row r="23" ht="14.25" hidden="1" customHeight="1" outlineLevel="1">
      <c r="A23" s="1054" t="s">
        <v>1851</v>
      </c>
      <c r="B23" s="278"/>
      <c r="C23" s="1055" t="s">
        <v>1874</v>
      </c>
      <c r="D23" s="1056" t="s">
        <v>1875</v>
      </c>
      <c r="E23" s="1056" t="s">
        <v>1876</v>
      </c>
      <c r="F23" s="1056" t="s">
        <v>1877</v>
      </c>
      <c r="G23" s="1056" t="s">
        <v>1878</v>
      </c>
      <c r="H23" s="1056" t="s">
        <v>1879</v>
      </c>
      <c r="I23" s="1056" t="s">
        <v>1880</v>
      </c>
      <c r="J23" s="1057" t="s">
        <v>1838</v>
      </c>
      <c r="K23" s="1083" t="s">
        <v>1881</v>
      </c>
      <c r="L23" s="1083" t="s">
        <v>1882</v>
      </c>
      <c r="M23" s="332"/>
      <c r="N23" s="332"/>
      <c r="O23" s="332"/>
      <c r="P23" s="332"/>
      <c r="Q23" s="332"/>
      <c r="R23" s="332"/>
      <c r="S23" s="332"/>
      <c r="T23" s="332"/>
      <c r="U23" s="332"/>
      <c r="V23" s="332"/>
      <c r="W23" s="332"/>
      <c r="X23" s="332"/>
      <c r="Y23" s="332"/>
      <c r="Z23" s="332"/>
      <c r="AA23" s="332"/>
      <c r="AB23" s="332"/>
      <c r="AC23" s="332"/>
      <c r="AD23" s="332"/>
      <c r="AE23" s="332"/>
      <c r="AF23" s="332"/>
      <c r="AG23" s="332"/>
      <c r="AH23" s="332"/>
      <c r="AI23" s="332"/>
      <c r="AJ23" s="332"/>
      <c r="AK23" s="332"/>
      <c r="AL23" s="332"/>
      <c r="AM23" s="332"/>
      <c r="AN23" s="332"/>
      <c r="AO23" s="332"/>
      <c r="AP23" s="332"/>
    </row>
    <row r="24" ht="14.25" hidden="1" customHeight="1" outlineLevel="1">
      <c r="A24" s="1054" t="s">
        <v>1857</v>
      </c>
      <c r="B24" s="278"/>
      <c r="C24" s="1058">
        <v>47.086348</v>
      </c>
      <c r="D24" s="1058">
        <v>40.487324</v>
      </c>
      <c r="E24" s="1058">
        <v>40.02497200000001</v>
      </c>
      <c r="F24" s="1058">
        <v>39.552112</v>
      </c>
      <c r="G24" s="1058">
        <v>38.606392</v>
      </c>
      <c r="H24" s="1058">
        <v>38.14404</v>
      </c>
      <c r="I24" s="1058">
        <v>37.67118</v>
      </c>
      <c r="J24" s="1059"/>
      <c r="K24" s="1084">
        <f>+C24*$K$55</f>
        <v>49.91937257</v>
      </c>
      <c r="L24" s="1084">
        <f>+E24*$K$55</f>
        <v>42.43313772</v>
      </c>
      <c r="M24" s="1084">
        <f t="shared" ref="M24:P24" si="23">+K24</f>
        <v>49.91937257</v>
      </c>
      <c r="N24" s="1084">
        <f t="shared" si="23"/>
        <v>42.43313772</v>
      </c>
      <c r="O24" s="1084">
        <f t="shared" si="23"/>
        <v>49.91937257</v>
      </c>
      <c r="P24" s="1084">
        <f t="shared" si="23"/>
        <v>42.43313772</v>
      </c>
      <c r="Q24" s="1084">
        <f t="shared" ref="Q24:R24" si="24">+O24*$Q$55</f>
        <v>53.13064587</v>
      </c>
      <c r="R24" s="1084">
        <f t="shared" si="24"/>
        <v>45.16282752</v>
      </c>
      <c r="S24" s="1084">
        <f t="shared" ref="S24:V24" si="25">+Q24</f>
        <v>53.13064587</v>
      </c>
      <c r="T24" s="1084">
        <f t="shared" si="25"/>
        <v>45.16282752</v>
      </c>
      <c r="U24" s="1084">
        <f t="shared" si="25"/>
        <v>53.13064587</v>
      </c>
      <c r="V24" s="1084">
        <f t="shared" si="25"/>
        <v>45.16282752</v>
      </c>
      <c r="W24" s="1084">
        <f t="shared" ref="W24:X24" si="26">+U24*$W$55</f>
        <v>55.55756744</v>
      </c>
      <c r="X24" s="1084">
        <f t="shared" si="26"/>
        <v>47.22579209</v>
      </c>
      <c r="Y24" s="1084">
        <f t="shared" ref="Y24:AB24" si="27">+W24</f>
        <v>55.55756744</v>
      </c>
      <c r="Z24" s="1084">
        <f t="shared" si="27"/>
        <v>47.22579209</v>
      </c>
      <c r="AA24" s="1084">
        <f t="shared" si="27"/>
        <v>55.55756744</v>
      </c>
      <c r="AB24" s="1084">
        <f t="shared" si="27"/>
        <v>47.22579209</v>
      </c>
      <c r="AC24" s="1084">
        <f t="shared" ref="AC24:AD24" si="28">+AA24*$AC$55</f>
        <v>58.09534684</v>
      </c>
      <c r="AD24" s="1084">
        <f t="shared" si="28"/>
        <v>49.38298954</v>
      </c>
      <c r="AE24" s="1084">
        <f t="shared" ref="AE24:AH24" si="29">+AC24</f>
        <v>58.09534684</v>
      </c>
      <c r="AF24" s="1084">
        <f t="shared" si="29"/>
        <v>49.38298954</v>
      </c>
      <c r="AG24" s="1084">
        <f t="shared" si="29"/>
        <v>58.09534684</v>
      </c>
      <c r="AH24" s="1084">
        <f t="shared" si="29"/>
        <v>49.38298954</v>
      </c>
      <c r="AI24" s="1084">
        <f t="shared" ref="AI24:AJ24" si="30">+AG24*$AI$55</f>
        <v>60.74904788</v>
      </c>
      <c r="AJ24" s="1084">
        <f t="shared" si="30"/>
        <v>51.63872425</v>
      </c>
      <c r="AK24" s="1084">
        <f t="shared" ref="AK24:AN24" si="31">+AI24</f>
        <v>60.74904788</v>
      </c>
      <c r="AL24" s="1084">
        <f t="shared" si="31"/>
        <v>51.63872425</v>
      </c>
      <c r="AM24" s="1084">
        <f t="shared" si="31"/>
        <v>60.74904788</v>
      </c>
      <c r="AN24" s="1084">
        <f t="shared" si="31"/>
        <v>51.63872425</v>
      </c>
      <c r="AO24" s="332"/>
      <c r="AP24" s="332"/>
    </row>
    <row r="25" ht="14.25" hidden="1" customHeight="1" outlineLevel="1">
      <c r="A25" s="1061" t="s">
        <v>1854</v>
      </c>
      <c r="B25" s="1061" t="s">
        <v>1836</v>
      </c>
      <c r="C25" s="1061" t="s">
        <v>1855</v>
      </c>
      <c r="D25" s="1062" t="s">
        <v>1855</v>
      </c>
      <c r="E25" s="1062" t="s">
        <v>1855</v>
      </c>
      <c r="F25" s="1062" t="s">
        <v>1855</v>
      </c>
      <c r="G25" s="1062" t="s">
        <v>1855</v>
      </c>
      <c r="H25" s="1062" t="s">
        <v>1855</v>
      </c>
      <c r="I25" s="1062" t="s">
        <v>1855</v>
      </c>
      <c r="J25" s="1063"/>
      <c r="K25" s="1084">
        <f>+D24*$K$55</f>
        <v>42.92330786</v>
      </c>
      <c r="L25" s="1084">
        <f>+F24*$K$55</f>
        <v>41.93182735</v>
      </c>
      <c r="M25" s="1084">
        <f t="shared" ref="M25:P25" si="32">+K25</f>
        <v>42.92330786</v>
      </c>
      <c r="N25" s="1084">
        <f t="shared" si="32"/>
        <v>41.93182735</v>
      </c>
      <c r="O25" s="1084">
        <f t="shared" si="32"/>
        <v>42.92330786</v>
      </c>
      <c r="P25" s="1084">
        <f t="shared" si="32"/>
        <v>41.93182735</v>
      </c>
      <c r="Q25" s="1084">
        <f t="shared" ref="Q25:R25" si="33">+O25*$Q$55</f>
        <v>45.68452991</v>
      </c>
      <c r="R25" s="1084">
        <f t="shared" si="33"/>
        <v>44.62926826</v>
      </c>
      <c r="S25" s="1084">
        <f t="shared" ref="S25:V25" si="34">+Q25</f>
        <v>45.68452991</v>
      </c>
      <c r="T25" s="1084">
        <f t="shared" si="34"/>
        <v>44.62926826</v>
      </c>
      <c r="U25" s="1084">
        <f t="shared" si="34"/>
        <v>45.68452991</v>
      </c>
      <c r="V25" s="1084">
        <f t="shared" si="34"/>
        <v>44.62926826</v>
      </c>
      <c r="W25" s="1084">
        <f t="shared" ref="W25:X25" si="35">+U25*$W$55</f>
        <v>47.771325</v>
      </c>
      <c r="X25" s="1084">
        <f t="shared" si="35"/>
        <v>46.66786071</v>
      </c>
      <c r="Y25" s="1084">
        <f t="shared" ref="Y25:AB25" si="36">+W25</f>
        <v>47.771325</v>
      </c>
      <c r="Z25" s="1084">
        <f t="shared" si="36"/>
        <v>46.66786071</v>
      </c>
      <c r="AA25" s="1084">
        <f t="shared" si="36"/>
        <v>47.771325</v>
      </c>
      <c r="AB25" s="1084">
        <f t="shared" si="36"/>
        <v>46.66786071</v>
      </c>
      <c r="AC25" s="1084">
        <f t="shared" ref="AC25:AD25" si="37">+AA25*$AC$55</f>
        <v>49.9534415</v>
      </c>
      <c r="AD25" s="1084">
        <f t="shared" si="37"/>
        <v>48.79957275</v>
      </c>
      <c r="AE25" s="1084">
        <f t="shared" ref="AE25:AH25" si="38">+AC25</f>
        <v>49.9534415</v>
      </c>
      <c r="AF25" s="1084">
        <f t="shared" si="38"/>
        <v>48.79957275</v>
      </c>
      <c r="AG25" s="1084">
        <f t="shared" si="38"/>
        <v>49.9534415</v>
      </c>
      <c r="AH25" s="1084">
        <f t="shared" si="38"/>
        <v>48.79957275</v>
      </c>
      <c r="AI25" s="1084">
        <f t="shared" ref="AI25:AJ25" si="39">+AG25*$AI$55</f>
        <v>52.23523354</v>
      </c>
      <c r="AJ25" s="1084">
        <f t="shared" si="39"/>
        <v>51.02865794</v>
      </c>
      <c r="AK25" s="1084">
        <f t="shared" ref="AK25:AN25" si="40">+AI25</f>
        <v>52.23523354</v>
      </c>
      <c r="AL25" s="1084">
        <f t="shared" si="40"/>
        <v>51.02865794</v>
      </c>
      <c r="AM25" s="1084">
        <f t="shared" si="40"/>
        <v>52.23523354</v>
      </c>
      <c r="AN25" s="1084">
        <f t="shared" si="40"/>
        <v>51.02865794</v>
      </c>
      <c r="AO25" s="332"/>
      <c r="AP25" s="332"/>
    </row>
    <row r="26" ht="14.25" hidden="1" customHeight="1" outlineLevel="1">
      <c r="A26" s="1066">
        <v>5010.0</v>
      </c>
      <c r="B26" s="1067" t="s">
        <v>1859</v>
      </c>
      <c r="C26" s="1068">
        <v>45491.0</v>
      </c>
      <c r="D26" s="1068">
        <v>0.0</v>
      </c>
      <c r="E26" s="1068">
        <v>0.0</v>
      </c>
      <c r="F26" s="1068">
        <v>0.0</v>
      </c>
      <c r="G26" s="1068">
        <v>0.0</v>
      </c>
      <c r="H26" s="1068">
        <v>0.0</v>
      </c>
      <c r="I26" s="1068">
        <v>0.0</v>
      </c>
      <c r="J26" s="1069">
        <f>(C26*C24)+D26*D24</f>
        <v>2142005.057</v>
      </c>
      <c r="K26" s="1085">
        <f>+$C$26*K5*K24</f>
        <v>2384426.287</v>
      </c>
      <c r="L26" s="1086"/>
      <c r="M26" s="1085">
        <f>+$C$26*M5*M24</f>
        <v>2497970.395</v>
      </c>
      <c r="N26" s="1087"/>
      <c r="O26" s="1085">
        <f>+$C$26*O5*O24</f>
        <v>2725058.613</v>
      </c>
      <c r="P26" s="1087"/>
      <c r="Q26" s="1085">
        <f>+$C$26*Q5*Q24</f>
        <v>2900359.454</v>
      </c>
      <c r="R26" s="1086"/>
      <c r="S26" s="1085">
        <f>+$C$26*S5*S24</f>
        <v>2658662.833</v>
      </c>
      <c r="T26" s="1087"/>
      <c r="U26" s="1085">
        <f>+$C$26*U5*U24</f>
        <v>2416966.211</v>
      </c>
      <c r="V26" s="1087"/>
      <c r="W26" s="1085">
        <f>+$C$26*W5*W24</f>
        <v>2527369.3</v>
      </c>
      <c r="X26" s="1087"/>
      <c r="Y26" s="1085">
        <f>+$C$26*Y5*Y24</f>
        <v>2527369.3</v>
      </c>
      <c r="Z26" s="1087"/>
      <c r="AA26" s="1085">
        <f>+$C$26*AA5*AA24</f>
        <v>2527369.3</v>
      </c>
      <c r="AB26" s="1087"/>
      <c r="AC26" s="1085">
        <f>+$C$26*AC5*AC24</f>
        <v>2642815.423</v>
      </c>
      <c r="AD26" s="1087"/>
      <c r="AE26" s="1085">
        <f>+$C$26*AE5*AE24</f>
        <v>2642815.423</v>
      </c>
      <c r="AF26" s="1086"/>
      <c r="AG26" s="1085">
        <f>+$C$26*AG5*AG24</f>
        <v>2642815.423</v>
      </c>
      <c r="AH26" s="1087"/>
      <c r="AI26" s="1085">
        <f>+$C$26*AI5*AI24</f>
        <v>2901711.684</v>
      </c>
      <c r="AJ26" s="1087"/>
      <c r="AK26" s="1085">
        <f>+$C$26*AK5*AK24</f>
        <v>3039888.431</v>
      </c>
      <c r="AL26" s="1087"/>
      <c r="AM26" s="1085">
        <f>+$C$26*AM5*AM24</f>
        <v>3316241.924</v>
      </c>
      <c r="AN26" s="1087"/>
      <c r="AO26" s="332"/>
      <c r="AP26" s="332"/>
    </row>
    <row r="27" ht="14.25" hidden="1" customHeight="1" outlineLevel="1">
      <c r="A27" s="1066">
        <v>5020.0</v>
      </c>
      <c r="B27" s="1067" t="s">
        <v>1860</v>
      </c>
      <c r="C27" s="1068">
        <v>29657.0</v>
      </c>
      <c r="D27" s="1068">
        <v>0.0</v>
      </c>
      <c r="E27" s="1068">
        <v>0.0</v>
      </c>
      <c r="F27" s="1068">
        <v>0.0</v>
      </c>
      <c r="G27" s="1068">
        <v>0.0</v>
      </c>
      <c r="H27" s="1068">
        <v>0.0</v>
      </c>
      <c r="I27" s="1068">
        <v>0.0</v>
      </c>
      <c r="J27" s="1072">
        <f>(C27*C24)+D27*D24</f>
        <v>1396439.823</v>
      </c>
      <c r="K27" s="1088">
        <f>+$C$27*K5*K24</f>
        <v>1554481.774</v>
      </c>
      <c r="L27" s="332"/>
      <c r="M27" s="1088">
        <f>+$C$27*M5*M24</f>
        <v>1628504.716</v>
      </c>
      <c r="N27" s="1089"/>
      <c r="O27" s="1088">
        <f>+$C$27*O5*O24</f>
        <v>1776550.599</v>
      </c>
      <c r="P27" s="1089"/>
      <c r="Q27" s="1088">
        <f>+$C$27*Q5*Q24</f>
        <v>1890834.678</v>
      </c>
      <c r="R27" s="332"/>
      <c r="S27" s="1088">
        <f>+$C$27*S5*S24</f>
        <v>1733265.121</v>
      </c>
      <c r="T27" s="1089"/>
      <c r="U27" s="1088">
        <f>+$C$27*U5*U24</f>
        <v>1575695.565</v>
      </c>
      <c r="V27" s="1089"/>
      <c r="W27" s="1088">
        <f>+$C$27*W5*W24</f>
        <v>1647670.778</v>
      </c>
      <c r="X27" s="1089"/>
      <c r="Y27" s="1088">
        <f>+$C$27*Y5*Y24</f>
        <v>1647670.778</v>
      </c>
      <c r="Z27" s="1089"/>
      <c r="AA27" s="1088">
        <f>+$C$27*AA5*AA24</f>
        <v>1647670.778</v>
      </c>
      <c r="AB27" s="1089"/>
      <c r="AC27" s="1088">
        <f>+$C$27*AC5*AC24</f>
        <v>1722933.701</v>
      </c>
      <c r="AD27" s="1089"/>
      <c r="AE27" s="1088">
        <f>+$C$27*AE5*AE24</f>
        <v>1722933.701</v>
      </c>
      <c r="AF27" s="332"/>
      <c r="AG27" s="1088">
        <f>+$C$27*AG5*AG24</f>
        <v>1722933.701</v>
      </c>
      <c r="AH27" s="1089"/>
      <c r="AI27" s="1088">
        <f>+$C$27*AI5*AI24</f>
        <v>1891716.239</v>
      </c>
      <c r="AJ27" s="1089"/>
      <c r="AK27" s="1088">
        <f>+$C$27*AK5*AK24</f>
        <v>1981797.964</v>
      </c>
      <c r="AL27" s="1089"/>
      <c r="AM27" s="1088">
        <f>+$C$27*AM5*AM24</f>
        <v>2161961.415</v>
      </c>
      <c r="AN27" s="1089"/>
      <c r="AO27" s="332"/>
      <c r="AP27" s="332"/>
    </row>
    <row r="28" ht="14.25" hidden="1" customHeight="1" outlineLevel="1">
      <c r="A28" s="1066">
        <v>5022.0</v>
      </c>
      <c r="B28" s="1067" t="s">
        <v>1861</v>
      </c>
      <c r="C28" s="1068">
        <v>23283.0</v>
      </c>
      <c r="D28" s="1068">
        <v>0.0</v>
      </c>
      <c r="E28" s="1068">
        <v>0.0</v>
      </c>
      <c r="F28" s="1068">
        <v>0.0</v>
      </c>
      <c r="G28" s="1068">
        <v>0.0</v>
      </c>
      <c r="H28" s="1068">
        <v>0.0</v>
      </c>
      <c r="I28" s="1068">
        <v>0.0</v>
      </c>
      <c r="J28" s="1072">
        <f>(C28*C24)+D28*D24</f>
        <v>1096311.44</v>
      </c>
      <c r="K28" s="1088">
        <f>+$C$28*K5*K24</f>
        <v>1220386.389</v>
      </c>
      <c r="L28" s="332"/>
      <c r="M28" s="1088">
        <f>+$C$28*M5*M24</f>
        <v>1278500.027</v>
      </c>
      <c r="N28" s="1089"/>
      <c r="O28" s="1088">
        <f>+$C$28*O5*O24</f>
        <v>1394727.302</v>
      </c>
      <c r="P28" s="1089"/>
      <c r="Q28" s="1088">
        <f>+$C$28*Q5*Q24</f>
        <v>1484448.993</v>
      </c>
      <c r="R28" s="332"/>
      <c r="S28" s="1088">
        <f>+$C$28*S5*S24</f>
        <v>1360744.911</v>
      </c>
      <c r="T28" s="1089"/>
      <c r="U28" s="1088">
        <f>+$C$28*U5*U24</f>
        <v>1237040.828</v>
      </c>
      <c r="V28" s="1089"/>
      <c r="W28" s="1088">
        <f>+$C$28*W5*W24</f>
        <v>1293546.843</v>
      </c>
      <c r="X28" s="1089"/>
      <c r="Y28" s="1088">
        <f>+$C$28*Y5*Y24</f>
        <v>1293546.843</v>
      </c>
      <c r="Z28" s="1089"/>
      <c r="AA28" s="1088">
        <f>+$C$28*AA5*AA24</f>
        <v>1293546.843</v>
      </c>
      <c r="AB28" s="1089"/>
      <c r="AC28" s="1088">
        <f>+$C$28*AC5*AC24</f>
        <v>1352633.96</v>
      </c>
      <c r="AD28" s="1089"/>
      <c r="AE28" s="1088">
        <f>+$C$28*AE5*AE24</f>
        <v>1352633.96</v>
      </c>
      <c r="AF28" s="332"/>
      <c r="AG28" s="1088">
        <f>+$C$28*AG5*AG24</f>
        <v>1352633.96</v>
      </c>
      <c r="AH28" s="1089"/>
      <c r="AI28" s="1088">
        <f>+$C$28*AI5*AI24</f>
        <v>1485141.086</v>
      </c>
      <c r="AJ28" s="1089"/>
      <c r="AK28" s="1088">
        <f>+$C$28*AK5*AK24</f>
        <v>1555862.09</v>
      </c>
      <c r="AL28" s="1089"/>
      <c r="AM28" s="1088">
        <f>+$C$28*AM5*AM24</f>
        <v>1697304.098</v>
      </c>
      <c r="AN28" s="1089"/>
      <c r="AO28" s="332"/>
      <c r="AP28" s="332"/>
    </row>
    <row r="29" ht="14.25" hidden="1" customHeight="1" outlineLevel="1">
      <c r="A29" s="1066">
        <v>5050.0</v>
      </c>
      <c r="B29" s="1067" t="s">
        <v>1862</v>
      </c>
      <c r="C29" s="1068">
        <v>50000.0</v>
      </c>
      <c r="D29" s="1068">
        <v>50000.0</v>
      </c>
      <c r="E29" s="1068">
        <v>100000.0</v>
      </c>
      <c r="F29" s="1068">
        <v>31576.0</v>
      </c>
      <c r="G29" s="1068">
        <v>0.0</v>
      </c>
      <c r="H29" s="1068">
        <v>0.0</v>
      </c>
      <c r="I29" s="1068">
        <v>0.0</v>
      </c>
      <c r="J29" s="1072">
        <f>(C29*C24)+D29*D24+E29*E24+F29*F24+G29*G24+H29*H24+I29*I24</f>
        <v>9630078.289</v>
      </c>
      <c r="K29" s="1090">
        <f>(+$C$29*K24)+($D$29*K25)+($E$29*L24)+($F$29*K5*L25)</f>
        <v>10275689.14</v>
      </c>
      <c r="L29" s="1091"/>
      <c r="M29" s="1090">
        <f>(+$C$29*M24)+($D$29*M25)+($E$29*N24)+($F$29*M5*N25)</f>
        <v>10341891.11</v>
      </c>
      <c r="N29" s="1092"/>
      <c r="O29" s="1090">
        <f>(+$C$29*O24)+($D$29*O25)+($E$29*P24)+($F$29*O5*P25)</f>
        <v>10474295.05</v>
      </c>
      <c r="P29" s="1089"/>
      <c r="Q29" s="1090">
        <f>(+$C$29*Q24)+($D$29*Q25)+($E$29*R24)+($F$29*Q5*R25)</f>
        <v>11148098.07</v>
      </c>
      <c r="R29" s="332"/>
      <c r="S29" s="1090">
        <f>(+$C$29*S24)+($D$29*S25)+($E$29*T24)+($F$29*S5*T25)</f>
        <v>11007176.69</v>
      </c>
      <c r="T29" s="1089"/>
      <c r="U29" s="1090">
        <f>(+$C$29*U24)+($D$29*U25)+($E$29*V24)+($F$29*U5*V25)</f>
        <v>10866255.32</v>
      </c>
      <c r="V29" s="1089"/>
      <c r="W29" s="1090">
        <f>(+$C$29*W24)+($D$29*W25)+($E$29*X24)+($F$29*W5*X25)</f>
        <v>11362608.2</v>
      </c>
      <c r="X29" s="1089"/>
      <c r="Y29" s="1090">
        <f>(+$C$29*Y24)+($D$29*Y25)+($E$29*Z24)+($F$29*Y5*Z25)</f>
        <v>11362608.2</v>
      </c>
      <c r="Z29" s="1089"/>
      <c r="AA29" s="1090">
        <f>(+$C$29*AA24)+($D$29*AA25)+($E$29*AB24)+($F$29*AA5*AB25)</f>
        <v>11362608.2</v>
      </c>
      <c r="AB29" s="1089"/>
      <c r="AC29" s="1090">
        <f>(+$C$29*AC24)+($D$29*AC25)+($E$29*AD24)+($F$29*AC5*AD25)</f>
        <v>11881633.68</v>
      </c>
      <c r="AD29" s="1089"/>
      <c r="AE29" s="1090">
        <f>(+$C$29*AE24)+($D$29*AE25)+($E$29*AF24)+($F$29*AE5*AF25)</f>
        <v>11881633.68</v>
      </c>
      <c r="AF29" s="332"/>
      <c r="AG29" s="1090">
        <f>(+$C$29*AG24)+($D$29*AG25)+($E$29*AH24)+($F$29*AG5*AH25)</f>
        <v>11881633.68</v>
      </c>
      <c r="AH29" s="1089"/>
      <c r="AI29" s="1090">
        <f>(+$C$29*AI24)+($D$29*AI25)+($E$29*AJ24)+($F$29*AI5*AJ25)</f>
        <v>12504931.44</v>
      </c>
      <c r="AJ29" s="1089"/>
      <c r="AK29" s="1090">
        <f>(+$C$29*AK24)+($D$29*AK25)+($E$29*AL24)+($F$29*AK5*AL25)</f>
        <v>12585495.49</v>
      </c>
      <c r="AL29" s="1089"/>
      <c r="AM29" s="1090">
        <f>(+$C$29*AM24)+($D$29*AM25)+($E$29*AN24)+($F$29*AM5*AN25)</f>
        <v>12746623.58</v>
      </c>
      <c r="AN29" s="1089"/>
      <c r="AO29" s="332"/>
      <c r="AP29" s="332"/>
    </row>
    <row r="30" ht="14.25" hidden="1" customHeight="1" outlineLevel="1">
      <c r="A30" s="1066">
        <v>5060.0</v>
      </c>
      <c r="B30" s="1067" t="s">
        <v>1863</v>
      </c>
      <c r="C30" s="1068">
        <v>19169.0</v>
      </c>
      <c r="D30" s="1068">
        <v>0.0</v>
      </c>
      <c r="E30" s="1068">
        <v>0.0</v>
      </c>
      <c r="F30" s="1068">
        <v>0.0</v>
      </c>
      <c r="G30" s="1068">
        <v>0.0</v>
      </c>
      <c r="H30" s="1068">
        <v>0.0</v>
      </c>
      <c r="I30" s="1068">
        <v>0.0</v>
      </c>
      <c r="J30" s="1072">
        <f>(C30*C24)+D30*D24</f>
        <v>902598.2048</v>
      </c>
      <c r="K30" s="1088">
        <f>+$C$30*K5*K24</f>
        <v>1004749.675</v>
      </c>
      <c r="L30" s="332"/>
      <c r="M30" s="1088">
        <f>+$C$30*M5*M24</f>
        <v>1052594.898</v>
      </c>
      <c r="N30" s="1089"/>
      <c r="O30" s="1088">
        <f>+$C$30*O5*O24</f>
        <v>1148285.343</v>
      </c>
      <c r="P30" s="1089"/>
      <c r="Q30" s="1088">
        <f>+$C$30*Q5*Q24</f>
        <v>1222153.621</v>
      </c>
      <c r="R30" s="332"/>
      <c r="S30" s="1088">
        <f>+$C$30*S5*S24</f>
        <v>1120307.486</v>
      </c>
      <c r="T30" s="1089"/>
      <c r="U30" s="1088">
        <f>+$C$30*U5*U24</f>
        <v>1018461.351</v>
      </c>
      <c r="V30" s="1089"/>
      <c r="W30" s="1088">
        <f>+$C$30*W5*W24</f>
        <v>1064983.01</v>
      </c>
      <c r="X30" s="1089"/>
      <c r="Y30" s="1088">
        <f>+$C$30*Y5*Y24</f>
        <v>1064983.01</v>
      </c>
      <c r="Z30" s="1089"/>
      <c r="AA30" s="1088">
        <f>+$C$30*AA5*AA24</f>
        <v>1064983.01</v>
      </c>
      <c r="AB30" s="1089"/>
      <c r="AC30" s="1088">
        <f>+$C$30*AC5*AC24</f>
        <v>1113629.704</v>
      </c>
      <c r="AD30" s="1089"/>
      <c r="AE30" s="1088">
        <f>+$C$30*AE5*AE24</f>
        <v>1113629.704</v>
      </c>
      <c r="AF30" s="332"/>
      <c r="AG30" s="1088">
        <f>+$C$30*AG5*AG24</f>
        <v>1113629.704</v>
      </c>
      <c r="AH30" s="1089"/>
      <c r="AI30" s="1088">
        <f>+$C$30*AI5*AI24</f>
        <v>1222723.424</v>
      </c>
      <c r="AJ30" s="1089"/>
      <c r="AK30" s="1088">
        <f>+$C$30*AK5*AK24</f>
        <v>1280948.349</v>
      </c>
      <c r="AL30" s="1089"/>
      <c r="AM30" s="1088">
        <f>+$C$30*AM5*AM24</f>
        <v>1397398.199</v>
      </c>
      <c r="AN30" s="1089"/>
      <c r="AO30" s="332"/>
      <c r="AP30" s="332"/>
    </row>
    <row r="31" ht="14.25" hidden="1" customHeight="1" outlineLevel="1">
      <c r="A31" s="1066">
        <v>5090.0</v>
      </c>
      <c r="B31" s="1067" t="s">
        <v>1864</v>
      </c>
      <c r="C31" s="1068">
        <v>8328.0</v>
      </c>
      <c r="D31" s="1068">
        <v>0.0</v>
      </c>
      <c r="E31" s="1068">
        <v>0.0</v>
      </c>
      <c r="F31" s="1068">
        <v>0.0</v>
      </c>
      <c r="G31" s="1068">
        <v>0.0</v>
      </c>
      <c r="H31" s="1068">
        <v>0.0</v>
      </c>
      <c r="I31" s="1068">
        <v>0.0</v>
      </c>
      <c r="J31" s="1072">
        <f>(C31*C24)+D31*D24</f>
        <v>392135.1061</v>
      </c>
      <c r="K31" s="1088">
        <f>+$C$31*K5*K24</f>
        <v>436514.9615</v>
      </c>
      <c r="L31" s="332"/>
      <c r="M31" s="1088">
        <f>+$C$31*M5*M24</f>
        <v>457301.3882</v>
      </c>
      <c r="N31" s="1089"/>
      <c r="O31" s="1088">
        <f>+$C$31*O5*O24</f>
        <v>498874.2417</v>
      </c>
      <c r="P31" s="1089"/>
      <c r="Q31" s="1088">
        <f>+$C$31*Q5*Q24</f>
        <v>530966.4226</v>
      </c>
      <c r="R31" s="332"/>
      <c r="S31" s="1088">
        <f>+$C$31*S5*S24</f>
        <v>486719.2207</v>
      </c>
      <c r="T31" s="1089"/>
      <c r="U31" s="1088">
        <f>+$C$31*U5*U24</f>
        <v>442472.0188</v>
      </c>
      <c r="V31" s="1089"/>
      <c r="W31" s="1088">
        <f>+$C$31*W5*W24</f>
        <v>462683.4216</v>
      </c>
      <c r="X31" s="1089"/>
      <c r="Y31" s="1088">
        <f>+$C$31*Y5*Y24</f>
        <v>462683.4216</v>
      </c>
      <c r="Z31" s="1089"/>
      <c r="AA31" s="1088">
        <f>+$C$31*AA5*AA24</f>
        <v>462683.4216</v>
      </c>
      <c r="AB31" s="1089"/>
      <c r="AC31" s="1088">
        <f>+$C$31*AC5*AC24</f>
        <v>483818.0485</v>
      </c>
      <c r="AD31" s="1089"/>
      <c r="AE31" s="1088">
        <f>+$C$31*AE5*AE24</f>
        <v>483818.0485</v>
      </c>
      <c r="AF31" s="332"/>
      <c r="AG31" s="1088">
        <f>+$C$31*AG5*AG24</f>
        <v>483818.0485</v>
      </c>
      <c r="AH31" s="1089"/>
      <c r="AI31" s="1088">
        <f>+$C$31*AI5*AI24</f>
        <v>531213.9743</v>
      </c>
      <c r="AJ31" s="1089"/>
      <c r="AK31" s="1088">
        <f>+$C$31*AK5*AK24</f>
        <v>556509.8778</v>
      </c>
      <c r="AL31" s="1089"/>
      <c r="AM31" s="1088">
        <f>+$C$31*AM5*AM24</f>
        <v>607101.6849</v>
      </c>
      <c r="AN31" s="1089"/>
      <c r="AO31" s="332"/>
      <c r="AP31" s="332"/>
    </row>
    <row r="32" ht="14.25" hidden="1" customHeight="1" outlineLevel="1">
      <c r="A32" s="1066">
        <v>5100.0</v>
      </c>
      <c r="B32" s="1067" t="s">
        <v>1865</v>
      </c>
      <c r="C32" s="1068">
        <v>253.0</v>
      </c>
      <c r="D32" s="1068">
        <v>0.0</v>
      </c>
      <c r="E32" s="1068">
        <v>0.0</v>
      </c>
      <c r="F32" s="1068">
        <v>0.0</v>
      </c>
      <c r="G32" s="1068">
        <v>0.0</v>
      </c>
      <c r="H32" s="1068">
        <v>0.0</v>
      </c>
      <c r="I32" s="1068">
        <v>0.0</v>
      </c>
      <c r="J32" s="1072">
        <f>(C32*C24)+D32*D24</f>
        <v>11912.84604</v>
      </c>
      <c r="K32" s="1088">
        <f>+$C$32*K5*K24</f>
        <v>13261.08132</v>
      </c>
      <c r="L32" s="332"/>
      <c r="M32" s="1088">
        <f>+$C$32*M5*M24</f>
        <v>13892.56139</v>
      </c>
      <c r="N32" s="1089"/>
      <c r="O32" s="1088">
        <f>+$C$32*O5*O24</f>
        <v>15155.52151</v>
      </c>
      <c r="P32" s="1089"/>
      <c r="Q32" s="1088">
        <f>+$C$32*Q5*Q24</f>
        <v>16130.46409</v>
      </c>
      <c r="R32" s="332"/>
      <c r="S32" s="1088">
        <f>+$C$32*S5*S24</f>
        <v>14786.25875</v>
      </c>
      <c r="T32" s="1089"/>
      <c r="U32" s="1088">
        <f>+$C$32*U5*U24</f>
        <v>13442.05341</v>
      </c>
      <c r="V32" s="1089"/>
      <c r="W32" s="1088">
        <f>+$C$32*W5*W24</f>
        <v>14056.06456</v>
      </c>
      <c r="X32" s="1089"/>
      <c r="Y32" s="1088">
        <f>+$C$32*Y5*Y24</f>
        <v>14056.06456</v>
      </c>
      <c r="Z32" s="1089"/>
      <c r="AA32" s="1088">
        <f>+$C$32*AA5*AA24</f>
        <v>14056.06456</v>
      </c>
      <c r="AB32" s="1089"/>
      <c r="AC32" s="1088">
        <f>+$C$32*AC5*AC24</f>
        <v>14698.12275</v>
      </c>
      <c r="AD32" s="1089"/>
      <c r="AE32" s="1088">
        <f>+$C$32*AE5*AE24</f>
        <v>14698.12275</v>
      </c>
      <c r="AF32" s="332"/>
      <c r="AG32" s="1088">
        <f>+$C$32*AG5*AG24</f>
        <v>14698.12275</v>
      </c>
      <c r="AH32" s="1089"/>
      <c r="AI32" s="1088">
        <f>+$C$32*AI5*AI24</f>
        <v>16137.98457</v>
      </c>
      <c r="AJ32" s="1089"/>
      <c r="AK32" s="1088">
        <f>+$C$32*AK5*AK24</f>
        <v>16906.46002</v>
      </c>
      <c r="AL32" s="1089"/>
      <c r="AM32" s="1088">
        <f>+$C$32*AM5*AM24</f>
        <v>18443.41094</v>
      </c>
      <c r="AN32" s="1089"/>
      <c r="AO32" s="332"/>
      <c r="AP32" s="332"/>
    </row>
    <row r="33" ht="14.25" hidden="1" customHeight="1" outlineLevel="1">
      <c r="A33" s="1066">
        <v>5110.0</v>
      </c>
      <c r="B33" s="1067" t="s">
        <v>1866</v>
      </c>
      <c r="C33" s="1093">
        <v>3166.0</v>
      </c>
      <c r="D33" s="1068">
        <v>0.0</v>
      </c>
      <c r="E33" s="1068">
        <v>0.0</v>
      </c>
      <c r="F33" s="1068">
        <v>0.0</v>
      </c>
      <c r="G33" s="1068">
        <v>0.0</v>
      </c>
      <c r="H33" s="1068">
        <v>0.0</v>
      </c>
      <c r="I33" s="1068">
        <v>0.0</v>
      </c>
      <c r="J33" s="1072">
        <f>(C33*C24)+D33*D24</f>
        <v>149075.3778</v>
      </c>
      <c r="K33" s="1088">
        <f>+$C$33*K5*K24</f>
        <v>165946.9702</v>
      </c>
      <c r="L33" s="332"/>
      <c r="M33" s="1088">
        <f>+$C$33*M5*M24</f>
        <v>173849.2069</v>
      </c>
      <c r="N33" s="1089"/>
      <c r="O33" s="1088">
        <f>+$C$33*O5*O24</f>
        <v>189653.6803</v>
      </c>
      <c r="P33" s="1089"/>
      <c r="Q33" s="1088">
        <f>+$C$33*Q5*Q24</f>
        <v>201853.9498</v>
      </c>
      <c r="R33" s="332"/>
      <c r="S33" s="1088">
        <f>+$C$33*S5*S24</f>
        <v>185032.7873</v>
      </c>
      <c r="T33" s="1089"/>
      <c r="U33" s="1088">
        <f>+$C$33*U5*U24</f>
        <v>168211.6248</v>
      </c>
      <c r="V33" s="1089"/>
      <c r="W33" s="1088">
        <f>+$C$33*W5*W24</f>
        <v>175895.2585</v>
      </c>
      <c r="X33" s="1089"/>
      <c r="Y33" s="1088">
        <f>+$C$33*Y5*Y24</f>
        <v>175895.2585</v>
      </c>
      <c r="Z33" s="1089"/>
      <c r="AA33" s="1088">
        <f>+$C$33*AA5*AA24</f>
        <v>175895.2585</v>
      </c>
      <c r="AB33" s="1089"/>
      <c r="AC33" s="1088">
        <f>+$C$33*AC5*AC24</f>
        <v>183929.8681</v>
      </c>
      <c r="AD33" s="1089"/>
      <c r="AE33" s="1088">
        <f>+$C$33*AE5*AE24</f>
        <v>183929.8681</v>
      </c>
      <c r="AF33" s="332"/>
      <c r="AG33" s="1088">
        <f>+$C$33*AG5*AG24</f>
        <v>183929.8681</v>
      </c>
      <c r="AH33" s="1089"/>
      <c r="AI33" s="1088">
        <f>+$C$33*AI5*AI24</f>
        <v>201948.0599</v>
      </c>
      <c r="AJ33" s="1089"/>
      <c r="AK33" s="1088">
        <f>+$C$33*AK5*AK24</f>
        <v>211564.6341</v>
      </c>
      <c r="AL33" s="1089"/>
      <c r="AM33" s="1088">
        <f>+$C$33*AM5*AM24</f>
        <v>230797.7827</v>
      </c>
      <c r="AN33" s="1089"/>
      <c r="AO33" s="332"/>
      <c r="AP33" s="332"/>
    </row>
    <row r="34" ht="14.25" hidden="1" customHeight="1" outlineLevel="1">
      <c r="A34" s="1066">
        <v>5130.0</v>
      </c>
      <c r="B34" s="1067" t="s">
        <v>1867</v>
      </c>
      <c r="C34" s="1068">
        <v>0.0</v>
      </c>
      <c r="D34" s="1068">
        <v>0.0</v>
      </c>
      <c r="E34" s="1068">
        <v>0.0</v>
      </c>
      <c r="F34" s="1068">
        <v>0.0</v>
      </c>
      <c r="G34" s="1068">
        <v>0.0</v>
      </c>
      <c r="H34" s="1068">
        <v>0.0</v>
      </c>
      <c r="I34" s="1068">
        <v>0.0</v>
      </c>
      <c r="J34" s="1072">
        <f>(C34*C24)+D34*D24</f>
        <v>0</v>
      </c>
      <c r="K34" s="1088"/>
      <c r="L34" s="332"/>
      <c r="M34" s="1088"/>
      <c r="N34" s="1089"/>
      <c r="O34" s="1088"/>
      <c r="P34" s="1089"/>
      <c r="Q34" s="1088"/>
      <c r="R34" s="332"/>
      <c r="S34" s="1088"/>
      <c r="T34" s="1089"/>
      <c r="U34" s="1088"/>
      <c r="V34" s="1089"/>
      <c r="W34" s="1088"/>
      <c r="X34" s="1089"/>
      <c r="Y34" s="1088"/>
      <c r="Z34" s="1089"/>
      <c r="AA34" s="1088"/>
      <c r="AB34" s="1089"/>
      <c r="AC34" s="1088"/>
      <c r="AD34" s="1089"/>
      <c r="AE34" s="1088"/>
      <c r="AF34" s="332"/>
      <c r="AG34" s="1088"/>
      <c r="AH34" s="1089"/>
      <c r="AI34" s="1088"/>
      <c r="AJ34" s="1089"/>
      <c r="AK34" s="1088"/>
      <c r="AL34" s="1089"/>
      <c r="AM34" s="1088"/>
      <c r="AN34" s="1089"/>
      <c r="AO34" s="332"/>
      <c r="AP34" s="332"/>
    </row>
    <row r="35" ht="14.25" hidden="1" customHeight="1" outlineLevel="1">
      <c r="A35" s="1066">
        <v>5140.0</v>
      </c>
      <c r="B35" s="1067" t="s">
        <v>1868</v>
      </c>
      <c r="C35" s="1068">
        <v>17680.0</v>
      </c>
      <c r="D35" s="1068">
        <v>0.0</v>
      </c>
      <c r="E35" s="1068">
        <v>0.0</v>
      </c>
      <c r="F35" s="1068">
        <v>0.0</v>
      </c>
      <c r="G35" s="1068">
        <v>0.0</v>
      </c>
      <c r="H35" s="1068">
        <v>0.0</v>
      </c>
      <c r="I35" s="1068">
        <v>0.0</v>
      </c>
      <c r="J35" s="1072">
        <f>(C35*C24)+D35*D24</f>
        <v>832486.6326</v>
      </c>
      <c r="K35" s="1088">
        <f>+$C$35*K5*K24</f>
        <v>926703.2324</v>
      </c>
      <c r="L35" s="332"/>
      <c r="M35" s="1088">
        <f>+$C$35*M5*M24</f>
        <v>970831.9578</v>
      </c>
      <c r="N35" s="1089"/>
      <c r="O35" s="1088">
        <f>+$C$35*O5*O24</f>
        <v>1059089.408</v>
      </c>
      <c r="P35" s="1089"/>
      <c r="Q35" s="1088">
        <f>+$C$35*Q5*Q24</f>
        <v>1127219.783</v>
      </c>
      <c r="R35" s="332"/>
      <c r="S35" s="1088">
        <f>+$C$35*S5*S24</f>
        <v>1033284.801</v>
      </c>
      <c r="T35" s="1089"/>
      <c r="U35" s="1088">
        <f>+$C$35*U5*U24</f>
        <v>939349.819</v>
      </c>
      <c r="V35" s="1089"/>
      <c r="W35" s="1088">
        <f>+$C$35*W5*W24</f>
        <v>982257.7923</v>
      </c>
      <c r="X35" s="1089"/>
      <c r="Y35" s="1088">
        <f>+$C$35*Y5*Y24</f>
        <v>982257.7923</v>
      </c>
      <c r="Z35" s="1089"/>
      <c r="AA35" s="1088">
        <f>+$C$35*AA5*AA24</f>
        <v>982257.7923</v>
      </c>
      <c r="AB35" s="1089"/>
      <c r="AC35" s="1088">
        <f>+$C$35*AC5*AC24</f>
        <v>1027125.732</v>
      </c>
      <c r="AD35" s="1089"/>
      <c r="AE35" s="1088">
        <f>+$C$35*AE5*AE24</f>
        <v>1027125.732</v>
      </c>
      <c r="AF35" s="332"/>
      <c r="AG35" s="1088">
        <f>+$C$35*AG5*AG24</f>
        <v>1027125.732</v>
      </c>
      <c r="AH35" s="1089"/>
      <c r="AI35" s="1088">
        <f>+$C$35*AI5*AI24</f>
        <v>1127745.325</v>
      </c>
      <c r="AJ35" s="1089"/>
      <c r="AK35" s="1088">
        <f>+$C$35*AK5*AK24</f>
        <v>1181447.483</v>
      </c>
      <c r="AL35" s="1089"/>
      <c r="AM35" s="1088">
        <f>+$C$35*AM5*AM24</f>
        <v>1288851.8</v>
      </c>
      <c r="AN35" s="1089"/>
      <c r="AO35" s="332"/>
      <c r="AP35" s="332"/>
    </row>
    <row r="36" ht="14.25" hidden="1" customHeight="1" outlineLevel="1">
      <c r="A36" s="1066">
        <v>5150.0</v>
      </c>
      <c r="B36" s="1075" t="s">
        <v>1869</v>
      </c>
      <c r="C36" s="1068">
        <v>897.0</v>
      </c>
      <c r="D36" s="1068">
        <v>0.0</v>
      </c>
      <c r="E36" s="1068">
        <v>0.0</v>
      </c>
      <c r="F36" s="1068">
        <v>0.0</v>
      </c>
      <c r="G36" s="1068">
        <v>0.0</v>
      </c>
      <c r="H36" s="1068">
        <v>0.0</v>
      </c>
      <c r="I36" s="1068">
        <v>0.0</v>
      </c>
      <c r="J36" s="1072">
        <f>(C36*C24)+D36*D24</f>
        <v>42236.45416</v>
      </c>
      <c r="K36" s="1088">
        <f>+$C$36*K5*K24</f>
        <v>47016.56106</v>
      </c>
      <c r="L36" s="332"/>
      <c r="M36" s="1088">
        <f>+$C$36*M5*M24</f>
        <v>49255.44492</v>
      </c>
      <c r="N36" s="1089"/>
      <c r="O36" s="1088">
        <f>+$C$36*O5*O24</f>
        <v>53733.21264</v>
      </c>
      <c r="P36" s="1089"/>
      <c r="Q36" s="1088">
        <f>+$C$36*Q5*Q24</f>
        <v>57189.82722</v>
      </c>
      <c r="R36" s="332"/>
      <c r="S36" s="1088">
        <f>+$C$36*S5*S24</f>
        <v>52424.00828</v>
      </c>
      <c r="T36" s="1089"/>
      <c r="U36" s="1088">
        <f>+$C$36*U5*U24</f>
        <v>47658.18935</v>
      </c>
      <c r="V36" s="1089"/>
      <c r="W36" s="1088">
        <f>+$C$36*W5*W24</f>
        <v>49835.13799</v>
      </c>
      <c r="X36" s="1089"/>
      <c r="Y36" s="1088">
        <f>+$C$36*Y5*Y24</f>
        <v>49835.13799</v>
      </c>
      <c r="Z36" s="1089"/>
      <c r="AA36" s="1088">
        <f>+$C$36*AA5*AA24</f>
        <v>49835.13799</v>
      </c>
      <c r="AB36" s="1089"/>
      <c r="AC36" s="1088">
        <f>+$C$36*AC5*AC24</f>
        <v>52111.52611</v>
      </c>
      <c r="AD36" s="1089"/>
      <c r="AE36" s="1088">
        <f>+$C$36*AE5*AE24</f>
        <v>52111.52611</v>
      </c>
      <c r="AF36" s="332"/>
      <c r="AG36" s="1088">
        <f>+$C$36*AG5*AG24</f>
        <v>52111.52611</v>
      </c>
      <c r="AH36" s="1089"/>
      <c r="AI36" s="1088">
        <f>+$C$36*AI5*AI24</f>
        <v>57216.49074</v>
      </c>
      <c r="AJ36" s="1089"/>
      <c r="AK36" s="1088">
        <f>+$C$36*AK5*AK24</f>
        <v>59941.08554</v>
      </c>
      <c r="AL36" s="1089"/>
      <c r="AM36" s="1088">
        <f>+$C$36*AM5*AM24</f>
        <v>65390.27514</v>
      </c>
      <c r="AN36" s="1089"/>
      <c r="AO36" s="332"/>
      <c r="AP36" s="332"/>
    </row>
    <row r="37" ht="14.25" hidden="1" customHeight="1" outlineLevel="1">
      <c r="A37" s="1066">
        <v>5160.0</v>
      </c>
      <c r="B37" s="1075" t="s">
        <v>1870</v>
      </c>
      <c r="C37" s="1068">
        <v>3405.0</v>
      </c>
      <c r="D37" s="1068">
        <v>0.0</v>
      </c>
      <c r="E37" s="1068">
        <v>0.0</v>
      </c>
      <c r="F37" s="1068">
        <v>0.0</v>
      </c>
      <c r="G37" s="1068">
        <v>0.0</v>
      </c>
      <c r="H37" s="1068">
        <v>0.0</v>
      </c>
      <c r="I37" s="1068">
        <v>0.0</v>
      </c>
      <c r="J37" s="1072">
        <f>(C37*C24)+D37*D24</f>
        <v>160329.0149</v>
      </c>
      <c r="K37" s="1088">
        <f>+$C$37*K5*K24</f>
        <v>178474.2368</v>
      </c>
      <c r="L37" s="332"/>
      <c r="M37" s="1088">
        <f>+$C$37*M5*M24</f>
        <v>186973.01</v>
      </c>
      <c r="N37" s="1089"/>
      <c r="O37" s="1088">
        <f>+$C$37*O5*O24</f>
        <v>203970.5563</v>
      </c>
      <c r="P37" s="1089"/>
      <c r="Q37" s="1088">
        <f>+$C$37*Q5*Q24</f>
        <v>217091.819</v>
      </c>
      <c r="R37" s="332"/>
      <c r="S37" s="1088">
        <f>+$C$37*S5*S24</f>
        <v>199000.8341</v>
      </c>
      <c r="T37" s="1089"/>
      <c r="U37" s="1088">
        <f>+$C$37*U5*U24</f>
        <v>180909.8492</v>
      </c>
      <c r="V37" s="1089"/>
      <c r="W37" s="1088">
        <f>+$C$37*W5*W24</f>
        <v>189173.5171</v>
      </c>
      <c r="X37" s="1089"/>
      <c r="Y37" s="1088">
        <f>+$C$37*Y5*Y24</f>
        <v>189173.5171</v>
      </c>
      <c r="Z37" s="1089"/>
      <c r="AA37" s="1088">
        <f>+$C$37*AA5*AA24</f>
        <v>189173.5171</v>
      </c>
      <c r="AB37" s="1089"/>
      <c r="AC37" s="1088">
        <f>+$C$37*AC5*AC24</f>
        <v>197814.656</v>
      </c>
      <c r="AD37" s="1089"/>
      <c r="AE37" s="1088">
        <f>+$C$37*AE5*AE24</f>
        <v>197814.656</v>
      </c>
      <c r="AF37" s="332"/>
      <c r="AG37" s="1088">
        <f>+$C$37*AG5*AG24</f>
        <v>197814.656</v>
      </c>
      <c r="AH37" s="1089"/>
      <c r="AI37" s="1088">
        <f>+$C$37*AI5*AI24</f>
        <v>217193.0334</v>
      </c>
      <c r="AJ37" s="1089"/>
      <c r="AK37" s="1088">
        <f>+$C$37*AK5*AK24</f>
        <v>227535.5588</v>
      </c>
      <c r="AL37" s="1089"/>
      <c r="AM37" s="1088">
        <f>+$C$37*AM5*AM24</f>
        <v>248220.6096</v>
      </c>
      <c r="AN37" s="1089"/>
      <c r="AO37" s="332"/>
      <c r="AP37" s="332"/>
    </row>
    <row r="38" ht="14.25" hidden="1" customHeight="1" outlineLevel="1">
      <c r="A38" s="1066">
        <v>5170.0</v>
      </c>
      <c r="B38" s="1075" t="s">
        <v>1871</v>
      </c>
      <c r="C38" s="1068">
        <v>547.0</v>
      </c>
      <c r="D38" s="1068">
        <v>0.0</v>
      </c>
      <c r="E38" s="1068">
        <v>0.0</v>
      </c>
      <c r="F38" s="1068">
        <v>0.0</v>
      </c>
      <c r="G38" s="1068">
        <v>0.0</v>
      </c>
      <c r="H38" s="1068">
        <v>0.0</v>
      </c>
      <c r="I38" s="1068">
        <v>0.0</v>
      </c>
      <c r="J38" s="1072">
        <f>(C38*C24)+D38*D24</f>
        <v>25756.23236</v>
      </c>
      <c r="K38" s="1088">
        <f>+$C$38*K5*K24</f>
        <v>28671.19164</v>
      </c>
      <c r="L38" s="332"/>
      <c r="M38" s="1088">
        <f>+$C$38*M5*M24</f>
        <v>30036.48648</v>
      </c>
      <c r="N38" s="1089"/>
      <c r="O38" s="1088">
        <f>+$C$38*O5*O24</f>
        <v>32767.07616</v>
      </c>
      <c r="P38" s="1089"/>
      <c r="Q38" s="1088">
        <f>+$C$38*Q5*Q24</f>
        <v>34874.95595</v>
      </c>
      <c r="R38" s="332"/>
      <c r="S38" s="1088">
        <f>+$C$38*S5*S24</f>
        <v>31968.70962</v>
      </c>
      <c r="T38" s="1089"/>
      <c r="U38" s="1088">
        <f>+$C$38*U5*U24</f>
        <v>29062.46329</v>
      </c>
      <c r="V38" s="1089"/>
      <c r="W38" s="1088">
        <f>+$C$38*W5*W24</f>
        <v>30389.98939</v>
      </c>
      <c r="X38" s="1089"/>
      <c r="Y38" s="1088">
        <f>+$C$38*Y5*Y24</f>
        <v>30389.98939</v>
      </c>
      <c r="Z38" s="1089"/>
      <c r="AA38" s="1088">
        <f>+$C$38*AA5*AA24</f>
        <v>30389.98939</v>
      </c>
      <c r="AB38" s="1089"/>
      <c r="AC38" s="1088">
        <f>+$C$38*AC5*AC24</f>
        <v>31778.15472</v>
      </c>
      <c r="AD38" s="1089"/>
      <c r="AE38" s="1088">
        <f>+$C$38*AE5*AE24</f>
        <v>31778.15472</v>
      </c>
      <c r="AF38" s="332"/>
      <c r="AG38" s="1088">
        <f>+$C$38*AG5*AG24</f>
        <v>31778.15472</v>
      </c>
      <c r="AH38" s="1089"/>
      <c r="AI38" s="1088">
        <f>+$C$38*AI5*AI24</f>
        <v>34891.21565</v>
      </c>
      <c r="AJ38" s="1089"/>
      <c r="AK38" s="1088">
        <f>+$C$38*AK5*AK24</f>
        <v>36552.70211</v>
      </c>
      <c r="AL38" s="1089"/>
      <c r="AM38" s="1088">
        <f>+$C$38*AM5*AM24</f>
        <v>39875.67503</v>
      </c>
      <c r="AN38" s="1089"/>
      <c r="AO38" s="332"/>
      <c r="AP38" s="332"/>
    </row>
    <row r="39" ht="14.25" hidden="1" customHeight="1" outlineLevel="1">
      <c r="A39" s="1066">
        <v>5190.0</v>
      </c>
      <c r="B39" s="1094" t="s">
        <v>1872</v>
      </c>
      <c r="C39" s="1095">
        <v>0.0</v>
      </c>
      <c r="D39" s="1096">
        <v>0.0</v>
      </c>
      <c r="E39" s="1096">
        <v>0.0</v>
      </c>
      <c r="F39" s="1096">
        <v>0.0</v>
      </c>
      <c r="G39" s="1068">
        <v>0.0</v>
      </c>
      <c r="H39" s="1068">
        <v>0.0</v>
      </c>
      <c r="I39" s="1068">
        <v>0.0</v>
      </c>
      <c r="J39" s="1072">
        <f>(C39*C24)+D39*D24</f>
        <v>0</v>
      </c>
      <c r="K39" s="1097"/>
      <c r="L39" s="1098"/>
      <c r="M39" s="1099"/>
      <c r="N39" s="1100"/>
      <c r="O39" s="1099"/>
      <c r="P39" s="1100"/>
      <c r="Q39" s="1099"/>
      <c r="R39" s="1098"/>
      <c r="S39" s="1099"/>
      <c r="T39" s="1100"/>
      <c r="U39" s="1099"/>
      <c r="V39" s="1100"/>
      <c r="W39" s="1099"/>
      <c r="X39" s="1100"/>
      <c r="Y39" s="1099"/>
      <c r="Z39" s="1100"/>
      <c r="AA39" s="1099"/>
      <c r="AB39" s="1100"/>
      <c r="AC39" s="1099"/>
      <c r="AD39" s="1100"/>
      <c r="AE39" s="1099"/>
      <c r="AF39" s="1098"/>
      <c r="AG39" s="1099"/>
      <c r="AH39" s="1100"/>
      <c r="AI39" s="1099"/>
      <c r="AJ39" s="1100"/>
      <c r="AK39" s="1099"/>
      <c r="AL39" s="1100"/>
      <c r="AM39" s="1099"/>
      <c r="AN39" s="1100"/>
      <c r="AO39" s="332"/>
      <c r="AP39" s="332"/>
    </row>
    <row r="40" ht="14.25" hidden="1" customHeight="1" outlineLevel="1">
      <c r="A40" s="332"/>
      <c r="B40" s="1086"/>
      <c r="C40" s="1101">
        <f>SUM(C26:I39)</f>
        <v>383452</v>
      </c>
      <c r="D40" s="1101">
        <f>+C40*1.05</f>
        <v>402624.6</v>
      </c>
      <c r="E40" s="1101">
        <f>+C40*1.1</f>
        <v>421797.2</v>
      </c>
      <c r="F40" s="1101">
        <f>+C40*1.2</f>
        <v>460142.4</v>
      </c>
      <c r="G40" s="1102"/>
      <c r="H40" s="1102"/>
      <c r="I40" s="1103" t="s">
        <v>1838</v>
      </c>
      <c r="J40" s="1104">
        <f>SUM(J26:J39)</f>
        <v>16781364.48</v>
      </c>
      <c r="K40" s="332"/>
      <c r="L40" s="1081">
        <f>SUM(K26:L39)</f>
        <v>18236321.5</v>
      </c>
      <c r="M40" s="332"/>
      <c r="N40" s="1081">
        <f>SUM(M26:N39)</f>
        <v>18681601.2</v>
      </c>
      <c r="O40" s="332"/>
      <c r="P40" s="1081">
        <f>SUM(O26:P39)</f>
        <v>19572160.6</v>
      </c>
      <c r="Q40" s="332"/>
      <c r="R40" s="1081">
        <f>SUM(Q26:R39)</f>
        <v>20831222.04</v>
      </c>
      <c r="S40" s="332"/>
      <c r="T40" s="1081">
        <f>SUM(S26:T39)</f>
        <v>19883373.66</v>
      </c>
      <c r="U40" s="332"/>
      <c r="V40" s="1081">
        <f>SUM(U26:V39)</f>
        <v>18935525.29</v>
      </c>
      <c r="W40" s="332"/>
      <c r="X40" s="1081">
        <f>SUM(W26:X39)</f>
        <v>19800469.31</v>
      </c>
      <c r="Y40" s="332"/>
      <c r="Z40" s="1081">
        <f>SUM(Y26:Z39)</f>
        <v>19800469.31</v>
      </c>
      <c r="AA40" s="332"/>
      <c r="AB40" s="1081">
        <f>SUM(AA26:AB39)</f>
        <v>19800469.31</v>
      </c>
      <c r="AC40" s="332"/>
      <c r="AD40" s="1081">
        <f>SUM(AC26:AD39)</f>
        <v>20704922.58</v>
      </c>
      <c r="AE40" s="332"/>
      <c r="AF40" s="1081">
        <f>SUM(AE26:AF39)</f>
        <v>20704922.58</v>
      </c>
      <c r="AG40" s="332"/>
      <c r="AH40" s="1081">
        <f>SUM(AG26:AH39)</f>
        <v>20704922.58</v>
      </c>
      <c r="AI40" s="332"/>
      <c r="AJ40" s="1081">
        <f>SUM(AI26:AJ39)</f>
        <v>22192569.96</v>
      </c>
      <c r="AK40" s="332"/>
      <c r="AL40" s="1081">
        <f>SUM(AK26:AL39)</f>
        <v>22734450.12</v>
      </c>
      <c r="AM40" s="332"/>
      <c r="AN40" s="1081">
        <f>SUM(AM26:AN39)</f>
        <v>23818210.45</v>
      </c>
      <c r="AO40" s="332"/>
      <c r="AP40" s="332"/>
    </row>
    <row r="41" ht="14.25" hidden="1" customHeight="1" outlineLevel="1">
      <c r="A41" s="332"/>
      <c r="B41" s="332"/>
      <c r="C41" s="1102"/>
      <c r="D41" s="1102"/>
      <c r="E41" s="1102"/>
      <c r="F41" s="1105">
        <f>+F40-C40</f>
        <v>76690.4</v>
      </c>
      <c r="G41" s="1102"/>
      <c r="H41" s="1102"/>
      <c r="I41" s="1106"/>
      <c r="J41" s="1107"/>
      <c r="K41" s="332"/>
      <c r="L41" s="332"/>
      <c r="M41" s="332"/>
      <c r="N41" s="332"/>
      <c r="O41" s="332"/>
      <c r="P41" s="332"/>
      <c r="Q41" s="332"/>
      <c r="R41" s="332"/>
      <c r="S41" s="332"/>
      <c r="T41" s="332"/>
      <c r="U41" s="332"/>
      <c r="V41" s="332"/>
      <c r="W41" s="332"/>
      <c r="X41" s="332"/>
      <c r="Y41" s="332"/>
      <c r="Z41" s="332"/>
      <c r="AA41" s="332"/>
      <c r="AB41" s="332"/>
      <c r="AC41" s="332"/>
      <c r="AD41" s="332"/>
      <c r="AE41" s="332"/>
      <c r="AF41" s="332"/>
      <c r="AG41" s="332"/>
      <c r="AH41" s="332"/>
      <c r="AI41" s="332"/>
      <c r="AJ41" s="332"/>
      <c r="AK41" s="332"/>
      <c r="AL41" s="332"/>
      <c r="AM41" s="332"/>
      <c r="AN41" s="332"/>
      <c r="AO41" s="332"/>
      <c r="AP41" s="332"/>
    </row>
    <row r="42" ht="14.25" hidden="1" customHeight="1" outlineLevel="1">
      <c r="A42" s="1108" t="s">
        <v>1883</v>
      </c>
      <c r="B42" s="840"/>
      <c r="C42" s="840"/>
      <c r="D42" s="840"/>
      <c r="E42" s="840"/>
      <c r="F42" s="840"/>
      <c r="G42" s="840"/>
      <c r="H42" s="840"/>
      <c r="I42" s="840"/>
      <c r="J42" s="866"/>
      <c r="K42" s="332"/>
      <c r="L42" s="332"/>
      <c r="M42" s="332"/>
      <c r="N42" s="332"/>
      <c r="O42" s="332"/>
      <c r="P42" s="332"/>
      <c r="Q42" s="332"/>
      <c r="R42" s="332"/>
      <c r="S42" s="332"/>
      <c r="T42" s="332"/>
      <c r="U42" s="332"/>
      <c r="V42" s="332"/>
      <c r="W42" s="332"/>
      <c r="X42" s="332"/>
      <c r="Y42" s="332"/>
      <c r="Z42" s="332"/>
      <c r="AA42" s="332"/>
      <c r="AB42" s="332"/>
      <c r="AC42" s="332"/>
      <c r="AD42" s="332"/>
      <c r="AE42" s="332"/>
      <c r="AF42" s="332"/>
      <c r="AG42" s="332"/>
      <c r="AH42" s="332"/>
      <c r="AI42" s="332"/>
      <c r="AJ42" s="332"/>
      <c r="AK42" s="332"/>
      <c r="AL42" s="332"/>
      <c r="AM42" s="332"/>
      <c r="AN42" s="332"/>
      <c r="AO42" s="332"/>
      <c r="AP42" s="332"/>
    </row>
    <row r="43" ht="14.25" hidden="1" customHeight="1" outlineLevel="1">
      <c r="A43" s="1109" t="s">
        <v>1649</v>
      </c>
      <c r="B43" s="1109" t="s">
        <v>1884</v>
      </c>
      <c r="C43" s="1109" t="s">
        <v>1885</v>
      </c>
      <c r="D43" s="1110" t="s">
        <v>1886</v>
      </c>
      <c r="E43" s="1110" t="s">
        <v>237</v>
      </c>
      <c r="F43" s="1111" t="s">
        <v>1887</v>
      </c>
      <c r="G43" s="1110" t="s">
        <v>1888</v>
      </c>
      <c r="H43" s="1111" t="s">
        <v>1889</v>
      </c>
      <c r="I43" s="1110" t="s">
        <v>1890</v>
      </c>
      <c r="J43" s="1110" t="s">
        <v>1824</v>
      </c>
      <c r="K43" s="332"/>
      <c r="L43" s="332"/>
      <c r="M43" s="332"/>
      <c r="N43" s="332"/>
      <c r="O43" s="332"/>
      <c r="P43" s="332"/>
      <c r="Q43" s="332"/>
      <c r="R43" s="332"/>
      <c r="S43" s="332"/>
      <c r="T43" s="332"/>
      <c r="U43" s="332"/>
      <c r="V43" s="332"/>
      <c r="W43" s="332"/>
      <c r="X43" s="332"/>
      <c r="Y43" s="332"/>
      <c r="Z43" s="332"/>
      <c r="AA43" s="332"/>
      <c r="AB43" s="332"/>
      <c r="AC43" s="332"/>
      <c r="AD43" s="332"/>
      <c r="AE43" s="332"/>
      <c r="AF43" s="332"/>
      <c r="AG43" s="332"/>
      <c r="AH43" s="332"/>
      <c r="AI43" s="332"/>
      <c r="AJ43" s="332"/>
      <c r="AK43" s="332"/>
      <c r="AL43" s="332"/>
      <c r="AM43" s="332"/>
      <c r="AN43" s="332"/>
      <c r="AO43" s="332"/>
      <c r="AP43" s="332"/>
    </row>
    <row r="44" ht="14.25" hidden="1" customHeight="1" outlineLevel="1">
      <c r="A44" s="612"/>
      <c r="B44" s="612"/>
      <c r="C44" s="612"/>
      <c r="D44" s="612"/>
      <c r="E44" s="612"/>
      <c r="F44" s="1112"/>
      <c r="G44" s="612"/>
      <c r="H44" s="1112"/>
      <c r="I44" s="612"/>
      <c r="J44" s="612"/>
      <c r="K44" s="763">
        <f>+K1</f>
        <v>45957</v>
      </c>
      <c r="L44" s="764"/>
      <c r="M44" s="763">
        <f>+M1</f>
        <v>45987</v>
      </c>
      <c r="N44" s="764"/>
      <c r="O44" s="763">
        <f>+O1</f>
        <v>46017</v>
      </c>
      <c r="P44" s="764"/>
      <c r="Q44" s="763">
        <f>+Q1</f>
        <v>46047</v>
      </c>
      <c r="R44" s="764"/>
      <c r="S44" s="763">
        <f>+S1</f>
        <v>46077</v>
      </c>
      <c r="T44" s="764"/>
      <c r="U44" s="763">
        <f>+U1</f>
        <v>46107</v>
      </c>
      <c r="V44" s="764"/>
      <c r="W44" s="763">
        <f>+W1</f>
        <v>46142</v>
      </c>
      <c r="X44" s="764"/>
      <c r="Y44" s="763">
        <f>+Y1</f>
        <v>46172</v>
      </c>
      <c r="Z44" s="764"/>
      <c r="AA44" s="763">
        <f>+AA1</f>
        <v>46202</v>
      </c>
      <c r="AB44" s="764"/>
      <c r="AC44" s="763">
        <f>+AC1</f>
        <v>46232</v>
      </c>
      <c r="AD44" s="764"/>
      <c r="AE44" s="763">
        <f>+AE1</f>
        <v>46262</v>
      </c>
      <c r="AF44" s="764"/>
      <c r="AG44" s="763">
        <f>+AG1</f>
        <v>46292</v>
      </c>
      <c r="AH44" s="764"/>
      <c r="AI44" s="763">
        <f>+AI1</f>
        <v>46322</v>
      </c>
      <c r="AJ44" s="764"/>
      <c r="AK44" s="763">
        <f>+AK1</f>
        <v>46352</v>
      </c>
      <c r="AL44" s="764"/>
      <c r="AM44" s="763">
        <f>+AM1</f>
        <v>46382</v>
      </c>
      <c r="AN44" s="764"/>
      <c r="AO44" s="332"/>
      <c r="AP44" s="332"/>
    </row>
    <row r="45" ht="14.25" hidden="1" customHeight="1" outlineLevel="1">
      <c r="A45" s="617"/>
      <c r="B45" s="617"/>
      <c r="C45" s="617"/>
      <c r="D45" s="617"/>
      <c r="E45" s="617"/>
      <c r="F45" s="1113"/>
      <c r="G45" s="617"/>
      <c r="H45" s="1113"/>
      <c r="I45" s="617"/>
      <c r="J45" s="617"/>
      <c r="K45" s="708"/>
      <c r="L45" s="767"/>
      <c r="M45" s="708"/>
      <c r="N45" s="767"/>
      <c r="O45" s="708"/>
      <c r="P45" s="767"/>
      <c r="Q45" s="708"/>
      <c r="R45" s="767"/>
      <c r="S45" s="708"/>
      <c r="T45" s="767"/>
      <c r="U45" s="708"/>
      <c r="V45" s="767"/>
      <c r="W45" s="708"/>
      <c r="X45" s="767"/>
      <c r="Y45" s="708"/>
      <c r="Z45" s="767"/>
      <c r="AA45" s="708"/>
      <c r="AB45" s="767"/>
      <c r="AC45" s="708"/>
      <c r="AD45" s="767"/>
      <c r="AE45" s="708"/>
      <c r="AF45" s="767"/>
      <c r="AG45" s="708"/>
      <c r="AH45" s="767"/>
      <c r="AI45" s="708"/>
      <c r="AJ45" s="767"/>
      <c r="AK45" s="708"/>
      <c r="AL45" s="767"/>
      <c r="AM45" s="708"/>
      <c r="AN45" s="767"/>
      <c r="AO45" s="332"/>
      <c r="AP45" s="332"/>
    </row>
    <row r="46" ht="14.25" hidden="1" customHeight="1" outlineLevel="1">
      <c r="A46" s="1114">
        <v>5004.0</v>
      </c>
      <c r="B46" s="1115" t="s">
        <v>1891</v>
      </c>
      <c r="C46" s="1115" t="s">
        <v>1892</v>
      </c>
      <c r="D46" s="1116">
        <v>2000.0</v>
      </c>
      <c r="E46" s="1117">
        <v>426321.497088</v>
      </c>
      <c r="F46" s="1116">
        <v>309.0</v>
      </c>
      <c r="G46" s="1116">
        <v>134.0</v>
      </c>
      <c r="H46" s="1118">
        <v>0.0</v>
      </c>
      <c r="I46" s="1119">
        <v>0.0</v>
      </c>
      <c r="J46" s="1120">
        <f>SUM(E46:E51)</f>
        <v>2557928.983</v>
      </c>
      <c r="K46" s="1121">
        <f>+J46*K55</f>
        <v>2711830.824</v>
      </c>
      <c r="L46" s="706"/>
      <c r="M46" s="1121">
        <f>+K46</f>
        <v>2711830.824</v>
      </c>
      <c r="N46" s="706"/>
      <c r="O46" s="1121">
        <f>+M46</f>
        <v>2711830.824</v>
      </c>
      <c r="P46" s="706"/>
      <c r="Q46" s="1121">
        <f>+O46*Q55</f>
        <v>2886280.731</v>
      </c>
      <c r="R46" s="706"/>
      <c r="S46" s="1121">
        <f>+Q46</f>
        <v>2886280.731</v>
      </c>
      <c r="T46" s="706"/>
      <c r="U46" s="1121">
        <f>+S46</f>
        <v>2886280.731</v>
      </c>
      <c r="V46" s="706"/>
      <c r="W46" s="1121">
        <f>+U46*W55</f>
        <v>3018121.345</v>
      </c>
      <c r="X46" s="706"/>
      <c r="Y46" s="1121">
        <f>+W46</f>
        <v>3018121.345</v>
      </c>
      <c r="Z46" s="706"/>
      <c r="AA46" s="1121">
        <f>+Y46</f>
        <v>3018121.345</v>
      </c>
      <c r="AB46" s="706"/>
      <c r="AC46" s="1121">
        <f>+AA46*AC55</f>
        <v>3155984.223</v>
      </c>
      <c r="AD46" s="706"/>
      <c r="AE46" s="1121">
        <f>+AC46</f>
        <v>3155984.223</v>
      </c>
      <c r="AF46" s="706"/>
      <c r="AG46" s="1121">
        <f>+AE46</f>
        <v>3155984.223</v>
      </c>
      <c r="AH46" s="706"/>
      <c r="AI46" s="1121">
        <f>+AG46*AI55</f>
        <v>3300144.454</v>
      </c>
      <c r="AJ46" s="706"/>
      <c r="AK46" s="1121">
        <f>+AI46</f>
        <v>3300144.454</v>
      </c>
      <c r="AL46" s="706"/>
      <c r="AM46" s="1121">
        <f>+AK46</f>
        <v>3300144.454</v>
      </c>
      <c r="AN46" s="706"/>
      <c r="AO46" s="332"/>
      <c r="AP46" s="332"/>
    </row>
    <row r="47" ht="14.25" hidden="1" customHeight="1" outlineLevel="1">
      <c r="A47" s="1114">
        <v>5011.0</v>
      </c>
      <c r="B47" s="1115" t="s">
        <v>1893</v>
      </c>
      <c r="C47" s="1115" t="s">
        <v>1894</v>
      </c>
      <c r="D47" s="1116">
        <v>2000.0</v>
      </c>
      <c r="E47" s="1117">
        <v>426321.497088</v>
      </c>
      <c r="F47" s="1116">
        <v>572.0</v>
      </c>
      <c r="G47" s="1116">
        <v>376.0</v>
      </c>
      <c r="H47" s="1118">
        <v>0.0</v>
      </c>
      <c r="I47" s="1122"/>
      <c r="J47" s="612"/>
      <c r="K47" s="1123"/>
      <c r="L47" s="1124"/>
      <c r="M47" s="1123"/>
      <c r="N47" s="1124"/>
      <c r="O47" s="1123"/>
      <c r="P47" s="1124"/>
      <c r="Q47" s="1123"/>
      <c r="R47" s="1124"/>
      <c r="S47" s="1123"/>
      <c r="T47" s="1124"/>
      <c r="U47" s="1123"/>
      <c r="V47" s="1124"/>
      <c r="W47" s="1123"/>
      <c r="X47" s="1124"/>
      <c r="Y47" s="1123"/>
      <c r="Z47" s="1124"/>
      <c r="AA47" s="1123"/>
      <c r="AB47" s="1124"/>
      <c r="AC47" s="1123"/>
      <c r="AD47" s="1124"/>
      <c r="AE47" s="1123"/>
      <c r="AF47" s="1124"/>
      <c r="AG47" s="1123"/>
      <c r="AH47" s="1124"/>
      <c r="AI47" s="1123"/>
      <c r="AJ47" s="1124"/>
      <c r="AK47" s="1123"/>
      <c r="AL47" s="1124"/>
      <c r="AM47" s="1123"/>
      <c r="AN47" s="1124"/>
      <c r="AO47" s="332"/>
      <c r="AP47" s="332"/>
    </row>
    <row r="48" ht="14.25" hidden="1" customHeight="1" outlineLevel="1">
      <c r="A48" s="1114">
        <v>5014.0</v>
      </c>
      <c r="B48" s="1115" t="s">
        <v>1895</v>
      </c>
      <c r="C48" s="1115" t="s">
        <v>1895</v>
      </c>
      <c r="D48" s="1116">
        <v>2000.0</v>
      </c>
      <c r="E48" s="1117">
        <v>426321.497088</v>
      </c>
      <c r="F48" s="1116">
        <v>4523.0</v>
      </c>
      <c r="G48" s="1116">
        <v>3284.0</v>
      </c>
      <c r="H48" s="1118">
        <v>0.0</v>
      </c>
      <c r="I48" s="1122"/>
      <c r="J48" s="612"/>
      <c r="K48" s="1123"/>
      <c r="L48" s="1124"/>
      <c r="M48" s="1123"/>
      <c r="N48" s="1124"/>
      <c r="O48" s="1123"/>
      <c r="P48" s="1124"/>
      <c r="Q48" s="1123"/>
      <c r="R48" s="1124"/>
      <c r="S48" s="1123"/>
      <c r="T48" s="1124"/>
      <c r="U48" s="1123"/>
      <c r="V48" s="1124"/>
      <c r="W48" s="1123"/>
      <c r="X48" s="1124"/>
      <c r="Y48" s="1123"/>
      <c r="Z48" s="1124"/>
      <c r="AA48" s="1123"/>
      <c r="AB48" s="1124"/>
      <c r="AC48" s="1123"/>
      <c r="AD48" s="1124"/>
      <c r="AE48" s="1123"/>
      <c r="AF48" s="1124"/>
      <c r="AG48" s="1123"/>
      <c r="AH48" s="1124"/>
      <c r="AI48" s="1123"/>
      <c r="AJ48" s="1124"/>
      <c r="AK48" s="1123"/>
      <c r="AL48" s="1124"/>
      <c r="AM48" s="1123"/>
      <c r="AN48" s="1124"/>
      <c r="AO48" s="332"/>
      <c r="AP48" s="332"/>
    </row>
    <row r="49" ht="14.25" hidden="1" customHeight="1" outlineLevel="1">
      <c r="A49" s="1114">
        <v>5023.0</v>
      </c>
      <c r="B49" s="1115" t="s">
        <v>1896</v>
      </c>
      <c r="C49" s="1115" t="s">
        <v>1897</v>
      </c>
      <c r="D49" s="1116">
        <v>2000.0</v>
      </c>
      <c r="E49" s="1117">
        <v>426321.497088</v>
      </c>
      <c r="F49" s="1116">
        <v>3372.0</v>
      </c>
      <c r="G49" s="1116">
        <v>1286.0</v>
      </c>
      <c r="H49" s="1118">
        <v>0.0</v>
      </c>
      <c r="I49" s="1122"/>
      <c r="J49" s="612"/>
      <c r="K49" s="1123"/>
      <c r="L49" s="1124"/>
      <c r="M49" s="1123"/>
      <c r="N49" s="1124"/>
      <c r="O49" s="1123"/>
      <c r="P49" s="1124"/>
      <c r="Q49" s="1123"/>
      <c r="R49" s="1124"/>
      <c r="S49" s="1123"/>
      <c r="T49" s="1124"/>
      <c r="U49" s="1123"/>
      <c r="V49" s="1124"/>
      <c r="W49" s="1123"/>
      <c r="X49" s="1124"/>
      <c r="Y49" s="1123"/>
      <c r="Z49" s="1124"/>
      <c r="AA49" s="1123"/>
      <c r="AB49" s="1124"/>
      <c r="AC49" s="1123"/>
      <c r="AD49" s="1124"/>
      <c r="AE49" s="1123"/>
      <c r="AF49" s="1124"/>
      <c r="AG49" s="1123"/>
      <c r="AH49" s="1124"/>
      <c r="AI49" s="1123"/>
      <c r="AJ49" s="1124"/>
      <c r="AK49" s="1123"/>
      <c r="AL49" s="1124"/>
      <c r="AM49" s="1123"/>
      <c r="AN49" s="1124"/>
      <c r="AO49" s="332"/>
      <c r="AP49" s="332"/>
    </row>
    <row r="50" ht="14.25" hidden="1" customHeight="1" outlineLevel="1">
      <c r="A50" s="1114">
        <v>5024.0</v>
      </c>
      <c r="B50" s="1075" t="s">
        <v>1898</v>
      </c>
      <c r="C50" s="1075" t="s">
        <v>1899</v>
      </c>
      <c r="D50" s="1116">
        <v>2000.0</v>
      </c>
      <c r="E50" s="1117">
        <v>426321.497088</v>
      </c>
      <c r="F50" s="1125">
        <v>973.0</v>
      </c>
      <c r="G50" s="1125">
        <v>320.0</v>
      </c>
      <c r="H50" s="1118">
        <v>0.0</v>
      </c>
      <c r="I50" s="1122"/>
      <c r="J50" s="612"/>
      <c r="K50" s="1123"/>
      <c r="L50" s="1124"/>
      <c r="M50" s="1123"/>
      <c r="N50" s="1124"/>
      <c r="O50" s="1123"/>
      <c r="P50" s="1124"/>
      <c r="Q50" s="1123"/>
      <c r="R50" s="1124"/>
      <c r="S50" s="1123"/>
      <c r="T50" s="1124"/>
      <c r="U50" s="1123"/>
      <c r="V50" s="1124"/>
      <c r="W50" s="1123"/>
      <c r="X50" s="1124"/>
      <c r="Y50" s="1123"/>
      <c r="Z50" s="1124"/>
      <c r="AA50" s="1123"/>
      <c r="AB50" s="1124"/>
      <c r="AC50" s="1123"/>
      <c r="AD50" s="1124"/>
      <c r="AE50" s="1123"/>
      <c r="AF50" s="1124"/>
      <c r="AG50" s="1123"/>
      <c r="AH50" s="1124"/>
      <c r="AI50" s="1123"/>
      <c r="AJ50" s="1124"/>
      <c r="AK50" s="1123"/>
      <c r="AL50" s="1124"/>
      <c r="AM50" s="1123"/>
      <c r="AN50" s="1124"/>
      <c r="AO50" s="332"/>
      <c r="AP50" s="332"/>
    </row>
    <row r="51" ht="14.25" hidden="1" customHeight="1" outlineLevel="1">
      <c r="A51" s="1114">
        <v>5027.0</v>
      </c>
      <c r="B51" s="1115" t="s">
        <v>1900</v>
      </c>
      <c r="C51" s="1075" t="s">
        <v>1901</v>
      </c>
      <c r="D51" s="1116">
        <v>2000.0</v>
      </c>
      <c r="E51" s="1117">
        <v>426321.497088</v>
      </c>
      <c r="F51" s="1125">
        <v>29.0</v>
      </c>
      <c r="G51" s="1125">
        <v>9.0</v>
      </c>
      <c r="H51" s="1118">
        <v>0.0</v>
      </c>
      <c r="I51" s="1126"/>
      <c r="J51" s="617"/>
      <c r="K51" s="708"/>
      <c r="L51" s="709"/>
      <c r="M51" s="708"/>
      <c r="N51" s="709"/>
      <c r="O51" s="708"/>
      <c r="P51" s="709"/>
      <c r="Q51" s="708"/>
      <c r="R51" s="709"/>
      <c r="S51" s="708"/>
      <c r="T51" s="709"/>
      <c r="U51" s="708"/>
      <c r="V51" s="709"/>
      <c r="W51" s="708"/>
      <c r="X51" s="709"/>
      <c r="Y51" s="708"/>
      <c r="Z51" s="709"/>
      <c r="AA51" s="708"/>
      <c r="AB51" s="709"/>
      <c r="AC51" s="708"/>
      <c r="AD51" s="709"/>
      <c r="AE51" s="708"/>
      <c r="AF51" s="709"/>
      <c r="AG51" s="708"/>
      <c r="AH51" s="709"/>
      <c r="AI51" s="708"/>
      <c r="AJ51" s="709"/>
      <c r="AK51" s="708"/>
      <c r="AL51" s="709"/>
      <c r="AM51" s="708"/>
      <c r="AN51" s="709"/>
      <c r="AO51" s="332"/>
      <c r="AP51" s="332"/>
    </row>
    <row r="52" ht="14.25" hidden="1" customHeight="1" outlineLevel="1">
      <c r="A52" s="332"/>
      <c r="B52" s="332"/>
      <c r="C52" s="332"/>
      <c r="D52" s="332"/>
      <c r="E52" s="332"/>
      <c r="F52" s="332"/>
      <c r="G52" s="332"/>
      <c r="H52" s="332"/>
      <c r="I52" s="332"/>
      <c r="J52" s="332"/>
      <c r="K52" s="332"/>
      <c r="L52" s="332"/>
      <c r="M52" s="332"/>
      <c r="N52" s="332"/>
      <c r="O52" s="332"/>
      <c r="P52" s="332"/>
      <c r="Q52" s="332"/>
      <c r="R52" s="332"/>
      <c r="S52" s="332"/>
      <c r="T52" s="332"/>
      <c r="U52" s="332"/>
      <c r="V52" s="332"/>
      <c r="W52" s="332"/>
      <c r="X52" s="332"/>
      <c r="Y52" s="332"/>
      <c r="Z52" s="332"/>
      <c r="AA52" s="332"/>
      <c r="AB52" s="332"/>
      <c r="AC52" s="332"/>
      <c r="AD52" s="332"/>
      <c r="AE52" s="332"/>
      <c r="AF52" s="332"/>
      <c r="AG52" s="332"/>
      <c r="AH52" s="332"/>
      <c r="AI52" s="332"/>
      <c r="AJ52" s="332"/>
      <c r="AK52" s="332"/>
      <c r="AL52" s="332"/>
      <c r="AM52" s="332"/>
      <c r="AN52" s="332"/>
      <c r="AO52" s="332"/>
      <c r="AP52" s="332"/>
    </row>
    <row r="53" ht="14.25" hidden="1" customHeight="1" outlineLevel="1">
      <c r="A53" s="1127" t="s">
        <v>1902</v>
      </c>
      <c r="B53" s="277"/>
      <c r="C53" s="277"/>
      <c r="D53" s="277"/>
      <c r="E53" s="277"/>
      <c r="F53" s="277"/>
      <c r="G53" s="277"/>
      <c r="H53" s="277"/>
      <c r="I53" s="278"/>
      <c r="J53" s="1104">
        <f>+J46+J40+J20</f>
        <v>30019349.72</v>
      </c>
      <c r="K53" s="332"/>
      <c r="L53" s="1128">
        <f>+K46+L40+L20</f>
        <v>32808041.94</v>
      </c>
      <c r="M53" s="332"/>
      <c r="N53" s="1128">
        <f>+M46+N40+N20</f>
        <v>33790572.53</v>
      </c>
      <c r="O53" s="332"/>
      <c r="P53" s="1128">
        <f>+O46+P40+P20</f>
        <v>35755633.71</v>
      </c>
      <c r="Q53" s="332"/>
      <c r="R53" s="1128">
        <f>+Q46+R40+R20</f>
        <v>38055765.02</v>
      </c>
      <c r="S53" s="332"/>
      <c r="T53" s="1128">
        <f>+S46+T40+T20</f>
        <v>35964293.03</v>
      </c>
      <c r="U53" s="332"/>
      <c r="V53" s="1128">
        <f>+U46+V40+V20</f>
        <v>33872821.04</v>
      </c>
      <c r="W53" s="332"/>
      <c r="X53" s="1128">
        <f>+W46+X40+X20</f>
        <v>35420076.46</v>
      </c>
      <c r="Y53" s="332"/>
      <c r="Z53" s="1128">
        <f>+Y46+Z40+Z20</f>
        <v>35420076.46</v>
      </c>
      <c r="AA53" s="332"/>
      <c r="AB53" s="1128">
        <f>+AA46+AB40+AB20</f>
        <v>35420076.46</v>
      </c>
      <c r="AC53" s="332"/>
      <c r="AD53" s="1128">
        <f>+AC46+AD40+AD20</f>
        <v>37038008</v>
      </c>
      <c r="AE53" s="332"/>
      <c r="AF53" s="1128">
        <f>+AE46+AF40+AF20</f>
        <v>37038008</v>
      </c>
      <c r="AG53" s="332"/>
      <c r="AH53" s="1128">
        <f>+AG46+AH40+AH20</f>
        <v>37038008</v>
      </c>
      <c r="AI53" s="332"/>
      <c r="AJ53" s="1128">
        <f>+AI46+AJ40+AJ20</f>
        <v>39925528.07</v>
      </c>
      <c r="AK53" s="332"/>
      <c r="AL53" s="1128">
        <f>+AK46+AL40+AL20</f>
        <v>41121212.12</v>
      </c>
      <c r="AM53" s="332"/>
      <c r="AN53" s="1128">
        <f>+AM46+AN40+AN20</f>
        <v>43512580.23</v>
      </c>
      <c r="AO53" s="1088">
        <f>SUM(Q53:AN53)</f>
        <v>449826452.9</v>
      </c>
      <c r="AP53" s="332"/>
    </row>
    <row r="54" ht="14.25" hidden="1" customHeight="1" outlineLevel="1">
      <c r="A54" s="332"/>
      <c r="B54" s="332"/>
      <c r="C54" s="332"/>
      <c r="D54" s="332"/>
      <c r="E54" s="332"/>
      <c r="F54" s="332"/>
      <c r="G54" s="332"/>
      <c r="H54" s="332"/>
      <c r="I54" s="332"/>
      <c r="J54" s="332"/>
      <c r="K54" s="332"/>
      <c r="L54" s="332"/>
      <c r="M54" s="332"/>
      <c r="N54" s="332"/>
      <c r="O54" s="332"/>
      <c r="P54" s="332"/>
      <c r="Q54" s="332"/>
      <c r="R54" s="332"/>
      <c r="S54" s="332"/>
      <c r="T54" s="332"/>
      <c r="U54" s="332"/>
      <c r="V54" s="332"/>
      <c r="W54" s="332"/>
      <c r="X54" s="332"/>
      <c r="Y54" s="332"/>
      <c r="Z54" s="332"/>
      <c r="AA54" s="332"/>
      <c r="AB54" s="332"/>
      <c r="AC54" s="332"/>
      <c r="AD54" s="332"/>
      <c r="AE54" s="332"/>
      <c r="AF54" s="332"/>
      <c r="AG54" s="332"/>
      <c r="AH54" s="332"/>
      <c r="AI54" s="332"/>
      <c r="AJ54" s="332"/>
      <c r="AK54" s="332"/>
      <c r="AL54" s="332"/>
      <c r="AM54" s="332"/>
      <c r="AN54" s="332"/>
      <c r="AO54" s="332"/>
      <c r="AP54" s="332"/>
    </row>
    <row r="55" ht="14.25" hidden="1" customHeight="1" outlineLevel="1">
      <c r="A55" s="332"/>
      <c r="B55" s="332"/>
      <c r="C55" s="332"/>
      <c r="D55" s="332"/>
      <c r="E55" s="332"/>
      <c r="F55" s="332"/>
      <c r="G55" s="332"/>
      <c r="H55" s="1129">
        <v>45863.0</v>
      </c>
      <c r="I55" s="1129" t="s">
        <v>1844</v>
      </c>
      <c r="J55" s="1129">
        <v>45925.0</v>
      </c>
      <c r="K55" s="1130">
        <f>1*(1+H56)*(1+I56)*(1+J56)</f>
        <v>1.060166581</v>
      </c>
      <c r="L55" s="332"/>
      <c r="M55" s="649"/>
      <c r="N55" s="332"/>
      <c r="O55" s="649"/>
      <c r="P55" s="332"/>
      <c r="Q55" s="605">
        <f>1*(1+K56)*(1+M56)*(1+O56)</f>
        <v>1.0643292</v>
      </c>
      <c r="R55" s="332"/>
      <c r="S55" s="649"/>
      <c r="T55" s="332"/>
      <c r="U55" s="649"/>
      <c r="V55" s="332"/>
      <c r="W55" s="605">
        <f>1*(1+Q56)*(1+S56)*(1+U56)</f>
        <v>1.045678375</v>
      </c>
      <c r="X55" s="332"/>
      <c r="Y55" s="649"/>
      <c r="Z55" s="332"/>
      <c r="AA55" s="649"/>
      <c r="AB55" s="332"/>
      <c r="AC55" s="605">
        <f>1*(1+W56)*(1+Y56)*(1+AA56)</f>
        <v>1.045678375</v>
      </c>
      <c r="AD55" s="332"/>
      <c r="AE55" s="649"/>
      <c r="AF55" s="332"/>
      <c r="AG55" s="649"/>
      <c r="AH55" s="332"/>
      <c r="AI55" s="605">
        <f>1*(1+AC56)*(1+AE56)*(1+AG56)</f>
        <v>1.045678375</v>
      </c>
      <c r="AJ55" s="332"/>
      <c r="AK55" s="649"/>
      <c r="AL55" s="332"/>
      <c r="AM55" s="649"/>
      <c r="AN55" s="332"/>
      <c r="AO55" s="332"/>
      <c r="AP55" s="332"/>
    </row>
    <row r="56" ht="14.25" hidden="1" customHeight="1" outlineLevel="1">
      <c r="A56" s="332"/>
      <c r="B56" s="332"/>
      <c r="C56" s="332"/>
      <c r="D56" s="332"/>
      <c r="E56" s="1131" t="s">
        <v>1641</v>
      </c>
      <c r="F56" s="277"/>
      <c r="G56" s="278"/>
      <c r="H56" s="424">
        <v>0.019</v>
      </c>
      <c r="I56" s="424">
        <v>0.019</v>
      </c>
      <c r="J56" s="424">
        <v>0.021</v>
      </c>
      <c r="K56" s="424">
        <v>0.023</v>
      </c>
      <c r="L56" s="332"/>
      <c r="M56" s="424">
        <v>0.02</v>
      </c>
      <c r="N56" s="332"/>
      <c r="O56" s="424">
        <v>0.02</v>
      </c>
      <c r="P56" s="332"/>
      <c r="Q56" s="424">
        <v>0.015</v>
      </c>
      <c r="R56" s="332"/>
      <c r="S56" s="424">
        <f>+Q56</f>
        <v>0.015</v>
      </c>
      <c r="T56" s="332"/>
      <c r="U56" s="424">
        <f>+S56</f>
        <v>0.015</v>
      </c>
      <c r="V56" s="332"/>
      <c r="W56" s="424">
        <f>+U56</f>
        <v>0.015</v>
      </c>
      <c r="X56" s="332"/>
      <c r="Y56" s="424">
        <f>+W56</f>
        <v>0.015</v>
      </c>
      <c r="Z56" s="332"/>
      <c r="AA56" s="424">
        <f>+Y56</f>
        <v>0.015</v>
      </c>
      <c r="AB56" s="332"/>
      <c r="AC56" s="424">
        <f>+AA56</f>
        <v>0.015</v>
      </c>
      <c r="AD56" s="332"/>
      <c r="AE56" s="424">
        <f>+AC56</f>
        <v>0.015</v>
      </c>
      <c r="AF56" s="332"/>
      <c r="AG56" s="424">
        <f>+AE56</f>
        <v>0.015</v>
      </c>
      <c r="AH56" s="332"/>
      <c r="AI56" s="424">
        <f>+AG56</f>
        <v>0.015</v>
      </c>
      <c r="AJ56" s="332"/>
      <c r="AK56" s="424">
        <f>+AI56</f>
        <v>0.015</v>
      </c>
      <c r="AL56" s="332"/>
      <c r="AM56" s="424">
        <f>+AK56</f>
        <v>0.015</v>
      </c>
      <c r="AN56" s="332"/>
      <c r="AO56" s="332"/>
      <c r="AP56" s="332"/>
    </row>
    <row r="57" ht="14.25" hidden="1" customHeight="1" outlineLevel="1">
      <c r="A57" s="332"/>
      <c r="B57" s="332"/>
      <c r="C57" s="332"/>
      <c r="D57" s="332"/>
      <c r="E57" s="332"/>
      <c r="F57" s="332"/>
      <c r="G57" s="332"/>
      <c r="H57" s="332"/>
      <c r="I57" s="332"/>
      <c r="J57" s="332"/>
      <c r="K57" s="332"/>
      <c r="L57" s="332"/>
      <c r="M57" s="332"/>
      <c r="N57" s="332"/>
      <c r="O57" s="332"/>
      <c r="P57" s="332"/>
      <c r="Q57" s="332"/>
      <c r="R57" s="332"/>
      <c r="S57" s="332"/>
      <c r="T57" s="332"/>
      <c r="U57" s="332"/>
      <c r="V57" s="332"/>
      <c r="W57" s="332"/>
      <c r="X57" s="332"/>
      <c r="Y57" s="332"/>
      <c r="Z57" s="332"/>
      <c r="AA57" s="332"/>
      <c r="AB57" s="332"/>
      <c r="AC57" s="332"/>
      <c r="AD57" s="332"/>
      <c r="AE57" s="332"/>
      <c r="AF57" s="332"/>
      <c r="AG57" s="332"/>
      <c r="AH57" s="332"/>
      <c r="AI57" s="332"/>
      <c r="AJ57" s="332"/>
      <c r="AK57" s="332"/>
      <c r="AL57" s="332"/>
      <c r="AM57" s="332"/>
      <c r="AN57" s="332"/>
      <c r="AO57" s="332"/>
      <c r="AP57" s="332"/>
    </row>
    <row r="58" ht="14.25" hidden="1" customHeight="1" outlineLevel="1">
      <c r="A58" s="332"/>
      <c r="B58" s="332"/>
      <c r="C58" s="332"/>
      <c r="D58" s="332"/>
      <c r="E58" s="332"/>
      <c r="F58" s="332" t="s">
        <v>1903</v>
      </c>
      <c r="G58" s="332"/>
      <c r="H58" s="332"/>
      <c r="I58" s="332"/>
      <c r="J58" s="332"/>
      <c r="K58" s="332"/>
      <c r="L58" s="332"/>
      <c r="M58" s="332"/>
      <c r="N58" s="332"/>
      <c r="O58" s="332"/>
      <c r="P58" s="332"/>
      <c r="Q58" s="332"/>
      <c r="R58" s="332"/>
      <c r="S58" s="332"/>
      <c r="T58" s="332"/>
      <c r="U58" s="332"/>
      <c r="V58" s="332"/>
      <c r="W58" s="332"/>
      <c r="X58" s="332"/>
      <c r="Y58" s="332"/>
      <c r="Z58" s="332"/>
      <c r="AA58" s="332"/>
      <c r="AB58" s="332"/>
      <c r="AC58" s="332"/>
      <c r="AD58" s="332"/>
      <c r="AE58" s="332"/>
      <c r="AF58" s="332"/>
      <c r="AG58" s="332"/>
      <c r="AH58" s="332"/>
      <c r="AI58" s="332"/>
      <c r="AJ58" s="332"/>
      <c r="AK58" s="332"/>
      <c r="AL58" s="332"/>
      <c r="AM58" s="332"/>
      <c r="AN58" s="332"/>
      <c r="AO58" s="332"/>
      <c r="AP58" s="332"/>
    </row>
    <row r="59" ht="14.25" hidden="1" customHeight="1" outlineLevel="1">
      <c r="A59" s="332"/>
      <c r="B59" s="332"/>
      <c r="C59" s="332"/>
      <c r="D59" s="332"/>
      <c r="E59" s="332"/>
      <c r="F59" s="332" t="s">
        <v>1904</v>
      </c>
      <c r="G59" s="332"/>
      <c r="H59" s="332"/>
      <c r="I59" s="332"/>
      <c r="J59" s="1132" t="s">
        <v>1905</v>
      </c>
      <c r="K59" s="332"/>
      <c r="L59" s="332"/>
      <c r="M59" s="332"/>
      <c r="N59" s="332"/>
      <c r="O59" s="332"/>
      <c r="P59" s="332"/>
      <c r="Q59" s="1132" t="s">
        <v>1906</v>
      </c>
      <c r="R59" s="332"/>
      <c r="S59" s="332"/>
      <c r="T59" s="332"/>
      <c r="U59" s="332"/>
      <c r="V59" s="332"/>
      <c r="W59" s="332"/>
      <c r="X59" s="332"/>
      <c r="Y59" s="332"/>
      <c r="Z59" s="332"/>
      <c r="AA59" s="332"/>
      <c r="AB59" s="332"/>
      <c r="AC59" s="332"/>
      <c r="AD59" s="332"/>
      <c r="AE59" s="332"/>
      <c r="AF59" s="332"/>
      <c r="AG59" s="332"/>
      <c r="AH59" s="332"/>
      <c r="AI59" s="332"/>
      <c r="AJ59" s="332"/>
      <c r="AK59" s="332"/>
      <c r="AL59" s="332"/>
      <c r="AM59" s="332"/>
      <c r="AN59" s="332"/>
      <c r="AO59" s="332"/>
      <c r="AP59" s="332"/>
    </row>
    <row r="60" ht="14.25" hidden="1" customHeight="1" outlineLevel="1">
      <c r="A60" s="332"/>
      <c r="B60" s="332"/>
      <c r="C60" s="332">
        <v>1.9</v>
      </c>
      <c r="D60" s="332">
        <v>2.1</v>
      </c>
      <c r="E60" s="332">
        <v>2.2</v>
      </c>
      <c r="F60" s="332">
        <v>6.12</v>
      </c>
      <c r="G60" s="332"/>
      <c r="H60" s="332"/>
      <c r="I60" s="332"/>
      <c r="J60" s="1133">
        <f>+J53/530000</f>
        <v>56.64028249</v>
      </c>
      <c r="K60" s="332" t="s">
        <v>1907</v>
      </c>
      <c r="L60" s="332"/>
      <c r="M60" s="332"/>
      <c r="N60" s="332"/>
      <c r="O60" s="332"/>
      <c r="P60" s="332"/>
      <c r="Q60" s="332">
        <v>82.0</v>
      </c>
      <c r="R60" s="332" t="s">
        <v>1908</v>
      </c>
      <c r="S60" s="332"/>
      <c r="T60" s="332"/>
      <c r="U60" s="332"/>
      <c r="V60" s="332"/>
      <c r="W60" s="332"/>
      <c r="X60" s="332"/>
      <c r="Y60" s="332"/>
      <c r="Z60" s="332"/>
      <c r="AA60" s="332"/>
      <c r="AB60" s="332"/>
      <c r="AC60" s="332"/>
      <c r="AD60" s="332"/>
      <c r="AE60" s="332"/>
      <c r="AF60" s="332"/>
      <c r="AG60" s="332"/>
      <c r="AH60" s="332"/>
      <c r="AI60" s="332"/>
      <c r="AJ60" s="332"/>
      <c r="AK60" s="332"/>
      <c r="AL60" s="332"/>
      <c r="AM60" s="332"/>
      <c r="AN60" s="332"/>
      <c r="AO60" s="332"/>
      <c r="AP60" s="332"/>
    </row>
    <row r="61" ht="14.25" hidden="1" customHeight="1" outlineLevel="1">
      <c r="A61" s="332"/>
      <c r="B61" s="332"/>
      <c r="C61" s="1134" t="s">
        <v>1909</v>
      </c>
      <c r="D61" s="1134" t="s">
        <v>1910</v>
      </c>
      <c r="E61" s="1134" t="s">
        <v>261</v>
      </c>
      <c r="F61" s="332"/>
      <c r="G61" s="332"/>
      <c r="H61" s="332"/>
      <c r="I61" s="332"/>
      <c r="J61" s="1133">
        <v>74.0</v>
      </c>
      <c r="K61" s="332" t="s">
        <v>1908</v>
      </c>
      <c r="L61" s="332" t="s">
        <v>1911</v>
      </c>
      <c r="M61" s="332"/>
      <c r="N61" s="332"/>
      <c r="O61" s="332"/>
      <c r="P61" s="332"/>
      <c r="Q61" s="332">
        <v>112.0</v>
      </c>
      <c r="R61" s="332" t="s">
        <v>1448</v>
      </c>
      <c r="S61" s="332"/>
      <c r="T61" s="332"/>
      <c r="U61" s="332"/>
      <c r="V61" s="332"/>
      <c r="W61" s="332"/>
      <c r="X61" s="332"/>
      <c r="Y61" s="332"/>
      <c r="Z61" s="332"/>
      <c r="AA61" s="332"/>
      <c r="AB61" s="332"/>
      <c r="AC61" s="332"/>
      <c r="AD61" s="332"/>
      <c r="AE61" s="332"/>
      <c r="AF61" s="332"/>
      <c r="AG61" s="332"/>
      <c r="AH61" s="332"/>
      <c r="AI61" s="332"/>
      <c r="AJ61" s="332"/>
      <c r="AK61" s="332"/>
      <c r="AL61" s="332"/>
      <c r="AM61" s="332"/>
      <c r="AN61" s="332"/>
      <c r="AO61" s="332"/>
      <c r="AP61" s="332"/>
    </row>
    <row r="62" ht="14.25" hidden="1" customHeight="1" outlineLevel="1">
      <c r="A62" s="332"/>
      <c r="B62" s="332"/>
      <c r="C62" s="332"/>
      <c r="D62" s="332"/>
      <c r="E62" s="332"/>
      <c r="F62" s="332"/>
      <c r="G62" s="332"/>
      <c r="H62" s="332"/>
      <c r="I62" s="332"/>
      <c r="J62" s="1133">
        <f t="shared" ref="J62:J63" si="41">+J61*1.2</f>
        <v>88.8</v>
      </c>
      <c r="K62" s="332" t="s">
        <v>1912</v>
      </c>
      <c r="L62" s="332" t="s">
        <v>1913</v>
      </c>
      <c r="M62" s="332"/>
      <c r="N62" s="332"/>
      <c r="O62" s="332"/>
      <c r="P62" s="332"/>
      <c r="Q62" s="332">
        <v>115.0</v>
      </c>
      <c r="R62" s="332" t="s">
        <v>1914</v>
      </c>
      <c r="S62" s="332"/>
      <c r="T62" s="332"/>
      <c r="U62" s="332"/>
      <c r="V62" s="332"/>
      <c r="W62" s="332"/>
      <c r="X62" s="332"/>
      <c r="Y62" s="332"/>
      <c r="Z62" s="332"/>
      <c r="AA62" s="332"/>
      <c r="AB62" s="332"/>
      <c r="AC62" s="332"/>
      <c r="AD62" s="332"/>
      <c r="AE62" s="332"/>
      <c r="AF62" s="332"/>
      <c r="AG62" s="332"/>
      <c r="AH62" s="332"/>
      <c r="AI62" s="332"/>
      <c r="AJ62" s="332"/>
      <c r="AK62" s="332"/>
      <c r="AL62" s="332"/>
      <c r="AM62" s="332"/>
      <c r="AN62" s="332"/>
      <c r="AO62" s="332"/>
      <c r="AP62" s="332"/>
    </row>
    <row r="63" ht="14.25" hidden="1" customHeight="1" outlineLevel="1">
      <c r="A63" s="332"/>
      <c r="B63" s="332"/>
      <c r="C63" s="1134"/>
      <c r="D63" s="332"/>
      <c r="E63" s="332"/>
      <c r="F63" s="332"/>
      <c r="G63" s="332"/>
      <c r="H63" s="332"/>
      <c r="I63" s="332"/>
      <c r="J63" s="1133">
        <f t="shared" si="41"/>
        <v>106.56</v>
      </c>
      <c r="K63" s="332" t="s">
        <v>1915</v>
      </c>
      <c r="L63" s="332" t="s">
        <v>1916</v>
      </c>
      <c r="M63" s="332"/>
      <c r="N63" s="332"/>
      <c r="O63" s="332"/>
      <c r="P63" s="332"/>
      <c r="Q63" s="1134" t="s">
        <v>1917</v>
      </c>
      <c r="R63" s="332" t="s">
        <v>1912</v>
      </c>
      <c r="S63" s="332"/>
      <c r="T63" s="332"/>
      <c r="U63" s="332"/>
      <c r="V63" s="332"/>
      <c r="W63" s="332"/>
      <c r="X63" s="332"/>
      <c r="Y63" s="332"/>
      <c r="Z63" s="332"/>
      <c r="AA63" s="332"/>
      <c r="AB63" s="332"/>
      <c r="AC63" s="332"/>
      <c r="AD63" s="332"/>
      <c r="AE63" s="332"/>
      <c r="AF63" s="332"/>
      <c r="AG63" s="332"/>
      <c r="AH63" s="332"/>
      <c r="AI63" s="332"/>
      <c r="AJ63" s="332"/>
      <c r="AK63" s="332"/>
      <c r="AL63" s="332"/>
      <c r="AM63" s="332"/>
      <c r="AN63" s="332"/>
      <c r="AO63" s="332"/>
      <c r="AP63" s="332"/>
    </row>
    <row r="64" ht="14.25" hidden="1" customHeight="1" outlineLevel="1">
      <c r="A64" s="332"/>
      <c r="B64" s="332"/>
      <c r="C64" s="332"/>
      <c r="D64" s="332"/>
      <c r="E64" s="332"/>
      <c r="F64" s="332"/>
      <c r="G64" s="332"/>
      <c r="H64" s="332"/>
      <c r="I64" s="332"/>
      <c r="J64" s="1133">
        <f>+J63*1.1</f>
        <v>117.216</v>
      </c>
      <c r="K64" s="332" t="s">
        <v>1918</v>
      </c>
      <c r="L64" s="332" t="s">
        <v>1919</v>
      </c>
      <c r="M64" s="332"/>
      <c r="N64" s="332"/>
      <c r="O64" s="332"/>
      <c r="P64" s="332"/>
      <c r="Q64" s="332">
        <v>137.0</v>
      </c>
      <c r="R64" s="332" t="s">
        <v>1920</v>
      </c>
      <c r="S64" s="1135" t="s">
        <v>1921</v>
      </c>
      <c r="T64" s="332"/>
      <c r="U64" s="332"/>
      <c r="V64" s="332"/>
      <c r="W64" s="332"/>
      <c r="X64" s="332"/>
      <c r="Y64" s="332"/>
      <c r="Z64" s="332"/>
      <c r="AA64" s="332"/>
      <c r="AB64" s="332"/>
      <c r="AC64" s="332"/>
      <c r="AD64" s="332"/>
      <c r="AE64" s="332"/>
      <c r="AF64" s="332"/>
      <c r="AG64" s="332"/>
      <c r="AH64" s="332"/>
      <c r="AI64" s="332"/>
      <c r="AJ64" s="332"/>
      <c r="AK64" s="332"/>
      <c r="AL64" s="332"/>
      <c r="AM64" s="332"/>
      <c r="AN64" s="332"/>
      <c r="AO64" s="332"/>
      <c r="AP64" s="332"/>
    </row>
    <row r="65" ht="14.25" hidden="1" customHeight="1" outlineLevel="1">
      <c r="A65" s="332"/>
      <c r="B65" s="332"/>
      <c r="C65" s="1083" t="s">
        <v>261</v>
      </c>
      <c r="D65" s="1083" t="s">
        <v>262</v>
      </c>
      <c r="E65" s="1083" t="s">
        <v>263</v>
      </c>
      <c r="F65" s="1083" t="s">
        <v>1922</v>
      </c>
      <c r="G65" s="1083" t="s">
        <v>1923</v>
      </c>
      <c r="H65" s="1083" t="s">
        <v>1924</v>
      </c>
      <c r="I65" s="332"/>
      <c r="J65" s="332"/>
      <c r="K65" s="332"/>
      <c r="L65" s="332"/>
      <c r="M65" s="332"/>
      <c r="N65" s="332"/>
      <c r="O65" s="332"/>
      <c r="P65" s="332"/>
      <c r="Q65" s="1134" t="s">
        <v>1925</v>
      </c>
      <c r="R65" s="332" t="s">
        <v>1915</v>
      </c>
      <c r="S65" s="332"/>
      <c r="T65" s="332"/>
      <c r="U65" s="332"/>
      <c r="V65" s="332"/>
      <c r="W65" s="332"/>
      <c r="X65" s="332"/>
      <c r="Y65" s="332"/>
      <c r="Z65" s="332"/>
      <c r="AA65" s="332"/>
      <c r="AB65" s="332"/>
      <c r="AC65" s="332"/>
      <c r="AD65" s="332"/>
      <c r="AE65" s="332"/>
      <c r="AF65" s="332"/>
      <c r="AG65" s="332"/>
      <c r="AH65" s="332"/>
      <c r="AI65" s="332"/>
      <c r="AJ65" s="332"/>
      <c r="AK65" s="332"/>
      <c r="AL65" s="332"/>
      <c r="AM65" s="332"/>
      <c r="AN65" s="332"/>
      <c r="AO65" s="332"/>
      <c r="AP65" s="332"/>
    </row>
    <row r="66" ht="14.25" hidden="1" customHeight="1" outlineLevel="1">
      <c r="A66" s="332"/>
      <c r="B66" s="332"/>
      <c r="C66" s="631" t="s">
        <v>1926</v>
      </c>
      <c r="D66" s="1136">
        <v>0.1</v>
      </c>
      <c r="E66" s="1136">
        <v>0.2</v>
      </c>
      <c r="F66" s="1137" t="s">
        <v>1927</v>
      </c>
      <c r="G66" s="631" t="s">
        <v>1928</v>
      </c>
      <c r="H66" s="631" t="s">
        <v>1929</v>
      </c>
      <c r="I66" s="332"/>
      <c r="J66" s="332"/>
      <c r="K66" s="332"/>
      <c r="L66" s="332"/>
      <c r="M66" s="332"/>
      <c r="N66" s="332"/>
      <c r="O66" s="332"/>
      <c r="P66" s="332"/>
      <c r="Q66" s="1134" t="s">
        <v>1925</v>
      </c>
      <c r="R66" s="332" t="s">
        <v>1918</v>
      </c>
      <c r="S66" s="332" t="s">
        <v>1930</v>
      </c>
      <c r="T66" s="332"/>
      <c r="U66" s="332"/>
      <c r="V66" s="332"/>
      <c r="W66" s="332"/>
      <c r="X66" s="332"/>
      <c r="Y66" s="332"/>
      <c r="Z66" s="332"/>
      <c r="AA66" s="332"/>
      <c r="AB66" s="332"/>
      <c r="AC66" s="332"/>
      <c r="AD66" s="332"/>
      <c r="AE66" s="332"/>
      <c r="AF66" s="332"/>
      <c r="AG66" s="332"/>
      <c r="AH66" s="332"/>
      <c r="AI66" s="332"/>
      <c r="AJ66" s="332"/>
      <c r="AK66" s="332"/>
      <c r="AL66" s="332"/>
      <c r="AM66" s="332"/>
      <c r="AN66" s="332"/>
      <c r="AO66" s="332"/>
      <c r="AP66" s="332"/>
    </row>
    <row r="67" ht="14.25" hidden="1" customHeight="1" outlineLevel="1">
      <c r="A67" s="332"/>
      <c r="B67" s="332"/>
      <c r="C67" s="332"/>
      <c r="D67" s="332"/>
      <c r="E67" s="332"/>
      <c r="F67" s="332"/>
      <c r="G67" s="332"/>
      <c r="H67" s="332"/>
      <c r="I67" s="332"/>
      <c r="J67" s="332"/>
      <c r="K67" s="332"/>
      <c r="L67" s="332"/>
      <c r="M67" s="332"/>
      <c r="N67" s="332"/>
      <c r="O67" s="332"/>
      <c r="P67" s="332"/>
      <c r="Q67" s="332"/>
      <c r="R67" s="332"/>
      <c r="S67" s="332"/>
      <c r="T67" s="332"/>
      <c r="U67" s="332"/>
      <c r="V67" s="332"/>
      <c r="W67" s="332"/>
      <c r="X67" s="332"/>
      <c r="Y67" s="332"/>
      <c r="Z67" s="332"/>
      <c r="AA67" s="332"/>
      <c r="AB67" s="332"/>
      <c r="AC67" s="332"/>
      <c r="AD67" s="332"/>
      <c r="AE67" s="332"/>
      <c r="AF67" s="332"/>
      <c r="AG67" s="332"/>
      <c r="AH67" s="332"/>
      <c r="AI67" s="332"/>
      <c r="AJ67" s="332"/>
      <c r="AK67" s="332"/>
      <c r="AL67" s="332"/>
      <c r="AM67" s="332"/>
      <c r="AN67" s="332"/>
      <c r="AO67" s="332"/>
      <c r="AP67" s="332"/>
    </row>
    <row r="68" ht="14.25" hidden="1" customHeight="1" outlineLevel="1">
      <c r="A68" s="332"/>
      <c r="B68" s="332"/>
      <c r="C68" s="332"/>
      <c r="D68" s="332"/>
      <c r="E68" s="332"/>
      <c r="F68" s="332"/>
      <c r="G68" s="332"/>
      <c r="H68" s="332"/>
      <c r="I68" s="332"/>
      <c r="J68" s="332"/>
      <c r="K68" s="332"/>
      <c r="L68" s="332"/>
      <c r="M68" s="332"/>
      <c r="N68" s="332"/>
      <c r="O68" s="332"/>
      <c r="P68" s="332"/>
      <c r="Q68" s="332"/>
      <c r="R68" s="332"/>
      <c r="S68" s="332"/>
      <c r="T68" s="332"/>
      <c r="U68" s="332"/>
      <c r="V68" s="332"/>
      <c r="W68" s="332"/>
      <c r="X68" s="332"/>
      <c r="Y68" s="332"/>
      <c r="Z68" s="332"/>
      <c r="AA68" s="332"/>
      <c r="AB68" s="332"/>
      <c r="AC68" s="332"/>
      <c r="AD68" s="332"/>
      <c r="AE68" s="332"/>
      <c r="AF68" s="332"/>
      <c r="AG68" s="332"/>
      <c r="AH68" s="332"/>
      <c r="AI68" s="332"/>
      <c r="AJ68" s="332"/>
      <c r="AK68" s="332"/>
      <c r="AL68" s="332"/>
      <c r="AM68" s="332"/>
      <c r="AN68" s="332"/>
      <c r="AO68" s="332"/>
      <c r="AP68" s="332"/>
    </row>
    <row r="69" ht="14.25" customHeight="1" collapsed="1">
      <c r="A69" s="332"/>
      <c r="B69" s="332"/>
      <c r="C69" s="332"/>
      <c r="D69" s="332"/>
      <c r="E69" s="332"/>
      <c r="F69" s="332"/>
      <c r="G69" s="332"/>
      <c r="H69" s="332"/>
      <c r="I69" s="332"/>
      <c r="J69" s="332"/>
      <c r="K69" s="332"/>
      <c r="L69" s="332"/>
      <c r="M69" s="332"/>
      <c r="N69" s="332"/>
      <c r="O69" s="332"/>
      <c r="P69" s="332"/>
      <c r="Q69" s="332"/>
      <c r="R69" s="332"/>
      <c r="S69" s="332"/>
      <c r="T69" s="332"/>
      <c r="U69" s="332"/>
      <c r="V69" s="332"/>
      <c r="W69" s="332"/>
      <c r="X69" s="332"/>
      <c r="Y69" s="332"/>
      <c r="Z69" s="332"/>
      <c r="AA69" s="332"/>
      <c r="AB69" s="332"/>
      <c r="AC69" s="332"/>
      <c r="AD69" s="332"/>
      <c r="AE69" s="332"/>
      <c r="AF69" s="332"/>
      <c r="AG69" s="332"/>
      <c r="AH69" s="332"/>
      <c r="AI69" s="332"/>
      <c r="AJ69" s="332"/>
      <c r="AK69" s="332"/>
      <c r="AL69" s="332"/>
      <c r="AM69" s="332"/>
      <c r="AN69" s="332"/>
      <c r="AO69" s="332"/>
      <c r="AP69" s="332"/>
    </row>
    <row r="70" ht="14.25" customHeight="1">
      <c r="A70" s="332"/>
      <c r="B70" s="332"/>
      <c r="C70" s="332"/>
      <c r="D70" s="332"/>
      <c r="E70" s="332"/>
      <c r="F70" s="332"/>
      <c r="G70" s="332"/>
      <c r="H70" s="332"/>
      <c r="I70" s="332" t="s">
        <v>1931</v>
      </c>
      <c r="J70" s="332"/>
      <c r="K70" s="332"/>
      <c r="L70" s="332"/>
      <c r="M70" s="332"/>
      <c r="N70" s="332"/>
      <c r="O70" s="332"/>
      <c r="P70" s="332"/>
      <c r="Q70" s="332"/>
      <c r="R70" s="332"/>
      <c r="S70" s="332"/>
      <c r="T70" s="332"/>
      <c r="U70" s="332"/>
      <c r="V70" s="332"/>
      <c r="W70" s="1138">
        <f>+W55</f>
        <v>1.045678375</v>
      </c>
      <c r="X70" s="326"/>
      <c r="Y70" s="326"/>
      <c r="Z70" s="326"/>
      <c r="AA70" s="326"/>
      <c r="AB70" s="326"/>
      <c r="AC70" s="1138">
        <f>+AC55</f>
        <v>1.045678375</v>
      </c>
      <c r="AD70" s="326"/>
      <c r="AE70" s="326"/>
      <c r="AF70" s="326"/>
      <c r="AG70" s="326"/>
      <c r="AH70" s="326"/>
      <c r="AI70" s="1138">
        <f>+AI55</f>
        <v>1.045678375</v>
      </c>
      <c r="AJ70" s="332"/>
      <c r="AK70" s="332"/>
      <c r="AL70" s="332"/>
      <c r="AM70" s="332"/>
      <c r="AN70" s="332"/>
      <c r="AO70" s="332" t="str">
        <f t="shared" ref="AO70:AO72" si="42">+I70</f>
        <v>ajuste en precio por ipc acumulado</v>
      </c>
      <c r="AP70" s="332"/>
    </row>
    <row r="71" ht="14.25" customHeight="1">
      <c r="A71" s="332"/>
      <c r="B71" s="332"/>
      <c r="C71" s="332"/>
      <c r="D71" s="332"/>
      <c r="E71" s="332"/>
      <c r="F71" s="332"/>
      <c r="G71" s="332"/>
      <c r="H71" s="332"/>
      <c r="I71" s="332" t="s">
        <v>1932</v>
      </c>
      <c r="J71" s="332"/>
      <c r="K71" s="332"/>
      <c r="L71" s="332"/>
      <c r="M71" s="332"/>
      <c r="N71" s="332"/>
      <c r="O71" s="332"/>
      <c r="P71" s="332"/>
      <c r="Q71" s="332"/>
      <c r="R71" s="332"/>
      <c r="S71" s="332"/>
      <c r="T71" s="332"/>
      <c r="U71" s="332"/>
      <c r="V71" s="332"/>
      <c r="W71" s="332"/>
      <c r="X71" s="1139">
        <v>1.15</v>
      </c>
      <c r="Y71" s="332"/>
      <c r="Z71" s="332"/>
      <c r="AA71" s="332"/>
      <c r="AB71" s="332"/>
      <c r="AC71" s="332"/>
      <c r="AD71" s="1139">
        <v>1.11</v>
      </c>
      <c r="AE71" s="332"/>
      <c r="AF71" s="332"/>
      <c r="AG71" s="332"/>
      <c r="AH71" s="332"/>
      <c r="AI71" s="332"/>
      <c r="AJ71" s="1139">
        <v>1.06</v>
      </c>
      <c r="AK71" s="332"/>
      <c r="AL71" s="332"/>
      <c r="AM71" s="332"/>
      <c r="AN71" s="332"/>
      <c r="AO71" s="332" t="str">
        <f t="shared" si="42"/>
        <v>ajuste en precio (segun negociación)</v>
      </c>
      <c r="AP71" s="332"/>
    </row>
    <row r="72" ht="14.25" customHeight="1">
      <c r="A72" s="326"/>
      <c r="B72" s="326"/>
      <c r="C72" s="326"/>
      <c r="D72" s="326"/>
      <c r="E72" s="326"/>
      <c r="F72" s="326"/>
      <c r="G72" s="326"/>
      <c r="H72" s="326"/>
      <c r="I72" s="1140" t="s">
        <v>1933</v>
      </c>
      <c r="J72" s="1141"/>
      <c r="K72" s="326"/>
      <c r="L72" s="326"/>
      <c r="M72" s="326"/>
      <c r="N72" s="326"/>
      <c r="O72" s="326"/>
      <c r="P72" s="326"/>
      <c r="Q72" s="1142">
        <f>+Q5</f>
        <v>1.2</v>
      </c>
      <c r="R72" s="326"/>
      <c r="S72" s="1139">
        <v>1.1</v>
      </c>
      <c r="T72" s="326"/>
      <c r="U72" s="1139">
        <v>1.0</v>
      </c>
      <c r="V72" s="326"/>
      <c r="W72" s="1139">
        <v>1.0</v>
      </c>
      <c r="X72" s="326"/>
      <c r="Y72" s="1139">
        <v>1.0</v>
      </c>
      <c r="Z72" s="326"/>
      <c r="AA72" s="1139">
        <v>1.0</v>
      </c>
      <c r="AB72" s="326"/>
      <c r="AC72" s="1139">
        <v>1.0</v>
      </c>
      <c r="AD72" s="326"/>
      <c r="AE72" s="1139">
        <v>1.0</v>
      </c>
      <c r="AF72" s="326"/>
      <c r="AG72" s="1139">
        <v>1.0</v>
      </c>
      <c r="AH72" s="326"/>
      <c r="AI72" s="1139">
        <v>1.05</v>
      </c>
      <c r="AJ72" s="326"/>
      <c r="AK72" s="1139">
        <v>1.1</v>
      </c>
      <c r="AL72" s="326"/>
      <c r="AM72" s="1139">
        <v>1.2</v>
      </c>
      <c r="AN72" s="326"/>
      <c r="AO72" s="332" t="str">
        <f t="shared" si="42"/>
        <v>ajuste en trx con base sept</v>
      </c>
      <c r="AP72" s="326"/>
    </row>
    <row r="73" ht="14.25" customHeight="1">
      <c r="A73" s="332"/>
      <c r="B73" s="332"/>
      <c r="C73" s="332"/>
      <c r="D73" s="332"/>
      <c r="E73" s="332"/>
      <c r="F73" s="1143" t="s">
        <v>1934</v>
      </c>
      <c r="H73" s="1124"/>
      <c r="I73" s="1144" t="s">
        <v>1935</v>
      </c>
      <c r="J73" s="706"/>
      <c r="K73" s="765">
        <v>45957.0</v>
      </c>
      <c r="L73" s="706"/>
      <c r="M73" s="765">
        <v>45987.0</v>
      </c>
      <c r="N73" s="706"/>
      <c r="O73" s="765">
        <v>46017.0</v>
      </c>
      <c r="P73" s="706"/>
      <c r="Q73" s="765">
        <v>46047.0</v>
      </c>
      <c r="R73" s="706"/>
      <c r="S73" s="765">
        <v>46077.0</v>
      </c>
      <c r="T73" s="706"/>
      <c r="U73" s="765">
        <v>46107.0</v>
      </c>
      <c r="V73" s="706"/>
      <c r="W73" s="763">
        <v>46142.0</v>
      </c>
      <c r="X73" s="845"/>
      <c r="Y73" s="765">
        <v>46172.0</v>
      </c>
      <c r="Z73" s="706"/>
      <c r="AA73" s="765">
        <v>46202.0</v>
      </c>
      <c r="AB73" s="706"/>
      <c r="AC73" s="763">
        <v>46232.0</v>
      </c>
      <c r="AD73" s="845"/>
      <c r="AE73" s="765">
        <v>46262.0</v>
      </c>
      <c r="AF73" s="706"/>
      <c r="AG73" s="765">
        <v>46292.0</v>
      </c>
      <c r="AH73" s="706"/>
      <c r="AI73" s="763">
        <v>46322.0</v>
      </c>
      <c r="AJ73" s="845"/>
      <c r="AK73" s="765">
        <v>46352.0</v>
      </c>
      <c r="AL73" s="706"/>
      <c r="AM73" s="765">
        <v>46382.0</v>
      </c>
      <c r="AN73" s="706"/>
      <c r="AO73" s="332"/>
      <c r="AP73" s="332"/>
    </row>
    <row r="74" ht="14.25" customHeight="1">
      <c r="A74" s="332"/>
      <c r="B74" s="332"/>
      <c r="C74" s="332"/>
      <c r="D74" s="332"/>
      <c r="E74" s="332"/>
      <c r="H74" s="1124"/>
      <c r="I74" s="708"/>
      <c r="J74" s="709"/>
      <c r="K74" s="708"/>
      <c r="L74" s="709"/>
      <c r="M74" s="708"/>
      <c r="N74" s="709"/>
      <c r="O74" s="708"/>
      <c r="P74" s="709"/>
      <c r="Q74" s="708"/>
      <c r="R74" s="709"/>
      <c r="S74" s="708"/>
      <c r="T74" s="709"/>
      <c r="U74" s="708"/>
      <c r="V74" s="709"/>
      <c r="W74" s="708"/>
      <c r="X74" s="709"/>
      <c r="Y74" s="708"/>
      <c r="Z74" s="709"/>
      <c r="AA74" s="708"/>
      <c r="AB74" s="709"/>
      <c r="AC74" s="708"/>
      <c r="AD74" s="709"/>
      <c r="AE74" s="708"/>
      <c r="AF74" s="709"/>
      <c r="AG74" s="708"/>
      <c r="AH74" s="709"/>
      <c r="AI74" s="708"/>
      <c r="AJ74" s="709"/>
      <c r="AK74" s="708"/>
      <c r="AL74" s="709"/>
      <c r="AM74" s="708"/>
      <c r="AN74" s="709"/>
      <c r="AO74" s="332"/>
      <c r="AP74" s="332"/>
    </row>
    <row r="75" ht="14.25" customHeight="1">
      <c r="A75" s="332"/>
      <c r="B75" s="332"/>
      <c r="C75" s="332"/>
      <c r="D75" s="332"/>
      <c r="E75" s="332"/>
      <c r="F75" s="1134" t="s">
        <v>1936</v>
      </c>
      <c r="G75" s="332" t="s">
        <v>1937</v>
      </c>
      <c r="H75" s="332"/>
      <c r="I75" s="1125" t="s">
        <v>1938</v>
      </c>
      <c r="J75" s="1125" t="s">
        <v>1939</v>
      </c>
      <c r="K75" s="332"/>
      <c r="L75" s="332"/>
      <c r="M75" s="332"/>
      <c r="N75" s="332"/>
      <c r="O75" s="332"/>
      <c r="P75" s="332"/>
      <c r="Q75" s="1145" t="s">
        <v>1938</v>
      </c>
      <c r="R75" s="1145" t="s">
        <v>1939</v>
      </c>
      <c r="S75" s="1145" t="s">
        <v>1938</v>
      </c>
      <c r="T75" s="1145" t="s">
        <v>1939</v>
      </c>
      <c r="U75" s="1145" t="s">
        <v>1938</v>
      </c>
      <c r="V75" s="1145" t="s">
        <v>1939</v>
      </c>
      <c r="W75" s="1145" t="s">
        <v>1938</v>
      </c>
      <c r="X75" s="1145" t="s">
        <v>1939</v>
      </c>
      <c r="Y75" s="1145" t="s">
        <v>1938</v>
      </c>
      <c r="Z75" s="1145" t="s">
        <v>1939</v>
      </c>
      <c r="AA75" s="1145" t="s">
        <v>1938</v>
      </c>
      <c r="AB75" s="1145" t="s">
        <v>1939</v>
      </c>
      <c r="AC75" s="1145" t="s">
        <v>1938</v>
      </c>
      <c r="AD75" s="1145" t="s">
        <v>1939</v>
      </c>
      <c r="AE75" s="1145" t="s">
        <v>1938</v>
      </c>
      <c r="AF75" s="1145" t="s">
        <v>1939</v>
      </c>
      <c r="AG75" s="1145" t="s">
        <v>1938</v>
      </c>
      <c r="AH75" s="1145" t="s">
        <v>1939</v>
      </c>
      <c r="AI75" s="1145" t="s">
        <v>1938</v>
      </c>
      <c r="AJ75" s="1145" t="s">
        <v>1939</v>
      </c>
      <c r="AK75" s="1145" t="s">
        <v>1938</v>
      </c>
      <c r="AL75" s="1145" t="s">
        <v>1939</v>
      </c>
      <c r="AM75" s="1145" t="s">
        <v>1938</v>
      </c>
      <c r="AN75" s="1145" t="s">
        <v>1939</v>
      </c>
      <c r="AO75" s="332"/>
      <c r="AP75" s="332"/>
    </row>
    <row r="76" ht="14.25" customHeight="1">
      <c r="A76" s="332"/>
      <c r="B76" s="332"/>
      <c r="C76" s="332"/>
      <c r="D76" s="332"/>
      <c r="E76" s="332"/>
      <c r="F76" s="332" t="s">
        <v>1940</v>
      </c>
      <c r="G76" s="332"/>
      <c r="H76" s="332"/>
      <c r="I76" s="1146">
        <f>(SUM(C26:H39)+SUM(H6:I19)+SUM(F46:F51))*K76</f>
        <v>485803.8</v>
      </c>
      <c r="J76" s="332"/>
      <c r="K76" s="1147">
        <v>0.9</v>
      </c>
      <c r="L76" s="332"/>
      <c r="M76" s="332"/>
      <c r="N76" s="332"/>
      <c r="O76" s="332"/>
      <c r="P76" s="332"/>
      <c r="Q76" s="1116">
        <f>+$I$76*Q72</f>
        <v>582964.56</v>
      </c>
      <c r="R76" s="1148">
        <v>74.0</v>
      </c>
      <c r="S76" s="1116">
        <f>+$I$76*S72</f>
        <v>534384.18</v>
      </c>
      <c r="T76" s="1148">
        <f>+R76</f>
        <v>74</v>
      </c>
      <c r="U76" s="1116">
        <f>+$I$76*U72</f>
        <v>485803.8</v>
      </c>
      <c r="V76" s="1148">
        <f>+T76</f>
        <v>74</v>
      </c>
      <c r="W76" s="1116">
        <f>+$I$76*W72</f>
        <v>485803.8</v>
      </c>
      <c r="X76" s="1148">
        <f>+V76*X71*W70</f>
        <v>88.98722971</v>
      </c>
      <c r="Y76" s="1116">
        <f>+$I$76*Y72</f>
        <v>485803.8</v>
      </c>
      <c r="Z76" s="1148">
        <f>+X76</f>
        <v>88.98722971</v>
      </c>
      <c r="AA76" s="1116">
        <f>+$I$76*AA72</f>
        <v>485803.8</v>
      </c>
      <c r="AB76" s="1148">
        <f>+Z76</f>
        <v>88.98722971</v>
      </c>
      <c r="AC76" s="1116">
        <f>+$I$76*AC72</f>
        <v>485803.8</v>
      </c>
      <c r="AD76" s="1084">
        <f>+AB76*AD71*AC70</f>
        <v>103.2877442</v>
      </c>
      <c r="AE76" s="1116">
        <f>+$I$76*AE72</f>
        <v>485803.8</v>
      </c>
      <c r="AF76" s="1148">
        <f>+AD76</f>
        <v>103.2877442</v>
      </c>
      <c r="AG76" s="1116">
        <f>+$I$76*AG72</f>
        <v>485803.8</v>
      </c>
      <c r="AH76" s="1148">
        <f>+AF76</f>
        <v>103.2877442</v>
      </c>
      <c r="AI76" s="1116">
        <f>+$I$76*AI72</f>
        <v>510093.99</v>
      </c>
      <c r="AJ76" s="1084">
        <f>+AH76*AJ71*AI70</f>
        <v>114.4861061</v>
      </c>
      <c r="AK76" s="1116">
        <f>+$I$76*AK72</f>
        <v>534384.18</v>
      </c>
      <c r="AL76" s="1148">
        <f>+AJ76</f>
        <v>114.4861061</v>
      </c>
      <c r="AM76" s="1116">
        <f>+$I$76*AM72</f>
        <v>582964.56</v>
      </c>
      <c r="AN76" s="1084">
        <f>+AL76</f>
        <v>114.4861061</v>
      </c>
      <c r="AO76" s="327" t="s">
        <v>1941</v>
      </c>
      <c r="AP76" s="332"/>
    </row>
    <row r="77" ht="14.25" customHeight="1">
      <c r="A77" s="326"/>
      <c r="B77" s="326"/>
      <c r="C77" s="326"/>
      <c r="D77" s="326"/>
      <c r="E77" s="326"/>
      <c r="F77" s="326"/>
      <c r="G77" s="326"/>
      <c r="H77" s="326"/>
      <c r="I77" s="326"/>
      <c r="J77" s="326"/>
      <c r="K77" s="326"/>
      <c r="L77" s="326"/>
      <c r="M77" s="326"/>
      <c r="N77" s="326"/>
      <c r="O77" s="326"/>
      <c r="P77" s="327" t="s">
        <v>1942</v>
      </c>
      <c r="Q77" s="1149">
        <f>+Q76*R76</f>
        <v>43139377.44</v>
      </c>
      <c r="R77" s="278"/>
      <c r="S77" s="1149">
        <f>+S76*T76</f>
        <v>39544429.32</v>
      </c>
      <c r="T77" s="278"/>
      <c r="U77" s="1149">
        <f>+U76*V76</f>
        <v>35949481.2</v>
      </c>
      <c r="V77" s="278"/>
      <c r="W77" s="1149">
        <f>+W76*X76</f>
        <v>43230334.35</v>
      </c>
      <c r="X77" s="278"/>
      <c r="Y77" s="1149">
        <f>+Y76*Z76</f>
        <v>43230334.35</v>
      </c>
      <c r="Z77" s="278"/>
      <c r="AA77" s="1149">
        <f>+AA76*AB76</f>
        <v>43230334.35</v>
      </c>
      <c r="AB77" s="278"/>
      <c r="AC77" s="1149">
        <f>+AC76*AD76</f>
        <v>50177578.6</v>
      </c>
      <c r="AD77" s="278"/>
      <c r="AE77" s="1149">
        <f>+AE76*AF76</f>
        <v>50177578.6</v>
      </c>
      <c r="AF77" s="278"/>
      <c r="AG77" s="1149">
        <f>+AG76*AH76</f>
        <v>50177578.6</v>
      </c>
      <c r="AH77" s="278"/>
      <c r="AI77" s="1149">
        <f>+AI76*AJ76</f>
        <v>58398674.66</v>
      </c>
      <c r="AJ77" s="278"/>
      <c r="AK77" s="1149">
        <f>+AK76*AL76</f>
        <v>61179563.93</v>
      </c>
      <c r="AL77" s="278"/>
      <c r="AM77" s="1149">
        <f>+AM76*AN76</f>
        <v>66741342.47</v>
      </c>
      <c r="AN77" s="278"/>
      <c r="AO77" s="1150">
        <f>SUM(Q77:AN77)</f>
        <v>585176607.9</v>
      </c>
      <c r="AP77" s="326" t="str">
        <f>+G74</f>
        <v/>
      </c>
    </row>
    <row r="78" ht="14.25" customHeight="1">
      <c r="A78" s="332"/>
      <c r="B78" s="332"/>
      <c r="C78" s="332"/>
      <c r="D78" s="332"/>
      <c r="E78" s="332"/>
      <c r="F78" s="332"/>
      <c r="G78" s="332"/>
      <c r="H78" s="332"/>
      <c r="I78" s="332"/>
      <c r="J78" s="332"/>
      <c r="K78" s="332"/>
      <c r="L78" s="332"/>
      <c r="M78" s="332"/>
      <c r="N78" s="332"/>
      <c r="O78" s="332"/>
      <c r="P78" s="332"/>
      <c r="Q78" s="332"/>
      <c r="R78" s="332"/>
      <c r="S78" s="332"/>
      <c r="T78" s="332"/>
      <c r="U78" s="332"/>
      <c r="V78" s="332"/>
      <c r="W78" s="332"/>
      <c r="X78" s="332"/>
      <c r="Y78" s="332"/>
      <c r="Z78" s="332"/>
      <c r="AA78" s="332"/>
      <c r="AB78" s="332"/>
      <c r="AC78" s="332"/>
      <c r="AD78" s="332"/>
      <c r="AE78" s="332"/>
      <c r="AF78" s="332"/>
      <c r="AG78" s="332"/>
      <c r="AH78" s="332"/>
      <c r="AI78" s="332"/>
      <c r="AJ78" s="332"/>
      <c r="AK78" s="332"/>
      <c r="AL78" s="332"/>
      <c r="AM78" s="332"/>
      <c r="AN78" s="332"/>
      <c r="AO78" s="332"/>
      <c r="AP78" s="332"/>
    </row>
    <row r="79" ht="14.25" customHeight="1">
      <c r="A79" s="332"/>
      <c r="B79" s="332"/>
      <c r="C79" s="332"/>
      <c r="D79" s="332"/>
      <c r="E79" s="332"/>
      <c r="F79" s="327" t="s">
        <v>1943</v>
      </c>
      <c r="I79" s="332"/>
      <c r="J79" s="332"/>
      <c r="K79" s="332"/>
      <c r="L79" s="332"/>
      <c r="M79" s="332"/>
      <c r="N79" s="332"/>
      <c r="O79" s="332"/>
      <c r="P79" s="332"/>
      <c r="Q79" s="1125" t="s">
        <v>1938</v>
      </c>
      <c r="R79" s="1125" t="s">
        <v>1939</v>
      </c>
      <c r="S79" s="1125" t="s">
        <v>1938</v>
      </c>
      <c r="T79" s="1125" t="s">
        <v>1939</v>
      </c>
      <c r="U79" s="1125" t="s">
        <v>1938</v>
      </c>
      <c r="V79" s="1125" t="s">
        <v>1939</v>
      </c>
      <c r="W79" s="1125" t="s">
        <v>1938</v>
      </c>
      <c r="X79" s="1125" t="s">
        <v>1939</v>
      </c>
      <c r="Y79" s="1125" t="s">
        <v>1938</v>
      </c>
      <c r="Z79" s="1125" t="s">
        <v>1939</v>
      </c>
      <c r="AA79" s="1125" t="s">
        <v>1938</v>
      </c>
      <c r="AB79" s="1125" t="s">
        <v>1939</v>
      </c>
      <c r="AC79" s="1125" t="s">
        <v>1938</v>
      </c>
      <c r="AD79" s="1125" t="s">
        <v>1939</v>
      </c>
      <c r="AE79" s="1125" t="s">
        <v>1938</v>
      </c>
      <c r="AF79" s="1125" t="s">
        <v>1939</v>
      </c>
      <c r="AG79" s="1125" t="s">
        <v>1938</v>
      </c>
      <c r="AH79" s="1125" t="s">
        <v>1939</v>
      </c>
      <c r="AI79" s="1125" t="s">
        <v>1938</v>
      </c>
      <c r="AJ79" s="1125" t="s">
        <v>1939</v>
      </c>
      <c r="AK79" s="1125" t="s">
        <v>1938</v>
      </c>
      <c r="AL79" s="1125" t="s">
        <v>1939</v>
      </c>
      <c r="AM79" s="1125" t="s">
        <v>1938</v>
      </c>
      <c r="AN79" s="1125" t="s">
        <v>1939</v>
      </c>
      <c r="AO79" s="332"/>
      <c r="AP79" s="332"/>
    </row>
    <row r="80" ht="14.25" customHeight="1">
      <c r="A80" s="332"/>
      <c r="B80" s="332"/>
      <c r="C80" s="332"/>
      <c r="D80" s="332"/>
      <c r="E80" s="332"/>
      <c r="F80" s="332"/>
      <c r="G80" s="326"/>
      <c r="H80" s="332"/>
      <c r="I80" s="332" t="s">
        <v>1944</v>
      </c>
      <c r="J80" s="332"/>
      <c r="K80" s="332"/>
      <c r="L80" s="332"/>
      <c r="M80" s="332"/>
      <c r="N80" s="332"/>
      <c r="O80" s="332"/>
      <c r="P80" s="332"/>
      <c r="Q80" s="1151">
        <v>3300.0</v>
      </c>
      <c r="R80" s="1148">
        <f>+R85</f>
        <v>82</v>
      </c>
      <c r="S80" s="1151">
        <f>+Q80</f>
        <v>3300</v>
      </c>
      <c r="T80" s="1148">
        <f>+T85</f>
        <v>112</v>
      </c>
      <c r="U80" s="1151">
        <f>+S80</f>
        <v>3300</v>
      </c>
      <c r="V80" s="1148">
        <f>+V85</f>
        <v>115</v>
      </c>
      <c r="W80" s="1151">
        <f>+U80</f>
        <v>3300</v>
      </c>
      <c r="X80" s="1148">
        <f>+X85</f>
        <v>132</v>
      </c>
      <c r="Y80" s="1151">
        <f>+W80</f>
        <v>3300</v>
      </c>
      <c r="Z80" s="1148">
        <f>+Z85</f>
        <v>143</v>
      </c>
      <c r="AA80" s="1151">
        <f t="shared" ref="AA80:AC80" si="43">+Y80</f>
        <v>3300</v>
      </c>
      <c r="AB80" s="1148">
        <f t="shared" si="43"/>
        <v>143</v>
      </c>
      <c r="AC80" s="1151">
        <f t="shared" si="43"/>
        <v>3300</v>
      </c>
      <c r="AD80" s="1148">
        <f>+AD85</f>
        <v>150</v>
      </c>
      <c r="AE80" s="1151">
        <f>+AC80</f>
        <v>3300</v>
      </c>
      <c r="AF80" s="1148">
        <f>+AF85</f>
        <v>150</v>
      </c>
      <c r="AG80" s="1151">
        <f>+AE80</f>
        <v>3300</v>
      </c>
      <c r="AH80" s="1148">
        <f>+AH85</f>
        <v>150</v>
      </c>
      <c r="AI80" s="1151">
        <f>+AG80</f>
        <v>3300</v>
      </c>
      <c r="AJ80" s="1148">
        <f>+AJ85</f>
        <v>157</v>
      </c>
      <c r="AK80" s="1151">
        <f>+AI80</f>
        <v>3300</v>
      </c>
      <c r="AL80" s="1148">
        <f>+AL85</f>
        <v>157</v>
      </c>
      <c r="AM80" s="1151">
        <f>+AK80</f>
        <v>3300</v>
      </c>
      <c r="AN80" s="1148">
        <f>+AN85</f>
        <v>157</v>
      </c>
      <c r="AO80" s="327" t="s">
        <v>1945</v>
      </c>
      <c r="AP80" s="1152">
        <f>+AM80+AK80+AI80+AG80+AE80+AC80+AA80+Y80+W80+U80+S80+Q80</f>
        <v>39600</v>
      </c>
    </row>
    <row r="81" ht="14.25" customHeight="1">
      <c r="A81" s="326"/>
      <c r="B81" s="326"/>
      <c r="C81" s="326"/>
      <c r="D81" s="326"/>
      <c r="E81" s="326"/>
      <c r="F81" s="326"/>
      <c r="G81" s="326"/>
      <c r="H81" s="326"/>
      <c r="I81" s="326" t="s">
        <v>1946</v>
      </c>
      <c r="J81" s="326"/>
      <c r="K81" s="326"/>
      <c r="L81" s="326"/>
      <c r="M81" s="326"/>
      <c r="N81" s="326"/>
      <c r="O81" s="326"/>
      <c r="P81" s="327" t="s">
        <v>1947</v>
      </c>
      <c r="Q81" s="1149">
        <f>+Q80*R80</f>
        <v>270600</v>
      </c>
      <c r="R81" s="278"/>
      <c r="S81" s="1149">
        <f>+S80*T80</f>
        <v>369600</v>
      </c>
      <c r="T81" s="278"/>
      <c r="U81" s="1149">
        <f>+U80*V80</f>
        <v>379500</v>
      </c>
      <c r="V81" s="278"/>
      <c r="W81" s="1149">
        <f>+W80*X80</f>
        <v>435600</v>
      </c>
      <c r="X81" s="278"/>
      <c r="Y81" s="1149">
        <f>+Y80*Z80</f>
        <v>471900</v>
      </c>
      <c r="Z81" s="278"/>
      <c r="AA81" s="1149">
        <f>+AA80*AB80</f>
        <v>471900</v>
      </c>
      <c r="AB81" s="278"/>
      <c r="AC81" s="1149">
        <f>+AC80*AD80</f>
        <v>495000</v>
      </c>
      <c r="AD81" s="278"/>
      <c r="AE81" s="1149">
        <f>+AE80*AF80</f>
        <v>495000</v>
      </c>
      <c r="AF81" s="278"/>
      <c r="AG81" s="1149">
        <f>+AG80*AH80</f>
        <v>495000</v>
      </c>
      <c r="AH81" s="278"/>
      <c r="AI81" s="1149">
        <f>+AI80*AJ80</f>
        <v>518100</v>
      </c>
      <c r="AJ81" s="278"/>
      <c r="AK81" s="1149">
        <f>+AK80*AL80</f>
        <v>518100</v>
      </c>
      <c r="AL81" s="278"/>
      <c r="AM81" s="1149">
        <f>+AM80*AN80</f>
        <v>518100</v>
      </c>
      <c r="AN81" s="278"/>
      <c r="AO81" s="1150">
        <f>SUM(Q81:AN81)</f>
        <v>5438400</v>
      </c>
      <c r="AP81" s="326" t="str">
        <f>+G79</f>
        <v/>
      </c>
    </row>
    <row r="82" ht="14.25" customHeight="1">
      <c r="A82" s="332"/>
      <c r="B82" s="332"/>
      <c r="C82" s="332"/>
      <c r="D82" s="332"/>
      <c r="E82" s="332"/>
      <c r="F82" s="332"/>
      <c r="G82" s="332"/>
      <c r="H82" s="332"/>
      <c r="I82" s="332"/>
      <c r="J82" s="332"/>
      <c r="K82" s="332"/>
      <c r="L82" s="332"/>
      <c r="M82" s="332"/>
      <c r="N82" s="332"/>
      <c r="O82" s="332"/>
      <c r="P82" s="332"/>
      <c r="Q82" s="332"/>
      <c r="R82" s="332"/>
      <c r="S82" s="332"/>
      <c r="T82" s="332"/>
      <c r="U82" s="332"/>
      <c r="V82" s="332"/>
      <c r="W82" s="332"/>
      <c r="X82" s="332"/>
      <c r="Y82" s="332"/>
      <c r="Z82" s="332"/>
      <c r="AA82" s="332"/>
      <c r="AB82" s="332"/>
      <c r="AC82" s="332"/>
      <c r="AD82" s="332"/>
      <c r="AE82" s="332"/>
      <c r="AF82" s="332"/>
      <c r="AG82" s="332"/>
      <c r="AH82" s="332"/>
      <c r="AI82" s="332"/>
      <c r="AJ82" s="332"/>
      <c r="AK82" s="332"/>
      <c r="AL82" s="332"/>
      <c r="AM82" s="332"/>
      <c r="AN82" s="332"/>
      <c r="AO82" s="332"/>
      <c r="AP82" s="332"/>
    </row>
    <row r="83" ht="14.25" customHeight="1">
      <c r="A83" s="332"/>
      <c r="B83" s="332"/>
      <c r="C83" s="332"/>
      <c r="D83" s="332"/>
      <c r="E83" s="332"/>
      <c r="F83" s="332"/>
      <c r="G83" s="332"/>
      <c r="H83" s="332"/>
      <c r="I83" s="332"/>
      <c r="J83" s="332"/>
      <c r="K83" s="332"/>
      <c r="L83" s="332"/>
      <c r="M83" s="332"/>
      <c r="N83" s="332"/>
      <c r="O83" s="332"/>
      <c r="P83" s="1141" t="s">
        <v>1948</v>
      </c>
      <c r="Q83" s="1134" t="s">
        <v>1949</v>
      </c>
      <c r="R83" s="1153">
        <v>137.0</v>
      </c>
      <c r="S83" s="332"/>
      <c r="T83" s="1153">
        <v>137.0</v>
      </c>
      <c r="U83" s="332"/>
      <c r="V83" s="1153">
        <v>137.0</v>
      </c>
      <c r="W83" s="332"/>
      <c r="X83" s="1153">
        <f>137*W70</f>
        <v>143.2579374</v>
      </c>
      <c r="Y83" s="332"/>
      <c r="Z83" s="1153">
        <f>+Z85</f>
        <v>143</v>
      </c>
      <c r="AA83" s="332"/>
      <c r="AB83" s="1153">
        <f>+AB85</f>
        <v>143</v>
      </c>
      <c r="AC83" s="332"/>
      <c r="AD83" s="1153">
        <f>+AD85</f>
        <v>150</v>
      </c>
      <c r="AE83" s="1153"/>
      <c r="AF83" s="1153">
        <f>+AF85</f>
        <v>150</v>
      </c>
      <c r="AG83" s="1153"/>
      <c r="AH83" s="1153">
        <f>+AH85</f>
        <v>150</v>
      </c>
      <c r="AI83" s="1153"/>
      <c r="AJ83" s="1153">
        <f>+AH83*AI70</f>
        <v>156.8517563</v>
      </c>
      <c r="AK83" s="1153"/>
      <c r="AL83" s="1153">
        <f>+AJ83</f>
        <v>156.8517563</v>
      </c>
      <c r="AM83" s="1153"/>
      <c r="AN83" s="1153">
        <f>+AL83</f>
        <v>156.8517563</v>
      </c>
      <c r="AO83" s="332"/>
      <c r="AP83" s="332"/>
    </row>
    <row r="84" ht="14.25" customHeight="1">
      <c r="A84" s="332"/>
      <c r="B84" s="332"/>
      <c r="C84" s="332"/>
      <c r="D84" s="332"/>
      <c r="E84" s="332"/>
      <c r="F84" s="332"/>
      <c r="G84" s="332"/>
      <c r="H84" s="332"/>
      <c r="I84" s="332"/>
      <c r="J84" s="332"/>
      <c r="K84" s="332"/>
      <c r="L84" s="332"/>
      <c r="M84" s="332"/>
      <c r="N84" s="332"/>
      <c r="O84" s="332"/>
      <c r="P84" s="332"/>
      <c r="Q84" s="1134" t="s">
        <v>1950</v>
      </c>
      <c r="R84" s="1154">
        <f>(+R83-R85)/R83</f>
        <v>0.401459854</v>
      </c>
      <c r="S84" s="1154"/>
      <c r="T84" s="1154">
        <f>(+T83-T85)/T83</f>
        <v>0.1824817518</v>
      </c>
      <c r="U84" s="1154"/>
      <c r="V84" s="1154">
        <f>(+V83-V85)/V83</f>
        <v>0.1605839416</v>
      </c>
      <c r="W84" s="1154"/>
      <c r="X84" s="1154">
        <f>(+X83-X85)/X83</f>
        <v>0.07858508632</v>
      </c>
      <c r="Y84" s="332"/>
      <c r="Z84" s="332">
        <v>0.0</v>
      </c>
      <c r="AA84" s="332"/>
      <c r="AB84" s="332">
        <v>0.0</v>
      </c>
      <c r="AC84" s="332"/>
      <c r="AD84" s="332">
        <v>0.0</v>
      </c>
      <c r="AE84" s="332"/>
      <c r="AF84" s="332">
        <v>0.0</v>
      </c>
      <c r="AG84" s="332"/>
      <c r="AH84" s="332">
        <v>0.0</v>
      </c>
      <c r="AI84" s="332"/>
      <c r="AJ84" s="332">
        <v>0.0</v>
      </c>
      <c r="AK84" s="332"/>
      <c r="AL84" s="332">
        <v>0.0</v>
      </c>
      <c r="AM84" s="332"/>
      <c r="AN84" s="332">
        <v>0.0</v>
      </c>
      <c r="AO84" s="332"/>
      <c r="AP84" s="332"/>
    </row>
    <row r="85" ht="14.25" customHeight="1">
      <c r="A85" s="332"/>
      <c r="B85" s="332"/>
      <c r="C85" s="332"/>
      <c r="D85" s="332"/>
      <c r="E85" s="332"/>
      <c r="F85" s="332"/>
      <c r="G85" s="332"/>
      <c r="H85" s="332"/>
      <c r="I85" s="332"/>
      <c r="J85" s="332"/>
      <c r="K85" s="332"/>
      <c r="L85" s="332"/>
      <c r="M85" s="332"/>
      <c r="N85" s="332"/>
      <c r="O85" s="332"/>
      <c r="P85" s="1155"/>
      <c r="Q85" s="1156" t="s">
        <v>1951</v>
      </c>
      <c r="R85" s="1157">
        <v>82.0</v>
      </c>
      <c r="S85" s="1075"/>
      <c r="T85" s="1157">
        <v>112.0</v>
      </c>
      <c r="U85" s="1075"/>
      <c r="V85" s="1157">
        <v>115.0</v>
      </c>
      <c r="W85" s="1075"/>
      <c r="X85" s="1157">
        <v>132.0</v>
      </c>
      <c r="Y85" s="1075"/>
      <c r="Z85" s="1157">
        <v>143.0</v>
      </c>
      <c r="AA85" s="1075"/>
      <c r="AB85" s="1157">
        <f>+Z85</f>
        <v>143</v>
      </c>
      <c r="AC85" s="1075"/>
      <c r="AD85" s="1157">
        <v>150.0</v>
      </c>
      <c r="AE85" s="1075"/>
      <c r="AF85" s="1157">
        <f>+AD85</f>
        <v>150</v>
      </c>
      <c r="AG85" s="1075"/>
      <c r="AH85" s="1157">
        <f>+AF85</f>
        <v>150</v>
      </c>
      <c r="AI85" s="1075"/>
      <c r="AJ85" s="1157">
        <v>157.0</v>
      </c>
      <c r="AK85" s="1075"/>
      <c r="AL85" s="1157">
        <f>+AJ85</f>
        <v>157</v>
      </c>
      <c r="AM85" s="1075"/>
      <c r="AN85" s="1157">
        <f>+AL85</f>
        <v>157</v>
      </c>
      <c r="AO85" s="332"/>
      <c r="AP85" s="332"/>
    </row>
    <row r="86" ht="14.25" customHeight="1">
      <c r="A86" s="332"/>
      <c r="B86" s="332"/>
      <c r="C86" s="332"/>
      <c r="D86" s="332"/>
      <c r="E86" s="332"/>
      <c r="F86" s="332"/>
      <c r="G86" s="332"/>
      <c r="H86" s="332"/>
      <c r="I86" s="332"/>
      <c r="J86" s="332"/>
      <c r="K86" s="332"/>
      <c r="L86" s="332"/>
      <c r="M86" s="332"/>
      <c r="N86" s="332"/>
      <c r="O86" s="332"/>
      <c r="P86" s="332"/>
      <c r="Q86" s="332"/>
      <c r="R86" s="332"/>
      <c r="S86" s="332"/>
      <c r="T86" s="332"/>
      <c r="U86" s="332"/>
      <c r="V86" s="332"/>
      <c r="W86" s="332"/>
      <c r="X86" s="332"/>
      <c r="Y86" s="332"/>
      <c r="Z86" s="332"/>
      <c r="AA86" s="332"/>
      <c r="AB86" s="332"/>
      <c r="AC86" s="332"/>
      <c r="AD86" s="332"/>
      <c r="AE86" s="332"/>
      <c r="AF86" s="332"/>
      <c r="AG86" s="332"/>
      <c r="AH86" s="332"/>
      <c r="AI86" s="332"/>
      <c r="AJ86" s="332"/>
      <c r="AK86" s="332"/>
      <c r="AL86" s="332"/>
      <c r="AM86" s="332"/>
      <c r="AN86" s="332"/>
      <c r="AO86" s="332"/>
      <c r="AP86" s="332"/>
    </row>
    <row r="87" ht="14.25" customHeight="1">
      <c r="A87" s="332"/>
      <c r="B87" s="332"/>
      <c r="C87" s="332"/>
      <c r="D87" s="332"/>
      <c r="E87" s="332"/>
      <c r="F87" s="332"/>
      <c r="G87" s="332"/>
      <c r="H87" s="332"/>
      <c r="I87" s="332"/>
      <c r="J87" s="332"/>
      <c r="K87" s="332"/>
      <c r="L87" s="332"/>
      <c r="M87" s="332"/>
      <c r="N87" s="332"/>
      <c r="O87" s="332"/>
      <c r="P87" s="332"/>
      <c r="Q87" s="332"/>
      <c r="R87" s="332"/>
      <c r="S87" s="332"/>
      <c r="T87" s="332"/>
      <c r="U87" s="332"/>
      <c r="V87" s="332"/>
      <c r="W87" s="332"/>
      <c r="X87" s="332"/>
      <c r="Y87" s="332"/>
      <c r="Z87" s="332"/>
      <c r="AA87" s="332"/>
      <c r="AB87" s="332"/>
      <c r="AC87" s="332"/>
      <c r="AD87" s="332"/>
      <c r="AE87" s="332"/>
      <c r="AF87" s="332"/>
      <c r="AG87" s="332"/>
      <c r="AH87" s="332"/>
      <c r="AI87" s="332"/>
      <c r="AJ87" s="332"/>
      <c r="AK87" s="332"/>
      <c r="AL87" s="332"/>
      <c r="AM87" s="332"/>
      <c r="AN87" s="332"/>
      <c r="AO87" s="332"/>
      <c r="AP87" s="332"/>
    </row>
    <row r="88" ht="14.25" customHeight="1">
      <c r="A88" s="332"/>
      <c r="B88" s="332"/>
      <c r="C88" s="332"/>
      <c r="D88" s="332"/>
      <c r="E88" s="332"/>
      <c r="F88" s="332"/>
      <c r="G88" s="332"/>
      <c r="H88" s="332"/>
      <c r="I88" s="332"/>
      <c r="J88" s="332"/>
      <c r="K88" s="332"/>
      <c r="L88" s="332"/>
      <c r="M88" s="332"/>
      <c r="N88" s="332"/>
      <c r="O88" s="332"/>
      <c r="P88" s="332"/>
      <c r="Q88" s="332"/>
      <c r="R88" s="332"/>
      <c r="S88" s="332"/>
      <c r="T88" s="332"/>
      <c r="U88" s="332"/>
      <c r="V88" s="332"/>
      <c r="W88" s="332"/>
      <c r="X88" s="332"/>
      <c r="Y88" s="332"/>
      <c r="Z88" s="332"/>
      <c r="AA88" s="332"/>
      <c r="AB88" s="332"/>
      <c r="AC88" s="332"/>
      <c r="AD88" s="332"/>
      <c r="AE88" s="332"/>
      <c r="AF88" s="332"/>
      <c r="AG88" s="332"/>
      <c r="AH88" s="332"/>
      <c r="AI88" s="332"/>
      <c r="AJ88" s="332"/>
      <c r="AK88" s="332"/>
      <c r="AL88" s="332"/>
      <c r="AM88" s="332"/>
      <c r="AN88" s="332"/>
      <c r="AO88" s="332"/>
      <c r="AP88" s="332"/>
    </row>
    <row r="89" ht="14.25" customHeight="1">
      <c r="A89" s="332"/>
      <c r="B89" s="332"/>
      <c r="C89" s="332"/>
      <c r="D89" s="332"/>
      <c r="E89" s="332"/>
      <c r="F89" s="332"/>
      <c r="G89" s="332"/>
      <c r="H89" s="332"/>
      <c r="I89" s="332"/>
      <c r="J89" s="332"/>
      <c r="K89" s="332"/>
      <c r="L89" s="332"/>
      <c r="M89" s="332"/>
      <c r="N89" s="332"/>
      <c r="O89" s="332"/>
      <c r="P89" s="332"/>
      <c r="Q89" s="332"/>
      <c r="R89" s="332"/>
      <c r="S89" s="332"/>
      <c r="T89" s="332"/>
      <c r="U89" s="332"/>
      <c r="V89" s="332"/>
      <c r="W89" s="332"/>
      <c r="X89" s="332"/>
      <c r="Y89" s="332"/>
      <c r="Z89" s="332"/>
      <c r="AA89" s="332"/>
      <c r="AB89" s="332"/>
      <c r="AC89" s="332"/>
      <c r="AD89" s="332"/>
      <c r="AE89" s="332"/>
      <c r="AF89" s="332"/>
      <c r="AG89" s="332"/>
      <c r="AH89" s="332"/>
      <c r="AI89" s="332"/>
      <c r="AJ89" s="332"/>
      <c r="AK89" s="332"/>
      <c r="AL89" s="332"/>
      <c r="AM89" s="332"/>
      <c r="AN89" s="332"/>
      <c r="AO89" s="332"/>
      <c r="AP89" s="332"/>
    </row>
    <row r="90" ht="14.25" customHeight="1">
      <c r="A90" s="332"/>
      <c r="B90" s="332"/>
      <c r="C90" s="332"/>
      <c r="D90" s="332"/>
      <c r="E90" s="332"/>
      <c r="F90" s="332"/>
      <c r="G90" s="332"/>
      <c r="H90" s="332"/>
      <c r="I90" s="332"/>
      <c r="J90" s="332"/>
      <c r="K90" s="332"/>
      <c r="L90" s="332"/>
      <c r="M90" s="332"/>
      <c r="N90" s="332"/>
      <c r="O90" s="332"/>
      <c r="P90" s="332"/>
      <c r="Q90" s="332"/>
      <c r="R90" s="332"/>
      <c r="S90" s="332"/>
      <c r="T90" s="332"/>
      <c r="U90" s="332"/>
      <c r="V90" s="332"/>
      <c r="W90" s="332"/>
      <c r="X90" s="332"/>
      <c r="Y90" s="332"/>
      <c r="Z90" s="332"/>
      <c r="AA90" s="332"/>
      <c r="AB90" s="332"/>
      <c r="AC90" s="332"/>
      <c r="AD90" s="332"/>
      <c r="AE90" s="332"/>
      <c r="AF90" s="332"/>
      <c r="AG90" s="332"/>
      <c r="AH90" s="332"/>
      <c r="AI90" s="332"/>
      <c r="AJ90" s="332"/>
      <c r="AK90" s="332"/>
      <c r="AL90" s="332"/>
      <c r="AM90" s="332"/>
      <c r="AN90" s="332"/>
      <c r="AO90" s="332"/>
      <c r="AP90" s="332"/>
    </row>
    <row r="91" ht="14.25" customHeight="1">
      <c r="A91" s="332"/>
      <c r="B91" s="332"/>
      <c r="C91" s="332"/>
      <c r="D91" s="332"/>
      <c r="E91" s="332"/>
      <c r="F91" s="332"/>
      <c r="G91" s="332"/>
      <c r="H91" s="332"/>
      <c r="I91" s="332"/>
      <c r="J91" s="332"/>
      <c r="K91" s="332"/>
      <c r="L91" s="332"/>
      <c r="M91" s="332"/>
      <c r="N91" s="332"/>
      <c r="O91" s="332"/>
      <c r="P91" s="332"/>
      <c r="Q91" s="332"/>
      <c r="R91" s="332"/>
      <c r="S91" s="332"/>
      <c r="T91" s="332"/>
      <c r="U91" s="332"/>
      <c r="V91" s="332"/>
      <c r="W91" s="332"/>
      <c r="X91" s="332"/>
      <c r="Y91" s="332"/>
      <c r="Z91" s="332"/>
      <c r="AA91" s="332"/>
      <c r="AB91" s="332"/>
      <c r="AC91" s="332"/>
      <c r="AD91" s="332"/>
      <c r="AE91" s="332"/>
      <c r="AF91" s="332"/>
      <c r="AG91" s="332"/>
      <c r="AH91" s="332"/>
      <c r="AI91" s="332"/>
      <c r="AJ91" s="332"/>
      <c r="AK91" s="332"/>
      <c r="AL91" s="332"/>
      <c r="AM91" s="332"/>
      <c r="AN91" s="332"/>
      <c r="AO91" s="332"/>
      <c r="AP91" s="332"/>
    </row>
    <row r="92" ht="14.25" customHeight="1">
      <c r="A92" s="332"/>
      <c r="B92" s="332"/>
      <c r="C92" s="332"/>
      <c r="D92" s="332"/>
      <c r="E92" s="332"/>
      <c r="F92" s="332"/>
      <c r="G92" s="332"/>
      <c r="H92" s="332"/>
      <c r="I92" s="332"/>
      <c r="J92" s="332"/>
      <c r="K92" s="332"/>
      <c r="L92" s="332"/>
      <c r="M92" s="332"/>
      <c r="N92" s="332"/>
      <c r="O92" s="332"/>
      <c r="P92" s="332"/>
      <c r="Q92" s="332"/>
      <c r="R92" s="332"/>
      <c r="S92" s="332"/>
      <c r="T92" s="332"/>
      <c r="U92" s="332"/>
      <c r="V92" s="332"/>
      <c r="W92" s="332"/>
      <c r="X92" s="332"/>
      <c r="Y92" s="332"/>
      <c r="Z92" s="332"/>
      <c r="AA92" s="332"/>
      <c r="AB92" s="332"/>
      <c r="AC92" s="332"/>
      <c r="AD92" s="332"/>
      <c r="AE92" s="332"/>
      <c r="AF92" s="332"/>
      <c r="AG92" s="332"/>
      <c r="AH92" s="332"/>
      <c r="AI92" s="332"/>
      <c r="AJ92" s="332"/>
      <c r="AK92" s="332"/>
      <c r="AL92" s="332"/>
      <c r="AM92" s="332"/>
      <c r="AN92" s="332"/>
      <c r="AO92" s="332"/>
      <c r="AP92" s="332"/>
    </row>
    <row r="93" ht="14.25" customHeight="1">
      <c r="A93" s="332"/>
      <c r="B93" s="332"/>
      <c r="C93" s="332"/>
      <c r="D93" s="332"/>
      <c r="E93" s="332"/>
      <c r="F93" s="332"/>
      <c r="G93" s="332"/>
      <c r="H93" s="332"/>
      <c r="I93" s="332"/>
      <c r="J93" s="332"/>
      <c r="K93" s="332"/>
      <c r="L93" s="332"/>
      <c r="M93" s="332"/>
      <c r="N93" s="332"/>
      <c r="O93" s="332"/>
      <c r="P93" s="332"/>
      <c r="Q93" s="332"/>
      <c r="R93" s="332"/>
      <c r="S93" s="332"/>
      <c r="T93" s="332"/>
      <c r="U93" s="332"/>
      <c r="V93" s="332"/>
      <c r="W93" s="332"/>
      <c r="X93" s="332"/>
      <c r="Y93" s="332"/>
      <c r="Z93" s="332"/>
      <c r="AA93" s="332"/>
      <c r="AB93" s="332"/>
      <c r="AC93" s="332"/>
      <c r="AD93" s="332"/>
      <c r="AE93" s="332"/>
      <c r="AF93" s="332"/>
      <c r="AG93" s="332"/>
      <c r="AH93" s="332"/>
      <c r="AI93" s="332"/>
      <c r="AJ93" s="332"/>
      <c r="AK93" s="332"/>
      <c r="AL93" s="332"/>
      <c r="AM93" s="332"/>
      <c r="AN93" s="332"/>
      <c r="AO93" s="332"/>
      <c r="AP93" s="332"/>
    </row>
    <row r="94" ht="14.25" customHeight="1">
      <c r="A94" s="332"/>
      <c r="B94" s="332"/>
      <c r="C94" s="332"/>
      <c r="D94" s="332"/>
      <c r="E94" s="332"/>
      <c r="F94" s="332"/>
      <c r="G94" s="332"/>
      <c r="H94" s="332"/>
      <c r="I94" s="332"/>
      <c r="J94" s="332"/>
      <c r="K94" s="332"/>
      <c r="L94" s="332"/>
      <c r="M94" s="332"/>
      <c r="N94" s="332"/>
      <c r="O94" s="332"/>
      <c r="P94" s="332"/>
      <c r="Q94" s="332"/>
      <c r="R94" s="332"/>
      <c r="S94" s="332"/>
      <c r="T94" s="332"/>
      <c r="U94" s="332"/>
      <c r="V94" s="332"/>
      <c r="W94" s="332"/>
      <c r="X94" s="332"/>
      <c r="Y94" s="332"/>
      <c r="Z94" s="332"/>
      <c r="AA94" s="332"/>
      <c r="AB94" s="332"/>
      <c r="AC94" s="332"/>
      <c r="AD94" s="332"/>
      <c r="AE94" s="332"/>
      <c r="AF94" s="332"/>
      <c r="AG94" s="332"/>
      <c r="AH94" s="332"/>
      <c r="AI94" s="332"/>
      <c r="AJ94" s="332"/>
      <c r="AK94" s="332"/>
      <c r="AL94" s="332"/>
      <c r="AM94" s="332"/>
      <c r="AN94" s="332"/>
      <c r="AO94" s="332"/>
      <c r="AP94" s="332"/>
    </row>
    <row r="95" ht="14.25" customHeight="1">
      <c r="A95" s="332"/>
      <c r="B95" s="332"/>
      <c r="C95" s="332"/>
      <c r="D95" s="332"/>
      <c r="E95" s="332"/>
      <c r="F95" s="332"/>
      <c r="G95" s="332"/>
      <c r="H95" s="332"/>
      <c r="I95" s="332"/>
      <c r="J95" s="332"/>
      <c r="K95" s="332"/>
      <c r="L95" s="332"/>
      <c r="M95" s="332"/>
      <c r="N95" s="332"/>
      <c r="O95" s="332"/>
      <c r="P95" s="332"/>
      <c r="Q95" s="332"/>
      <c r="R95" s="332"/>
      <c r="S95" s="332"/>
      <c r="T95" s="332"/>
      <c r="U95" s="332"/>
      <c r="V95" s="332"/>
      <c r="W95" s="332"/>
      <c r="X95" s="332"/>
      <c r="Y95" s="332"/>
      <c r="Z95" s="332"/>
      <c r="AA95" s="332"/>
      <c r="AB95" s="332"/>
      <c r="AC95" s="332"/>
      <c r="AD95" s="332"/>
      <c r="AE95" s="332"/>
      <c r="AF95" s="332"/>
      <c r="AG95" s="332"/>
      <c r="AH95" s="332"/>
      <c r="AI95" s="332"/>
      <c r="AJ95" s="332"/>
      <c r="AK95" s="332"/>
      <c r="AL95" s="332"/>
      <c r="AM95" s="332"/>
      <c r="AN95" s="332"/>
      <c r="AO95" s="332"/>
      <c r="AP95" s="332"/>
    </row>
    <row r="96" ht="14.25" customHeight="1">
      <c r="A96" s="332"/>
      <c r="B96" s="332"/>
      <c r="C96" s="332"/>
      <c r="D96" s="332"/>
      <c r="E96" s="332"/>
      <c r="F96" s="332"/>
      <c r="G96" s="332"/>
      <c r="H96" s="332"/>
      <c r="I96" s="332"/>
      <c r="J96" s="332"/>
      <c r="K96" s="332"/>
      <c r="L96" s="332"/>
      <c r="M96" s="332"/>
      <c r="N96" s="332"/>
      <c r="O96" s="332"/>
      <c r="P96" s="332"/>
      <c r="Q96" s="332"/>
      <c r="R96" s="332"/>
      <c r="S96" s="332"/>
      <c r="T96" s="332"/>
      <c r="U96" s="332"/>
      <c r="V96" s="332"/>
      <c r="W96" s="332"/>
      <c r="X96" s="332"/>
      <c r="Y96" s="332"/>
      <c r="Z96" s="332"/>
      <c r="AA96" s="332"/>
      <c r="AB96" s="332"/>
      <c r="AC96" s="332"/>
      <c r="AD96" s="332"/>
      <c r="AE96" s="332"/>
      <c r="AF96" s="332"/>
      <c r="AG96" s="332"/>
      <c r="AH96" s="332"/>
      <c r="AI96" s="332"/>
      <c r="AJ96" s="332"/>
      <c r="AK96" s="332"/>
      <c r="AL96" s="332"/>
      <c r="AM96" s="332"/>
      <c r="AN96" s="332"/>
      <c r="AO96" s="332"/>
      <c r="AP96" s="332"/>
    </row>
    <row r="97" ht="14.25" customHeight="1">
      <c r="A97" s="332"/>
      <c r="B97" s="332"/>
      <c r="C97" s="332"/>
      <c r="D97" s="332"/>
      <c r="E97" s="332"/>
      <c r="F97" s="332"/>
      <c r="G97" s="332"/>
      <c r="H97" s="332"/>
      <c r="I97" s="332"/>
      <c r="J97" s="332"/>
      <c r="K97" s="332"/>
      <c r="L97" s="332"/>
      <c r="M97" s="332"/>
      <c r="N97" s="332"/>
      <c r="O97" s="332"/>
      <c r="P97" s="332"/>
      <c r="Q97" s="332"/>
      <c r="R97" s="332"/>
      <c r="S97" s="332"/>
      <c r="T97" s="332"/>
      <c r="U97" s="332"/>
      <c r="V97" s="332"/>
      <c r="W97" s="332"/>
      <c r="X97" s="332"/>
      <c r="Y97" s="332"/>
      <c r="Z97" s="332"/>
      <c r="AA97" s="332"/>
      <c r="AB97" s="332"/>
      <c r="AC97" s="332"/>
      <c r="AD97" s="332"/>
      <c r="AE97" s="332"/>
      <c r="AF97" s="332"/>
      <c r="AG97" s="332"/>
      <c r="AH97" s="332"/>
      <c r="AI97" s="332"/>
      <c r="AJ97" s="332"/>
      <c r="AK97" s="332"/>
      <c r="AL97" s="332"/>
      <c r="AM97" s="332"/>
      <c r="AN97" s="332"/>
      <c r="AO97" s="332"/>
      <c r="AP97" s="332"/>
    </row>
    <row r="98" ht="14.25" customHeight="1">
      <c r="A98" s="332"/>
      <c r="B98" s="332"/>
      <c r="C98" s="332"/>
      <c r="D98" s="332"/>
      <c r="E98" s="332"/>
      <c r="F98" s="332"/>
      <c r="G98" s="332"/>
      <c r="H98" s="332"/>
      <c r="I98" s="332"/>
      <c r="J98" s="332"/>
      <c r="K98" s="332"/>
      <c r="L98" s="332"/>
      <c r="M98" s="332"/>
      <c r="N98" s="332"/>
      <c r="O98" s="332"/>
      <c r="P98" s="332"/>
      <c r="Q98" s="332"/>
      <c r="R98" s="332"/>
      <c r="S98" s="332"/>
      <c r="T98" s="332"/>
      <c r="U98" s="332"/>
      <c r="V98" s="332"/>
      <c r="W98" s="332"/>
      <c r="X98" s="332"/>
      <c r="Y98" s="332"/>
      <c r="Z98" s="332"/>
      <c r="AA98" s="332"/>
      <c r="AB98" s="332"/>
      <c r="AC98" s="332"/>
      <c r="AD98" s="332"/>
      <c r="AE98" s="332"/>
      <c r="AF98" s="332"/>
      <c r="AG98" s="332"/>
      <c r="AH98" s="332"/>
      <c r="AI98" s="332"/>
      <c r="AJ98" s="332"/>
      <c r="AK98" s="332"/>
      <c r="AL98" s="332"/>
      <c r="AM98" s="332"/>
      <c r="AN98" s="332"/>
      <c r="AO98" s="332"/>
      <c r="AP98" s="332"/>
    </row>
    <row r="99" ht="14.25" customHeight="1">
      <c r="A99" s="332"/>
      <c r="B99" s="332"/>
      <c r="C99" s="332"/>
      <c r="D99" s="332"/>
      <c r="E99" s="332"/>
      <c r="F99" s="332"/>
      <c r="G99" s="332"/>
      <c r="H99" s="332"/>
      <c r="I99" s="332"/>
      <c r="J99" s="332"/>
      <c r="K99" s="332"/>
      <c r="L99" s="332"/>
      <c r="M99" s="332"/>
      <c r="N99" s="332"/>
      <c r="O99" s="332"/>
      <c r="P99" s="332"/>
      <c r="Q99" s="332"/>
      <c r="R99" s="332"/>
      <c r="S99" s="332"/>
      <c r="T99" s="332"/>
      <c r="U99" s="332"/>
      <c r="V99" s="332"/>
      <c r="W99" s="332"/>
      <c r="X99" s="332"/>
      <c r="Y99" s="332"/>
      <c r="Z99" s="332"/>
      <c r="AA99" s="332"/>
      <c r="AB99" s="332"/>
      <c r="AC99" s="332"/>
      <c r="AD99" s="332"/>
      <c r="AE99" s="332"/>
      <c r="AF99" s="332"/>
      <c r="AG99" s="332"/>
      <c r="AH99" s="332"/>
      <c r="AI99" s="332"/>
      <c r="AJ99" s="332"/>
      <c r="AK99" s="332"/>
      <c r="AL99" s="332"/>
      <c r="AM99" s="332"/>
      <c r="AN99" s="332"/>
      <c r="AO99" s="332"/>
      <c r="AP99" s="332"/>
    </row>
    <row r="100" ht="14.25" customHeight="1">
      <c r="A100" s="332"/>
      <c r="B100" s="332"/>
      <c r="C100" s="332"/>
      <c r="D100" s="332"/>
      <c r="E100" s="332"/>
      <c r="F100" s="332"/>
      <c r="G100" s="332"/>
      <c r="H100" s="332"/>
      <c r="I100" s="332"/>
      <c r="J100" s="332"/>
      <c r="K100" s="332"/>
      <c r="L100" s="332"/>
      <c r="M100" s="332"/>
      <c r="N100" s="332"/>
      <c r="O100" s="332"/>
      <c r="P100" s="332"/>
      <c r="Q100" s="332"/>
      <c r="R100" s="332"/>
      <c r="S100" s="332"/>
      <c r="T100" s="332"/>
      <c r="U100" s="332"/>
      <c r="V100" s="332"/>
      <c r="W100" s="332"/>
      <c r="X100" s="332"/>
      <c r="Y100" s="332"/>
      <c r="Z100" s="332"/>
      <c r="AA100" s="332"/>
      <c r="AB100" s="332"/>
      <c r="AC100" s="332"/>
      <c r="AD100" s="332"/>
      <c r="AE100" s="332"/>
      <c r="AF100" s="332"/>
      <c r="AG100" s="332"/>
      <c r="AH100" s="332"/>
      <c r="AI100" s="332"/>
      <c r="AJ100" s="332"/>
      <c r="AK100" s="332"/>
      <c r="AL100" s="332"/>
      <c r="AM100" s="332"/>
      <c r="AN100" s="332"/>
      <c r="AO100" s="332"/>
      <c r="AP100" s="332"/>
    </row>
    <row r="101" ht="14.25" customHeight="1">
      <c r="A101" s="332"/>
      <c r="B101" s="332"/>
      <c r="C101" s="332"/>
      <c r="D101" s="332"/>
      <c r="E101" s="332"/>
      <c r="F101" s="332"/>
      <c r="G101" s="332"/>
      <c r="H101" s="332"/>
      <c r="I101" s="332"/>
      <c r="J101" s="332"/>
      <c r="K101" s="332"/>
      <c r="L101" s="332"/>
      <c r="M101" s="332"/>
      <c r="N101" s="332"/>
      <c r="O101" s="332"/>
      <c r="P101" s="332"/>
      <c r="Q101" s="332"/>
      <c r="R101" s="332"/>
      <c r="S101" s="332"/>
      <c r="T101" s="332"/>
      <c r="U101" s="332"/>
      <c r="V101" s="332"/>
      <c r="W101" s="332"/>
      <c r="X101" s="332"/>
      <c r="Y101" s="332"/>
      <c r="Z101" s="332"/>
      <c r="AA101" s="332"/>
      <c r="AB101" s="332"/>
      <c r="AC101" s="332"/>
      <c r="AD101" s="332"/>
      <c r="AE101" s="332"/>
      <c r="AF101" s="332"/>
      <c r="AG101" s="332"/>
      <c r="AH101" s="332"/>
      <c r="AI101" s="332"/>
      <c r="AJ101" s="332"/>
      <c r="AK101" s="332"/>
      <c r="AL101" s="332"/>
      <c r="AM101" s="332"/>
      <c r="AN101" s="332"/>
      <c r="AO101" s="332"/>
      <c r="AP101" s="332"/>
    </row>
    <row r="102" ht="14.25" customHeight="1">
      <c r="A102" s="332"/>
      <c r="B102" s="332"/>
      <c r="C102" s="332"/>
      <c r="D102" s="332"/>
      <c r="E102" s="332"/>
      <c r="F102" s="332"/>
      <c r="G102" s="332"/>
      <c r="H102" s="332"/>
      <c r="I102" s="332"/>
      <c r="J102" s="332"/>
      <c r="K102" s="332"/>
      <c r="L102" s="332"/>
      <c r="M102" s="332"/>
      <c r="N102" s="332"/>
      <c r="O102" s="332"/>
      <c r="P102" s="332"/>
      <c r="Q102" s="332"/>
      <c r="R102" s="332"/>
      <c r="S102" s="332"/>
      <c r="T102" s="332"/>
      <c r="U102" s="332"/>
      <c r="V102" s="332"/>
      <c r="W102" s="332"/>
      <c r="X102" s="332"/>
      <c r="Y102" s="332"/>
      <c r="Z102" s="332"/>
      <c r="AA102" s="332"/>
      <c r="AB102" s="332"/>
      <c r="AC102" s="332"/>
      <c r="AD102" s="332"/>
      <c r="AE102" s="332"/>
      <c r="AF102" s="332"/>
      <c r="AG102" s="332"/>
      <c r="AH102" s="332"/>
      <c r="AI102" s="332"/>
      <c r="AJ102" s="332"/>
      <c r="AK102" s="332"/>
      <c r="AL102" s="332"/>
      <c r="AM102" s="332"/>
      <c r="AN102" s="332"/>
      <c r="AO102" s="332"/>
      <c r="AP102" s="332"/>
    </row>
    <row r="103" ht="14.25" customHeight="1">
      <c r="A103" s="332"/>
      <c r="B103" s="332"/>
      <c r="C103" s="332"/>
      <c r="D103" s="332"/>
      <c r="E103" s="332"/>
      <c r="F103" s="332"/>
      <c r="G103" s="332"/>
      <c r="H103" s="332"/>
      <c r="I103" s="332"/>
      <c r="J103" s="332"/>
      <c r="K103" s="332"/>
      <c r="L103" s="332"/>
      <c r="M103" s="332"/>
      <c r="N103" s="332"/>
      <c r="O103" s="332"/>
      <c r="P103" s="332"/>
      <c r="Q103" s="332"/>
      <c r="R103" s="332"/>
      <c r="S103" s="332"/>
      <c r="T103" s="332"/>
      <c r="U103" s="332"/>
      <c r="V103" s="332"/>
      <c r="W103" s="332"/>
      <c r="X103" s="332"/>
      <c r="Y103" s="332"/>
      <c r="Z103" s="332"/>
      <c r="AA103" s="332"/>
      <c r="AB103" s="332"/>
      <c r="AC103" s="332"/>
      <c r="AD103" s="332"/>
      <c r="AE103" s="332"/>
      <c r="AF103" s="332"/>
      <c r="AG103" s="332"/>
      <c r="AH103" s="332"/>
      <c r="AI103" s="332"/>
      <c r="AJ103" s="332"/>
      <c r="AK103" s="332"/>
      <c r="AL103" s="332"/>
      <c r="AM103" s="332"/>
      <c r="AN103" s="332"/>
      <c r="AO103" s="332"/>
      <c r="AP103" s="332"/>
    </row>
    <row r="104" ht="14.25" customHeight="1">
      <c r="A104" s="332"/>
      <c r="B104" s="332"/>
      <c r="C104" s="332"/>
      <c r="D104" s="332"/>
      <c r="E104" s="332"/>
      <c r="F104" s="332"/>
      <c r="G104" s="332"/>
      <c r="H104" s="332"/>
      <c r="I104" s="332"/>
      <c r="J104" s="332"/>
      <c r="K104" s="332"/>
      <c r="L104" s="332"/>
      <c r="M104" s="332"/>
      <c r="N104" s="332"/>
      <c r="O104" s="332"/>
      <c r="P104" s="332"/>
      <c r="Q104" s="332"/>
      <c r="R104" s="332"/>
      <c r="S104" s="332"/>
      <c r="T104" s="332"/>
      <c r="U104" s="332"/>
      <c r="V104" s="332"/>
      <c r="W104" s="332"/>
      <c r="X104" s="332"/>
      <c r="Y104" s="332"/>
      <c r="Z104" s="332"/>
      <c r="AA104" s="332"/>
      <c r="AB104" s="332"/>
      <c r="AC104" s="332"/>
      <c r="AD104" s="332"/>
      <c r="AE104" s="332"/>
      <c r="AF104" s="332"/>
      <c r="AG104" s="332"/>
      <c r="AH104" s="332"/>
      <c r="AI104" s="332"/>
      <c r="AJ104" s="332"/>
      <c r="AK104" s="332"/>
      <c r="AL104" s="332"/>
      <c r="AM104" s="332"/>
      <c r="AN104" s="332"/>
      <c r="AO104" s="332"/>
      <c r="AP104" s="332"/>
    </row>
    <row r="105" ht="14.25" customHeight="1">
      <c r="A105" s="332"/>
      <c r="B105" s="332"/>
      <c r="C105" s="332"/>
      <c r="D105" s="332"/>
      <c r="E105" s="332"/>
      <c r="F105" s="332"/>
      <c r="G105" s="332"/>
      <c r="H105" s="332"/>
      <c r="I105" s="332"/>
      <c r="J105" s="332"/>
      <c r="K105" s="332"/>
      <c r="L105" s="332"/>
      <c r="M105" s="332"/>
      <c r="N105" s="332"/>
      <c r="O105" s="332"/>
      <c r="P105" s="332"/>
      <c r="Q105" s="332"/>
      <c r="R105" s="332"/>
      <c r="S105" s="332"/>
      <c r="T105" s="332"/>
      <c r="U105" s="332"/>
      <c r="V105" s="332"/>
      <c r="W105" s="332"/>
      <c r="X105" s="332"/>
      <c r="Y105" s="332"/>
      <c r="Z105" s="332"/>
      <c r="AA105" s="332"/>
      <c r="AB105" s="332"/>
      <c r="AC105" s="332"/>
      <c r="AD105" s="332"/>
      <c r="AE105" s="332"/>
      <c r="AF105" s="332"/>
      <c r="AG105" s="332"/>
      <c r="AH105" s="332"/>
      <c r="AI105" s="332"/>
      <c r="AJ105" s="332"/>
      <c r="AK105" s="332"/>
      <c r="AL105" s="332"/>
      <c r="AM105" s="332"/>
      <c r="AN105" s="332"/>
      <c r="AO105" s="332"/>
      <c r="AP105" s="332"/>
    </row>
    <row r="106" ht="14.25" customHeight="1">
      <c r="A106" s="332"/>
      <c r="B106" s="332"/>
      <c r="C106" s="332"/>
      <c r="D106" s="332"/>
      <c r="E106" s="332"/>
      <c r="F106" s="332"/>
      <c r="G106" s="332"/>
      <c r="H106" s="332"/>
      <c r="I106" s="332"/>
      <c r="J106" s="332"/>
      <c r="K106" s="332"/>
      <c r="L106" s="332"/>
      <c r="M106" s="332"/>
      <c r="N106" s="332"/>
      <c r="O106" s="332"/>
      <c r="P106" s="332"/>
      <c r="Q106" s="332"/>
      <c r="R106" s="332"/>
      <c r="S106" s="332"/>
      <c r="T106" s="332"/>
      <c r="U106" s="332"/>
      <c r="V106" s="332"/>
      <c r="W106" s="332"/>
      <c r="X106" s="332"/>
      <c r="Y106" s="332"/>
      <c r="Z106" s="332"/>
      <c r="AA106" s="332"/>
      <c r="AB106" s="332"/>
      <c r="AC106" s="332"/>
      <c r="AD106" s="332"/>
      <c r="AE106" s="332"/>
      <c r="AF106" s="332"/>
      <c r="AG106" s="332"/>
      <c r="AH106" s="332"/>
      <c r="AI106" s="332"/>
      <c r="AJ106" s="332"/>
      <c r="AK106" s="332"/>
      <c r="AL106" s="332"/>
      <c r="AM106" s="332"/>
      <c r="AN106" s="332"/>
      <c r="AO106" s="332"/>
      <c r="AP106" s="332"/>
    </row>
    <row r="107" ht="14.25" customHeight="1">
      <c r="A107" s="332"/>
      <c r="B107" s="332"/>
      <c r="C107" s="332"/>
      <c r="D107" s="332"/>
      <c r="E107" s="332"/>
      <c r="F107" s="332"/>
      <c r="G107" s="332"/>
      <c r="H107" s="332"/>
      <c r="I107" s="332"/>
      <c r="J107" s="332"/>
      <c r="K107" s="332"/>
      <c r="L107" s="332"/>
      <c r="M107" s="332"/>
      <c r="N107" s="332"/>
      <c r="O107" s="332"/>
      <c r="P107" s="332"/>
      <c r="Q107" s="332"/>
      <c r="R107" s="332"/>
      <c r="S107" s="332"/>
      <c r="T107" s="332"/>
      <c r="U107" s="332"/>
      <c r="V107" s="332"/>
      <c r="W107" s="332"/>
      <c r="X107" s="332"/>
      <c r="Y107" s="332"/>
      <c r="Z107" s="332"/>
      <c r="AA107" s="332"/>
      <c r="AB107" s="332"/>
      <c r="AC107" s="332"/>
      <c r="AD107" s="332"/>
      <c r="AE107" s="332"/>
      <c r="AF107" s="332"/>
      <c r="AG107" s="332"/>
      <c r="AH107" s="332"/>
      <c r="AI107" s="332"/>
      <c r="AJ107" s="332"/>
      <c r="AK107" s="332"/>
      <c r="AL107" s="332"/>
      <c r="AM107" s="332"/>
      <c r="AN107" s="332"/>
      <c r="AO107" s="332"/>
      <c r="AP107" s="332"/>
    </row>
    <row r="108" ht="14.25" customHeight="1">
      <c r="A108" s="332"/>
      <c r="B108" s="332"/>
      <c r="C108" s="332"/>
      <c r="D108" s="332"/>
      <c r="E108" s="332"/>
      <c r="F108" s="332"/>
      <c r="G108" s="332"/>
      <c r="H108" s="332"/>
      <c r="I108" s="332"/>
      <c r="J108" s="332"/>
      <c r="K108" s="332"/>
      <c r="L108" s="332"/>
      <c r="M108" s="332"/>
      <c r="N108" s="332"/>
      <c r="O108" s="332"/>
      <c r="P108" s="332"/>
      <c r="Q108" s="332"/>
      <c r="R108" s="332"/>
      <c r="S108" s="332"/>
      <c r="T108" s="332"/>
      <c r="U108" s="332"/>
      <c r="V108" s="332"/>
      <c r="W108" s="332"/>
      <c r="X108" s="332"/>
      <c r="Y108" s="332"/>
      <c r="Z108" s="332"/>
      <c r="AA108" s="332"/>
      <c r="AB108" s="332"/>
      <c r="AC108" s="332"/>
      <c r="AD108" s="332"/>
      <c r="AE108" s="332"/>
      <c r="AF108" s="332"/>
      <c r="AG108" s="332"/>
      <c r="AH108" s="332"/>
      <c r="AI108" s="332"/>
      <c r="AJ108" s="332"/>
      <c r="AK108" s="332"/>
      <c r="AL108" s="332"/>
      <c r="AM108" s="332"/>
      <c r="AN108" s="332"/>
      <c r="AO108" s="332"/>
      <c r="AP108" s="332"/>
    </row>
    <row r="109" ht="14.25" customHeight="1">
      <c r="A109" s="332"/>
      <c r="B109" s="332"/>
      <c r="C109" s="332"/>
      <c r="D109" s="332"/>
      <c r="E109" s="332"/>
      <c r="F109" s="332"/>
      <c r="G109" s="332"/>
      <c r="H109" s="332"/>
      <c r="I109" s="332"/>
      <c r="J109" s="332"/>
      <c r="K109" s="332"/>
      <c r="L109" s="332"/>
      <c r="M109" s="332"/>
      <c r="N109" s="332"/>
      <c r="O109" s="332"/>
      <c r="P109" s="332"/>
      <c r="Q109" s="332"/>
      <c r="R109" s="332"/>
      <c r="S109" s="332"/>
      <c r="T109" s="332"/>
      <c r="U109" s="332"/>
      <c r="V109" s="332"/>
      <c r="W109" s="332"/>
      <c r="X109" s="332"/>
      <c r="Y109" s="332"/>
      <c r="Z109" s="332"/>
      <c r="AA109" s="332"/>
      <c r="AB109" s="332"/>
      <c r="AC109" s="332"/>
      <c r="AD109" s="332"/>
      <c r="AE109" s="332"/>
      <c r="AF109" s="332"/>
      <c r="AG109" s="332"/>
      <c r="AH109" s="332"/>
      <c r="AI109" s="332"/>
      <c r="AJ109" s="332"/>
      <c r="AK109" s="332"/>
      <c r="AL109" s="332"/>
      <c r="AM109" s="332"/>
      <c r="AN109" s="332"/>
      <c r="AO109" s="332"/>
      <c r="AP109" s="332"/>
    </row>
    <row r="110" ht="14.25" customHeight="1">
      <c r="A110" s="332"/>
      <c r="B110" s="332"/>
      <c r="C110" s="332"/>
      <c r="D110" s="332"/>
      <c r="E110" s="332"/>
      <c r="F110" s="332"/>
      <c r="G110" s="332"/>
      <c r="H110" s="332"/>
      <c r="I110" s="332"/>
      <c r="J110" s="332"/>
      <c r="K110" s="332"/>
      <c r="L110" s="332"/>
      <c r="M110" s="332"/>
      <c r="N110" s="332"/>
      <c r="O110" s="332"/>
      <c r="P110" s="332"/>
      <c r="Q110" s="332"/>
      <c r="R110" s="332"/>
      <c r="S110" s="332"/>
      <c r="T110" s="332"/>
      <c r="U110" s="332"/>
      <c r="V110" s="332"/>
      <c r="W110" s="332"/>
      <c r="X110" s="332"/>
      <c r="Y110" s="332"/>
      <c r="Z110" s="332"/>
      <c r="AA110" s="332"/>
      <c r="AB110" s="332"/>
      <c r="AC110" s="332"/>
      <c r="AD110" s="332"/>
      <c r="AE110" s="332"/>
      <c r="AF110" s="332"/>
      <c r="AG110" s="332"/>
      <c r="AH110" s="332"/>
      <c r="AI110" s="332"/>
      <c r="AJ110" s="332"/>
      <c r="AK110" s="332"/>
      <c r="AL110" s="332"/>
      <c r="AM110" s="332"/>
      <c r="AN110" s="332"/>
      <c r="AO110" s="332"/>
      <c r="AP110" s="332"/>
    </row>
    <row r="111" ht="14.25" customHeight="1">
      <c r="A111" s="332"/>
      <c r="B111" s="332"/>
      <c r="C111" s="332"/>
      <c r="D111" s="332"/>
      <c r="E111" s="332"/>
      <c r="F111" s="332"/>
      <c r="G111" s="332"/>
      <c r="H111" s="332"/>
      <c r="I111" s="332"/>
      <c r="J111" s="332"/>
      <c r="K111" s="332"/>
      <c r="L111" s="332"/>
      <c r="M111" s="332"/>
      <c r="N111" s="332"/>
      <c r="O111" s="332"/>
      <c r="P111" s="332"/>
      <c r="Q111" s="332"/>
      <c r="R111" s="332"/>
      <c r="S111" s="332"/>
      <c r="T111" s="332"/>
      <c r="U111" s="332"/>
      <c r="V111" s="332"/>
      <c r="W111" s="332"/>
      <c r="X111" s="332"/>
      <c r="Y111" s="332"/>
      <c r="Z111" s="332"/>
      <c r="AA111" s="332"/>
      <c r="AB111" s="332"/>
      <c r="AC111" s="332"/>
      <c r="AD111" s="332"/>
      <c r="AE111" s="332"/>
      <c r="AF111" s="332"/>
      <c r="AG111" s="332"/>
      <c r="AH111" s="332"/>
      <c r="AI111" s="332"/>
      <c r="AJ111" s="332"/>
      <c r="AK111" s="332"/>
      <c r="AL111" s="332"/>
      <c r="AM111" s="332"/>
      <c r="AN111" s="332"/>
      <c r="AO111" s="332"/>
      <c r="AP111" s="332"/>
    </row>
    <row r="112" ht="14.25" customHeight="1">
      <c r="A112" s="332"/>
      <c r="B112" s="332"/>
      <c r="C112" s="332"/>
      <c r="D112" s="332"/>
      <c r="E112" s="332"/>
      <c r="F112" s="332"/>
      <c r="G112" s="332"/>
      <c r="H112" s="332"/>
      <c r="I112" s="332"/>
      <c r="J112" s="332"/>
      <c r="K112" s="332"/>
      <c r="L112" s="332"/>
      <c r="M112" s="332"/>
      <c r="N112" s="332"/>
      <c r="O112" s="332"/>
      <c r="P112" s="332"/>
      <c r="Q112" s="332"/>
      <c r="R112" s="332"/>
      <c r="S112" s="332"/>
      <c r="T112" s="332"/>
      <c r="U112" s="332"/>
      <c r="V112" s="332"/>
      <c r="W112" s="332"/>
      <c r="X112" s="332"/>
      <c r="Y112" s="332"/>
      <c r="Z112" s="332"/>
      <c r="AA112" s="332"/>
      <c r="AB112" s="332"/>
      <c r="AC112" s="332"/>
      <c r="AD112" s="332"/>
      <c r="AE112" s="332"/>
      <c r="AF112" s="332"/>
      <c r="AG112" s="332"/>
      <c r="AH112" s="332"/>
      <c r="AI112" s="332"/>
      <c r="AJ112" s="332"/>
      <c r="AK112" s="332"/>
      <c r="AL112" s="332"/>
      <c r="AM112" s="332"/>
      <c r="AN112" s="332"/>
      <c r="AO112" s="332"/>
      <c r="AP112" s="332"/>
    </row>
    <row r="113" ht="14.25" customHeight="1">
      <c r="A113" s="332"/>
      <c r="B113" s="332"/>
      <c r="C113" s="332"/>
      <c r="D113" s="332"/>
      <c r="E113" s="332"/>
      <c r="F113" s="332"/>
      <c r="G113" s="332"/>
      <c r="H113" s="332"/>
      <c r="I113" s="332"/>
      <c r="J113" s="332"/>
      <c r="K113" s="332"/>
      <c r="L113" s="332"/>
      <c r="M113" s="332"/>
      <c r="N113" s="332"/>
      <c r="O113" s="332"/>
      <c r="P113" s="332"/>
      <c r="Q113" s="332"/>
      <c r="R113" s="332"/>
      <c r="S113" s="332"/>
      <c r="T113" s="332"/>
      <c r="U113" s="332"/>
      <c r="V113" s="332"/>
      <c r="W113" s="332"/>
      <c r="X113" s="332"/>
      <c r="Y113" s="332"/>
      <c r="Z113" s="332"/>
      <c r="AA113" s="332"/>
      <c r="AB113" s="332"/>
      <c r="AC113" s="332"/>
      <c r="AD113" s="332"/>
      <c r="AE113" s="332"/>
      <c r="AF113" s="332"/>
      <c r="AG113" s="332"/>
      <c r="AH113" s="332"/>
      <c r="AI113" s="332"/>
      <c r="AJ113" s="332"/>
      <c r="AK113" s="332"/>
      <c r="AL113" s="332"/>
      <c r="AM113" s="332"/>
      <c r="AN113" s="332"/>
      <c r="AO113" s="332"/>
      <c r="AP113" s="332"/>
    </row>
    <row r="114" ht="14.25" customHeight="1">
      <c r="A114" s="332"/>
      <c r="B114" s="332"/>
      <c r="C114" s="332"/>
      <c r="D114" s="332"/>
      <c r="E114" s="332"/>
      <c r="F114" s="332"/>
      <c r="G114" s="332"/>
      <c r="H114" s="332"/>
      <c r="I114" s="332"/>
      <c r="J114" s="332"/>
      <c r="K114" s="332"/>
      <c r="L114" s="332"/>
      <c r="M114" s="332"/>
      <c r="N114" s="332"/>
      <c r="O114" s="332"/>
      <c r="P114" s="332"/>
      <c r="Q114" s="332"/>
      <c r="R114" s="332"/>
      <c r="S114" s="332"/>
      <c r="T114" s="332"/>
      <c r="U114" s="332"/>
      <c r="V114" s="332"/>
      <c r="W114" s="332"/>
      <c r="X114" s="332"/>
      <c r="Y114" s="332"/>
      <c r="Z114" s="332"/>
      <c r="AA114" s="332"/>
      <c r="AB114" s="332"/>
      <c r="AC114" s="332"/>
      <c r="AD114" s="332"/>
      <c r="AE114" s="332"/>
      <c r="AF114" s="332"/>
      <c r="AG114" s="332"/>
      <c r="AH114" s="332"/>
      <c r="AI114" s="332"/>
      <c r="AJ114" s="332"/>
      <c r="AK114" s="332"/>
      <c r="AL114" s="332"/>
      <c r="AM114" s="332"/>
      <c r="AN114" s="332"/>
      <c r="AO114" s="332"/>
      <c r="AP114" s="332"/>
    </row>
    <row r="115" ht="14.25" customHeight="1">
      <c r="A115" s="332"/>
      <c r="B115" s="332"/>
      <c r="C115" s="332"/>
      <c r="D115" s="332"/>
      <c r="E115" s="332"/>
      <c r="F115" s="332"/>
      <c r="G115" s="332"/>
      <c r="H115" s="332"/>
      <c r="I115" s="332"/>
      <c r="J115" s="332"/>
      <c r="K115" s="332"/>
      <c r="L115" s="332"/>
      <c r="M115" s="332"/>
      <c r="N115" s="332"/>
      <c r="O115" s="332"/>
      <c r="P115" s="332"/>
      <c r="Q115" s="332"/>
      <c r="R115" s="332"/>
      <c r="S115" s="332"/>
      <c r="T115" s="332"/>
      <c r="U115" s="332"/>
      <c r="V115" s="332"/>
      <c r="W115" s="332"/>
      <c r="X115" s="332"/>
      <c r="Y115" s="332"/>
      <c r="Z115" s="332"/>
      <c r="AA115" s="332"/>
      <c r="AB115" s="332"/>
      <c r="AC115" s="332"/>
      <c r="AD115" s="332"/>
      <c r="AE115" s="332"/>
      <c r="AF115" s="332"/>
      <c r="AG115" s="332"/>
      <c r="AH115" s="332"/>
      <c r="AI115" s="332"/>
      <c r="AJ115" s="332"/>
      <c r="AK115" s="332"/>
      <c r="AL115" s="332"/>
      <c r="AM115" s="332"/>
      <c r="AN115" s="332"/>
      <c r="AO115" s="332"/>
      <c r="AP115" s="332"/>
    </row>
    <row r="116" ht="14.25" customHeight="1">
      <c r="A116" s="332"/>
      <c r="B116" s="332"/>
      <c r="C116" s="332"/>
      <c r="D116" s="332"/>
      <c r="E116" s="332"/>
      <c r="F116" s="332"/>
      <c r="G116" s="332"/>
      <c r="H116" s="332"/>
      <c r="I116" s="332"/>
      <c r="J116" s="332"/>
      <c r="K116" s="332"/>
      <c r="L116" s="332"/>
      <c r="M116" s="332"/>
      <c r="N116" s="332"/>
      <c r="O116" s="332"/>
      <c r="P116" s="332"/>
      <c r="Q116" s="332"/>
      <c r="R116" s="332"/>
      <c r="S116" s="332"/>
      <c r="T116" s="332"/>
      <c r="U116" s="332"/>
      <c r="V116" s="332"/>
      <c r="W116" s="332"/>
      <c r="X116" s="332"/>
      <c r="Y116" s="332"/>
      <c r="Z116" s="332"/>
      <c r="AA116" s="332"/>
      <c r="AB116" s="332"/>
      <c r="AC116" s="332"/>
      <c r="AD116" s="332"/>
      <c r="AE116" s="332"/>
      <c r="AF116" s="332"/>
      <c r="AG116" s="332"/>
      <c r="AH116" s="332"/>
      <c r="AI116" s="332"/>
      <c r="AJ116" s="332"/>
      <c r="AK116" s="332"/>
      <c r="AL116" s="332"/>
      <c r="AM116" s="332"/>
      <c r="AN116" s="332"/>
      <c r="AO116" s="332"/>
      <c r="AP116" s="332"/>
    </row>
    <row r="117" ht="14.25" customHeight="1">
      <c r="A117" s="332"/>
      <c r="B117" s="332"/>
      <c r="C117" s="332"/>
      <c r="D117" s="332"/>
      <c r="E117" s="332"/>
      <c r="F117" s="332"/>
      <c r="G117" s="332"/>
      <c r="H117" s="332"/>
      <c r="I117" s="332"/>
      <c r="J117" s="332"/>
      <c r="K117" s="332"/>
      <c r="L117" s="332"/>
      <c r="M117" s="332"/>
      <c r="N117" s="332"/>
      <c r="O117" s="332"/>
      <c r="P117" s="332"/>
      <c r="Q117" s="332"/>
      <c r="R117" s="332"/>
      <c r="S117" s="332"/>
      <c r="T117" s="332"/>
      <c r="U117" s="332"/>
      <c r="V117" s="332"/>
      <c r="W117" s="332"/>
      <c r="X117" s="332"/>
      <c r="Y117" s="332"/>
      <c r="Z117" s="332"/>
      <c r="AA117" s="332"/>
      <c r="AB117" s="332"/>
      <c r="AC117" s="332"/>
      <c r="AD117" s="332"/>
      <c r="AE117" s="332"/>
      <c r="AF117" s="332"/>
      <c r="AG117" s="332"/>
      <c r="AH117" s="332"/>
      <c r="AI117" s="332"/>
      <c r="AJ117" s="332"/>
      <c r="AK117" s="332"/>
      <c r="AL117" s="332"/>
      <c r="AM117" s="332"/>
      <c r="AN117" s="332"/>
      <c r="AO117" s="332"/>
      <c r="AP117" s="332"/>
    </row>
    <row r="118" ht="14.25" customHeight="1">
      <c r="A118" s="332"/>
      <c r="B118" s="332"/>
      <c r="C118" s="332"/>
      <c r="D118" s="332"/>
      <c r="E118" s="332"/>
      <c r="F118" s="332"/>
      <c r="G118" s="332"/>
      <c r="H118" s="332"/>
      <c r="I118" s="332"/>
      <c r="J118" s="332"/>
      <c r="K118" s="332"/>
      <c r="L118" s="332"/>
      <c r="M118" s="332"/>
      <c r="N118" s="332"/>
      <c r="O118" s="332"/>
      <c r="P118" s="332"/>
      <c r="Q118" s="332"/>
      <c r="R118" s="332"/>
      <c r="S118" s="332"/>
      <c r="T118" s="332"/>
      <c r="U118" s="332"/>
      <c r="V118" s="332"/>
      <c r="W118" s="332"/>
      <c r="X118" s="332"/>
      <c r="Y118" s="332"/>
      <c r="Z118" s="332"/>
      <c r="AA118" s="332"/>
      <c r="AB118" s="332"/>
      <c r="AC118" s="332"/>
      <c r="AD118" s="332"/>
      <c r="AE118" s="332"/>
      <c r="AF118" s="332"/>
      <c r="AG118" s="332"/>
      <c r="AH118" s="332"/>
      <c r="AI118" s="332"/>
      <c r="AJ118" s="332"/>
      <c r="AK118" s="332"/>
      <c r="AL118" s="332"/>
      <c r="AM118" s="332"/>
      <c r="AN118" s="332"/>
      <c r="AO118" s="332"/>
      <c r="AP118" s="332"/>
    </row>
    <row r="119" ht="14.25" customHeight="1">
      <c r="A119" s="332"/>
      <c r="B119" s="332"/>
      <c r="C119" s="332"/>
      <c r="D119" s="332"/>
      <c r="E119" s="332"/>
      <c r="F119" s="332"/>
      <c r="G119" s="332"/>
      <c r="H119" s="332"/>
      <c r="I119" s="332"/>
      <c r="J119" s="332"/>
      <c r="K119" s="332"/>
      <c r="L119" s="332"/>
      <c r="M119" s="332"/>
      <c r="N119" s="332"/>
      <c r="O119" s="332"/>
      <c r="P119" s="332"/>
      <c r="Q119" s="332"/>
      <c r="R119" s="332"/>
      <c r="S119" s="332"/>
      <c r="T119" s="332"/>
      <c r="U119" s="332"/>
      <c r="V119" s="332"/>
      <c r="W119" s="332"/>
      <c r="X119" s="332"/>
      <c r="Y119" s="332"/>
      <c r="Z119" s="332"/>
      <c r="AA119" s="332"/>
      <c r="AB119" s="332"/>
      <c r="AC119" s="332"/>
      <c r="AD119" s="332"/>
      <c r="AE119" s="332"/>
      <c r="AF119" s="332"/>
      <c r="AG119" s="332"/>
      <c r="AH119" s="332"/>
      <c r="AI119" s="332"/>
      <c r="AJ119" s="332"/>
      <c r="AK119" s="332"/>
      <c r="AL119" s="332"/>
      <c r="AM119" s="332"/>
      <c r="AN119" s="332"/>
      <c r="AO119" s="332"/>
      <c r="AP119" s="332"/>
    </row>
    <row r="120" ht="14.25" customHeight="1">
      <c r="A120" s="332"/>
      <c r="B120" s="332"/>
      <c r="C120" s="332"/>
      <c r="D120" s="332"/>
      <c r="E120" s="332"/>
      <c r="F120" s="332"/>
      <c r="G120" s="332"/>
      <c r="H120" s="332"/>
      <c r="I120" s="332"/>
      <c r="J120" s="332"/>
      <c r="K120" s="332"/>
      <c r="L120" s="332"/>
      <c r="M120" s="332"/>
      <c r="N120" s="332"/>
      <c r="O120" s="332"/>
      <c r="P120" s="332"/>
      <c r="Q120" s="332"/>
      <c r="R120" s="332"/>
      <c r="S120" s="332"/>
      <c r="T120" s="332"/>
      <c r="U120" s="332"/>
      <c r="V120" s="332"/>
      <c r="W120" s="332"/>
      <c r="X120" s="332"/>
      <c r="Y120" s="332"/>
      <c r="Z120" s="332"/>
      <c r="AA120" s="332"/>
      <c r="AB120" s="332"/>
      <c r="AC120" s="332"/>
      <c r="AD120" s="332"/>
      <c r="AE120" s="332"/>
      <c r="AF120" s="332"/>
      <c r="AG120" s="332"/>
      <c r="AH120" s="332"/>
      <c r="AI120" s="332"/>
      <c r="AJ120" s="332"/>
      <c r="AK120" s="332"/>
      <c r="AL120" s="332"/>
      <c r="AM120" s="332"/>
      <c r="AN120" s="332"/>
      <c r="AO120" s="332"/>
      <c r="AP120" s="332"/>
    </row>
    <row r="121" ht="14.25" customHeight="1">
      <c r="A121" s="332"/>
      <c r="B121" s="332"/>
      <c r="C121" s="332"/>
      <c r="D121" s="332"/>
      <c r="E121" s="332"/>
      <c r="F121" s="332"/>
      <c r="G121" s="332"/>
      <c r="H121" s="332"/>
      <c r="I121" s="332"/>
      <c r="J121" s="332"/>
      <c r="K121" s="332"/>
      <c r="L121" s="332"/>
      <c r="M121" s="332"/>
      <c r="N121" s="332"/>
      <c r="O121" s="332"/>
      <c r="P121" s="332"/>
      <c r="Q121" s="332"/>
      <c r="R121" s="332"/>
      <c r="S121" s="332"/>
      <c r="T121" s="332"/>
      <c r="U121" s="332"/>
      <c r="V121" s="332"/>
      <c r="W121" s="332"/>
      <c r="X121" s="332"/>
      <c r="Y121" s="332"/>
      <c r="Z121" s="332"/>
      <c r="AA121" s="332"/>
      <c r="AB121" s="332"/>
      <c r="AC121" s="332"/>
      <c r="AD121" s="332"/>
      <c r="AE121" s="332"/>
      <c r="AF121" s="332"/>
      <c r="AG121" s="332"/>
      <c r="AH121" s="332"/>
      <c r="AI121" s="332"/>
      <c r="AJ121" s="332"/>
      <c r="AK121" s="332"/>
      <c r="AL121" s="332"/>
      <c r="AM121" s="332"/>
      <c r="AN121" s="332"/>
      <c r="AO121" s="332"/>
      <c r="AP121" s="332"/>
    </row>
    <row r="122" ht="14.25" customHeight="1">
      <c r="A122" s="332"/>
      <c r="B122" s="332"/>
      <c r="C122" s="332"/>
      <c r="D122" s="332"/>
      <c r="E122" s="332"/>
      <c r="F122" s="332"/>
      <c r="G122" s="332"/>
      <c r="H122" s="332"/>
      <c r="I122" s="332"/>
      <c r="J122" s="332"/>
      <c r="K122" s="332"/>
      <c r="L122" s="332"/>
      <c r="M122" s="332"/>
      <c r="N122" s="332"/>
      <c r="O122" s="332"/>
      <c r="P122" s="332"/>
      <c r="Q122" s="332"/>
      <c r="R122" s="332"/>
      <c r="S122" s="332"/>
      <c r="T122" s="332"/>
      <c r="U122" s="332"/>
      <c r="V122" s="332"/>
      <c r="W122" s="332"/>
      <c r="X122" s="332"/>
      <c r="Y122" s="332"/>
      <c r="Z122" s="332"/>
      <c r="AA122" s="332"/>
      <c r="AB122" s="332"/>
      <c r="AC122" s="332"/>
      <c r="AD122" s="332"/>
      <c r="AE122" s="332"/>
      <c r="AF122" s="332"/>
      <c r="AG122" s="332"/>
      <c r="AH122" s="332"/>
      <c r="AI122" s="332"/>
      <c r="AJ122" s="332"/>
      <c r="AK122" s="332"/>
      <c r="AL122" s="332"/>
      <c r="AM122" s="332"/>
      <c r="AN122" s="332"/>
      <c r="AO122" s="332"/>
      <c r="AP122" s="332"/>
    </row>
    <row r="123" ht="14.25" customHeight="1">
      <c r="A123" s="332"/>
      <c r="B123" s="332"/>
      <c r="C123" s="332"/>
      <c r="D123" s="332"/>
      <c r="E123" s="332"/>
      <c r="F123" s="332"/>
      <c r="G123" s="332"/>
      <c r="H123" s="332"/>
      <c r="I123" s="332"/>
      <c r="J123" s="332"/>
      <c r="K123" s="332"/>
      <c r="L123" s="332"/>
      <c r="M123" s="332"/>
      <c r="N123" s="332"/>
      <c r="O123" s="332"/>
      <c r="P123" s="332"/>
      <c r="Q123" s="332"/>
      <c r="R123" s="332"/>
      <c r="S123" s="332"/>
      <c r="T123" s="332"/>
      <c r="U123" s="332"/>
      <c r="V123" s="332"/>
      <c r="W123" s="332"/>
      <c r="X123" s="332"/>
      <c r="Y123" s="332"/>
      <c r="Z123" s="332"/>
      <c r="AA123" s="332"/>
      <c r="AB123" s="332"/>
      <c r="AC123" s="332"/>
      <c r="AD123" s="332"/>
      <c r="AE123" s="332"/>
      <c r="AF123" s="332"/>
      <c r="AG123" s="332"/>
      <c r="AH123" s="332"/>
      <c r="AI123" s="332"/>
      <c r="AJ123" s="332"/>
      <c r="AK123" s="332"/>
      <c r="AL123" s="332"/>
      <c r="AM123" s="332"/>
      <c r="AN123" s="332"/>
      <c r="AO123" s="332"/>
      <c r="AP123" s="332"/>
    </row>
    <row r="124" ht="14.25" customHeight="1">
      <c r="A124" s="332"/>
      <c r="B124" s="332"/>
      <c r="C124" s="332"/>
      <c r="D124" s="332"/>
      <c r="E124" s="332"/>
      <c r="F124" s="332"/>
      <c r="G124" s="332"/>
      <c r="H124" s="332"/>
      <c r="I124" s="332"/>
      <c r="J124" s="332"/>
      <c r="K124" s="332"/>
      <c r="L124" s="332"/>
      <c r="M124" s="332"/>
      <c r="N124" s="332"/>
      <c r="O124" s="332"/>
      <c r="P124" s="332"/>
      <c r="Q124" s="332"/>
      <c r="R124" s="332"/>
      <c r="S124" s="332"/>
      <c r="T124" s="332"/>
      <c r="U124" s="332"/>
      <c r="V124" s="332"/>
      <c r="W124" s="332"/>
      <c r="X124" s="332"/>
      <c r="Y124" s="332"/>
      <c r="Z124" s="332"/>
      <c r="AA124" s="332"/>
      <c r="AB124" s="332"/>
      <c r="AC124" s="332"/>
      <c r="AD124" s="332"/>
      <c r="AE124" s="332"/>
      <c r="AF124" s="332"/>
      <c r="AG124" s="332"/>
      <c r="AH124" s="332"/>
      <c r="AI124" s="332"/>
      <c r="AJ124" s="332"/>
      <c r="AK124" s="332"/>
      <c r="AL124" s="332"/>
      <c r="AM124" s="332"/>
      <c r="AN124" s="332"/>
      <c r="AO124" s="332"/>
      <c r="AP124" s="332"/>
    </row>
    <row r="125" ht="14.25" customHeight="1">
      <c r="A125" s="332"/>
      <c r="B125" s="332"/>
      <c r="C125" s="332"/>
      <c r="D125" s="332"/>
      <c r="E125" s="332"/>
      <c r="F125" s="332"/>
      <c r="G125" s="332"/>
      <c r="H125" s="332"/>
      <c r="I125" s="332"/>
      <c r="J125" s="332"/>
      <c r="K125" s="332"/>
      <c r="L125" s="332"/>
      <c r="M125" s="332"/>
      <c r="N125" s="332"/>
      <c r="O125" s="332"/>
      <c r="P125" s="332"/>
      <c r="Q125" s="332"/>
      <c r="R125" s="332"/>
      <c r="S125" s="332"/>
      <c r="T125" s="332"/>
      <c r="U125" s="332"/>
      <c r="V125" s="332"/>
      <c r="W125" s="332"/>
      <c r="X125" s="332"/>
      <c r="Y125" s="332"/>
      <c r="Z125" s="332"/>
      <c r="AA125" s="332"/>
      <c r="AB125" s="332"/>
      <c r="AC125" s="332"/>
      <c r="AD125" s="332"/>
      <c r="AE125" s="332"/>
      <c r="AF125" s="332"/>
      <c r="AG125" s="332"/>
      <c r="AH125" s="332"/>
      <c r="AI125" s="332"/>
      <c r="AJ125" s="332"/>
      <c r="AK125" s="332"/>
      <c r="AL125" s="332"/>
      <c r="AM125" s="332"/>
      <c r="AN125" s="332"/>
      <c r="AO125" s="332"/>
      <c r="AP125" s="332"/>
    </row>
    <row r="126" ht="14.25" customHeight="1">
      <c r="A126" s="332"/>
      <c r="B126" s="332"/>
      <c r="C126" s="332"/>
      <c r="D126" s="332"/>
      <c r="E126" s="332"/>
      <c r="F126" s="332"/>
      <c r="G126" s="332"/>
      <c r="H126" s="332"/>
      <c r="I126" s="332"/>
      <c r="J126" s="332"/>
      <c r="K126" s="332"/>
      <c r="L126" s="332"/>
      <c r="M126" s="332"/>
      <c r="N126" s="332"/>
      <c r="O126" s="332"/>
      <c r="P126" s="332"/>
      <c r="Q126" s="332"/>
      <c r="R126" s="332"/>
      <c r="S126" s="332"/>
      <c r="T126" s="332"/>
      <c r="U126" s="332"/>
      <c r="V126" s="332"/>
      <c r="W126" s="332"/>
      <c r="X126" s="332"/>
      <c r="Y126" s="332"/>
      <c r="Z126" s="332"/>
      <c r="AA126" s="332"/>
      <c r="AB126" s="332"/>
      <c r="AC126" s="332"/>
      <c r="AD126" s="332"/>
      <c r="AE126" s="332"/>
      <c r="AF126" s="332"/>
      <c r="AG126" s="332"/>
      <c r="AH126" s="332"/>
      <c r="AI126" s="332"/>
      <c r="AJ126" s="332"/>
      <c r="AK126" s="332"/>
      <c r="AL126" s="332"/>
      <c r="AM126" s="332"/>
      <c r="AN126" s="332"/>
      <c r="AO126" s="332"/>
      <c r="AP126" s="332"/>
    </row>
    <row r="127" ht="14.25" customHeight="1">
      <c r="A127" s="332"/>
      <c r="B127" s="332"/>
      <c r="C127" s="332"/>
      <c r="D127" s="332"/>
      <c r="E127" s="332"/>
      <c r="F127" s="332"/>
      <c r="G127" s="332"/>
      <c r="H127" s="332"/>
      <c r="I127" s="332"/>
      <c r="J127" s="332"/>
      <c r="K127" s="332"/>
      <c r="L127" s="332"/>
      <c r="M127" s="332"/>
      <c r="N127" s="332"/>
      <c r="O127" s="332"/>
      <c r="P127" s="332"/>
      <c r="Q127" s="332"/>
      <c r="R127" s="332"/>
      <c r="S127" s="332"/>
      <c r="T127" s="332"/>
      <c r="U127" s="332"/>
      <c r="V127" s="332"/>
      <c r="W127" s="332"/>
      <c r="X127" s="332"/>
      <c r="Y127" s="332"/>
      <c r="Z127" s="332"/>
      <c r="AA127" s="332"/>
      <c r="AB127" s="332"/>
      <c r="AC127" s="332"/>
      <c r="AD127" s="332"/>
      <c r="AE127" s="332"/>
      <c r="AF127" s="332"/>
      <c r="AG127" s="332"/>
      <c r="AH127" s="332"/>
      <c r="AI127" s="332"/>
      <c r="AJ127" s="332"/>
      <c r="AK127" s="332"/>
      <c r="AL127" s="332"/>
      <c r="AM127" s="332"/>
      <c r="AN127" s="332"/>
      <c r="AO127" s="332"/>
      <c r="AP127" s="332"/>
    </row>
    <row r="128" ht="14.25" customHeight="1">
      <c r="A128" s="332"/>
      <c r="B128" s="332"/>
      <c r="C128" s="332"/>
      <c r="D128" s="332"/>
      <c r="E128" s="332"/>
      <c r="F128" s="332"/>
      <c r="G128" s="332"/>
      <c r="H128" s="332"/>
      <c r="I128" s="332"/>
      <c r="J128" s="332"/>
      <c r="K128" s="332"/>
      <c r="L128" s="332"/>
      <c r="M128" s="332"/>
      <c r="N128" s="332"/>
      <c r="O128" s="332"/>
      <c r="P128" s="332"/>
      <c r="Q128" s="332"/>
      <c r="R128" s="332"/>
      <c r="S128" s="332"/>
      <c r="T128" s="332"/>
      <c r="U128" s="332"/>
      <c r="V128" s="332"/>
      <c r="W128" s="332"/>
      <c r="X128" s="332"/>
      <c r="Y128" s="332"/>
      <c r="Z128" s="332"/>
      <c r="AA128" s="332"/>
      <c r="AB128" s="332"/>
      <c r="AC128" s="332"/>
      <c r="AD128" s="332"/>
      <c r="AE128" s="332"/>
      <c r="AF128" s="332"/>
      <c r="AG128" s="332"/>
      <c r="AH128" s="332"/>
      <c r="AI128" s="332"/>
      <c r="AJ128" s="332"/>
      <c r="AK128" s="332"/>
      <c r="AL128" s="332"/>
      <c r="AM128" s="332"/>
      <c r="AN128" s="332"/>
      <c r="AO128" s="332"/>
      <c r="AP128" s="332"/>
    </row>
    <row r="129" ht="14.25" customHeight="1">
      <c r="A129" s="332"/>
      <c r="B129" s="332"/>
      <c r="C129" s="332"/>
      <c r="D129" s="332"/>
      <c r="E129" s="332"/>
      <c r="F129" s="332"/>
      <c r="G129" s="332"/>
      <c r="H129" s="332"/>
      <c r="I129" s="332"/>
      <c r="J129" s="332"/>
      <c r="K129" s="332"/>
      <c r="L129" s="332"/>
      <c r="M129" s="332"/>
      <c r="N129" s="332"/>
      <c r="O129" s="332"/>
      <c r="P129" s="332"/>
      <c r="Q129" s="332"/>
      <c r="R129" s="332"/>
      <c r="S129" s="332"/>
      <c r="T129" s="332"/>
      <c r="U129" s="332"/>
      <c r="V129" s="332"/>
      <c r="W129" s="332"/>
      <c r="X129" s="332"/>
      <c r="Y129" s="332"/>
      <c r="Z129" s="332"/>
      <c r="AA129" s="332"/>
      <c r="AB129" s="332"/>
      <c r="AC129" s="332"/>
      <c r="AD129" s="332"/>
      <c r="AE129" s="332"/>
      <c r="AF129" s="332"/>
      <c r="AG129" s="332"/>
      <c r="AH129" s="332"/>
      <c r="AI129" s="332"/>
      <c r="AJ129" s="332"/>
      <c r="AK129" s="332"/>
      <c r="AL129" s="332"/>
      <c r="AM129" s="332"/>
      <c r="AN129" s="332"/>
      <c r="AO129" s="332"/>
      <c r="AP129" s="332"/>
    </row>
    <row r="130" ht="14.25" customHeight="1">
      <c r="A130" s="332"/>
      <c r="B130" s="332"/>
      <c r="C130" s="332"/>
      <c r="D130" s="332"/>
      <c r="E130" s="332"/>
      <c r="F130" s="332"/>
      <c r="G130" s="332"/>
      <c r="H130" s="332"/>
      <c r="I130" s="332"/>
      <c r="J130" s="332"/>
      <c r="K130" s="332"/>
      <c r="L130" s="332"/>
      <c r="M130" s="332"/>
      <c r="N130" s="332"/>
      <c r="O130" s="332"/>
      <c r="P130" s="332"/>
      <c r="Q130" s="332"/>
      <c r="R130" s="332"/>
      <c r="S130" s="332"/>
      <c r="T130" s="332"/>
      <c r="U130" s="332"/>
      <c r="V130" s="332"/>
      <c r="W130" s="332"/>
      <c r="X130" s="332"/>
      <c r="Y130" s="332"/>
      <c r="Z130" s="332"/>
      <c r="AA130" s="332"/>
      <c r="AB130" s="332"/>
      <c r="AC130" s="332"/>
      <c r="AD130" s="332"/>
      <c r="AE130" s="332"/>
      <c r="AF130" s="332"/>
      <c r="AG130" s="332"/>
      <c r="AH130" s="332"/>
      <c r="AI130" s="332"/>
      <c r="AJ130" s="332"/>
      <c r="AK130" s="332"/>
      <c r="AL130" s="332"/>
      <c r="AM130" s="332"/>
      <c r="AN130" s="332"/>
      <c r="AO130" s="332"/>
      <c r="AP130" s="332"/>
    </row>
    <row r="131" ht="14.25" customHeight="1">
      <c r="A131" s="332"/>
      <c r="B131" s="332"/>
      <c r="C131" s="332"/>
      <c r="D131" s="332"/>
      <c r="E131" s="332"/>
      <c r="F131" s="332"/>
      <c r="G131" s="332"/>
      <c r="H131" s="332"/>
      <c r="I131" s="332"/>
      <c r="J131" s="332"/>
      <c r="K131" s="332"/>
      <c r="L131" s="332"/>
      <c r="M131" s="332"/>
      <c r="N131" s="332"/>
      <c r="O131" s="332"/>
      <c r="P131" s="332"/>
      <c r="Q131" s="332"/>
      <c r="R131" s="332"/>
      <c r="S131" s="332"/>
      <c r="T131" s="332"/>
      <c r="U131" s="332"/>
      <c r="V131" s="332"/>
      <c r="W131" s="332"/>
      <c r="X131" s="332"/>
      <c r="Y131" s="332"/>
      <c r="Z131" s="332"/>
      <c r="AA131" s="332"/>
      <c r="AB131" s="332"/>
      <c r="AC131" s="332"/>
      <c r="AD131" s="332"/>
      <c r="AE131" s="332"/>
      <c r="AF131" s="332"/>
      <c r="AG131" s="332"/>
      <c r="AH131" s="332"/>
      <c r="AI131" s="332"/>
      <c r="AJ131" s="332"/>
      <c r="AK131" s="332"/>
      <c r="AL131" s="332"/>
      <c r="AM131" s="332"/>
      <c r="AN131" s="332"/>
      <c r="AO131" s="332"/>
      <c r="AP131" s="332"/>
    </row>
    <row r="132" ht="14.25" customHeight="1">
      <c r="A132" s="332"/>
      <c r="B132" s="332"/>
      <c r="C132" s="332"/>
      <c r="D132" s="332"/>
      <c r="E132" s="332"/>
      <c r="F132" s="332"/>
      <c r="G132" s="332"/>
      <c r="H132" s="332"/>
      <c r="I132" s="332"/>
      <c r="J132" s="332"/>
      <c r="K132" s="332"/>
      <c r="L132" s="332"/>
      <c r="M132" s="332"/>
      <c r="N132" s="332"/>
      <c r="O132" s="332"/>
      <c r="P132" s="332"/>
      <c r="Q132" s="332"/>
      <c r="R132" s="332"/>
      <c r="S132" s="332"/>
      <c r="T132" s="332"/>
      <c r="U132" s="332"/>
      <c r="V132" s="332"/>
      <c r="W132" s="332"/>
      <c r="X132" s="332"/>
      <c r="Y132" s="332"/>
      <c r="Z132" s="332"/>
      <c r="AA132" s="332"/>
      <c r="AB132" s="332"/>
      <c r="AC132" s="332"/>
      <c r="AD132" s="332"/>
      <c r="AE132" s="332"/>
      <c r="AF132" s="332"/>
      <c r="AG132" s="332"/>
      <c r="AH132" s="332"/>
      <c r="AI132" s="332"/>
      <c r="AJ132" s="332"/>
      <c r="AK132" s="332"/>
      <c r="AL132" s="332"/>
      <c r="AM132" s="332"/>
      <c r="AN132" s="332"/>
      <c r="AO132" s="332"/>
      <c r="AP132" s="332"/>
    </row>
    <row r="133" ht="14.25" customHeight="1">
      <c r="A133" s="332"/>
      <c r="B133" s="332"/>
      <c r="C133" s="332"/>
      <c r="D133" s="332"/>
      <c r="E133" s="332"/>
      <c r="F133" s="332"/>
      <c r="G133" s="332"/>
      <c r="H133" s="332"/>
      <c r="I133" s="332"/>
      <c r="J133" s="332"/>
      <c r="K133" s="332"/>
      <c r="L133" s="332"/>
      <c r="M133" s="332"/>
      <c r="N133" s="332"/>
      <c r="O133" s="332"/>
      <c r="P133" s="332"/>
      <c r="Q133" s="332"/>
      <c r="R133" s="332"/>
      <c r="S133" s="332"/>
      <c r="T133" s="332"/>
      <c r="U133" s="332"/>
      <c r="V133" s="332"/>
      <c r="W133" s="332"/>
      <c r="X133" s="332"/>
      <c r="Y133" s="332"/>
      <c r="Z133" s="332"/>
      <c r="AA133" s="332"/>
      <c r="AB133" s="332"/>
      <c r="AC133" s="332"/>
      <c r="AD133" s="332"/>
      <c r="AE133" s="332"/>
      <c r="AF133" s="332"/>
      <c r="AG133" s="332"/>
      <c r="AH133" s="332"/>
      <c r="AI133" s="332"/>
      <c r="AJ133" s="332"/>
      <c r="AK133" s="332"/>
      <c r="AL133" s="332"/>
      <c r="AM133" s="332"/>
      <c r="AN133" s="332"/>
      <c r="AO133" s="332"/>
      <c r="AP133" s="332"/>
    </row>
    <row r="134" ht="14.25" customHeight="1">
      <c r="A134" s="332"/>
      <c r="B134" s="332"/>
      <c r="C134" s="332"/>
      <c r="D134" s="332"/>
      <c r="E134" s="332"/>
      <c r="F134" s="332"/>
      <c r="G134" s="332"/>
      <c r="H134" s="332"/>
      <c r="I134" s="332"/>
      <c r="J134" s="332"/>
      <c r="K134" s="332"/>
      <c r="L134" s="332"/>
      <c r="M134" s="332"/>
      <c r="N134" s="332"/>
      <c r="O134" s="332"/>
      <c r="P134" s="332"/>
      <c r="Q134" s="332"/>
      <c r="R134" s="332"/>
      <c r="S134" s="332"/>
      <c r="T134" s="332"/>
      <c r="U134" s="332"/>
      <c r="V134" s="332"/>
      <c r="W134" s="332"/>
      <c r="X134" s="332"/>
      <c r="Y134" s="332"/>
      <c r="Z134" s="332"/>
      <c r="AA134" s="332"/>
      <c r="AB134" s="332"/>
      <c r="AC134" s="332"/>
      <c r="AD134" s="332"/>
      <c r="AE134" s="332"/>
      <c r="AF134" s="332"/>
      <c r="AG134" s="332"/>
      <c r="AH134" s="332"/>
      <c r="AI134" s="332"/>
      <c r="AJ134" s="332"/>
      <c r="AK134" s="332"/>
      <c r="AL134" s="332"/>
      <c r="AM134" s="332"/>
      <c r="AN134" s="332"/>
      <c r="AO134" s="332"/>
      <c r="AP134" s="332"/>
    </row>
    <row r="135" ht="14.25" customHeight="1">
      <c r="A135" s="332"/>
      <c r="B135" s="332"/>
      <c r="C135" s="332"/>
      <c r="D135" s="332"/>
      <c r="E135" s="332"/>
      <c r="F135" s="332"/>
      <c r="G135" s="332"/>
      <c r="H135" s="332"/>
      <c r="I135" s="332"/>
      <c r="J135" s="332"/>
      <c r="K135" s="332"/>
      <c r="L135" s="332"/>
      <c r="M135" s="332"/>
      <c r="N135" s="332"/>
      <c r="O135" s="332"/>
      <c r="P135" s="332"/>
      <c r="Q135" s="332"/>
      <c r="R135" s="332"/>
      <c r="S135" s="332"/>
      <c r="T135" s="332"/>
      <c r="U135" s="332"/>
      <c r="V135" s="332"/>
      <c r="W135" s="332"/>
      <c r="X135" s="332"/>
      <c r="Y135" s="332"/>
      <c r="Z135" s="332"/>
      <c r="AA135" s="332"/>
      <c r="AB135" s="332"/>
      <c r="AC135" s="332"/>
      <c r="AD135" s="332"/>
      <c r="AE135" s="332"/>
      <c r="AF135" s="332"/>
      <c r="AG135" s="332"/>
      <c r="AH135" s="332"/>
      <c r="AI135" s="332"/>
      <c r="AJ135" s="332"/>
      <c r="AK135" s="332"/>
      <c r="AL135" s="332"/>
      <c r="AM135" s="332"/>
      <c r="AN135" s="332"/>
      <c r="AO135" s="332"/>
      <c r="AP135" s="332"/>
    </row>
    <row r="136" ht="14.25" customHeight="1">
      <c r="A136" s="332"/>
      <c r="B136" s="332"/>
      <c r="C136" s="332"/>
      <c r="D136" s="332"/>
      <c r="E136" s="332"/>
      <c r="F136" s="332"/>
      <c r="G136" s="332"/>
      <c r="H136" s="332"/>
      <c r="I136" s="332"/>
      <c r="J136" s="332"/>
      <c r="K136" s="332"/>
      <c r="L136" s="332"/>
      <c r="M136" s="332"/>
      <c r="N136" s="332"/>
      <c r="O136" s="332"/>
      <c r="P136" s="332"/>
      <c r="Q136" s="332"/>
      <c r="R136" s="332"/>
      <c r="S136" s="332"/>
      <c r="T136" s="332"/>
      <c r="U136" s="332"/>
      <c r="V136" s="332"/>
      <c r="W136" s="332"/>
      <c r="X136" s="332"/>
      <c r="Y136" s="332"/>
      <c r="Z136" s="332"/>
      <c r="AA136" s="332"/>
      <c r="AB136" s="332"/>
      <c r="AC136" s="332"/>
      <c r="AD136" s="332"/>
      <c r="AE136" s="332"/>
      <c r="AF136" s="332"/>
      <c r="AG136" s="332"/>
      <c r="AH136" s="332"/>
      <c r="AI136" s="332"/>
      <c r="AJ136" s="332"/>
      <c r="AK136" s="332"/>
      <c r="AL136" s="332"/>
      <c r="AM136" s="332"/>
      <c r="AN136" s="332"/>
      <c r="AO136" s="332"/>
      <c r="AP136" s="332"/>
    </row>
    <row r="137" ht="14.25" customHeight="1">
      <c r="A137" s="332"/>
      <c r="B137" s="332"/>
      <c r="C137" s="332"/>
      <c r="D137" s="332"/>
      <c r="E137" s="332"/>
      <c r="F137" s="332"/>
      <c r="G137" s="332"/>
      <c r="H137" s="332"/>
      <c r="I137" s="332"/>
      <c r="J137" s="332"/>
      <c r="K137" s="332"/>
      <c r="L137" s="332"/>
      <c r="M137" s="332"/>
      <c r="N137" s="332"/>
      <c r="O137" s="332"/>
      <c r="P137" s="332"/>
      <c r="Q137" s="332"/>
      <c r="R137" s="332"/>
      <c r="S137" s="332"/>
      <c r="T137" s="332"/>
      <c r="U137" s="332"/>
      <c r="V137" s="332"/>
      <c r="W137" s="332"/>
      <c r="X137" s="332"/>
      <c r="Y137" s="332"/>
      <c r="Z137" s="332"/>
      <c r="AA137" s="332"/>
      <c r="AB137" s="332"/>
      <c r="AC137" s="332"/>
      <c r="AD137" s="332"/>
      <c r="AE137" s="332"/>
      <c r="AF137" s="332"/>
      <c r="AG137" s="332"/>
      <c r="AH137" s="332"/>
      <c r="AI137" s="332"/>
      <c r="AJ137" s="332"/>
      <c r="AK137" s="332"/>
      <c r="AL137" s="332"/>
      <c r="AM137" s="332"/>
      <c r="AN137" s="332"/>
      <c r="AO137" s="332"/>
      <c r="AP137" s="332"/>
    </row>
    <row r="138" ht="14.25" customHeight="1">
      <c r="A138" s="332"/>
      <c r="B138" s="332"/>
      <c r="C138" s="332"/>
      <c r="D138" s="332"/>
      <c r="E138" s="332"/>
      <c r="F138" s="332"/>
      <c r="G138" s="332"/>
      <c r="H138" s="332"/>
      <c r="I138" s="332"/>
      <c r="J138" s="332"/>
      <c r="K138" s="332"/>
      <c r="L138" s="332"/>
      <c r="M138" s="332"/>
      <c r="N138" s="332"/>
      <c r="O138" s="332"/>
      <c r="P138" s="332"/>
      <c r="Q138" s="332"/>
      <c r="R138" s="332"/>
      <c r="S138" s="332"/>
      <c r="T138" s="332"/>
      <c r="U138" s="332"/>
      <c r="V138" s="332"/>
      <c r="W138" s="332"/>
      <c r="X138" s="332"/>
      <c r="Y138" s="332"/>
      <c r="Z138" s="332"/>
      <c r="AA138" s="332"/>
      <c r="AB138" s="332"/>
      <c r="AC138" s="332"/>
      <c r="AD138" s="332"/>
      <c r="AE138" s="332"/>
      <c r="AF138" s="332"/>
      <c r="AG138" s="332"/>
      <c r="AH138" s="332"/>
      <c r="AI138" s="332"/>
      <c r="AJ138" s="332"/>
      <c r="AK138" s="332"/>
      <c r="AL138" s="332"/>
      <c r="AM138" s="332"/>
      <c r="AN138" s="332"/>
      <c r="AO138" s="332"/>
      <c r="AP138" s="332"/>
    </row>
    <row r="139" ht="14.25" customHeight="1">
      <c r="A139" s="332"/>
      <c r="B139" s="332"/>
      <c r="C139" s="332"/>
      <c r="D139" s="332"/>
      <c r="E139" s="332"/>
      <c r="F139" s="332"/>
      <c r="G139" s="332"/>
      <c r="H139" s="332"/>
      <c r="I139" s="332"/>
      <c r="J139" s="332"/>
      <c r="K139" s="332"/>
      <c r="L139" s="332"/>
      <c r="M139" s="332"/>
      <c r="N139" s="332"/>
      <c r="O139" s="332"/>
      <c r="P139" s="332"/>
      <c r="Q139" s="332"/>
      <c r="R139" s="332"/>
      <c r="S139" s="332"/>
      <c r="T139" s="332"/>
      <c r="U139" s="332"/>
      <c r="V139" s="332"/>
      <c r="W139" s="332"/>
      <c r="X139" s="332"/>
      <c r="Y139" s="332"/>
      <c r="Z139" s="332"/>
      <c r="AA139" s="332"/>
      <c r="AB139" s="332"/>
      <c r="AC139" s="332"/>
      <c r="AD139" s="332"/>
      <c r="AE139" s="332"/>
      <c r="AF139" s="332"/>
      <c r="AG139" s="332"/>
      <c r="AH139" s="332"/>
      <c r="AI139" s="332"/>
      <c r="AJ139" s="332"/>
      <c r="AK139" s="332"/>
      <c r="AL139" s="332"/>
      <c r="AM139" s="332"/>
      <c r="AN139" s="332"/>
      <c r="AO139" s="332"/>
      <c r="AP139" s="332"/>
    </row>
    <row r="140" ht="14.25" customHeight="1">
      <c r="A140" s="332"/>
      <c r="B140" s="332"/>
      <c r="C140" s="332"/>
      <c r="D140" s="332"/>
      <c r="E140" s="332"/>
      <c r="F140" s="332"/>
      <c r="G140" s="332"/>
      <c r="H140" s="332"/>
      <c r="I140" s="332"/>
      <c r="J140" s="332"/>
      <c r="K140" s="332"/>
      <c r="L140" s="332"/>
      <c r="M140" s="332"/>
      <c r="N140" s="332"/>
      <c r="O140" s="332"/>
      <c r="P140" s="332"/>
      <c r="Q140" s="332"/>
      <c r="R140" s="332"/>
      <c r="S140" s="332"/>
      <c r="T140" s="332"/>
      <c r="U140" s="332"/>
      <c r="V140" s="332"/>
      <c r="W140" s="332"/>
      <c r="X140" s="332"/>
      <c r="Y140" s="332"/>
      <c r="Z140" s="332"/>
      <c r="AA140" s="332"/>
      <c r="AB140" s="332"/>
      <c r="AC140" s="332"/>
      <c r="AD140" s="332"/>
      <c r="AE140" s="332"/>
      <c r="AF140" s="332"/>
      <c r="AG140" s="332"/>
      <c r="AH140" s="332"/>
      <c r="AI140" s="332"/>
      <c r="AJ140" s="332"/>
      <c r="AK140" s="332"/>
      <c r="AL140" s="332"/>
      <c r="AM140" s="332"/>
      <c r="AN140" s="332"/>
      <c r="AO140" s="332"/>
      <c r="AP140" s="332"/>
    </row>
    <row r="141" ht="14.25" customHeight="1">
      <c r="A141" s="332"/>
      <c r="B141" s="332"/>
      <c r="C141" s="332"/>
      <c r="D141" s="332"/>
      <c r="E141" s="332"/>
      <c r="F141" s="332"/>
      <c r="G141" s="332"/>
      <c r="H141" s="332"/>
      <c r="I141" s="332"/>
      <c r="J141" s="332"/>
      <c r="K141" s="332"/>
      <c r="L141" s="332"/>
      <c r="M141" s="332"/>
      <c r="N141" s="332"/>
      <c r="O141" s="332"/>
      <c r="P141" s="332"/>
      <c r="Q141" s="332"/>
      <c r="R141" s="332"/>
      <c r="S141" s="332"/>
      <c r="T141" s="332"/>
      <c r="U141" s="332"/>
      <c r="V141" s="332"/>
      <c r="W141" s="332"/>
      <c r="X141" s="332"/>
      <c r="Y141" s="332"/>
      <c r="Z141" s="332"/>
      <c r="AA141" s="332"/>
      <c r="AB141" s="332"/>
      <c r="AC141" s="332"/>
      <c r="AD141" s="332"/>
      <c r="AE141" s="332"/>
      <c r="AF141" s="332"/>
      <c r="AG141" s="332"/>
      <c r="AH141" s="332"/>
      <c r="AI141" s="332"/>
      <c r="AJ141" s="332"/>
      <c r="AK141" s="332"/>
      <c r="AL141" s="332"/>
      <c r="AM141" s="332"/>
      <c r="AN141" s="332"/>
      <c r="AO141" s="332"/>
      <c r="AP141" s="332"/>
    </row>
    <row r="142" ht="14.25" customHeight="1">
      <c r="A142" s="332"/>
      <c r="B142" s="332"/>
      <c r="C142" s="332"/>
      <c r="D142" s="332"/>
      <c r="E142" s="332"/>
      <c r="F142" s="332"/>
      <c r="G142" s="332"/>
      <c r="H142" s="332"/>
      <c r="I142" s="332"/>
      <c r="J142" s="332"/>
      <c r="K142" s="332"/>
      <c r="L142" s="332"/>
      <c r="M142" s="332"/>
      <c r="N142" s="332"/>
      <c r="O142" s="332"/>
      <c r="P142" s="332"/>
      <c r="Q142" s="332"/>
      <c r="R142" s="332"/>
      <c r="S142" s="332"/>
      <c r="T142" s="332"/>
      <c r="U142" s="332"/>
      <c r="V142" s="332"/>
      <c r="W142" s="332"/>
      <c r="X142" s="332"/>
      <c r="Y142" s="332"/>
      <c r="Z142" s="332"/>
      <c r="AA142" s="332"/>
      <c r="AB142" s="332"/>
      <c r="AC142" s="332"/>
      <c r="AD142" s="332"/>
      <c r="AE142" s="332"/>
      <c r="AF142" s="332"/>
      <c r="AG142" s="332"/>
      <c r="AH142" s="332"/>
      <c r="AI142" s="332"/>
      <c r="AJ142" s="332"/>
      <c r="AK142" s="332"/>
      <c r="AL142" s="332"/>
      <c r="AM142" s="332"/>
      <c r="AN142" s="332"/>
      <c r="AO142" s="332"/>
      <c r="AP142" s="332"/>
    </row>
    <row r="143" ht="14.25" customHeight="1">
      <c r="A143" s="332"/>
      <c r="B143" s="332"/>
      <c r="C143" s="332"/>
      <c r="D143" s="332"/>
      <c r="E143" s="332"/>
      <c r="F143" s="332"/>
      <c r="G143" s="332"/>
      <c r="H143" s="332"/>
      <c r="I143" s="332"/>
      <c r="J143" s="332"/>
      <c r="K143" s="332"/>
      <c r="L143" s="332"/>
      <c r="M143" s="332"/>
      <c r="N143" s="332"/>
      <c r="O143" s="332"/>
      <c r="P143" s="332"/>
      <c r="Q143" s="332"/>
      <c r="R143" s="332"/>
      <c r="S143" s="332"/>
      <c r="T143" s="332"/>
      <c r="U143" s="332"/>
      <c r="V143" s="332"/>
      <c r="W143" s="332"/>
      <c r="X143" s="332"/>
      <c r="Y143" s="332"/>
      <c r="Z143" s="332"/>
      <c r="AA143" s="332"/>
      <c r="AB143" s="332"/>
      <c r="AC143" s="332"/>
      <c r="AD143" s="332"/>
      <c r="AE143" s="332"/>
      <c r="AF143" s="332"/>
      <c r="AG143" s="332"/>
      <c r="AH143" s="332"/>
      <c r="AI143" s="332"/>
      <c r="AJ143" s="332"/>
      <c r="AK143" s="332"/>
      <c r="AL143" s="332"/>
      <c r="AM143" s="332"/>
      <c r="AN143" s="332"/>
      <c r="AO143" s="332"/>
      <c r="AP143" s="332"/>
    </row>
    <row r="144" ht="14.25" customHeight="1">
      <c r="A144" s="332"/>
      <c r="B144" s="332"/>
      <c r="C144" s="332"/>
      <c r="D144" s="332"/>
      <c r="E144" s="332"/>
      <c r="F144" s="332"/>
      <c r="G144" s="332"/>
      <c r="H144" s="332"/>
      <c r="I144" s="332"/>
      <c r="J144" s="332"/>
      <c r="K144" s="332"/>
      <c r="L144" s="332"/>
      <c r="M144" s="332"/>
      <c r="N144" s="332"/>
      <c r="O144" s="332"/>
      <c r="P144" s="332"/>
      <c r="Q144" s="332"/>
      <c r="R144" s="332"/>
      <c r="S144" s="332"/>
      <c r="T144" s="332"/>
      <c r="U144" s="332"/>
      <c r="V144" s="332"/>
      <c r="W144" s="332"/>
      <c r="X144" s="332"/>
      <c r="Y144" s="332"/>
      <c r="Z144" s="332"/>
      <c r="AA144" s="332"/>
      <c r="AB144" s="332"/>
      <c r="AC144" s="332"/>
      <c r="AD144" s="332"/>
      <c r="AE144" s="332"/>
      <c r="AF144" s="332"/>
      <c r="AG144" s="332"/>
      <c r="AH144" s="332"/>
      <c r="AI144" s="332"/>
      <c r="AJ144" s="332"/>
      <c r="AK144" s="332"/>
      <c r="AL144" s="332"/>
      <c r="AM144" s="332"/>
      <c r="AN144" s="332"/>
      <c r="AO144" s="332"/>
      <c r="AP144" s="332"/>
    </row>
    <row r="145" ht="14.25" customHeight="1">
      <c r="A145" s="332"/>
      <c r="B145" s="332"/>
      <c r="C145" s="332"/>
      <c r="D145" s="332"/>
      <c r="E145" s="332"/>
      <c r="F145" s="332"/>
      <c r="G145" s="332"/>
      <c r="H145" s="332"/>
      <c r="I145" s="332"/>
      <c r="J145" s="332"/>
      <c r="K145" s="332"/>
      <c r="L145" s="332"/>
      <c r="M145" s="332"/>
      <c r="N145" s="332"/>
      <c r="O145" s="332"/>
      <c r="P145" s="332"/>
      <c r="Q145" s="332"/>
      <c r="R145" s="332"/>
      <c r="S145" s="332"/>
      <c r="T145" s="332"/>
      <c r="U145" s="332"/>
      <c r="V145" s="332"/>
      <c r="W145" s="332"/>
      <c r="X145" s="332"/>
      <c r="Y145" s="332"/>
      <c r="Z145" s="332"/>
      <c r="AA145" s="332"/>
      <c r="AB145" s="332"/>
      <c r="AC145" s="332"/>
      <c r="AD145" s="332"/>
      <c r="AE145" s="332"/>
      <c r="AF145" s="332"/>
      <c r="AG145" s="332"/>
      <c r="AH145" s="332"/>
      <c r="AI145" s="332"/>
      <c r="AJ145" s="332"/>
      <c r="AK145" s="332"/>
      <c r="AL145" s="332"/>
      <c r="AM145" s="332"/>
      <c r="AN145" s="332"/>
      <c r="AO145" s="332"/>
      <c r="AP145" s="332"/>
    </row>
    <row r="146" ht="14.25" customHeight="1">
      <c r="A146" s="332"/>
      <c r="B146" s="332"/>
      <c r="C146" s="332"/>
      <c r="D146" s="332"/>
      <c r="E146" s="332"/>
      <c r="F146" s="332"/>
      <c r="G146" s="332"/>
      <c r="H146" s="332"/>
      <c r="I146" s="332"/>
      <c r="J146" s="332"/>
      <c r="K146" s="332"/>
      <c r="L146" s="332"/>
      <c r="M146" s="332"/>
      <c r="N146" s="332"/>
      <c r="O146" s="332"/>
      <c r="P146" s="332"/>
      <c r="Q146" s="332"/>
      <c r="R146" s="332"/>
      <c r="S146" s="332"/>
      <c r="T146" s="332"/>
      <c r="U146" s="332"/>
      <c r="V146" s="332"/>
      <c r="W146" s="332"/>
      <c r="X146" s="332"/>
      <c r="Y146" s="332"/>
      <c r="Z146" s="332"/>
      <c r="AA146" s="332"/>
      <c r="AB146" s="332"/>
      <c r="AC146" s="332"/>
      <c r="AD146" s="332"/>
      <c r="AE146" s="332"/>
      <c r="AF146" s="332"/>
      <c r="AG146" s="332"/>
      <c r="AH146" s="332"/>
      <c r="AI146" s="332"/>
      <c r="AJ146" s="332"/>
      <c r="AK146" s="332"/>
      <c r="AL146" s="332"/>
      <c r="AM146" s="332"/>
      <c r="AN146" s="332"/>
      <c r="AO146" s="332"/>
      <c r="AP146" s="332"/>
    </row>
    <row r="147" ht="14.25" customHeight="1">
      <c r="A147" s="332"/>
      <c r="B147" s="332"/>
      <c r="C147" s="332"/>
      <c r="D147" s="332"/>
      <c r="E147" s="332"/>
      <c r="F147" s="332"/>
      <c r="G147" s="332"/>
      <c r="H147" s="332"/>
      <c r="I147" s="332"/>
      <c r="J147" s="332"/>
      <c r="K147" s="332"/>
      <c r="L147" s="332"/>
      <c r="M147" s="332"/>
      <c r="N147" s="332"/>
      <c r="O147" s="332"/>
      <c r="P147" s="332"/>
      <c r="Q147" s="332"/>
      <c r="R147" s="332"/>
      <c r="S147" s="332"/>
      <c r="T147" s="332"/>
      <c r="U147" s="332"/>
      <c r="V147" s="332"/>
      <c r="W147" s="332"/>
      <c r="X147" s="332"/>
      <c r="Y147" s="332"/>
      <c r="Z147" s="332"/>
      <c r="AA147" s="332"/>
      <c r="AB147" s="332"/>
      <c r="AC147" s="332"/>
      <c r="AD147" s="332"/>
      <c r="AE147" s="332"/>
      <c r="AF147" s="332"/>
      <c r="AG147" s="332"/>
      <c r="AH147" s="332"/>
      <c r="AI147" s="332"/>
      <c r="AJ147" s="332"/>
      <c r="AK147" s="332"/>
      <c r="AL147" s="332"/>
      <c r="AM147" s="332"/>
      <c r="AN147" s="332"/>
      <c r="AO147" s="332"/>
      <c r="AP147" s="332"/>
    </row>
    <row r="148" ht="14.25" customHeight="1">
      <c r="A148" s="332"/>
      <c r="B148" s="332"/>
      <c r="C148" s="332"/>
      <c r="D148" s="332"/>
      <c r="E148" s="332"/>
      <c r="F148" s="332"/>
      <c r="G148" s="332"/>
      <c r="H148" s="332"/>
      <c r="I148" s="332"/>
      <c r="J148" s="332"/>
      <c r="K148" s="332"/>
      <c r="L148" s="332"/>
      <c r="M148" s="332"/>
      <c r="N148" s="332"/>
      <c r="O148" s="332"/>
      <c r="P148" s="332"/>
      <c r="Q148" s="332"/>
      <c r="R148" s="332"/>
      <c r="S148" s="332"/>
      <c r="T148" s="332"/>
      <c r="U148" s="332"/>
      <c r="V148" s="332"/>
      <c r="W148" s="332"/>
      <c r="X148" s="332"/>
      <c r="Y148" s="332"/>
      <c r="Z148" s="332"/>
      <c r="AA148" s="332"/>
      <c r="AB148" s="332"/>
      <c r="AC148" s="332"/>
      <c r="AD148" s="332"/>
      <c r="AE148" s="332"/>
      <c r="AF148" s="332"/>
      <c r="AG148" s="332"/>
      <c r="AH148" s="332"/>
      <c r="AI148" s="332"/>
      <c r="AJ148" s="332"/>
      <c r="AK148" s="332"/>
      <c r="AL148" s="332"/>
      <c r="AM148" s="332"/>
      <c r="AN148" s="332"/>
      <c r="AO148" s="332"/>
      <c r="AP148" s="332"/>
    </row>
    <row r="149" ht="14.25" customHeight="1">
      <c r="A149" s="332"/>
      <c r="B149" s="332"/>
      <c r="C149" s="332"/>
      <c r="D149" s="332"/>
      <c r="E149" s="332"/>
      <c r="F149" s="332"/>
      <c r="G149" s="332"/>
      <c r="H149" s="332"/>
      <c r="I149" s="332"/>
      <c r="J149" s="332"/>
      <c r="K149" s="332"/>
      <c r="L149" s="332"/>
      <c r="M149" s="332"/>
      <c r="N149" s="332"/>
      <c r="O149" s="332"/>
      <c r="P149" s="332"/>
      <c r="Q149" s="332"/>
      <c r="R149" s="332"/>
      <c r="S149" s="332"/>
      <c r="T149" s="332"/>
      <c r="U149" s="332"/>
      <c r="V149" s="332"/>
      <c r="W149" s="332"/>
      <c r="X149" s="332"/>
      <c r="Y149" s="332"/>
      <c r="Z149" s="332"/>
      <c r="AA149" s="332"/>
      <c r="AB149" s="332"/>
      <c r="AC149" s="332"/>
      <c r="AD149" s="332"/>
      <c r="AE149" s="332"/>
      <c r="AF149" s="332"/>
      <c r="AG149" s="332"/>
      <c r="AH149" s="332"/>
      <c r="AI149" s="332"/>
      <c r="AJ149" s="332"/>
      <c r="AK149" s="332"/>
      <c r="AL149" s="332"/>
      <c r="AM149" s="332"/>
      <c r="AN149" s="332"/>
      <c r="AO149" s="332"/>
      <c r="AP149" s="332"/>
    </row>
    <row r="150" ht="14.25" customHeight="1">
      <c r="A150" s="332"/>
      <c r="B150" s="332"/>
      <c r="C150" s="332"/>
      <c r="D150" s="332"/>
      <c r="E150" s="332"/>
      <c r="F150" s="332"/>
      <c r="G150" s="332"/>
      <c r="H150" s="332"/>
      <c r="I150" s="332"/>
      <c r="J150" s="332"/>
      <c r="K150" s="332"/>
      <c r="L150" s="332"/>
      <c r="M150" s="332"/>
      <c r="N150" s="332"/>
      <c r="O150" s="332"/>
      <c r="P150" s="332"/>
      <c r="Q150" s="332"/>
      <c r="R150" s="332"/>
      <c r="S150" s="332"/>
      <c r="T150" s="332"/>
      <c r="U150" s="332"/>
      <c r="V150" s="332"/>
      <c r="W150" s="332"/>
      <c r="X150" s="332"/>
      <c r="Y150" s="332"/>
      <c r="Z150" s="332"/>
      <c r="AA150" s="332"/>
      <c r="AB150" s="332"/>
      <c r="AC150" s="332"/>
      <c r="AD150" s="332"/>
      <c r="AE150" s="332"/>
      <c r="AF150" s="332"/>
      <c r="AG150" s="332"/>
      <c r="AH150" s="332"/>
      <c r="AI150" s="332"/>
      <c r="AJ150" s="332"/>
      <c r="AK150" s="332"/>
      <c r="AL150" s="332"/>
      <c r="AM150" s="332"/>
      <c r="AN150" s="332"/>
      <c r="AO150" s="332"/>
      <c r="AP150" s="332"/>
    </row>
    <row r="151" ht="14.25" customHeight="1">
      <c r="A151" s="332"/>
      <c r="B151" s="332"/>
      <c r="C151" s="332"/>
      <c r="D151" s="332"/>
      <c r="E151" s="332"/>
      <c r="F151" s="332"/>
      <c r="G151" s="332"/>
      <c r="H151" s="332"/>
      <c r="I151" s="332"/>
      <c r="J151" s="332"/>
      <c r="K151" s="332"/>
      <c r="L151" s="332"/>
      <c r="M151" s="332"/>
      <c r="N151" s="332"/>
      <c r="O151" s="332"/>
      <c r="P151" s="332"/>
      <c r="Q151" s="332"/>
      <c r="R151" s="332"/>
      <c r="S151" s="332"/>
      <c r="T151" s="332"/>
      <c r="U151" s="332"/>
      <c r="V151" s="332"/>
      <c r="W151" s="332"/>
      <c r="X151" s="332"/>
      <c r="Y151" s="332"/>
      <c r="Z151" s="332"/>
      <c r="AA151" s="332"/>
      <c r="AB151" s="332"/>
      <c r="AC151" s="332"/>
      <c r="AD151" s="332"/>
      <c r="AE151" s="332"/>
      <c r="AF151" s="332"/>
      <c r="AG151" s="332"/>
      <c r="AH151" s="332"/>
      <c r="AI151" s="332"/>
      <c r="AJ151" s="332"/>
      <c r="AK151" s="332"/>
      <c r="AL151" s="332"/>
      <c r="AM151" s="332"/>
      <c r="AN151" s="332"/>
      <c r="AO151" s="332"/>
      <c r="AP151" s="332"/>
    </row>
    <row r="152" ht="14.25" customHeight="1">
      <c r="A152" s="332"/>
      <c r="B152" s="332"/>
      <c r="C152" s="332"/>
      <c r="D152" s="332"/>
      <c r="E152" s="332"/>
      <c r="F152" s="332"/>
      <c r="G152" s="332"/>
      <c r="H152" s="332"/>
      <c r="I152" s="332"/>
      <c r="J152" s="332"/>
      <c r="K152" s="332"/>
      <c r="L152" s="332"/>
      <c r="M152" s="332"/>
      <c r="N152" s="332"/>
      <c r="O152" s="332"/>
      <c r="P152" s="332"/>
      <c r="Q152" s="332"/>
      <c r="R152" s="332"/>
      <c r="S152" s="332"/>
      <c r="T152" s="332"/>
      <c r="U152" s="332"/>
      <c r="V152" s="332"/>
      <c r="W152" s="332"/>
      <c r="X152" s="332"/>
      <c r="Y152" s="332"/>
      <c r="Z152" s="332"/>
      <c r="AA152" s="332"/>
      <c r="AB152" s="332"/>
      <c r="AC152" s="332"/>
      <c r="AD152" s="332"/>
      <c r="AE152" s="332"/>
      <c r="AF152" s="332"/>
      <c r="AG152" s="332"/>
      <c r="AH152" s="332"/>
      <c r="AI152" s="332"/>
      <c r="AJ152" s="332"/>
      <c r="AK152" s="332"/>
      <c r="AL152" s="332"/>
      <c r="AM152" s="332"/>
      <c r="AN152" s="332"/>
      <c r="AO152" s="332"/>
      <c r="AP152" s="332"/>
    </row>
    <row r="153" ht="14.25" customHeight="1">
      <c r="A153" s="332"/>
      <c r="B153" s="332"/>
      <c r="C153" s="332"/>
      <c r="D153" s="332"/>
      <c r="E153" s="332"/>
      <c r="F153" s="332"/>
      <c r="G153" s="332"/>
      <c r="H153" s="332"/>
      <c r="I153" s="332"/>
      <c r="J153" s="332"/>
      <c r="K153" s="332"/>
      <c r="L153" s="332"/>
      <c r="M153" s="332"/>
      <c r="N153" s="332"/>
      <c r="O153" s="332"/>
      <c r="P153" s="332"/>
      <c r="Q153" s="332"/>
      <c r="R153" s="332"/>
      <c r="S153" s="332"/>
      <c r="T153" s="332"/>
      <c r="U153" s="332"/>
      <c r="V153" s="332"/>
      <c r="W153" s="332"/>
      <c r="X153" s="332"/>
      <c r="Y153" s="332"/>
      <c r="Z153" s="332"/>
      <c r="AA153" s="332"/>
      <c r="AB153" s="332"/>
      <c r="AC153" s="332"/>
      <c r="AD153" s="332"/>
      <c r="AE153" s="332"/>
      <c r="AF153" s="332"/>
      <c r="AG153" s="332"/>
      <c r="AH153" s="332"/>
      <c r="AI153" s="332"/>
      <c r="AJ153" s="332"/>
      <c r="AK153" s="332"/>
      <c r="AL153" s="332"/>
      <c r="AM153" s="332"/>
      <c r="AN153" s="332"/>
      <c r="AO153" s="332"/>
      <c r="AP153" s="332"/>
    </row>
    <row r="154" ht="14.25" customHeight="1">
      <c r="A154" s="332"/>
      <c r="B154" s="332"/>
      <c r="C154" s="332"/>
      <c r="D154" s="332"/>
      <c r="E154" s="332"/>
      <c r="F154" s="332"/>
      <c r="G154" s="332"/>
      <c r="H154" s="332"/>
      <c r="I154" s="332"/>
      <c r="J154" s="332"/>
      <c r="K154" s="332"/>
      <c r="L154" s="332"/>
      <c r="M154" s="332"/>
      <c r="N154" s="332"/>
      <c r="O154" s="332"/>
      <c r="P154" s="332"/>
      <c r="Q154" s="332"/>
      <c r="R154" s="332"/>
      <c r="S154" s="332"/>
      <c r="T154" s="332"/>
      <c r="U154" s="332"/>
      <c r="V154" s="332"/>
      <c r="W154" s="332"/>
      <c r="X154" s="332"/>
      <c r="Y154" s="332"/>
      <c r="Z154" s="332"/>
      <c r="AA154" s="332"/>
      <c r="AB154" s="332"/>
      <c r="AC154" s="332"/>
      <c r="AD154" s="332"/>
      <c r="AE154" s="332"/>
      <c r="AF154" s="332"/>
      <c r="AG154" s="332"/>
      <c r="AH154" s="332"/>
      <c r="AI154" s="332"/>
      <c r="AJ154" s="332"/>
      <c r="AK154" s="332"/>
      <c r="AL154" s="332"/>
      <c r="AM154" s="332"/>
      <c r="AN154" s="332"/>
      <c r="AO154" s="332"/>
      <c r="AP154" s="332"/>
    </row>
    <row r="155" ht="14.25" customHeight="1">
      <c r="A155" s="332"/>
      <c r="B155" s="332"/>
      <c r="C155" s="332"/>
      <c r="D155" s="332"/>
      <c r="E155" s="332"/>
      <c r="F155" s="332"/>
      <c r="G155" s="332"/>
      <c r="H155" s="332"/>
      <c r="I155" s="332"/>
      <c r="J155" s="332"/>
      <c r="K155" s="332"/>
      <c r="L155" s="332"/>
      <c r="M155" s="332"/>
      <c r="N155" s="332"/>
      <c r="O155" s="332"/>
      <c r="P155" s="332"/>
      <c r="Q155" s="332"/>
      <c r="R155" s="332"/>
      <c r="S155" s="332"/>
      <c r="T155" s="332"/>
      <c r="U155" s="332"/>
      <c r="V155" s="332"/>
      <c r="W155" s="332"/>
      <c r="X155" s="332"/>
      <c r="Y155" s="332"/>
      <c r="Z155" s="332"/>
      <c r="AA155" s="332"/>
      <c r="AB155" s="332"/>
      <c r="AC155" s="332"/>
      <c r="AD155" s="332"/>
      <c r="AE155" s="332"/>
      <c r="AF155" s="332"/>
      <c r="AG155" s="332"/>
      <c r="AH155" s="332"/>
      <c r="AI155" s="332"/>
      <c r="AJ155" s="332"/>
      <c r="AK155" s="332"/>
      <c r="AL155" s="332"/>
      <c r="AM155" s="332"/>
      <c r="AN155" s="332"/>
      <c r="AO155" s="332"/>
      <c r="AP155" s="332"/>
    </row>
    <row r="156" ht="14.25" customHeight="1">
      <c r="A156" s="332"/>
      <c r="B156" s="332"/>
      <c r="C156" s="332"/>
      <c r="D156" s="332"/>
      <c r="E156" s="332"/>
      <c r="F156" s="332"/>
      <c r="G156" s="332"/>
      <c r="H156" s="332"/>
      <c r="I156" s="332"/>
      <c r="J156" s="332"/>
      <c r="K156" s="332"/>
      <c r="L156" s="332"/>
      <c r="M156" s="332"/>
      <c r="N156" s="332"/>
      <c r="O156" s="332"/>
      <c r="P156" s="332"/>
      <c r="Q156" s="332"/>
      <c r="R156" s="332"/>
      <c r="S156" s="332"/>
      <c r="T156" s="332"/>
      <c r="U156" s="332"/>
      <c r="V156" s="332"/>
      <c r="W156" s="332"/>
      <c r="X156" s="332"/>
      <c r="Y156" s="332"/>
      <c r="Z156" s="332"/>
      <c r="AA156" s="332"/>
      <c r="AB156" s="332"/>
      <c r="AC156" s="332"/>
      <c r="AD156" s="332"/>
      <c r="AE156" s="332"/>
      <c r="AF156" s="332"/>
      <c r="AG156" s="332"/>
      <c r="AH156" s="332"/>
      <c r="AI156" s="332"/>
      <c r="AJ156" s="332"/>
      <c r="AK156" s="332"/>
      <c r="AL156" s="332"/>
      <c r="AM156" s="332"/>
      <c r="AN156" s="332"/>
      <c r="AO156" s="332"/>
      <c r="AP156" s="332"/>
    </row>
    <row r="157" ht="14.25" customHeight="1">
      <c r="A157" s="332"/>
      <c r="B157" s="332"/>
      <c r="C157" s="332"/>
      <c r="D157" s="332"/>
      <c r="E157" s="332"/>
      <c r="F157" s="332"/>
      <c r="G157" s="332"/>
      <c r="H157" s="332"/>
      <c r="I157" s="332"/>
      <c r="J157" s="332"/>
      <c r="K157" s="332"/>
      <c r="L157" s="332"/>
      <c r="M157" s="332"/>
      <c r="N157" s="332"/>
      <c r="O157" s="332"/>
      <c r="P157" s="332"/>
      <c r="Q157" s="332"/>
      <c r="R157" s="332"/>
      <c r="S157" s="332"/>
      <c r="T157" s="332"/>
      <c r="U157" s="332"/>
      <c r="V157" s="332"/>
      <c r="W157" s="332"/>
      <c r="X157" s="332"/>
      <c r="Y157" s="332"/>
      <c r="Z157" s="332"/>
      <c r="AA157" s="332"/>
      <c r="AB157" s="332"/>
      <c r="AC157" s="332"/>
      <c r="AD157" s="332"/>
      <c r="AE157" s="332"/>
      <c r="AF157" s="332"/>
      <c r="AG157" s="332"/>
      <c r="AH157" s="332"/>
      <c r="AI157" s="332"/>
      <c r="AJ157" s="332"/>
      <c r="AK157" s="332"/>
      <c r="AL157" s="332"/>
      <c r="AM157" s="332"/>
      <c r="AN157" s="332"/>
      <c r="AO157" s="332"/>
      <c r="AP157" s="332"/>
    </row>
    <row r="158" ht="14.25" customHeight="1">
      <c r="A158" s="332"/>
      <c r="B158" s="332"/>
      <c r="C158" s="332"/>
      <c r="D158" s="332"/>
      <c r="E158" s="332"/>
      <c r="F158" s="332"/>
      <c r="G158" s="332"/>
      <c r="H158" s="332"/>
      <c r="I158" s="332"/>
      <c r="J158" s="332"/>
      <c r="K158" s="332"/>
      <c r="L158" s="332"/>
      <c r="M158" s="332"/>
      <c r="N158" s="332"/>
      <c r="O158" s="332"/>
      <c r="P158" s="332"/>
      <c r="Q158" s="332"/>
      <c r="R158" s="332"/>
      <c r="S158" s="332"/>
      <c r="T158" s="332"/>
      <c r="U158" s="332"/>
      <c r="V158" s="332"/>
      <c r="W158" s="332"/>
      <c r="X158" s="332"/>
      <c r="Y158" s="332"/>
      <c r="Z158" s="332"/>
      <c r="AA158" s="332"/>
      <c r="AB158" s="332"/>
      <c r="AC158" s="332"/>
      <c r="AD158" s="332"/>
      <c r="AE158" s="332"/>
      <c r="AF158" s="332"/>
      <c r="AG158" s="332"/>
      <c r="AH158" s="332"/>
      <c r="AI158" s="332"/>
      <c r="AJ158" s="332"/>
      <c r="AK158" s="332"/>
      <c r="AL158" s="332"/>
      <c r="AM158" s="332"/>
      <c r="AN158" s="332"/>
      <c r="AO158" s="332"/>
      <c r="AP158" s="332"/>
    </row>
    <row r="159" ht="14.25" customHeight="1">
      <c r="A159" s="332"/>
      <c r="B159" s="332"/>
      <c r="C159" s="332"/>
      <c r="D159" s="332"/>
      <c r="E159" s="332"/>
      <c r="F159" s="332"/>
      <c r="G159" s="332"/>
      <c r="H159" s="332"/>
      <c r="I159" s="332"/>
      <c r="J159" s="332"/>
      <c r="K159" s="332"/>
      <c r="L159" s="332"/>
      <c r="M159" s="332"/>
      <c r="N159" s="332"/>
      <c r="O159" s="332"/>
      <c r="P159" s="332"/>
      <c r="Q159" s="332"/>
      <c r="R159" s="332"/>
      <c r="S159" s="332"/>
      <c r="T159" s="332"/>
      <c r="U159" s="332"/>
      <c r="V159" s="332"/>
      <c r="W159" s="332"/>
      <c r="X159" s="332"/>
      <c r="Y159" s="332"/>
      <c r="Z159" s="332"/>
      <c r="AA159" s="332"/>
      <c r="AB159" s="332"/>
      <c r="AC159" s="332"/>
      <c r="AD159" s="332"/>
      <c r="AE159" s="332"/>
      <c r="AF159" s="332"/>
      <c r="AG159" s="332"/>
      <c r="AH159" s="332"/>
      <c r="AI159" s="332"/>
      <c r="AJ159" s="332"/>
      <c r="AK159" s="332"/>
      <c r="AL159" s="332"/>
      <c r="AM159" s="332"/>
      <c r="AN159" s="332"/>
      <c r="AO159" s="332"/>
      <c r="AP159" s="332"/>
    </row>
    <row r="160" ht="14.25" customHeight="1">
      <c r="A160" s="332"/>
      <c r="B160" s="332"/>
      <c r="C160" s="332"/>
      <c r="D160" s="332"/>
      <c r="E160" s="332"/>
      <c r="F160" s="332"/>
      <c r="G160" s="332"/>
      <c r="H160" s="332"/>
      <c r="I160" s="332"/>
      <c r="J160" s="332"/>
      <c r="K160" s="332"/>
      <c r="L160" s="332"/>
      <c r="M160" s="332"/>
      <c r="N160" s="332"/>
      <c r="O160" s="332"/>
      <c r="P160" s="332"/>
      <c r="Q160" s="332"/>
      <c r="R160" s="332"/>
      <c r="S160" s="332"/>
      <c r="T160" s="332"/>
      <c r="U160" s="332"/>
      <c r="V160" s="332"/>
      <c r="W160" s="332"/>
      <c r="X160" s="332"/>
      <c r="Y160" s="332"/>
      <c r="Z160" s="332"/>
      <c r="AA160" s="332"/>
      <c r="AB160" s="332"/>
      <c r="AC160" s="332"/>
      <c r="AD160" s="332"/>
      <c r="AE160" s="332"/>
      <c r="AF160" s="332"/>
      <c r="AG160" s="332"/>
      <c r="AH160" s="332"/>
      <c r="AI160" s="332"/>
      <c r="AJ160" s="332"/>
      <c r="AK160" s="332"/>
      <c r="AL160" s="332"/>
      <c r="AM160" s="332"/>
      <c r="AN160" s="332"/>
      <c r="AO160" s="332"/>
      <c r="AP160" s="332"/>
    </row>
    <row r="161" ht="14.25" customHeight="1">
      <c r="A161" s="332"/>
      <c r="B161" s="332"/>
      <c r="C161" s="332"/>
      <c r="D161" s="332"/>
      <c r="E161" s="332"/>
      <c r="F161" s="332"/>
      <c r="G161" s="332"/>
      <c r="H161" s="332"/>
      <c r="I161" s="332"/>
      <c r="J161" s="332"/>
      <c r="K161" s="332"/>
      <c r="L161" s="332"/>
      <c r="M161" s="332"/>
      <c r="N161" s="332"/>
      <c r="O161" s="332"/>
      <c r="P161" s="332"/>
      <c r="Q161" s="332"/>
      <c r="R161" s="332"/>
      <c r="S161" s="332"/>
      <c r="T161" s="332"/>
      <c r="U161" s="332"/>
      <c r="V161" s="332"/>
      <c r="W161" s="332"/>
      <c r="X161" s="332"/>
      <c r="Y161" s="332"/>
      <c r="Z161" s="332"/>
      <c r="AA161" s="332"/>
      <c r="AB161" s="332"/>
      <c r="AC161" s="332"/>
      <c r="AD161" s="332"/>
      <c r="AE161" s="332"/>
      <c r="AF161" s="332"/>
      <c r="AG161" s="332"/>
      <c r="AH161" s="332"/>
      <c r="AI161" s="332"/>
      <c r="AJ161" s="332"/>
      <c r="AK161" s="332"/>
      <c r="AL161" s="332"/>
      <c r="AM161" s="332"/>
      <c r="AN161" s="332"/>
      <c r="AO161" s="332"/>
      <c r="AP161" s="332"/>
    </row>
    <row r="162" ht="14.25" customHeight="1">
      <c r="A162" s="332"/>
      <c r="B162" s="332"/>
      <c r="C162" s="332"/>
      <c r="D162" s="332"/>
      <c r="E162" s="332"/>
      <c r="F162" s="332"/>
      <c r="G162" s="332"/>
      <c r="H162" s="332"/>
      <c r="I162" s="332"/>
      <c r="J162" s="332"/>
      <c r="K162" s="332"/>
      <c r="L162" s="332"/>
      <c r="M162" s="332"/>
      <c r="N162" s="332"/>
      <c r="O162" s="332"/>
      <c r="P162" s="332"/>
      <c r="Q162" s="332"/>
      <c r="R162" s="332"/>
      <c r="S162" s="332"/>
      <c r="T162" s="332"/>
      <c r="U162" s="332"/>
      <c r="V162" s="332"/>
      <c r="W162" s="332"/>
      <c r="X162" s="332"/>
      <c r="Y162" s="332"/>
      <c r="Z162" s="332"/>
      <c r="AA162" s="332"/>
      <c r="AB162" s="332"/>
      <c r="AC162" s="332"/>
      <c r="AD162" s="332"/>
      <c r="AE162" s="332"/>
      <c r="AF162" s="332"/>
      <c r="AG162" s="332"/>
      <c r="AH162" s="332"/>
      <c r="AI162" s="332"/>
      <c r="AJ162" s="332"/>
      <c r="AK162" s="332"/>
      <c r="AL162" s="332"/>
      <c r="AM162" s="332"/>
      <c r="AN162" s="332"/>
      <c r="AO162" s="332"/>
      <c r="AP162" s="332"/>
    </row>
    <row r="163" ht="14.25" customHeight="1">
      <c r="A163" s="332"/>
      <c r="B163" s="332"/>
      <c r="C163" s="332"/>
      <c r="D163" s="332"/>
      <c r="E163" s="332"/>
      <c r="F163" s="332"/>
      <c r="G163" s="332"/>
      <c r="H163" s="332"/>
      <c r="I163" s="332"/>
      <c r="J163" s="332"/>
      <c r="K163" s="332"/>
      <c r="L163" s="332"/>
      <c r="M163" s="332"/>
      <c r="N163" s="332"/>
      <c r="O163" s="332"/>
      <c r="P163" s="332"/>
      <c r="Q163" s="332"/>
      <c r="R163" s="332"/>
      <c r="S163" s="332"/>
      <c r="T163" s="332"/>
      <c r="U163" s="332"/>
      <c r="V163" s="332"/>
      <c r="W163" s="332"/>
      <c r="X163" s="332"/>
      <c r="Y163" s="332"/>
      <c r="Z163" s="332"/>
      <c r="AA163" s="332"/>
      <c r="AB163" s="332"/>
      <c r="AC163" s="332"/>
      <c r="AD163" s="332"/>
      <c r="AE163" s="332"/>
      <c r="AF163" s="332"/>
      <c r="AG163" s="332"/>
      <c r="AH163" s="332"/>
      <c r="AI163" s="332"/>
      <c r="AJ163" s="332"/>
      <c r="AK163" s="332"/>
      <c r="AL163" s="332"/>
      <c r="AM163" s="332"/>
      <c r="AN163" s="332"/>
      <c r="AO163" s="332"/>
      <c r="AP163" s="332"/>
    </row>
    <row r="164" ht="14.25" customHeight="1">
      <c r="A164" s="332"/>
      <c r="B164" s="332"/>
      <c r="C164" s="332"/>
      <c r="D164" s="332"/>
      <c r="E164" s="332"/>
      <c r="F164" s="332"/>
      <c r="G164" s="332"/>
      <c r="H164" s="332"/>
      <c r="I164" s="332"/>
      <c r="J164" s="332"/>
      <c r="K164" s="332"/>
      <c r="L164" s="332"/>
      <c r="M164" s="332"/>
      <c r="N164" s="332"/>
      <c r="O164" s="332"/>
      <c r="P164" s="332"/>
      <c r="Q164" s="332"/>
      <c r="R164" s="332"/>
      <c r="S164" s="332"/>
      <c r="T164" s="332"/>
      <c r="U164" s="332"/>
      <c r="V164" s="332"/>
      <c r="W164" s="332"/>
      <c r="X164" s="332"/>
      <c r="Y164" s="332"/>
      <c r="Z164" s="332"/>
      <c r="AA164" s="332"/>
      <c r="AB164" s="332"/>
      <c r="AC164" s="332"/>
      <c r="AD164" s="332"/>
      <c r="AE164" s="332"/>
      <c r="AF164" s="332"/>
      <c r="AG164" s="332"/>
      <c r="AH164" s="332"/>
      <c r="AI164" s="332"/>
      <c r="AJ164" s="332"/>
      <c r="AK164" s="332"/>
      <c r="AL164" s="332"/>
      <c r="AM164" s="332"/>
      <c r="AN164" s="332"/>
      <c r="AO164" s="332"/>
      <c r="AP164" s="332"/>
    </row>
    <row r="165" ht="14.25" customHeight="1">
      <c r="A165" s="332"/>
      <c r="B165" s="332"/>
      <c r="C165" s="332"/>
      <c r="D165" s="332"/>
      <c r="E165" s="332"/>
      <c r="F165" s="332"/>
      <c r="G165" s="332"/>
      <c r="H165" s="332"/>
      <c r="I165" s="332"/>
      <c r="J165" s="332"/>
      <c r="K165" s="332"/>
      <c r="L165" s="332"/>
      <c r="M165" s="332"/>
      <c r="N165" s="332"/>
      <c r="O165" s="332"/>
      <c r="P165" s="332"/>
      <c r="Q165" s="332"/>
      <c r="R165" s="332"/>
      <c r="S165" s="332"/>
      <c r="T165" s="332"/>
      <c r="U165" s="332"/>
      <c r="V165" s="332"/>
      <c r="W165" s="332"/>
      <c r="X165" s="332"/>
      <c r="Y165" s="332"/>
      <c r="Z165" s="332"/>
      <c r="AA165" s="332"/>
      <c r="AB165" s="332"/>
      <c r="AC165" s="332"/>
      <c r="AD165" s="332"/>
      <c r="AE165" s="332"/>
      <c r="AF165" s="332"/>
      <c r="AG165" s="332"/>
      <c r="AH165" s="332"/>
      <c r="AI165" s="332"/>
      <c r="AJ165" s="332"/>
      <c r="AK165" s="332"/>
      <c r="AL165" s="332"/>
      <c r="AM165" s="332"/>
      <c r="AN165" s="332"/>
      <c r="AO165" s="332"/>
      <c r="AP165" s="332"/>
    </row>
    <row r="166" ht="14.25" customHeight="1">
      <c r="A166" s="332"/>
      <c r="B166" s="332"/>
      <c r="C166" s="332"/>
      <c r="D166" s="332"/>
      <c r="E166" s="332"/>
      <c r="F166" s="332"/>
      <c r="G166" s="332"/>
      <c r="H166" s="332"/>
      <c r="I166" s="332"/>
      <c r="J166" s="332"/>
      <c r="K166" s="332"/>
      <c r="L166" s="332"/>
      <c r="M166" s="332"/>
      <c r="N166" s="332"/>
      <c r="O166" s="332"/>
      <c r="P166" s="332"/>
      <c r="Q166" s="332"/>
      <c r="R166" s="332"/>
      <c r="S166" s="332"/>
      <c r="T166" s="332"/>
      <c r="U166" s="332"/>
      <c r="V166" s="332"/>
      <c r="W166" s="332"/>
      <c r="X166" s="332"/>
      <c r="Y166" s="332"/>
      <c r="Z166" s="332"/>
      <c r="AA166" s="332"/>
      <c r="AB166" s="332"/>
      <c r="AC166" s="332"/>
      <c r="AD166" s="332"/>
      <c r="AE166" s="332"/>
      <c r="AF166" s="332"/>
      <c r="AG166" s="332"/>
      <c r="AH166" s="332"/>
      <c r="AI166" s="332"/>
      <c r="AJ166" s="332"/>
      <c r="AK166" s="332"/>
      <c r="AL166" s="332"/>
      <c r="AM166" s="332"/>
      <c r="AN166" s="332"/>
      <c r="AO166" s="332"/>
      <c r="AP166" s="332"/>
    </row>
    <row r="167" ht="14.25" customHeight="1">
      <c r="A167" s="332"/>
      <c r="B167" s="332"/>
      <c r="C167" s="332"/>
      <c r="D167" s="332"/>
      <c r="E167" s="332"/>
      <c r="F167" s="332"/>
      <c r="G167" s="332"/>
      <c r="H167" s="332"/>
      <c r="I167" s="332"/>
      <c r="J167" s="332"/>
      <c r="K167" s="332"/>
      <c r="L167" s="332"/>
      <c r="M167" s="332"/>
      <c r="N167" s="332"/>
      <c r="O167" s="332"/>
      <c r="P167" s="332"/>
      <c r="Q167" s="332"/>
      <c r="R167" s="332"/>
      <c r="S167" s="332"/>
      <c r="T167" s="332"/>
      <c r="U167" s="332"/>
      <c r="V167" s="332"/>
      <c r="W167" s="332"/>
      <c r="X167" s="332"/>
      <c r="Y167" s="332"/>
      <c r="Z167" s="332"/>
      <c r="AA167" s="332"/>
      <c r="AB167" s="332"/>
      <c r="AC167" s="332"/>
      <c r="AD167" s="332"/>
      <c r="AE167" s="332"/>
      <c r="AF167" s="332"/>
      <c r="AG167" s="332"/>
      <c r="AH167" s="332"/>
      <c r="AI167" s="332"/>
      <c r="AJ167" s="332"/>
      <c r="AK167" s="332"/>
      <c r="AL167" s="332"/>
      <c r="AM167" s="332"/>
      <c r="AN167" s="332"/>
      <c r="AO167" s="332"/>
      <c r="AP167" s="332"/>
    </row>
    <row r="168" ht="14.25" customHeight="1">
      <c r="A168" s="332"/>
      <c r="B168" s="332"/>
      <c r="C168" s="332"/>
      <c r="D168" s="332"/>
      <c r="E168" s="332"/>
      <c r="F168" s="332"/>
      <c r="G168" s="332"/>
      <c r="H168" s="332"/>
      <c r="I168" s="332"/>
      <c r="J168" s="332"/>
      <c r="K168" s="332"/>
      <c r="L168" s="332"/>
      <c r="M168" s="332"/>
      <c r="N168" s="332"/>
      <c r="O168" s="332"/>
      <c r="P168" s="332"/>
      <c r="Q168" s="332"/>
      <c r="R168" s="332"/>
      <c r="S168" s="332"/>
      <c r="T168" s="332"/>
      <c r="U168" s="332"/>
      <c r="V168" s="332"/>
      <c r="W168" s="332"/>
      <c r="X168" s="332"/>
      <c r="Y168" s="332"/>
      <c r="Z168" s="332"/>
      <c r="AA168" s="332"/>
      <c r="AB168" s="332"/>
      <c r="AC168" s="332"/>
      <c r="AD168" s="332"/>
      <c r="AE168" s="332"/>
      <c r="AF168" s="332"/>
      <c r="AG168" s="332"/>
      <c r="AH168" s="332"/>
      <c r="AI168" s="332"/>
      <c r="AJ168" s="332"/>
      <c r="AK168" s="332"/>
      <c r="AL168" s="332"/>
      <c r="AM168" s="332"/>
      <c r="AN168" s="332"/>
      <c r="AO168" s="332"/>
      <c r="AP168" s="332"/>
    </row>
    <row r="169" ht="14.25" customHeight="1">
      <c r="A169" s="332"/>
      <c r="B169" s="332"/>
      <c r="C169" s="332"/>
      <c r="D169" s="332"/>
      <c r="E169" s="332"/>
      <c r="F169" s="332"/>
      <c r="G169" s="332"/>
      <c r="H169" s="332"/>
      <c r="I169" s="332"/>
      <c r="J169" s="332"/>
      <c r="K169" s="332"/>
      <c r="L169" s="332"/>
      <c r="M169" s="332"/>
      <c r="N169" s="332"/>
      <c r="O169" s="332"/>
      <c r="P169" s="332"/>
      <c r="Q169" s="332"/>
      <c r="R169" s="332"/>
      <c r="S169" s="332"/>
      <c r="T169" s="332"/>
      <c r="U169" s="332"/>
      <c r="V169" s="332"/>
      <c r="W169" s="332"/>
      <c r="X169" s="332"/>
      <c r="Y169" s="332"/>
      <c r="Z169" s="332"/>
      <c r="AA169" s="332"/>
      <c r="AB169" s="332"/>
      <c r="AC169" s="332"/>
      <c r="AD169" s="332"/>
      <c r="AE169" s="332"/>
      <c r="AF169" s="332"/>
      <c r="AG169" s="332"/>
      <c r="AH169" s="332"/>
      <c r="AI169" s="332"/>
      <c r="AJ169" s="332"/>
      <c r="AK169" s="332"/>
      <c r="AL169" s="332"/>
      <c r="AM169" s="332"/>
      <c r="AN169" s="332"/>
      <c r="AO169" s="332"/>
      <c r="AP169" s="332"/>
    </row>
    <row r="170" ht="14.25" customHeight="1">
      <c r="A170" s="332"/>
      <c r="B170" s="332"/>
      <c r="C170" s="332"/>
      <c r="D170" s="332"/>
      <c r="E170" s="332"/>
      <c r="F170" s="332"/>
      <c r="G170" s="332"/>
      <c r="H170" s="332"/>
      <c r="I170" s="332"/>
      <c r="J170" s="332"/>
      <c r="K170" s="332"/>
      <c r="L170" s="332"/>
      <c r="M170" s="332"/>
      <c r="N170" s="332"/>
      <c r="O170" s="332"/>
      <c r="P170" s="332"/>
      <c r="Q170" s="332"/>
      <c r="R170" s="332"/>
      <c r="S170" s="332"/>
      <c r="T170" s="332"/>
      <c r="U170" s="332"/>
      <c r="V170" s="332"/>
      <c r="W170" s="332"/>
      <c r="X170" s="332"/>
      <c r="Y170" s="332"/>
      <c r="Z170" s="332"/>
      <c r="AA170" s="332"/>
      <c r="AB170" s="332"/>
      <c r="AC170" s="332"/>
      <c r="AD170" s="332"/>
      <c r="AE170" s="332"/>
      <c r="AF170" s="332"/>
      <c r="AG170" s="332"/>
      <c r="AH170" s="332"/>
      <c r="AI170" s="332"/>
      <c r="AJ170" s="332"/>
      <c r="AK170" s="332"/>
      <c r="AL170" s="332"/>
      <c r="AM170" s="332"/>
      <c r="AN170" s="332"/>
      <c r="AO170" s="332"/>
      <c r="AP170" s="332"/>
    </row>
    <row r="171" ht="14.25" customHeight="1">
      <c r="A171" s="332"/>
      <c r="B171" s="332"/>
      <c r="C171" s="332"/>
      <c r="D171" s="332"/>
      <c r="E171" s="332"/>
      <c r="F171" s="332"/>
      <c r="G171" s="332"/>
      <c r="H171" s="332"/>
      <c r="I171" s="332"/>
      <c r="J171" s="332"/>
      <c r="K171" s="332"/>
      <c r="L171" s="332"/>
      <c r="M171" s="332"/>
      <c r="N171" s="332"/>
      <c r="O171" s="332"/>
      <c r="P171" s="332"/>
      <c r="Q171" s="332"/>
      <c r="R171" s="332"/>
      <c r="S171" s="332"/>
      <c r="T171" s="332"/>
      <c r="U171" s="332"/>
      <c r="V171" s="332"/>
      <c r="W171" s="332"/>
      <c r="X171" s="332"/>
      <c r="Y171" s="332"/>
      <c r="Z171" s="332"/>
      <c r="AA171" s="332"/>
      <c r="AB171" s="332"/>
      <c r="AC171" s="332"/>
      <c r="AD171" s="332"/>
      <c r="AE171" s="332"/>
      <c r="AF171" s="332"/>
      <c r="AG171" s="332"/>
      <c r="AH171" s="332"/>
      <c r="AI171" s="332"/>
      <c r="AJ171" s="332"/>
      <c r="AK171" s="332"/>
      <c r="AL171" s="332"/>
      <c r="AM171" s="332"/>
      <c r="AN171" s="332"/>
      <c r="AO171" s="332"/>
      <c r="AP171" s="332"/>
    </row>
    <row r="172" ht="14.25" customHeight="1">
      <c r="A172" s="332"/>
      <c r="B172" s="332"/>
      <c r="C172" s="332"/>
      <c r="D172" s="332"/>
      <c r="E172" s="332"/>
      <c r="F172" s="332"/>
      <c r="G172" s="332"/>
      <c r="H172" s="332"/>
      <c r="I172" s="332"/>
      <c r="J172" s="332"/>
      <c r="K172" s="332"/>
      <c r="L172" s="332"/>
      <c r="M172" s="332"/>
      <c r="N172" s="332"/>
      <c r="O172" s="332"/>
      <c r="P172" s="332"/>
      <c r="Q172" s="332"/>
      <c r="R172" s="332"/>
      <c r="S172" s="332"/>
      <c r="T172" s="332"/>
      <c r="U172" s="332"/>
      <c r="V172" s="332"/>
      <c r="W172" s="332"/>
      <c r="X172" s="332"/>
      <c r="Y172" s="332"/>
      <c r="Z172" s="332"/>
      <c r="AA172" s="332"/>
      <c r="AB172" s="332"/>
      <c r="AC172" s="332"/>
      <c r="AD172" s="332"/>
      <c r="AE172" s="332"/>
      <c r="AF172" s="332"/>
      <c r="AG172" s="332"/>
      <c r="AH172" s="332"/>
      <c r="AI172" s="332"/>
      <c r="AJ172" s="332"/>
      <c r="AK172" s="332"/>
      <c r="AL172" s="332"/>
      <c r="AM172" s="332"/>
      <c r="AN172" s="332"/>
      <c r="AO172" s="332"/>
      <c r="AP172" s="332"/>
    </row>
    <row r="173" ht="14.25" customHeight="1">
      <c r="A173" s="332"/>
      <c r="B173" s="332"/>
      <c r="C173" s="332"/>
      <c r="D173" s="332"/>
      <c r="E173" s="332"/>
      <c r="F173" s="332"/>
      <c r="G173" s="332"/>
      <c r="H173" s="332"/>
      <c r="I173" s="332"/>
      <c r="J173" s="332"/>
      <c r="K173" s="332"/>
      <c r="L173" s="332"/>
      <c r="M173" s="332"/>
      <c r="N173" s="332"/>
      <c r="O173" s="332"/>
      <c r="P173" s="332"/>
      <c r="Q173" s="332"/>
      <c r="R173" s="332"/>
      <c r="S173" s="332"/>
      <c r="T173" s="332"/>
      <c r="U173" s="332"/>
      <c r="V173" s="332"/>
      <c r="W173" s="332"/>
      <c r="X173" s="332"/>
      <c r="Y173" s="332"/>
      <c r="Z173" s="332"/>
      <c r="AA173" s="332"/>
      <c r="AB173" s="332"/>
      <c r="AC173" s="332"/>
      <c r="AD173" s="332"/>
      <c r="AE173" s="332"/>
      <c r="AF173" s="332"/>
      <c r="AG173" s="332"/>
      <c r="AH173" s="332"/>
      <c r="AI173" s="332"/>
      <c r="AJ173" s="332"/>
      <c r="AK173" s="332"/>
      <c r="AL173" s="332"/>
      <c r="AM173" s="332"/>
      <c r="AN173" s="332"/>
      <c r="AO173" s="332"/>
      <c r="AP173" s="332"/>
    </row>
    <row r="174" ht="14.25" customHeight="1">
      <c r="A174" s="332"/>
      <c r="B174" s="332"/>
      <c r="C174" s="332"/>
      <c r="D174" s="332"/>
      <c r="E174" s="332"/>
      <c r="F174" s="332"/>
      <c r="G174" s="332"/>
      <c r="H174" s="332"/>
      <c r="I174" s="332"/>
      <c r="J174" s="332"/>
      <c r="K174" s="332"/>
      <c r="L174" s="332"/>
      <c r="M174" s="332"/>
      <c r="N174" s="332"/>
      <c r="O174" s="332"/>
      <c r="P174" s="332"/>
      <c r="Q174" s="332"/>
      <c r="R174" s="332"/>
      <c r="S174" s="332"/>
      <c r="T174" s="332"/>
      <c r="U174" s="332"/>
      <c r="V174" s="332"/>
      <c r="W174" s="332"/>
      <c r="X174" s="332"/>
      <c r="Y174" s="332"/>
      <c r="Z174" s="332"/>
      <c r="AA174" s="332"/>
      <c r="AB174" s="332"/>
      <c r="AC174" s="332"/>
      <c r="AD174" s="332"/>
      <c r="AE174" s="332"/>
      <c r="AF174" s="332"/>
      <c r="AG174" s="332"/>
      <c r="AH174" s="332"/>
      <c r="AI174" s="332"/>
      <c r="AJ174" s="332"/>
      <c r="AK174" s="332"/>
      <c r="AL174" s="332"/>
      <c r="AM174" s="332"/>
      <c r="AN174" s="332"/>
      <c r="AO174" s="332"/>
      <c r="AP174" s="332"/>
    </row>
    <row r="175" ht="14.25" customHeight="1">
      <c r="A175" s="332"/>
      <c r="B175" s="332"/>
      <c r="C175" s="332"/>
      <c r="D175" s="332"/>
      <c r="E175" s="332"/>
      <c r="F175" s="332"/>
      <c r="G175" s="332"/>
      <c r="H175" s="332"/>
      <c r="I175" s="332"/>
      <c r="J175" s="332"/>
      <c r="K175" s="332"/>
      <c r="L175" s="332"/>
      <c r="M175" s="332"/>
      <c r="N175" s="332"/>
      <c r="O175" s="332"/>
      <c r="P175" s="332"/>
      <c r="Q175" s="332"/>
      <c r="R175" s="332"/>
      <c r="S175" s="332"/>
      <c r="T175" s="332"/>
      <c r="U175" s="332"/>
      <c r="V175" s="332"/>
      <c r="W175" s="332"/>
      <c r="X175" s="332"/>
      <c r="Y175" s="332"/>
      <c r="Z175" s="332"/>
      <c r="AA175" s="332"/>
      <c r="AB175" s="332"/>
      <c r="AC175" s="332"/>
      <c r="AD175" s="332"/>
      <c r="AE175" s="332"/>
      <c r="AF175" s="332"/>
      <c r="AG175" s="332"/>
      <c r="AH175" s="332"/>
      <c r="AI175" s="332"/>
      <c r="AJ175" s="332"/>
      <c r="AK175" s="332"/>
      <c r="AL175" s="332"/>
      <c r="AM175" s="332"/>
      <c r="AN175" s="332"/>
      <c r="AO175" s="332"/>
      <c r="AP175" s="332"/>
    </row>
    <row r="176" ht="14.25" customHeight="1">
      <c r="A176" s="332"/>
      <c r="B176" s="332"/>
      <c r="C176" s="332"/>
      <c r="D176" s="332"/>
      <c r="E176" s="332"/>
      <c r="F176" s="332"/>
      <c r="G176" s="332"/>
      <c r="H176" s="332"/>
      <c r="I176" s="332"/>
      <c r="J176" s="332"/>
      <c r="K176" s="332"/>
      <c r="L176" s="332"/>
      <c r="M176" s="332"/>
      <c r="N176" s="332"/>
      <c r="O176" s="332"/>
      <c r="P176" s="332"/>
      <c r="Q176" s="332"/>
      <c r="R176" s="332"/>
      <c r="S176" s="332"/>
      <c r="T176" s="332"/>
      <c r="U176" s="332"/>
      <c r="V176" s="332"/>
      <c r="W176" s="332"/>
      <c r="X176" s="332"/>
      <c r="Y176" s="332"/>
      <c r="Z176" s="332"/>
      <c r="AA176" s="332"/>
      <c r="AB176" s="332"/>
      <c r="AC176" s="332"/>
      <c r="AD176" s="332"/>
      <c r="AE176" s="332"/>
      <c r="AF176" s="332"/>
      <c r="AG176" s="332"/>
      <c r="AH176" s="332"/>
      <c r="AI176" s="332"/>
      <c r="AJ176" s="332"/>
      <c r="AK176" s="332"/>
      <c r="AL176" s="332"/>
      <c r="AM176" s="332"/>
      <c r="AN176" s="332"/>
      <c r="AO176" s="332"/>
      <c r="AP176" s="332"/>
    </row>
    <row r="177" ht="14.25" customHeight="1">
      <c r="A177" s="332"/>
      <c r="B177" s="332"/>
      <c r="C177" s="332"/>
      <c r="D177" s="332"/>
      <c r="E177" s="332"/>
      <c r="F177" s="332"/>
      <c r="G177" s="332"/>
      <c r="H177" s="332"/>
      <c r="I177" s="332"/>
      <c r="J177" s="332"/>
      <c r="K177" s="332"/>
      <c r="L177" s="332"/>
      <c r="M177" s="332"/>
      <c r="N177" s="332"/>
      <c r="O177" s="332"/>
      <c r="P177" s="332"/>
      <c r="Q177" s="332"/>
      <c r="R177" s="332"/>
      <c r="S177" s="332"/>
      <c r="T177" s="332"/>
      <c r="U177" s="332"/>
      <c r="V177" s="332"/>
      <c r="W177" s="332"/>
      <c r="X177" s="332"/>
      <c r="Y177" s="332"/>
      <c r="Z177" s="332"/>
      <c r="AA177" s="332"/>
      <c r="AB177" s="332"/>
      <c r="AC177" s="332"/>
      <c r="AD177" s="332"/>
      <c r="AE177" s="332"/>
      <c r="AF177" s="332"/>
      <c r="AG177" s="332"/>
      <c r="AH177" s="332"/>
      <c r="AI177" s="332"/>
      <c r="AJ177" s="332"/>
      <c r="AK177" s="332"/>
      <c r="AL177" s="332"/>
      <c r="AM177" s="332"/>
      <c r="AN177" s="332"/>
      <c r="AO177" s="332"/>
      <c r="AP177" s="332"/>
    </row>
    <row r="178" ht="14.25" customHeight="1">
      <c r="A178" s="332"/>
      <c r="B178" s="332"/>
      <c r="C178" s="332"/>
      <c r="D178" s="332"/>
      <c r="E178" s="332"/>
      <c r="F178" s="332"/>
      <c r="G178" s="332"/>
      <c r="H178" s="332"/>
      <c r="I178" s="332"/>
      <c r="J178" s="332"/>
      <c r="K178" s="332"/>
      <c r="L178" s="332"/>
      <c r="M178" s="332"/>
      <c r="N178" s="332"/>
      <c r="O178" s="332"/>
      <c r="P178" s="332"/>
      <c r="Q178" s="332"/>
      <c r="R178" s="332"/>
      <c r="S178" s="332"/>
      <c r="T178" s="332"/>
      <c r="U178" s="332"/>
      <c r="V178" s="332"/>
      <c r="W178" s="332"/>
      <c r="X178" s="332"/>
      <c r="Y178" s="332"/>
      <c r="Z178" s="332"/>
      <c r="AA178" s="332"/>
      <c r="AB178" s="332"/>
      <c r="AC178" s="332"/>
      <c r="AD178" s="332"/>
      <c r="AE178" s="332"/>
      <c r="AF178" s="332"/>
      <c r="AG178" s="332"/>
      <c r="AH178" s="332"/>
      <c r="AI178" s="332"/>
      <c r="AJ178" s="332"/>
      <c r="AK178" s="332"/>
      <c r="AL178" s="332"/>
      <c r="AM178" s="332"/>
      <c r="AN178" s="332"/>
      <c r="AO178" s="332"/>
      <c r="AP178" s="332"/>
    </row>
    <row r="179" ht="14.25" customHeight="1">
      <c r="A179" s="332"/>
      <c r="B179" s="332"/>
      <c r="C179" s="332"/>
      <c r="D179" s="332"/>
      <c r="E179" s="332"/>
      <c r="F179" s="332"/>
      <c r="G179" s="332"/>
      <c r="H179" s="332"/>
      <c r="I179" s="332"/>
      <c r="J179" s="332"/>
      <c r="K179" s="332"/>
      <c r="L179" s="332"/>
      <c r="M179" s="332"/>
      <c r="N179" s="332"/>
      <c r="O179" s="332"/>
      <c r="P179" s="332"/>
      <c r="Q179" s="332"/>
      <c r="R179" s="332"/>
      <c r="S179" s="332"/>
      <c r="T179" s="332"/>
      <c r="U179" s="332"/>
      <c r="V179" s="332"/>
      <c r="W179" s="332"/>
      <c r="X179" s="332"/>
      <c r="Y179" s="332"/>
      <c r="Z179" s="332"/>
      <c r="AA179" s="332"/>
      <c r="AB179" s="332"/>
      <c r="AC179" s="332"/>
      <c r="AD179" s="332"/>
      <c r="AE179" s="332"/>
      <c r="AF179" s="332"/>
      <c r="AG179" s="332"/>
      <c r="AH179" s="332"/>
      <c r="AI179" s="332"/>
      <c r="AJ179" s="332"/>
      <c r="AK179" s="332"/>
      <c r="AL179" s="332"/>
      <c r="AM179" s="332"/>
      <c r="AN179" s="332"/>
      <c r="AO179" s="332"/>
      <c r="AP179" s="332"/>
    </row>
    <row r="180" ht="14.25" customHeight="1">
      <c r="A180" s="332"/>
      <c r="B180" s="332"/>
      <c r="C180" s="332"/>
      <c r="D180" s="332"/>
      <c r="E180" s="332"/>
      <c r="F180" s="332"/>
      <c r="G180" s="332"/>
      <c r="H180" s="332"/>
      <c r="I180" s="332"/>
      <c r="J180" s="332"/>
      <c r="K180" s="332"/>
      <c r="L180" s="332"/>
      <c r="M180" s="332"/>
      <c r="N180" s="332"/>
      <c r="O180" s="332"/>
      <c r="P180" s="332"/>
      <c r="Q180" s="332"/>
      <c r="R180" s="332"/>
      <c r="S180" s="332"/>
      <c r="T180" s="332"/>
      <c r="U180" s="332"/>
      <c r="V180" s="332"/>
      <c r="W180" s="332"/>
      <c r="X180" s="332"/>
      <c r="Y180" s="332"/>
      <c r="Z180" s="332"/>
      <c r="AA180" s="332"/>
      <c r="AB180" s="332"/>
      <c r="AC180" s="332"/>
      <c r="AD180" s="332"/>
      <c r="AE180" s="332"/>
      <c r="AF180" s="332"/>
      <c r="AG180" s="332"/>
      <c r="AH180" s="332"/>
      <c r="AI180" s="332"/>
      <c r="AJ180" s="332"/>
      <c r="AK180" s="332"/>
      <c r="AL180" s="332"/>
      <c r="AM180" s="332"/>
      <c r="AN180" s="332"/>
      <c r="AO180" s="332"/>
      <c r="AP180" s="332"/>
    </row>
    <row r="181" ht="14.25" customHeight="1">
      <c r="A181" s="332"/>
      <c r="B181" s="332"/>
      <c r="C181" s="332"/>
      <c r="D181" s="332"/>
      <c r="E181" s="332"/>
      <c r="F181" s="332"/>
      <c r="G181" s="332"/>
      <c r="H181" s="332"/>
      <c r="I181" s="332"/>
      <c r="J181" s="332"/>
      <c r="K181" s="332"/>
      <c r="L181" s="332"/>
      <c r="M181" s="332"/>
      <c r="N181" s="332"/>
      <c r="O181" s="332"/>
      <c r="P181" s="332"/>
      <c r="Q181" s="332"/>
      <c r="R181" s="332"/>
      <c r="S181" s="332"/>
      <c r="T181" s="332"/>
      <c r="U181" s="332"/>
      <c r="V181" s="332"/>
      <c r="W181" s="332"/>
      <c r="X181" s="332"/>
      <c r="Y181" s="332"/>
      <c r="Z181" s="332"/>
      <c r="AA181" s="332"/>
      <c r="AB181" s="332"/>
      <c r="AC181" s="332"/>
      <c r="AD181" s="332"/>
      <c r="AE181" s="332"/>
      <c r="AF181" s="332"/>
      <c r="AG181" s="332"/>
      <c r="AH181" s="332"/>
      <c r="AI181" s="332"/>
      <c r="AJ181" s="332"/>
      <c r="AK181" s="332"/>
      <c r="AL181" s="332"/>
      <c r="AM181" s="332"/>
      <c r="AN181" s="332"/>
      <c r="AO181" s="332"/>
      <c r="AP181" s="332"/>
    </row>
    <row r="182" ht="14.25" customHeight="1">
      <c r="A182" s="332"/>
      <c r="B182" s="332"/>
      <c r="C182" s="332"/>
      <c r="D182" s="332"/>
      <c r="E182" s="332"/>
      <c r="F182" s="332"/>
      <c r="G182" s="332"/>
      <c r="H182" s="332"/>
      <c r="I182" s="332"/>
      <c r="J182" s="332"/>
      <c r="K182" s="332"/>
      <c r="L182" s="332"/>
      <c r="M182" s="332"/>
      <c r="N182" s="332"/>
      <c r="O182" s="332"/>
      <c r="P182" s="332"/>
      <c r="Q182" s="332"/>
      <c r="R182" s="332"/>
      <c r="S182" s="332"/>
      <c r="T182" s="332"/>
      <c r="U182" s="332"/>
      <c r="V182" s="332"/>
      <c r="W182" s="332"/>
      <c r="X182" s="332"/>
      <c r="Y182" s="332"/>
      <c r="Z182" s="332"/>
      <c r="AA182" s="332"/>
      <c r="AB182" s="332"/>
      <c r="AC182" s="332"/>
      <c r="AD182" s="332"/>
      <c r="AE182" s="332"/>
      <c r="AF182" s="332"/>
      <c r="AG182" s="332"/>
      <c r="AH182" s="332"/>
      <c r="AI182" s="332"/>
      <c r="AJ182" s="332"/>
      <c r="AK182" s="332"/>
      <c r="AL182" s="332"/>
      <c r="AM182" s="332"/>
      <c r="AN182" s="332"/>
      <c r="AO182" s="332"/>
      <c r="AP182" s="332"/>
    </row>
    <row r="183" ht="14.25" customHeight="1">
      <c r="A183" s="332"/>
      <c r="B183" s="332"/>
      <c r="C183" s="332"/>
      <c r="D183" s="332"/>
      <c r="E183" s="332"/>
      <c r="F183" s="332"/>
      <c r="G183" s="332"/>
      <c r="H183" s="332"/>
      <c r="I183" s="332"/>
      <c r="J183" s="332"/>
      <c r="K183" s="332"/>
      <c r="L183" s="332"/>
      <c r="M183" s="332"/>
      <c r="N183" s="332"/>
      <c r="O183" s="332"/>
      <c r="P183" s="332"/>
      <c r="Q183" s="332"/>
      <c r="R183" s="332"/>
      <c r="S183" s="332"/>
      <c r="T183" s="332"/>
      <c r="U183" s="332"/>
      <c r="V183" s="332"/>
      <c r="W183" s="332"/>
      <c r="X183" s="332"/>
      <c r="Y183" s="332"/>
      <c r="Z183" s="332"/>
      <c r="AA183" s="332"/>
      <c r="AB183" s="332"/>
      <c r="AC183" s="332"/>
      <c r="AD183" s="332"/>
      <c r="AE183" s="332"/>
      <c r="AF183" s="332"/>
      <c r="AG183" s="332"/>
      <c r="AH183" s="332"/>
      <c r="AI183" s="332"/>
      <c r="AJ183" s="332"/>
      <c r="AK183" s="332"/>
      <c r="AL183" s="332"/>
      <c r="AM183" s="332"/>
      <c r="AN183" s="332"/>
      <c r="AO183" s="332"/>
      <c r="AP183" s="332"/>
    </row>
    <row r="184" ht="14.25" customHeight="1">
      <c r="A184" s="332"/>
      <c r="B184" s="332"/>
      <c r="C184" s="332"/>
      <c r="D184" s="332"/>
      <c r="E184" s="332"/>
      <c r="F184" s="332"/>
      <c r="G184" s="332"/>
      <c r="H184" s="332"/>
      <c r="I184" s="332"/>
      <c r="J184" s="332"/>
      <c r="K184" s="332"/>
      <c r="L184" s="332"/>
      <c r="M184" s="332"/>
      <c r="N184" s="332"/>
      <c r="O184" s="332"/>
      <c r="P184" s="332"/>
      <c r="Q184" s="332"/>
      <c r="R184" s="332"/>
      <c r="S184" s="332"/>
      <c r="T184" s="332"/>
      <c r="U184" s="332"/>
      <c r="V184" s="332"/>
      <c r="W184" s="332"/>
      <c r="X184" s="332"/>
      <c r="Y184" s="332"/>
      <c r="Z184" s="332"/>
      <c r="AA184" s="332"/>
      <c r="AB184" s="332"/>
      <c r="AC184" s="332"/>
      <c r="AD184" s="332"/>
      <c r="AE184" s="332"/>
      <c r="AF184" s="332"/>
      <c r="AG184" s="332"/>
      <c r="AH184" s="332"/>
      <c r="AI184" s="332"/>
      <c r="AJ184" s="332"/>
      <c r="AK184" s="332"/>
      <c r="AL184" s="332"/>
      <c r="AM184" s="332"/>
      <c r="AN184" s="332"/>
      <c r="AO184" s="332"/>
      <c r="AP184" s="332"/>
    </row>
    <row r="185" ht="14.25" customHeight="1">
      <c r="A185" s="332"/>
      <c r="B185" s="332"/>
      <c r="C185" s="332"/>
      <c r="D185" s="332"/>
      <c r="E185" s="332"/>
      <c r="F185" s="332"/>
      <c r="G185" s="332"/>
      <c r="H185" s="332"/>
      <c r="I185" s="332"/>
      <c r="J185" s="332"/>
      <c r="K185" s="332"/>
      <c r="L185" s="332"/>
      <c r="M185" s="332"/>
      <c r="N185" s="332"/>
      <c r="O185" s="332"/>
      <c r="P185" s="332"/>
      <c r="Q185" s="332"/>
      <c r="R185" s="332"/>
      <c r="S185" s="332"/>
      <c r="T185" s="332"/>
      <c r="U185" s="332"/>
      <c r="V185" s="332"/>
      <c r="W185" s="332"/>
      <c r="X185" s="332"/>
      <c r="Y185" s="332"/>
      <c r="Z185" s="332"/>
      <c r="AA185" s="332"/>
      <c r="AB185" s="332"/>
      <c r="AC185" s="332"/>
      <c r="AD185" s="332"/>
      <c r="AE185" s="332"/>
      <c r="AF185" s="332"/>
      <c r="AG185" s="332"/>
      <c r="AH185" s="332"/>
      <c r="AI185" s="332"/>
      <c r="AJ185" s="332"/>
      <c r="AK185" s="332"/>
      <c r="AL185" s="332"/>
      <c r="AM185" s="332"/>
      <c r="AN185" s="332"/>
      <c r="AO185" s="332"/>
      <c r="AP185" s="332"/>
    </row>
    <row r="186" ht="14.25" customHeight="1">
      <c r="A186" s="332"/>
      <c r="B186" s="332"/>
      <c r="C186" s="332"/>
      <c r="D186" s="332"/>
      <c r="E186" s="332"/>
      <c r="F186" s="332"/>
      <c r="G186" s="332"/>
      <c r="H186" s="332"/>
      <c r="I186" s="332"/>
      <c r="J186" s="332"/>
      <c r="K186" s="332"/>
      <c r="L186" s="332"/>
      <c r="M186" s="332"/>
      <c r="N186" s="332"/>
      <c r="O186" s="332"/>
      <c r="P186" s="332"/>
      <c r="Q186" s="332"/>
      <c r="R186" s="332"/>
      <c r="S186" s="332"/>
      <c r="T186" s="332"/>
      <c r="U186" s="332"/>
      <c r="V186" s="332"/>
      <c r="W186" s="332"/>
      <c r="X186" s="332"/>
      <c r="Y186" s="332"/>
      <c r="Z186" s="332"/>
      <c r="AA186" s="332"/>
      <c r="AB186" s="332"/>
      <c r="AC186" s="332"/>
      <c r="AD186" s="332"/>
      <c r="AE186" s="332"/>
      <c r="AF186" s="332"/>
      <c r="AG186" s="332"/>
      <c r="AH186" s="332"/>
      <c r="AI186" s="332"/>
      <c r="AJ186" s="332"/>
      <c r="AK186" s="332"/>
      <c r="AL186" s="332"/>
      <c r="AM186" s="332"/>
      <c r="AN186" s="332"/>
      <c r="AO186" s="332"/>
      <c r="AP186" s="332"/>
    </row>
    <row r="187" ht="14.25" customHeight="1">
      <c r="A187" s="332"/>
      <c r="B187" s="332"/>
      <c r="C187" s="332"/>
      <c r="D187" s="332"/>
      <c r="E187" s="332"/>
      <c r="F187" s="332"/>
      <c r="G187" s="332"/>
      <c r="H187" s="332"/>
      <c r="I187" s="332"/>
      <c r="J187" s="332"/>
      <c r="K187" s="332"/>
      <c r="L187" s="332"/>
      <c r="M187" s="332"/>
      <c r="N187" s="332"/>
      <c r="O187" s="332"/>
      <c r="P187" s="332"/>
      <c r="Q187" s="332"/>
      <c r="R187" s="332"/>
      <c r="S187" s="332"/>
      <c r="T187" s="332"/>
      <c r="U187" s="332"/>
      <c r="V187" s="332"/>
      <c r="W187" s="332"/>
      <c r="X187" s="332"/>
      <c r="Y187" s="332"/>
      <c r="Z187" s="332"/>
      <c r="AA187" s="332"/>
      <c r="AB187" s="332"/>
      <c r="AC187" s="332"/>
      <c r="AD187" s="332"/>
      <c r="AE187" s="332"/>
      <c r="AF187" s="332"/>
      <c r="AG187" s="332"/>
      <c r="AH187" s="332"/>
      <c r="AI187" s="332"/>
      <c r="AJ187" s="332"/>
      <c r="AK187" s="332"/>
      <c r="AL187" s="332"/>
      <c r="AM187" s="332"/>
      <c r="AN187" s="332"/>
      <c r="AO187" s="332"/>
      <c r="AP187" s="332"/>
    </row>
    <row r="188" ht="14.25" customHeight="1">
      <c r="A188" s="332"/>
      <c r="B188" s="332"/>
      <c r="C188" s="332"/>
      <c r="D188" s="332"/>
      <c r="E188" s="332"/>
      <c r="F188" s="332"/>
      <c r="G188" s="332"/>
      <c r="H188" s="332"/>
      <c r="I188" s="332"/>
      <c r="J188" s="332"/>
      <c r="K188" s="332"/>
      <c r="L188" s="332"/>
      <c r="M188" s="332"/>
      <c r="N188" s="332"/>
      <c r="O188" s="332"/>
      <c r="P188" s="332"/>
      <c r="Q188" s="332"/>
      <c r="R188" s="332"/>
      <c r="S188" s="332"/>
      <c r="T188" s="332"/>
      <c r="U188" s="332"/>
      <c r="V188" s="332"/>
      <c r="W188" s="332"/>
      <c r="X188" s="332"/>
      <c r="Y188" s="332"/>
      <c r="Z188" s="332"/>
      <c r="AA188" s="332"/>
      <c r="AB188" s="332"/>
      <c r="AC188" s="332"/>
      <c r="AD188" s="332"/>
      <c r="AE188" s="332"/>
      <c r="AF188" s="332"/>
      <c r="AG188" s="332"/>
      <c r="AH188" s="332"/>
      <c r="AI188" s="332"/>
      <c r="AJ188" s="332"/>
      <c r="AK188" s="332"/>
      <c r="AL188" s="332"/>
      <c r="AM188" s="332"/>
      <c r="AN188" s="332"/>
      <c r="AO188" s="332"/>
      <c r="AP188" s="332"/>
    </row>
    <row r="189" ht="14.25" customHeight="1">
      <c r="A189" s="332"/>
      <c r="B189" s="332"/>
      <c r="C189" s="332"/>
      <c r="D189" s="332"/>
      <c r="E189" s="332"/>
      <c r="F189" s="332"/>
      <c r="G189" s="332"/>
      <c r="H189" s="332"/>
      <c r="I189" s="332"/>
      <c r="J189" s="332"/>
      <c r="K189" s="332"/>
      <c r="L189" s="332"/>
      <c r="M189" s="332"/>
      <c r="N189" s="332"/>
      <c r="O189" s="332"/>
      <c r="P189" s="332"/>
      <c r="Q189" s="332"/>
      <c r="R189" s="332"/>
      <c r="S189" s="332"/>
      <c r="T189" s="332"/>
      <c r="U189" s="332"/>
      <c r="V189" s="332"/>
      <c r="W189" s="332"/>
      <c r="X189" s="332"/>
      <c r="Y189" s="332"/>
      <c r="Z189" s="332"/>
      <c r="AA189" s="332"/>
      <c r="AB189" s="332"/>
      <c r="AC189" s="332"/>
      <c r="AD189" s="332"/>
      <c r="AE189" s="332"/>
      <c r="AF189" s="332"/>
      <c r="AG189" s="332"/>
      <c r="AH189" s="332"/>
      <c r="AI189" s="332"/>
      <c r="AJ189" s="332"/>
      <c r="AK189" s="332"/>
      <c r="AL189" s="332"/>
      <c r="AM189" s="332"/>
      <c r="AN189" s="332"/>
      <c r="AO189" s="332"/>
      <c r="AP189" s="332"/>
    </row>
    <row r="190" ht="14.25" customHeight="1">
      <c r="A190" s="332"/>
      <c r="B190" s="332"/>
      <c r="C190" s="332"/>
      <c r="D190" s="332"/>
      <c r="E190" s="332"/>
      <c r="F190" s="332"/>
      <c r="G190" s="332"/>
      <c r="H190" s="332"/>
      <c r="I190" s="332"/>
      <c r="J190" s="332"/>
      <c r="K190" s="332"/>
      <c r="L190" s="332"/>
      <c r="M190" s="332"/>
      <c r="N190" s="332"/>
      <c r="O190" s="332"/>
      <c r="P190" s="332"/>
      <c r="Q190" s="332"/>
      <c r="R190" s="332"/>
      <c r="S190" s="332"/>
      <c r="T190" s="332"/>
      <c r="U190" s="332"/>
      <c r="V190" s="332"/>
      <c r="W190" s="332"/>
      <c r="X190" s="332"/>
      <c r="Y190" s="332"/>
      <c r="Z190" s="332"/>
      <c r="AA190" s="332"/>
      <c r="AB190" s="332"/>
      <c r="AC190" s="332"/>
      <c r="AD190" s="332"/>
      <c r="AE190" s="332"/>
      <c r="AF190" s="332"/>
      <c r="AG190" s="332"/>
      <c r="AH190" s="332"/>
      <c r="AI190" s="332"/>
      <c r="AJ190" s="332"/>
      <c r="AK190" s="332"/>
      <c r="AL190" s="332"/>
      <c r="AM190" s="332"/>
      <c r="AN190" s="332"/>
      <c r="AO190" s="332"/>
      <c r="AP190" s="332"/>
    </row>
    <row r="191" ht="14.25" customHeight="1">
      <c r="A191" s="332"/>
      <c r="B191" s="332"/>
      <c r="C191" s="332"/>
      <c r="D191" s="332"/>
      <c r="E191" s="332"/>
      <c r="F191" s="332"/>
      <c r="G191" s="332"/>
      <c r="H191" s="332"/>
      <c r="I191" s="332"/>
      <c r="J191" s="332"/>
      <c r="K191" s="332"/>
      <c r="L191" s="332"/>
      <c r="M191" s="332"/>
      <c r="N191" s="332"/>
      <c r="O191" s="332"/>
      <c r="P191" s="332"/>
      <c r="Q191" s="332"/>
      <c r="R191" s="332"/>
      <c r="S191" s="332"/>
      <c r="T191" s="332"/>
      <c r="U191" s="332"/>
      <c r="V191" s="332"/>
      <c r="W191" s="332"/>
      <c r="X191" s="332"/>
      <c r="Y191" s="332"/>
      <c r="Z191" s="332"/>
      <c r="AA191" s="332"/>
      <c r="AB191" s="332"/>
      <c r="AC191" s="332"/>
      <c r="AD191" s="332"/>
      <c r="AE191" s="332"/>
      <c r="AF191" s="332"/>
      <c r="AG191" s="332"/>
      <c r="AH191" s="332"/>
      <c r="AI191" s="332"/>
      <c r="AJ191" s="332"/>
      <c r="AK191" s="332"/>
      <c r="AL191" s="332"/>
      <c r="AM191" s="332"/>
      <c r="AN191" s="332"/>
      <c r="AO191" s="332"/>
      <c r="AP191" s="332"/>
    </row>
    <row r="192" ht="14.25" customHeight="1">
      <c r="A192" s="332"/>
      <c r="B192" s="332"/>
      <c r="C192" s="332"/>
      <c r="D192" s="332"/>
      <c r="E192" s="332"/>
      <c r="F192" s="332"/>
      <c r="G192" s="332"/>
      <c r="H192" s="332"/>
      <c r="I192" s="332"/>
      <c r="J192" s="332"/>
      <c r="K192" s="332"/>
      <c r="L192" s="332"/>
      <c r="M192" s="332"/>
      <c r="N192" s="332"/>
      <c r="O192" s="332"/>
      <c r="P192" s="332"/>
      <c r="Q192" s="332"/>
      <c r="R192" s="332"/>
      <c r="S192" s="332"/>
      <c r="T192" s="332"/>
      <c r="U192" s="332"/>
      <c r="V192" s="332"/>
      <c r="W192" s="332"/>
      <c r="X192" s="332"/>
      <c r="Y192" s="332"/>
      <c r="Z192" s="332"/>
      <c r="AA192" s="332"/>
      <c r="AB192" s="332"/>
      <c r="AC192" s="332"/>
      <c r="AD192" s="332"/>
      <c r="AE192" s="332"/>
      <c r="AF192" s="332"/>
      <c r="AG192" s="332"/>
      <c r="AH192" s="332"/>
      <c r="AI192" s="332"/>
      <c r="AJ192" s="332"/>
      <c r="AK192" s="332"/>
      <c r="AL192" s="332"/>
      <c r="AM192" s="332"/>
      <c r="AN192" s="332"/>
      <c r="AO192" s="332"/>
      <c r="AP192" s="332"/>
    </row>
    <row r="193" ht="14.25" customHeight="1">
      <c r="A193" s="332"/>
      <c r="B193" s="332"/>
      <c r="C193" s="332"/>
      <c r="D193" s="332"/>
      <c r="E193" s="332"/>
      <c r="F193" s="332"/>
      <c r="G193" s="332"/>
      <c r="H193" s="332"/>
      <c r="I193" s="332"/>
      <c r="J193" s="332"/>
      <c r="K193" s="332"/>
      <c r="L193" s="332"/>
      <c r="M193" s="332"/>
      <c r="N193" s="332"/>
      <c r="O193" s="332"/>
      <c r="P193" s="332"/>
      <c r="Q193" s="332"/>
      <c r="R193" s="332"/>
      <c r="S193" s="332"/>
      <c r="T193" s="332"/>
      <c r="U193" s="332"/>
      <c r="V193" s="332"/>
      <c r="W193" s="332"/>
      <c r="X193" s="332"/>
      <c r="Y193" s="332"/>
      <c r="Z193" s="332"/>
      <c r="AA193" s="332"/>
      <c r="AB193" s="332"/>
      <c r="AC193" s="332"/>
      <c r="AD193" s="332"/>
      <c r="AE193" s="332"/>
      <c r="AF193" s="332"/>
      <c r="AG193" s="332"/>
      <c r="AH193" s="332"/>
      <c r="AI193" s="332"/>
      <c r="AJ193" s="332"/>
      <c r="AK193" s="332"/>
      <c r="AL193" s="332"/>
      <c r="AM193" s="332"/>
      <c r="AN193" s="332"/>
      <c r="AO193" s="332"/>
      <c r="AP193" s="332"/>
    </row>
    <row r="194" ht="14.25" customHeight="1">
      <c r="A194" s="332"/>
      <c r="B194" s="332"/>
      <c r="C194" s="332"/>
      <c r="D194" s="332"/>
      <c r="E194" s="332"/>
      <c r="F194" s="332"/>
      <c r="G194" s="332"/>
      <c r="H194" s="332"/>
      <c r="I194" s="332"/>
      <c r="J194" s="332"/>
      <c r="K194" s="332"/>
      <c r="L194" s="332"/>
      <c r="M194" s="332"/>
      <c r="N194" s="332"/>
      <c r="O194" s="332"/>
      <c r="P194" s="332"/>
      <c r="Q194" s="332"/>
      <c r="R194" s="332"/>
      <c r="S194" s="332"/>
      <c r="T194" s="332"/>
      <c r="U194" s="332"/>
      <c r="V194" s="332"/>
      <c r="W194" s="332"/>
      <c r="X194" s="332"/>
      <c r="Y194" s="332"/>
      <c r="Z194" s="332"/>
      <c r="AA194" s="332"/>
      <c r="AB194" s="332"/>
      <c r="AC194" s="332"/>
      <c r="AD194" s="332"/>
      <c r="AE194" s="332"/>
      <c r="AF194" s="332"/>
      <c r="AG194" s="332"/>
      <c r="AH194" s="332"/>
      <c r="AI194" s="332"/>
      <c r="AJ194" s="332"/>
      <c r="AK194" s="332"/>
      <c r="AL194" s="332"/>
      <c r="AM194" s="332"/>
      <c r="AN194" s="332"/>
      <c r="AO194" s="332"/>
      <c r="AP194" s="332"/>
    </row>
    <row r="195" ht="14.25" customHeight="1">
      <c r="A195" s="332"/>
      <c r="B195" s="332"/>
      <c r="C195" s="332"/>
      <c r="D195" s="332"/>
      <c r="E195" s="332"/>
      <c r="F195" s="332"/>
      <c r="G195" s="332"/>
      <c r="H195" s="332"/>
      <c r="I195" s="332"/>
      <c r="J195" s="332"/>
      <c r="K195" s="332"/>
      <c r="L195" s="332"/>
      <c r="M195" s="332"/>
      <c r="N195" s="332"/>
      <c r="O195" s="332"/>
      <c r="P195" s="332"/>
      <c r="Q195" s="332"/>
      <c r="R195" s="332"/>
      <c r="S195" s="332"/>
      <c r="T195" s="332"/>
      <c r="U195" s="332"/>
      <c r="V195" s="332"/>
      <c r="W195" s="332"/>
      <c r="X195" s="332"/>
      <c r="Y195" s="332"/>
      <c r="Z195" s="332"/>
      <c r="AA195" s="332"/>
      <c r="AB195" s="332"/>
      <c r="AC195" s="332"/>
      <c r="AD195" s="332"/>
      <c r="AE195" s="332"/>
      <c r="AF195" s="332"/>
      <c r="AG195" s="332"/>
      <c r="AH195" s="332"/>
      <c r="AI195" s="332"/>
      <c r="AJ195" s="332"/>
      <c r="AK195" s="332"/>
      <c r="AL195" s="332"/>
      <c r="AM195" s="332"/>
      <c r="AN195" s="332"/>
      <c r="AO195" s="332"/>
      <c r="AP195" s="332"/>
    </row>
    <row r="196" ht="14.25" customHeight="1">
      <c r="A196" s="332"/>
      <c r="B196" s="332"/>
      <c r="C196" s="332"/>
      <c r="D196" s="332"/>
      <c r="E196" s="332"/>
      <c r="F196" s="332"/>
      <c r="G196" s="332"/>
      <c r="H196" s="332"/>
      <c r="I196" s="332"/>
      <c r="J196" s="332"/>
      <c r="K196" s="332"/>
      <c r="L196" s="332"/>
      <c r="M196" s="332"/>
      <c r="N196" s="332"/>
      <c r="O196" s="332"/>
      <c r="P196" s="332"/>
      <c r="Q196" s="332"/>
      <c r="R196" s="332"/>
      <c r="S196" s="332"/>
      <c r="T196" s="332"/>
      <c r="U196" s="332"/>
      <c r="V196" s="332"/>
      <c r="W196" s="332"/>
      <c r="X196" s="332"/>
      <c r="Y196" s="332"/>
      <c r="Z196" s="332"/>
      <c r="AA196" s="332"/>
      <c r="AB196" s="332"/>
      <c r="AC196" s="332"/>
      <c r="AD196" s="332"/>
      <c r="AE196" s="332"/>
      <c r="AF196" s="332"/>
      <c r="AG196" s="332"/>
      <c r="AH196" s="332"/>
      <c r="AI196" s="332"/>
      <c r="AJ196" s="332"/>
      <c r="AK196" s="332"/>
      <c r="AL196" s="332"/>
      <c r="AM196" s="332"/>
      <c r="AN196" s="332"/>
      <c r="AO196" s="332"/>
      <c r="AP196" s="332"/>
    </row>
    <row r="197" ht="14.25" customHeight="1">
      <c r="A197" s="332"/>
      <c r="B197" s="332"/>
      <c r="C197" s="332"/>
      <c r="D197" s="332"/>
      <c r="E197" s="332"/>
      <c r="F197" s="332"/>
      <c r="G197" s="332"/>
      <c r="H197" s="332"/>
      <c r="I197" s="332"/>
      <c r="J197" s="332"/>
      <c r="K197" s="332"/>
      <c r="L197" s="332"/>
      <c r="M197" s="332"/>
      <c r="N197" s="332"/>
      <c r="O197" s="332"/>
      <c r="P197" s="332"/>
      <c r="Q197" s="332"/>
      <c r="R197" s="332"/>
      <c r="S197" s="332"/>
      <c r="T197" s="332"/>
      <c r="U197" s="332"/>
      <c r="V197" s="332"/>
      <c r="W197" s="332"/>
      <c r="X197" s="332"/>
      <c r="Y197" s="332"/>
      <c r="Z197" s="332"/>
      <c r="AA197" s="332"/>
      <c r="AB197" s="332"/>
      <c r="AC197" s="332"/>
      <c r="AD197" s="332"/>
      <c r="AE197" s="332"/>
      <c r="AF197" s="332"/>
      <c r="AG197" s="332"/>
      <c r="AH197" s="332"/>
      <c r="AI197" s="332"/>
      <c r="AJ197" s="332"/>
      <c r="AK197" s="332"/>
      <c r="AL197" s="332"/>
      <c r="AM197" s="332"/>
      <c r="AN197" s="332"/>
      <c r="AO197" s="332"/>
      <c r="AP197" s="332"/>
    </row>
    <row r="198" ht="14.25" customHeight="1">
      <c r="A198" s="332"/>
      <c r="B198" s="332"/>
      <c r="C198" s="332"/>
      <c r="D198" s="332"/>
      <c r="E198" s="332"/>
      <c r="F198" s="332"/>
      <c r="G198" s="332"/>
      <c r="H198" s="332"/>
      <c r="I198" s="332"/>
      <c r="J198" s="332"/>
      <c r="K198" s="332"/>
      <c r="L198" s="332"/>
      <c r="M198" s="332"/>
      <c r="N198" s="332"/>
      <c r="O198" s="332"/>
      <c r="P198" s="332"/>
      <c r="Q198" s="332"/>
      <c r="R198" s="332"/>
      <c r="S198" s="332"/>
      <c r="T198" s="332"/>
      <c r="U198" s="332"/>
      <c r="V198" s="332"/>
      <c r="W198" s="332"/>
      <c r="X198" s="332"/>
      <c r="Y198" s="332"/>
      <c r="Z198" s="332"/>
      <c r="AA198" s="332"/>
      <c r="AB198" s="332"/>
      <c r="AC198" s="332"/>
      <c r="AD198" s="332"/>
      <c r="AE198" s="332"/>
      <c r="AF198" s="332"/>
      <c r="AG198" s="332"/>
      <c r="AH198" s="332"/>
      <c r="AI198" s="332"/>
      <c r="AJ198" s="332"/>
      <c r="AK198" s="332"/>
      <c r="AL198" s="332"/>
      <c r="AM198" s="332"/>
      <c r="AN198" s="332"/>
      <c r="AO198" s="332"/>
      <c r="AP198" s="332"/>
    </row>
    <row r="199" ht="14.25" customHeight="1">
      <c r="A199" s="332"/>
      <c r="B199" s="332"/>
      <c r="C199" s="332"/>
      <c r="D199" s="332"/>
      <c r="E199" s="332"/>
      <c r="F199" s="332"/>
      <c r="G199" s="332"/>
      <c r="H199" s="332"/>
      <c r="I199" s="332"/>
      <c r="J199" s="332"/>
      <c r="K199" s="332"/>
      <c r="L199" s="332"/>
      <c r="M199" s="332"/>
      <c r="N199" s="332"/>
      <c r="O199" s="332"/>
      <c r="P199" s="332"/>
      <c r="Q199" s="332"/>
      <c r="R199" s="332"/>
      <c r="S199" s="332"/>
      <c r="T199" s="332"/>
      <c r="U199" s="332"/>
      <c r="V199" s="332"/>
      <c r="W199" s="332"/>
      <c r="X199" s="332"/>
      <c r="Y199" s="332"/>
      <c r="Z199" s="332"/>
      <c r="AA199" s="332"/>
      <c r="AB199" s="332"/>
      <c r="AC199" s="332"/>
      <c r="AD199" s="332"/>
      <c r="AE199" s="332"/>
      <c r="AF199" s="332"/>
      <c r="AG199" s="332"/>
      <c r="AH199" s="332"/>
      <c r="AI199" s="332"/>
      <c r="AJ199" s="332"/>
      <c r="AK199" s="332"/>
      <c r="AL199" s="332"/>
      <c r="AM199" s="332"/>
      <c r="AN199" s="332"/>
      <c r="AO199" s="332"/>
      <c r="AP199" s="332"/>
    </row>
    <row r="200" ht="14.25" customHeight="1">
      <c r="A200" s="332"/>
      <c r="B200" s="332"/>
      <c r="C200" s="332"/>
      <c r="D200" s="332"/>
      <c r="E200" s="332"/>
      <c r="F200" s="332"/>
      <c r="G200" s="332"/>
      <c r="H200" s="332"/>
      <c r="I200" s="332"/>
      <c r="J200" s="332"/>
      <c r="K200" s="332"/>
      <c r="L200" s="332"/>
      <c r="M200" s="332"/>
      <c r="N200" s="332"/>
      <c r="O200" s="332"/>
      <c r="P200" s="332"/>
      <c r="Q200" s="332"/>
      <c r="R200" s="332"/>
      <c r="S200" s="332"/>
      <c r="T200" s="332"/>
      <c r="U200" s="332"/>
      <c r="V200" s="332"/>
      <c r="W200" s="332"/>
      <c r="X200" s="332"/>
      <c r="Y200" s="332"/>
      <c r="Z200" s="332"/>
      <c r="AA200" s="332"/>
      <c r="AB200" s="332"/>
      <c r="AC200" s="332"/>
      <c r="AD200" s="332"/>
      <c r="AE200" s="332"/>
      <c r="AF200" s="332"/>
      <c r="AG200" s="332"/>
      <c r="AH200" s="332"/>
      <c r="AI200" s="332"/>
      <c r="AJ200" s="332"/>
      <c r="AK200" s="332"/>
      <c r="AL200" s="332"/>
      <c r="AM200" s="332"/>
      <c r="AN200" s="332"/>
      <c r="AO200" s="332"/>
      <c r="AP200" s="332"/>
    </row>
    <row r="201" ht="14.25" customHeight="1">
      <c r="A201" s="332"/>
      <c r="B201" s="332"/>
      <c r="C201" s="332"/>
      <c r="D201" s="332"/>
      <c r="E201" s="332"/>
      <c r="F201" s="332"/>
      <c r="G201" s="332"/>
      <c r="H201" s="332"/>
      <c r="I201" s="332"/>
      <c r="J201" s="332"/>
      <c r="K201" s="332"/>
      <c r="L201" s="332"/>
      <c r="M201" s="332"/>
      <c r="N201" s="332"/>
      <c r="O201" s="332"/>
      <c r="P201" s="332"/>
      <c r="Q201" s="332"/>
      <c r="R201" s="332"/>
      <c r="S201" s="332"/>
      <c r="T201" s="332"/>
      <c r="U201" s="332"/>
      <c r="V201" s="332"/>
      <c r="W201" s="332"/>
      <c r="X201" s="332"/>
      <c r="Y201" s="332"/>
      <c r="Z201" s="332"/>
      <c r="AA201" s="332"/>
      <c r="AB201" s="332"/>
      <c r="AC201" s="332"/>
      <c r="AD201" s="332"/>
      <c r="AE201" s="332"/>
      <c r="AF201" s="332"/>
      <c r="AG201" s="332"/>
      <c r="AH201" s="332"/>
      <c r="AI201" s="332"/>
      <c r="AJ201" s="332"/>
      <c r="AK201" s="332"/>
      <c r="AL201" s="332"/>
      <c r="AM201" s="332"/>
      <c r="AN201" s="332"/>
      <c r="AO201" s="332"/>
      <c r="AP201" s="332"/>
    </row>
    <row r="202" ht="14.25" customHeight="1">
      <c r="A202" s="332"/>
      <c r="B202" s="332"/>
      <c r="C202" s="332"/>
      <c r="D202" s="332"/>
      <c r="E202" s="332"/>
      <c r="F202" s="332"/>
      <c r="G202" s="332"/>
      <c r="H202" s="332"/>
      <c r="I202" s="332"/>
      <c r="J202" s="332"/>
      <c r="K202" s="332"/>
      <c r="L202" s="332"/>
      <c r="M202" s="332"/>
      <c r="N202" s="332"/>
      <c r="O202" s="332"/>
      <c r="P202" s="332"/>
      <c r="Q202" s="332"/>
      <c r="R202" s="332"/>
      <c r="S202" s="332"/>
      <c r="T202" s="332"/>
      <c r="U202" s="332"/>
      <c r="V202" s="332"/>
      <c r="W202" s="332"/>
      <c r="X202" s="332"/>
      <c r="Y202" s="332"/>
      <c r="Z202" s="332"/>
      <c r="AA202" s="332"/>
      <c r="AB202" s="332"/>
      <c r="AC202" s="332"/>
      <c r="AD202" s="332"/>
      <c r="AE202" s="332"/>
      <c r="AF202" s="332"/>
      <c r="AG202" s="332"/>
      <c r="AH202" s="332"/>
      <c r="AI202" s="332"/>
      <c r="AJ202" s="332"/>
      <c r="AK202" s="332"/>
      <c r="AL202" s="332"/>
      <c r="AM202" s="332"/>
      <c r="AN202" s="332"/>
      <c r="AO202" s="332"/>
      <c r="AP202" s="332"/>
    </row>
    <row r="203" ht="14.25" customHeight="1">
      <c r="A203" s="332"/>
      <c r="B203" s="332"/>
      <c r="C203" s="332"/>
      <c r="D203" s="332"/>
      <c r="E203" s="332"/>
      <c r="F203" s="332"/>
      <c r="G203" s="332"/>
      <c r="H203" s="332"/>
      <c r="I203" s="332"/>
      <c r="J203" s="332"/>
      <c r="K203" s="332"/>
      <c r="L203" s="332"/>
      <c r="M203" s="332"/>
      <c r="N203" s="332"/>
      <c r="O203" s="332"/>
      <c r="P203" s="332"/>
      <c r="Q203" s="332"/>
      <c r="R203" s="332"/>
      <c r="S203" s="332"/>
      <c r="T203" s="332"/>
      <c r="U203" s="332"/>
      <c r="V203" s="332"/>
      <c r="W203" s="332"/>
      <c r="X203" s="332"/>
      <c r="Y203" s="332"/>
      <c r="Z203" s="332"/>
      <c r="AA203" s="332"/>
      <c r="AB203" s="332"/>
      <c r="AC203" s="332"/>
      <c r="AD203" s="332"/>
      <c r="AE203" s="332"/>
      <c r="AF203" s="332"/>
      <c r="AG203" s="332"/>
      <c r="AH203" s="332"/>
      <c r="AI203" s="332"/>
      <c r="AJ203" s="332"/>
      <c r="AK203" s="332"/>
      <c r="AL203" s="332"/>
      <c r="AM203" s="332"/>
      <c r="AN203" s="332"/>
      <c r="AO203" s="332"/>
      <c r="AP203" s="332"/>
    </row>
    <row r="204" ht="14.25" customHeight="1">
      <c r="A204" s="332"/>
      <c r="B204" s="332"/>
      <c r="C204" s="332"/>
      <c r="D204" s="332"/>
      <c r="E204" s="332"/>
      <c r="F204" s="332"/>
      <c r="G204" s="332"/>
      <c r="H204" s="332"/>
      <c r="I204" s="332"/>
      <c r="J204" s="332"/>
      <c r="K204" s="332"/>
      <c r="L204" s="332"/>
      <c r="M204" s="332"/>
      <c r="N204" s="332"/>
      <c r="O204" s="332"/>
      <c r="P204" s="332"/>
      <c r="Q204" s="332"/>
      <c r="R204" s="332"/>
      <c r="S204" s="332"/>
      <c r="T204" s="332"/>
      <c r="U204" s="332"/>
      <c r="V204" s="332"/>
      <c r="W204" s="332"/>
      <c r="X204" s="332"/>
      <c r="Y204" s="332"/>
      <c r="Z204" s="332"/>
      <c r="AA204" s="332"/>
      <c r="AB204" s="332"/>
      <c r="AC204" s="332"/>
      <c r="AD204" s="332"/>
      <c r="AE204" s="332"/>
      <c r="AF204" s="332"/>
      <c r="AG204" s="332"/>
      <c r="AH204" s="332"/>
      <c r="AI204" s="332"/>
      <c r="AJ204" s="332"/>
      <c r="AK204" s="332"/>
      <c r="AL204" s="332"/>
      <c r="AM204" s="332"/>
      <c r="AN204" s="332"/>
      <c r="AO204" s="332"/>
      <c r="AP204" s="332"/>
    </row>
    <row r="205" ht="14.25" customHeight="1">
      <c r="A205" s="332"/>
      <c r="B205" s="332"/>
      <c r="C205" s="332"/>
      <c r="D205" s="332"/>
      <c r="E205" s="332"/>
      <c r="F205" s="332"/>
      <c r="G205" s="332"/>
      <c r="H205" s="332"/>
      <c r="I205" s="332"/>
      <c r="J205" s="332"/>
      <c r="K205" s="332"/>
      <c r="L205" s="332"/>
      <c r="M205" s="332"/>
      <c r="N205" s="332"/>
      <c r="O205" s="332"/>
      <c r="P205" s="332"/>
      <c r="Q205" s="332"/>
      <c r="R205" s="332"/>
      <c r="S205" s="332"/>
      <c r="T205" s="332"/>
      <c r="U205" s="332"/>
      <c r="V205" s="332"/>
      <c r="W205" s="332"/>
      <c r="X205" s="332"/>
      <c r="Y205" s="332"/>
      <c r="Z205" s="332"/>
      <c r="AA205" s="332"/>
      <c r="AB205" s="332"/>
      <c r="AC205" s="332"/>
      <c r="AD205" s="332"/>
      <c r="AE205" s="332"/>
      <c r="AF205" s="332"/>
      <c r="AG205" s="332"/>
      <c r="AH205" s="332"/>
      <c r="AI205" s="332"/>
      <c r="AJ205" s="332"/>
      <c r="AK205" s="332"/>
      <c r="AL205" s="332"/>
      <c r="AM205" s="332"/>
      <c r="AN205" s="332"/>
      <c r="AO205" s="332"/>
      <c r="AP205" s="332"/>
    </row>
    <row r="206" ht="14.25" customHeight="1">
      <c r="A206" s="332"/>
      <c r="B206" s="332"/>
      <c r="C206" s="332"/>
      <c r="D206" s="332"/>
      <c r="E206" s="332"/>
      <c r="F206" s="332"/>
      <c r="G206" s="332"/>
      <c r="H206" s="332"/>
      <c r="I206" s="332"/>
      <c r="J206" s="332"/>
      <c r="K206" s="332"/>
      <c r="L206" s="332"/>
      <c r="M206" s="332"/>
      <c r="N206" s="332"/>
      <c r="O206" s="332"/>
      <c r="P206" s="332"/>
      <c r="Q206" s="332"/>
      <c r="R206" s="332"/>
      <c r="S206" s="332"/>
      <c r="T206" s="332"/>
      <c r="U206" s="332"/>
      <c r="V206" s="332"/>
      <c r="W206" s="332"/>
      <c r="X206" s="332"/>
      <c r="Y206" s="332"/>
      <c r="Z206" s="332"/>
      <c r="AA206" s="332"/>
      <c r="AB206" s="332"/>
      <c r="AC206" s="332"/>
      <c r="AD206" s="332"/>
      <c r="AE206" s="332"/>
      <c r="AF206" s="332"/>
      <c r="AG206" s="332"/>
      <c r="AH206" s="332"/>
      <c r="AI206" s="332"/>
      <c r="AJ206" s="332"/>
      <c r="AK206" s="332"/>
      <c r="AL206" s="332"/>
      <c r="AM206" s="332"/>
      <c r="AN206" s="332"/>
      <c r="AO206" s="332"/>
      <c r="AP206" s="332"/>
    </row>
    <row r="207" ht="14.25" customHeight="1">
      <c r="A207" s="332"/>
      <c r="B207" s="332"/>
      <c r="C207" s="332"/>
      <c r="D207" s="332"/>
      <c r="E207" s="332"/>
      <c r="F207" s="332"/>
      <c r="G207" s="332"/>
      <c r="H207" s="332"/>
      <c r="I207" s="332"/>
      <c r="J207" s="332"/>
      <c r="K207" s="332"/>
      <c r="L207" s="332"/>
      <c r="M207" s="332"/>
      <c r="N207" s="332"/>
      <c r="O207" s="332"/>
      <c r="P207" s="332"/>
      <c r="Q207" s="332"/>
      <c r="R207" s="332"/>
      <c r="S207" s="332"/>
      <c r="T207" s="332"/>
      <c r="U207" s="332"/>
      <c r="V207" s="332"/>
      <c r="W207" s="332"/>
      <c r="X207" s="332"/>
      <c r="Y207" s="332"/>
      <c r="Z207" s="332"/>
      <c r="AA207" s="332"/>
      <c r="AB207" s="332"/>
      <c r="AC207" s="332"/>
      <c r="AD207" s="332"/>
      <c r="AE207" s="332"/>
      <c r="AF207" s="332"/>
      <c r="AG207" s="332"/>
      <c r="AH207" s="332"/>
      <c r="AI207" s="332"/>
      <c r="AJ207" s="332"/>
      <c r="AK207" s="332"/>
      <c r="AL207" s="332"/>
      <c r="AM207" s="332"/>
      <c r="AN207" s="332"/>
      <c r="AO207" s="332"/>
      <c r="AP207" s="332"/>
    </row>
    <row r="208" ht="14.25" customHeight="1">
      <c r="A208" s="332"/>
      <c r="B208" s="332"/>
      <c r="C208" s="332"/>
      <c r="D208" s="332"/>
      <c r="E208" s="332"/>
      <c r="F208" s="332"/>
      <c r="G208" s="332"/>
      <c r="H208" s="332"/>
      <c r="I208" s="332"/>
      <c r="J208" s="332"/>
      <c r="K208" s="332"/>
      <c r="L208" s="332"/>
      <c r="M208" s="332"/>
      <c r="N208" s="332"/>
      <c r="O208" s="332"/>
      <c r="P208" s="332"/>
      <c r="Q208" s="332"/>
      <c r="R208" s="332"/>
      <c r="S208" s="332"/>
      <c r="T208" s="332"/>
      <c r="U208" s="332"/>
      <c r="V208" s="332"/>
      <c r="W208" s="332"/>
      <c r="X208" s="332"/>
      <c r="Y208" s="332"/>
      <c r="Z208" s="332"/>
      <c r="AA208" s="332"/>
      <c r="AB208" s="332"/>
      <c r="AC208" s="332"/>
      <c r="AD208" s="332"/>
      <c r="AE208" s="332"/>
      <c r="AF208" s="332"/>
      <c r="AG208" s="332"/>
      <c r="AH208" s="332"/>
      <c r="AI208" s="332"/>
      <c r="AJ208" s="332"/>
      <c r="AK208" s="332"/>
      <c r="AL208" s="332"/>
      <c r="AM208" s="332"/>
      <c r="AN208" s="332"/>
      <c r="AO208" s="332"/>
      <c r="AP208" s="332"/>
    </row>
    <row r="209" ht="14.25" customHeight="1">
      <c r="A209" s="332"/>
      <c r="B209" s="332"/>
      <c r="C209" s="332"/>
      <c r="D209" s="332"/>
      <c r="E209" s="332"/>
      <c r="F209" s="332"/>
      <c r="G209" s="332"/>
      <c r="H209" s="332"/>
      <c r="I209" s="332"/>
      <c r="J209" s="332"/>
      <c r="K209" s="332"/>
      <c r="L209" s="332"/>
      <c r="M209" s="332"/>
      <c r="N209" s="332"/>
      <c r="O209" s="332"/>
      <c r="P209" s="332"/>
      <c r="Q209" s="332"/>
      <c r="R209" s="332"/>
      <c r="S209" s="332"/>
      <c r="T209" s="332"/>
      <c r="U209" s="332"/>
      <c r="V209" s="332"/>
      <c r="W209" s="332"/>
      <c r="X209" s="332"/>
      <c r="Y209" s="332"/>
      <c r="Z209" s="332"/>
      <c r="AA209" s="332"/>
      <c r="AB209" s="332"/>
      <c r="AC209" s="332"/>
      <c r="AD209" s="332"/>
      <c r="AE209" s="332"/>
      <c r="AF209" s="332"/>
      <c r="AG209" s="332"/>
      <c r="AH209" s="332"/>
      <c r="AI209" s="332"/>
      <c r="AJ209" s="332"/>
      <c r="AK209" s="332"/>
      <c r="AL209" s="332"/>
      <c r="AM209" s="332"/>
      <c r="AN209" s="332"/>
      <c r="AO209" s="332"/>
      <c r="AP209" s="332"/>
    </row>
    <row r="210" ht="14.25" customHeight="1">
      <c r="A210" s="332"/>
      <c r="B210" s="332"/>
      <c r="C210" s="332"/>
      <c r="D210" s="332"/>
      <c r="E210" s="332"/>
      <c r="F210" s="332"/>
      <c r="G210" s="332"/>
      <c r="H210" s="332"/>
      <c r="I210" s="332"/>
      <c r="J210" s="332"/>
      <c r="K210" s="332"/>
      <c r="L210" s="332"/>
      <c r="M210" s="332"/>
      <c r="N210" s="332"/>
      <c r="O210" s="332"/>
      <c r="P210" s="332"/>
      <c r="Q210" s="332"/>
      <c r="R210" s="332"/>
      <c r="S210" s="332"/>
      <c r="T210" s="332"/>
      <c r="U210" s="332"/>
      <c r="V210" s="332"/>
      <c r="W210" s="332"/>
      <c r="X210" s="332"/>
      <c r="Y210" s="332"/>
      <c r="Z210" s="332"/>
      <c r="AA210" s="332"/>
      <c r="AB210" s="332"/>
      <c r="AC210" s="332"/>
      <c r="AD210" s="332"/>
      <c r="AE210" s="332"/>
      <c r="AF210" s="332"/>
      <c r="AG210" s="332"/>
      <c r="AH210" s="332"/>
      <c r="AI210" s="332"/>
      <c r="AJ210" s="332"/>
      <c r="AK210" s="332"/>
      <c r="AL210" s="332"/>
      <c r="AM210" s="332"/>
      <c r="AN210" s="332"/>
      <c r="AO210" s="332"/>
      <c r="AP210" s="332"/>
    </row>
    <row r="211" ht="14.25" customHeight="1">
      <c r="A211" s="332"/>
      <c r="B211" s="332"/>
      <c r="C211" s="332"/>
      <c r="D211" s="332"/>
      <c r="E211" s="332"/>
      <c r="F211" s="332"/>
      <c r="G211" s="332"/>
      <c r="H211" s="332"/>
      <c r="I211" s="332"/>
      <c r="J211" s="332"/>
      <c r="K211" s="332"/>
      <c r="L211" s="332"/>
      <c r="M211" s="332"/>
      <c r="N211" s="332"/>
      <c r="O211" s="332"/>
      <c r="P211" s="332"/>
      <c r="Q211" s="332"/>
      <c r="R211" s="332"/>
      <c r="S211" s="332"/>
      <c r="T211" s="332"/>
      <c r="U211" s="332"/>
      <c r="V211" s="332"/>
      <c r="W211" s="332"/>
      <c r="X211" s="332"/>
      <c r="Y211" s="332"/>
      <c r="Z211" s="332"/>
      <c r="AA211" s="332"/>
      <c r="AB211" s="332"/>
      <c r="AC211" s="332"/>
      <c r="AD211" s="332"/>
      <c r="AE211" s="332"/>
      <c r="AF211" s="332"/>
      <c r="AG211" s="332"/>
      <c r="AH211" s="332"/>
      <c r="AI211" s="332"/>
      <c r="AJ211" s="332"/>
      <c r="AK211" s="332"/>
      <c r="AL211" s="332"/>
      <c r="AM211" s="332"/>
      <c r="AN211" s="332"/>
      <c r="AO211" s="332"/>
      <c r="AP211" s="332"/>
    </row>
    <row r="212" ht="14.25" customHeight="1">
      <c r="A212" s="332"/>
      <c r="B212" s="332"/>
      <c r="C212" s="332"/>
      <c r="D212" s="332"/>
      <c r="E212" s="332"/>
      <c r="F212" s="332"/>
      <c r="G212" s="332"/>
      <c r="H212" s="332"/>
      <c r="I212" s="332"/>
      <c r="J212" s="332"/>
      <c r="K212" s="332"/>
      <c r="L212" s="332"/>
      <c r="M212" s="332"/>
      <c r="N212" s="332"/>
      <c r="O212" s="332"/>
      <c r="P212" s="332"/>
      <c r="Q212" s="332"/>
      <c r="R212" s="332"/>
      <c r="S212" s="332"/>
      <c r="T212" s="332"/>
      <c r="U212" s="332"/>
      <c r="V212" s="332"/>
      <c r="W212" s="332"/>
      <c r="X212" s="332"/>
      <c r="Y212" s="332"/>
      <c r="Z212" s="332"/>
      <c r="AA212" s="332"/>
      <c r="AB212" s="332"/>
      <c r="AC212" s="332"/>
      <c r="AD212" s="332"/>
      <c r="AE212" s="332"/>
      <c r="AF212" s="332"/>
      <c r="AG212" s="332"/>
      <c r="AH212" s="332"/>
      <c r="AI212" s="332"/>
      <c r="AJ212" s="332"/>
      <c r="AK212" s="332"/>
      <c r="AL212" s="332"/>
      <c r="AM212" s="332"/>
      <c r="AN212" s="332"/>
      <c r="AO212" s="332"/>
      <c r="AP212" s="332"/>
    </row>
    <row r="213" ht="14.25" customHeight="1">
      <c r="A213" s="332"/>
      <c r="B213" s="332"/>
      <c r="C213" s="332"/>
      <c r="D213" s="332"/>
      <c r="E213" s="332"/>
      <c r="F213" s="332"/>
      <c r="G213" s="332"/>
      <c r="H213" s="332"/>
      <c r="I213" s="332"/>
      <c r="J213" s="332"/>
      <c r="K213" s="332"/>
      <c r="L213" s="332"/>
      <c r="M213" s="332"/>
      <c r="N213" s="332"/>
      <c r="O213" s="332"/>
      <c r="P213" s="332"/>
      <c r="Q213" s="332"/>
      <c r="R213" s="332"/>
      <c r="S213" s="332"/>
      <c r="T213" s="332"/>
      <c r="U213" s="332"/>
      <c r="V213" s="332"/>
      <c r="W213" s="332"/>
      <c r="X213" s="332"/>
      <c r="Y213" s="332"/>
      <c r="Z213" s="332"/>
      <c r="AA213" s="332"/>
      <c r="AB213" s="332"/>
      <c r="AC213" s="332"/>
      <c r="AD213" s="332"/>
      <c r="AE213" s="332"/>
      <c r="AF213" s="332"/>
      <c r="AG213" s="332"/>
      <c r="AH213" s="332"/>
      <c r="AI213" s="332"/>
      <c r="AJ213" s="332"/>
      <c r="AK213" s="332"/>
      <c r="AL213" s="332"/>
      <c r="AM213" s="332"/>
      <c r="AN213" s="332"/>
      <c r="AO213" s="332"/>
      <c r="AP213" s="332"/>
    </row>
    <row r="214" ht="14.25" customHeight="1">
      <c r="A214" s="332"/>
      <c r="B214" s="332"/>
      <c r="C214" s="332"/>
      <c r="D214" s="332"/>
      <c r="E214" s="332"/>
      <c r="F214" s="332"/>
      <c r="G214" s="332"/>
      <c r="H214" s="332"/>
      <c r="I214" s="332"/>
      <c r="J214" s="332"/>
      <c r="K214" s="332"/>
      <c r="L214" s="332"/>
      <c r="M214" s="332"/>
      <c r="N214" s="332"/>
      <c r="O214" s="332"/>
      <c r="P214" s="332"/>
      <c r="Q214" s="332"/>
      <c r="R214" s="332"/>
      <c r="S214" s="332"/>
      <c r="T214" s="332"/>
      <c r="U214" s="332"/>
      <c r="V214" s="332"/>
      <c r="W214" s="332"/>
      <c r="X214" s="332"/>
      <c r="Y214" s="332"/>
      <c r="Z214" s="332"/>
      <c r="AA214" s="332"/>
      <c r="AB214" s="332"/>
      <c r="AC214" s="332"/>
      <c r="AD214" s="332"/>
      <c r="AE214" s="332"/>
      <c r="AF214" s="332"/>
      <c r="AG214" s="332"/>
      <c r="AH214" s="332"/>
      <c r="AI214" s="332"/>
      <c r="AJ214" s="332"/>
      <c r="AK214" s="332"/>
      <c r="AL214" s="332"/>
      <c r="AM214" s="332"/>
      <c r="AN214" s="332"/>
      <c r="AO214" s="332"/>
      <c r="AP214" s="332"/>
    </row>
    <row r="215" ht="14.25" customHeight="1">
      <c r="A215" s="332"/>
      <c r="B215" s="332"/>
      <c r="C215" s="332"/>
      <c r="D215" s="332"/>
      <c r="E215" s="332"/>
      <c r="F215" s="332"/>
      <c r="G215" s="332"/>
      <c r="H215" s="332"/>
      <c r="I215" s="332"/>
      <c r="J215" s="332"/>
      <c r="K215" s="332"/>
      <c r="L215" s="332"/>
      <c r="M215" s="332"/>
      <c r="N215" s="332"/>
      <c r="O215" s="332"/>
      <c r="P215" s="332"/>
      <c r="Q215" s="332"/>
      <c r="R215" s="332"/>
      <c r="S215" s="332"/>
      <c r="T215" s="332"/>
      <c r="U215" s="332"/>
      <c r="V215" s="332"/>
      <c r="W215" s="332"/>
      <c r="X215" s="332"/>
      <c r="Y215" s="332"/>
      <c r="Z215" s="332"/>
      <c r="AA215" s="332"/>
      <c r="AB215" s="332"/>
      <c r="AC215" s="332"/>
      <c r="AD215" s="332"/>
      <c r="AE215" s="332"/>
      <c r="AF215" s="332"/>
      <c r="AG215" s="332"/>
      <c r="AH215" s="332"/>
      <c r="AI215" s="332"/>
      <c r="AJ215" s="332"/>
      <c r="AK215" s="332"/>
      <c r="AL215" s="332"/>
      <c r="AM215" s="332"/>
      <c r="AN215" s="332"/>
      <c r="AO215" s="332"/>
      <c r="AP215" s="332"/>
    </row>
    <row r="216" ht="14.25" customHeight="1">
      <c r="A216" s="332"/>
      <c r="B216" s="332"/>
      <c r="C216" s="332"/>
      <c r="D216" s="332"/>
      <c r="E216" s="332"/>
      <c r="F216" s="332"/>
      <c r="G216" s="332"/>
      <c r="H216" s="332"/>
      <c r="I216" s="332"/>
      <c r="J216" s="332"/>
      <c r="K216" s="332"/>
      <c r="L216" s="332"/>
      <c r="M216" s="332"/>
      <c r="N216" s="332"/>
      <c r="O216" s="332"/>
      <c r="P216" s="332"/>
      <c r="Q216" s="332"/>
      <c r="R216" s="332"/>
      <c r="S216" s="332"/>
      <c r="T216" s="332"/>
      <c r="U216" s="332"/>
      <c r="V216" s="332"/>
      <c r="W216" s="332"/>
      <c r="X216" s="332"/>
      <c r="Y216" s="332"/>
      <c r="Z216" s="332"/>
      <c r="AA216" s="332"/>
      <c r="AB216" s="332"/>
      <c r="AC216" s="332"/>
      <c r="AD216" s="332"/>
      <c r="AE216" s="332"/>
      <c r="AF216" s="332"/>
      <c r="AG216" s="332"/>
      <c r="AH216" s="332"/>
      <c r="AI216" s="332"/>
      <c r="AJ216" s="332"/>
      <c r="AK216" s="332"/>
      <c r="AL216" s="332"/>
      <c r="AM216" s="332"/>
      <c r="AN216" s="332"/>
      <c r="AO216" s="332"/>
      <c r="AP216" s="332"/>
    </row>
    <row r="217" ht="14.25" customHeight="1">
      <c r="A217" s="332"/>
      <c r="B217" s="332"/>
      <c r="C217" s="332"/>
      <c r="D217" s="332"/>
      <c r="E217" s="332"/>
      <c r="F217" s="332"/>
      <c r="G217" s="332"/>
      <c r="H217" s="332"/>
      <c r="I217" s="332"/>
      <c r="J217" s="332"/>
      <c r="K217" s="332"/>
      <c r="L217" s="332"/>
      <c r="M217" s="332"/>
      <c r="N217" s="332"/>
      <c r="O217" s="332"/>
      <c r="P217" s="332"/>
      <c r="Q217" s="332"/>
      <c r="R217" s="332"/>
      <c r="S217" s="332"/>
      <c r="T217" s="332"/>
      <c r="U217" s="332"/>
      <c r="V217" s="332"/>
      <c r="W217" s="332"/>
      <c r="X217" s="332"/>
      <c r="Y217" s="332"/>
      <c r="Z217" s="332"/>
      <c r="AA217" s="332"/>
      <c r="AB217" s="332"/>
      <c r="AC217" s="332"/>
      <c r="AD217" s="332"/>
      <c r="AE217" s="332"/>
      <c r="AF217" s="332"/>
      <c r="AG217" s="332"/>
      <c r="AH217" s="332"/>
      <c r="AI217" s="332"/>
      <c r="AJ217" s="332"/>
      <c r="AK217" s="332"/>
      <c r="AL217" s="332"/>
      <c r="AM217" s="332"/>
      <c r="AN217" s="332"/>
      <c r="AO217" s="332"/>
      <c r="AP217" s="332"/>
    </row>
    <row r="218" ht="14.25" customHeight="1">
      <c r="A218" s="332"/>
      <c r="B218" s="332"/>
      <c r="C218" s="332"/>
      <c r="D218" s="332"/>
      <c r="E218" s="332"/>
      <c r="F218" s="332"/>
      <c r="G218" s="332"/>
      <c r="H218" s="332"/>
      <c r="I218" s="332"/>
      <c r="J218" s="332"/>
      <c r="K218" s="332"/>
      <c r="L218" s="332"/>
      <c r="M218" s="332"/>
      <c r="N218" s="332"/>
      <c r="O218" s="332"/>
      <c r="P218" s="332"/>
      <c r="Q218" s="332"/>
      <c r="R218" s="332"/>
      <c r="S218" s="332"/>
      <c r="T218" s="332"/>
      <c r="U218" s="332"/>
      <c r="V218" s="332"/>
      <c r="W218" s="332"/>
      <c r="X218" s="332"/>
      <c r="Y218" s="332"/>
      <c r="Z218" s="332"/>
      <c r="AA218" s="332"/>
      <c r="AB218" s="332"/>
      <c r="AC218" s="332"/>
      <c r="AD218" s="332"/>
      <c r="AE218" s="332"/>
      <c r="AF218" s="332"/>
      <c r="AG218" s="332"/>
      <c r="AH218" s="332"/>
      <c r="AI218" s="332"/>
      <c r="AJ218" s="332"/>
      <c r="AK218" s="332"/>
      <c r="AL218" s="332"/>
      <c r="AM218" s="332"/>
      <c r="AN218" s="332"/>
      <c r="AO218" s="332"/>
      <c r="AP218" s="332"/>
    </row>
    <row r="219" ht="14.25" customHeight="1">
      <c r="A219" s="332"/>
      <c r="B219" s="332"/>
      <c r="C219" s="332"/>
      <c r="D219" s="332"/>
      <c r="E219" s="332"/>
      <c r="F219" s="332"/>
      <c r="G219" s="332"/>
      <c r="H219" s="332"/>
      <c r="I219" s="332"/>
      <c r="J219" s="332"/>
      <c r="K219" s="332"/>
      <c r="L219" s="332"/>
      <c r="M219" s="332"/>
      <c r="N219" s="332"/>
      <c r="O219" s="332"/>
      <c r="P219" s="332"/>
      <c r="Q219" s="332"/>
      <c r="R219" s="332"/>
      <c r="S219" s="332"/>
      <c r="T219" s="332"/>
      <c r="U219" s="332"/>
      <c r="V219" s="332"/>
      <c r="W219" s="332"/>
      <c r="X219" s="332"/>
      <c r="Y219" s="332"/>
      <c r="Z219" s="332"/>
      <c r="AA219" s="332"/>
      <c r="AB219" s="332"/>
      <c r="AC219" s="332"/>
      <c r="AD219" s="332"/>
      <c r="AE219" s="332"/>
      <c r="AF219" s="332"/>
      <c r="AG219" s="332"/>
      <c r="AH219" s="332"/>
      <c r="AI219" s="332"/>
      <c r="AJ219" s="332"/>
      <c r="AK219" s="332"/>
      <c r="AL219" s="332"/>
      <c r="AM219" s="332"/>
      <c r="AN219" s="332"/>
      <c r="AO219" s="332"/>
      <c r="AP219" s="332"/>
    </row>
    <row r="220" ht="14.25" customHeight="1">
      <c r="A220" s="332"/>
      <c r="B220" s="332"/>
      <c r="C220" s="332"/>
      <c r="D220" s="332"/>
      <c r="E220" s="332"/>
      <c r="F220" s="332"/>
      <c r="G220" s="332"/>
      <c r="H220" s="332"/>
      <c r="I220" s="332"/>
      <c r="J220" s="332"/>
      <c r="K220" s="332"/>
      <c r="L220" s="332"/>
      <c r="M220" s="332"/>
      <c r="N220" s="332"/>
      <c r="O220" s="332"/>
      <c r="P220" s="332"/>
      <c r="Q220" s="332"/>
      <c r="R220" s="332"/>
      <c r="S220" s="332"/>
      <c r="T220" s="332"/>
      <c r="U220" s="332"/>
      <c r="V220" s="332"/>
      <c r="W220" s="332"/>
      <c r="X220" s="332"/>
      <c r="Y220" s="332"/>
      <c r="Z220" s="332"/>
      <c r="AA220" s="332"/>
      <c r="AB220" s="332"/>
      <c r="AC220" s="332"/>
      <c r="AD220" s="332"/>
      <c r="AE220" s="332"/>
      <c r="AF220" s="332"/>
      <c r="AG220" s="332"/>
      <c r="AH220" s="332"/>
      <c r="AI220" s="332"/>
      <c r="AJ220" s="332"/>
      <c r="AK220" s="332"/>
      <c r="AL220" s="332"/>
      <c r="AM220" s="332"/>
      <c r="AN220" s="332"/>
      <c r="AO220" s="332"/>
      <c r="AP220" s="332"/>
    </row>
    <row r="221" ht="14.25" customHeight="1">
      <c r="A221" s="332"/>
      <c r="B221" s="332"/>
      <c r="C221" s="332"/>
      <c r="D221" s="332"/>
      <c r="E221" s="332"/>
      <c r="F221" s="332"/>
      <c r="G221" s="332"/>
      <c r="H221" s="332"/>
      <c r="I221" s="332"/>
      <c r="J221" s="332"/>
      <c r="K221" s="332"/>
      <c r="L221" s="332"/>
      <c r="M221" s="332"/>
      <c r="N221" s="332"/>
      <c r="O221" s="332"/>
      <c r="P221" s="332"/>
      <c r="Q221" s="332"/>
      <c r="R221" s="332"/>
      <c r="S221" s="332"/>
      <c r="T221" s="332"/>
      <c r="U221" s="332"/>
      <c r="V221" s="332"/>
      <c r="W221" s="332"/>
      <c r="X221" s="332"/>
      <c r="Y221" s="332"/>
      <c r="Z221" s="332"/>
      <c r="AA221" s="332"/>
      <c r="AB221" s="332"/>
      <c r="AC221" s="332"/>
      <c r="AD221" s="332"/>
      <c r="AE221" s="332"/>
      <c r="AF221" s="332"/>
      <c r="AG221" s="332"/>
      <c r="AH221" s="332"/>
      <c r="AI221" s="332"/>
      <c r="AJ221" s="332"/>
      <c r="AK221" s="332"/>
      <c r="AL221" s="332"/>
      <c r="AM221" s="332"/>
      <c r="AN221" s="332"/>
      <c r="AO221" s="332"/>
      <c r="AP221" s="332"/>
    </row>
    <row r="222" ht="14.25" customHeight="1">
      <c r="A222" s="332"/>
      <c r="B222" s="332"/>
      <c r="C222" s="332"/>
      <c r="D222" s="332"/>
      <c r="E222" s="332"/>
      <c r="F222" s="332"/>
      <c r="G222" s="332"/>
      <c r="H222" s="332"/>
      <c r="I222" s="332"/>
      <c r="J222" s="332"/>
      <c r="K222" s="332"/>
      <c r="L222" s="332"/>
      <c r="M222" s="332"/>
      <c r="N222" s="332"/>
      <c r="O222" s="332"/>
      <c r="P222" s="332"/>
      <c r="Q222" s="332"/>
      <c r="R222" s="332"/>
      <c r="S222" s="332"/>
      <c r="T222" s="332"/>
      <c r="U222" s="332"/>
      <c r="V222" s="332"/>
      <c r="W222" s="332"/>
      <c r="X222" s="332"/>
      <c r="Y222" s="332"/>
      <c r="Z222" s="332"/>
      <c r="AA222" s="332"/>
      <c r="AB222" s="332"/>
      <c r="AC222" s="332"/>
      <c r="AD222" s="332"/>
      <c r="AE222" s="332"/>
      <c r="AF222" s="332"/>
      <c r="AG222" s="332"/>
      <c r="AH222" s="332"/>
      <c r="AI222" s="332"/>
      <c r="AJ222" s="332"/>
      <c r="AK222" s="332"/>
      <c r="AL222" s="332"/>
      <c r="AM222" s="332"/>
      <c r="AN222" s="332"/>
      <c r="AO222" s="332"/>
      <c r="AP222" s="332"/>
    </row>
    <row r="223" ht="14.25" customHeight="1">
      <c r="A223" s="332"/>
      <c r="B223" s="332"/>
      <c r="C223" s="332"/>
      <c r="D223" s="332"/>
      <c r="E223" s="332"/>
      <c r="F223" s="332"/>
      <c r="G223" s="332"/>
      <c r="H223" s="332"/>
      <c r="I223" s="332"/>
      <c r="J223" s="332"/>
      <c r="K223" s="332"/>
      <c r="L223" s="332"/>
      <c r="M223" s="332"/>
      <c r="N223" s="332"/>
      <c r="O223" s="332"/>
      <c r="P223" s="332"/>
      <c r="Q223" s="332"/>
      <c r="R223" s="332"/>
      <c r="S223" s="332"/>
      <c r="T223" s="332"/>
      <c r="U223" s="332"/>
      <c r="V223" s="332"/>
      <c r="W223" s="332"/>
      <c r="X223" s="332"/>
      <c r="Y223" s="332"/>
      <c r="Z223" s="332"/>
      <c r="AA223" s="332"/>
      <c r="AB223" s="332"/>
      <c r="AC223" s="332"/>
      <c r="AD223" s="332"/>
      <c r="AE223" s="332"/>
      <c r="AF223" s="332"/>
      <c r="AG223" s="332"/>
      <c r="AH223" s="332"/>
      <c r="AI223" s="332"/>
      <c r="AJ223" s="332"/>
      <c r="AK223" s="332"/>
      <c r="AL223" s="332"/>
      <c r="AM223" s="332"/>
      <c r="AN223" s="332"/>
      <c r="AO223" s="332"/>
      <c r="AP223" s="332"/>
    </row>
    <row r="224" ht="14.25" customHeight="1">
      <c r="A224" s="332"/>
      <c r="B224" s="332"/>
      <c r="C224" s="332"/>
      <c r="D224" s="332"/>
      <c r="E224" s="332"/>
      <c r="F224" s="332"/>
      <c r="G224" s="332"/>
      <c r="H224" s="332"/>
      <c r="I224" s="332"/>
      <c r="J224" s="332"/>
      <c r="K224" s="332"/>
      <c r="L224" s="332"/>
      <c r="M224" s="332"/>
      <c r="N224" s="332"/>
      <c r="O224" s="332"/>
      <c r="P224" s="332"/>
      <c r="Q224" s="332"/>
      <c r="R224" s="332"/>
      <c r="S224" s="332"/>
      <c r="T224" s="332"/>
      <c r="U224" s="332"/>
      <c r="V224" s="332"/>
      <c r="W224" s="332"/>
      <c r="X224" s="332"/>
      <c r="Y224" s="332"/>
      <c r="Z224" s="332"/>
      <c r="AA224" s="332"/>
      <c r="AB224" s="332"/>
      <c r="AC224" s="332"/>
      <c r="AD224" s="332"/>
      <c r="AE224" s="332"/>
      <c r="AF224" s="332"/>
      <c r="AG224" s="332"/>
      <c r="AH224" s="332"/>
      <c r="AI224" s="332"/>
      <c r="AJ224" s="332"/>
      <c r="AK224" s="332"/>
      <c r="AL224" s="332"/>
      <c r="AM224" s="332"/>
      <c r="AN224" s="332"/>
      <c r="AO224" s="332"/>
      <c r="AP224" s="332"/>
    </row>
    <row r="225" ht="14.25" customHeight="1">
      <c r="A225" s="332"/>
      <c r="B225" s="332"/>
      <c r="C225" s="332"/>
      <c r="D225" s="332"/>
      <c r="E225" s="332"/>
      <c r="F225" s="332"/>
      <c r="G225" s="332"/>
      <c r="H225" s="332"/>
      <c r="I225" s="332"/>
      <c r="J225" s="332"/>
      <c r="K225" s="332"/>
      <c r="L225" s="332"/>
      <c r="M225" s="332"/>
      <c r="N225" s="332"/>
      <c r="O225" s="332"/>
      <c r="P225" s="332"/>
      <c r="Q225" s="332"/>
      <c r="R225" s="332"/>
      <c r="S225" s="332"/>
      <c r="T225" s="332"/>
      <c r="U225" s="332"/>
      <c r="V225" s="332"/>
      <c r="W225" s="332"/>
      <c r="X225" s="332"/>
      <c r="Y225" s="332"/>
      <c r="Z225" s="332"/>
      <c r="AA225" s="332"/>
      <c r="AB225" s="332"/>
      <c r="AC225" s="332"/>
      <c r="AD225" s="332"/>
      <c r="AE225" s="332"/>
      <c r="AF225" s="332"/>
      <c r="AG225" s="332"/>
      <c r="AH225" s="332"/>
      <c r="AI225" s="332"/>
      <c r="AJ225" s="332"/>
      <c r="AK225" s="332"/>
      <c r="AL225" s="332"/>
      <c r="AM225" s="332"/>
      <c r="AN225" s="332"/>
      <c r="AO225" s="332"/>
      <c r="AP225" s="332"/>
    </row>
    <row r="226" ht="14.25" customHeight="1">
      <c r="A226" s="332"/>
      <c r="B226" s="332"/>
      <c r="C226" s="332"/>
      <c r="D226" s="332"/>
      <c r="E226" s="332"/>
      <c r="F226" s="332"/>
      <c r="G226" s="332"/>
      <c r="H226" s="332"/>
      <c r="I226" s="332"/>
      <c r="J226" s="332"/>
      <c r="K226" s="332"/>
      <c r="L226" s="332"/>
      <c r="M226" s="332"/>
      <c r="N226" s="332"/>
      <c r="O226" s="332"/>
      <c r="P226" s="332"/>
      <c r="Q226" s="332"/>
      <c r="R226" s="332"/>
      <c r="S226" s="332"/>
      <c r="T226" s="332"/>
      <c r="U226" s="332"/>
      <c r="V226" s="332"/>
      <c r="W226" s="332"/>
      <c r="X226" s="332"/>
      <c r="Y226" s="332"/>
      <c r="Z226" s="332"/>
      <c r="AA226" s="332"/>
      <c r="AB226" s="332"/>
      <c r="AC226" s="332"/>
      <c r="AD226" s="332"/>
      <c r="AE226" s="332"/>
      <c r="AF226" s="332"/>
      <c r="AG226" s="332"/>
      <c r="AH226" s="332"/>
      <c r="AI226" s="332"/>
      <c r="AJ226" s="332"/>
      <c r="AK226" s="332"/>
      <c r="AL226" s="332"/>
      <c r="AM226" s="332"/>
      <c r="AN226" s="332"/>
      <c r="AO226" s="332"/>
      <c r="AP226" s="332"/>
    </row>
    <row r="227" ht="14.25" customHeight="1">
      <c r="A227" s="332"/>
      <c r="B227" s="332"/>
      <c r="C227" s="332"/>
      <c r="D227" s="332"/>
      <c r="E227" s="332"/>
      <c r="F227" s="332"/>
      <c r="G227" s="332"/>
      <c r="H227" s="332"/>
      <c r="I227" s="332"/>
      <c r="J227" s="332"/>
      <c r="K227" s="332"/>
      <c r="L227" s="332"/>
      <c r="M227" s="332"/>
      <c r="N227" s="332"/>
      <c r="O227" s="332"/>
      <c r="P227" s="332"/>
      <c r="Q227" s="332"/>
      <c r="R227" s="332"/>
      <c r="S227" s="332"/>
      <c r="T227" s="332"/>
      <c r="U227" s="332"/>
      <c r="V227" s="332"/>
      <c r="W227" s="332"/>
      <c r="X227" s="332"/>
      <c r="Y227" s="332"/>
      <c r="Z227" s="332"/>
      <c r="AA227" s="332"/>
      <c r="AB227" s="332"/>
      <c r="AC227" s="332"/>
      <c r="AD227" s="332"/>
      <c r="AE227" s="332"/>
      <c r="AF227" s="332"/>
      <c r="AG227" s="332"/>
      <c r="AH227" s="332"/>
      <c r="AI227" s="332"/>
      <c r="AJ227" s="332"/>
      <c r="AK227" s="332"/>
      <c r="AL227" s="332"/>
      <c r="AM227" s="332"/>
      <c r="AN227" s="332"/>
      <c r="AO227" s="332"/>
      <c r="AP227" s="332"/>
    </row>
    <row r="228" ht="14.25" customHeight="1">
      <c r="A228" s="332"/>
      <c r="B228" s="332"/>
      <c r="C228" s="332"/>
      <c r="D228" s="332"/>
      <c r="E228" s="332"/>
      <c r="F228" s="332"/>
      <c r="G228" s="332"/>
      <c r="H228" s="332"/>
      <c r="I228" s="332"/>
      <c r="J228" s="332"/>
      <c r="K228" s="332"/>
      <c r="L228" s="332"/>
      <c r="M228" s="332"/>
      <c r="N228" s="332"/>
      <c r="O228" s="332"/>
      <c r="P228" s="332"/>
      <c r="Q228" s="332"/>
      <c r="R228" s="332"/>
      <c r="S228" s="332"/>
      <c r="T228" s="332"/>
      <c r="U228" s="332"/>
      <c r="V228" s="332"/>
      <c r="W228" s="332"/>
      <c r="X228" s="332"/>
      <c r="Y228" s="332"/>
      <c r="Z228" s="332"/>
      <c r="AA228" s="332"/>
      <c r="AB228" s="332"/>
      <c r="AC228" s="332"/>
      <c r="AD228" s="332"/>
      <c r="AE228" s="332"/>
      <c r="AF228" s="332"/>
      <c r="AG228" s="332"/>
      <c r="AH228" s="332"/>
      <c r="AI228" s="332"/>
      <c r="AJ228" s="332"/>
      <c r="AK228" s="332"/>
      <c r="AL228" s="332"/>
      <c r="AM228" s="332"/>
      <c r="AN228" s="332"/>
      <c r="AO228" s="332"/>
      <c r="AP228" s="332"/>
    </row>
    <row r="229" ht="14.25" customHeight="1">
      <c r="A229" s="332"/>
      <c r="B229" s="332"/>
      <c r="C229" s="332"/>
      <c r="D229" s="332"/>
      <c r="E229" s="332"/>
      <c r="F229" s="332"/>
      <c r="G229" s="332"/>
      <c r="H229" s="332"/>
      <c r="I229" s="332"/>
      <c r="J229" s="332"/>
      <c r="K229" s="332"/>
      <c r="L229" s="332"/>
      <c r="M229" s="332"/>
      <c r="N229" s="332"/>
      <c r="O229" s="332"/>
      <c r="P229" s="332"/>
      <c r="Q229" s="332"/>
      <c r="R229" s="332"/>
      <c r="S229" s="332"/>
      <c r="T229" s="332"/>
      <c r="U229" s="332"/>
      <c r="V229" s="332"/>
      <c r="W229" s="332"/>
      <c r="X229" s="332"/>
      <c r="Y229" s="332"/>
      <c r="Z229" s="332"/>
      <c r="AA229" s="332"/>
      <c r="AB229" s="332"/>
      <c r="AC229" s="332"/>
      <c r="AD229" s="332"/>
      <c r="AE229" s="332"/>
      <c r="AF229" s="332"/>
      <c r="AG229" s="332"/>
      <c r="AH229" s="332"/>
      <c r="AI229" s="332"/>
      <c r="AJ229" s="332"/>
      <c r="AK229" s="332"/>
      <c r="AL229" s="332"/>
      <c r="AM229" s="332"/>
      <c r="AN229" s="332"/>
      <c r="AO229" s="332"/>
      <c r="AP229" s="332"/>
    </row>
    <row r="230" ht="14.25" customHeight="1">
      <c r="A230" s="332"/>
      <c r="B230" s="332"/>
      <c r="C230" s="332"/>
      <c r="D230" s="332"/>
      <c r="E230" s="332"/>
      <c r="F230" s="332"/>
      <c r="G230" s="332"/>
      <c r="H230" s="332"/>
      <c r="I230" s="332"/>
      <c r="J230" s="332"/>
      <c r="K230" s="332"/>
      <c r="L230" s="332"/>
      <c r="M230" s="332"/>
      <c r="N230" s="332"/>
      <c r="O230" s="332"/>
      <c r="P230" s="332"/>
      <c r="Q230" s="332"/>
      <c r="R230" s="332"/>
      <c r="S230" s="332"/>
      <c r="T230" s="332"/>
      <c r="U230" s="332"/>
      <c r="V230" s="332"/>
      <c r="W230" s="332"/>
      <c r="X230" s="332"/>
      <c r="Y230" s="332"/>
      <c r="Z230" s="332"/>
      <c r="AA230" s="332"/>
      <c r="AB230" s="332"/>
      <c r="AC230" s="332"/>
      <c r="AD230" s="332"/>
      <c r="AE230" s="332"/>
      <c r="AF230" s="332"/>
      <c r="AG230" s="332"/>
      <c r="AH230" s="332"/>
      <c r="AI230" s="332"/>
      <c r="AJ230" s="332"/>
      <c r="AK230" s="332"/>
      <c r="AL230" s="332"/>
      <c r="AM230" s="332"/>
      <c r="AN230" s="332"/>
      <c r="AO230" s="332"/>
      <c r="AP230" s="332"/>
    </row>
    <row r="231" ht="14.25" customHeight="1">
      <c r="A231" s="332"/>
      <c r="B231" s="332"/>
      <c r="C231" s="332"/>
      <c r="D231" s="332"/>
      <c r="E231" s="332"/>
      <c r="F231" s="332"/>
      <c r="G231" s="332"/>
      <c r="H231" s="332"/>
      <c r="I231" s="332"/>
      <c r="J231" s="332"/>
      <c r="K231" s="332"/>
      <c r="L231" s="332"/>
      <c r="M231" s="332"/>
      <c r="N231" s="332"/>
      <c r="O231" s="332"/>
      <c r="P231" s="332"/>
      <c r="Q231" s="332"/>
      <c r="R231" s="332"/>
      <c r="S231" s="332"/>
      <c r="T231" s="332"/>
      <c r="U231" s="332"/>
      <c r="V231" s="332"/>
      <c r="W231" s="332"/>
      <c r="X231" s="332"/>
      <c r="Y231" s="332"/>
      <c r="Z231" s="332"/>
      <c r="AA231" s="332"/>
      <c r="AB231" s="332"/>
      <c r="AC231" s="332"/>
      <c r="AD231" s="332"/>
      <c r="AE231" s="332"/>
      <c r="AF231" s="332"/>
      <c r="AG231" s="332"/>
      <c r="AH231" s="332"/>
      <c r="AI231" s="332"/>
      <c r="AJ231" s="332"/>
      <c r="AK231" s="332"/>
      <c r="AL231" s="332"/>
      <c r="AM231" s="332"/>
      <c r="AN231" s="332"/>
      <c r="AO231" s="332"/>
      <c r="AP231" s="332"/>
    </row>
    <row r="232" ht="14.25" customHeight="1">
      <c r="A232" s="332"/>
      <c r="B232" s="332"/>
      <c r="C232" s="332"/>
      <c r="D232" s="332"/>
      <c r="E232" s="332"/>
      <c r="F232" s="332"/>
      <c r="G232" s="332"/>
      <c r="H232" s="332"/>
      <c r="I232" s="332"/>
      <c r="J232" s="332"/>
      <c r="K232" s="332"/>
      <c r="L232" s="332"/>
      <c r="M232" s="332"/>
      <c r="N232" s="332"/>
      <c r="O232" s="332"/>
      <c r="P232" s="332"/>
      <c r="Q232" s="332"/>
      <c r="R232" s="332"/>
      <c r="S232" s="332"/>
      <c r="T232" s="332"/>
      <c r="U232" s="332"/>
      <c r="V232" s="332"/>
      <c r="W232" s="332"/>
      <c r="X232" s="332"/>
      <c r="Y232" s="332"/>
      <c r="Z232" s="332"/>
      <c r="AA232" s="332"/>
      <c r="AB232" s="332"/>
      <c r="AC232" s="332"/>
      <c r="AD232" s="332"/>
      <c r="AE232" s="332"/>
      <c r="AF232" s="332"/>
      <c r="AG232" s="332"/>
      <c r="AH232" s="332"/>
      <c r="AI232" s="332"/>
      <c r="AJ232" s="332"/>
      <c r="AK232" s="332"/>
      <c r="AL232" s="332"/>
      <c r="AM232" s="332"/>
      <c r="AN232" s="332"/>
      <c r="AO232" s="332"/>
      <c r="AP232" s="332"/>
    </row>
    <row r="233" ht="14.25" customHeight="1">
      <c r="A233" s="332"/>
      <c r="B233" s="332"/>
      <c r="C233" s="332"/>
      <c r="D233" s="332"/>
      <c r="E233" s="332"/>
      <c r="F233" s="332"/>
      <c r="G233" s="332"/>
      <c r="H233" s="332"/>
      <c r="I233" s="332"/>
      <c r="J233" s="332"/>
      <c r="K233" s="332"/>
      <c r="L233" s="332"/>
      <c r="M233" s="332"/>
      <c r="N233" s="332"/>
      <c r="O233" s="332"/>
      <c r="P233" s="332"/>
      <c r="Q233" s="332"/>
      <c r="R233" s="332"/>
      <c r="S233" s="332"/>
      <c r="T233" s="332"/>
      <c r="U233" s="332"/>
      <c r="V233" s="332"/>
      <c r="W233" s="332"/>
      <c r="X233" s="332"/>
      <c r="Y233" s="332"/>
      <c r="Z233" s="332"/>
      <c r="AA233" s="332"/>
      <c r="AB233" s="332"/>
      <c r="AC233" s="332"/>
      <c r="AD233" s="332"/>
      <c r="AE233" s="332"/>
      <c r="AF233" s="332"/>
      <c r="AG233" s="332"/>
      <c r="AH233" s="332"/>
      <c r="AI233" s="332"/>
      <c r="AJ233" s="332"/>
      <c r="AK233" s="332"/>
      <c r="AL233" s="332"/>
      <c r="AM233" s="332"/>
      <c r="AN233" s="332"/>
      <c r="AO233" s="332"/>
      <c r="AP233" s="332"/>
    </row>
    <row r="234" ht="14.25" customHeight="1">
      <c r="A234" s="332"/>
      <c r="B234" s="332"/>
      <c r="C234" s="332"/>
      <c r="D234" s="332"/>
      <c r="E234" s="332"/>
      <c r="F234" s="332"/>
      <c r="G234" s="332"/>
      <c r="H234" s="332"/>
      <c r="I234" s="332"/>
      <c r="J234" s="332"/>
      <c r="K234" s="332"/>
      <c r="L234" s="332"/>
      <c r="M234" s="332"/>
      <c r="N234" s="332"/>
      <c r="O234" s="332"/>
      <c r="P234" s="332"/>
      <c r="Q234" s="332"/>
      <c r="R234" s="332"/>
      <c r="S234" s="332"/>
      <c r="T234" s="332"/>
      <c r="U234" s="332"/>
      <c r="V234" s="332"/>
      <c r="W234" s="332"/>
      <c r="X234" s="332"/>
      <c r="Y234" s="332"/>
      <c r="Z234" s="332"/>
      <c r="AA234" s="332"/>
      <c r="AB234" s="332"/>
      <c r="AC234" s="332"/>
      <c r="AD234" s="332"/>
      <c r="AE234" s="332"/>
      <c r="AF234" s="332"/>
      <c r="AG234" s="332"/>
      <c r="AH234" s="332"/>
      <c r="AI234" s="332"/>
      <c r="AJ234" s="332"/>
      <c r="AK234" s="332"/>
      <c r="AL234" s="332"/>
      <c r="AM234" s="332"/>
      <c r="AN234" s="332"/>
      <c r="AO234" s="332"/>
      <c r="AP234" s="332"/>
    </row>
    <row r="235" ht="14.25" customHeight="1">
      <c r="A235" s="332"/>
      <c r="B235" s="332"/>
      <c r="C235" s="332"/>
      <c r="D235" s="332"/>
      <c r="E235" s="332"/>
      <c r="F235" s="332"/>
      <c r="G235" s="332"/>
      <c r="H235" s="332"/>
      <c r="I235" s="332"/>
      <c r="J235" s="332"/>
      <c r="K235" s="332"/>
      <c r="L235" s="332"/>
      <c r="M235" s="332"/>
      <c r="N235" s="332"/>
      <c r="O235" s="332"/>
      <c r="P235" s="332"/>
      <c r="Q235" s="332"/>
      <c r="R235" s="332"/>
      <c r="S235" s="332"/>
      <c r="T235" s="332"/>
      <c r="U235" s="332"/>
      <c r="V235" s="332"/>
      <c r="W235" s="332"/>
      <c r="X235" s="332"/>
      <c r="Y235" s="332"/>
      <c r="Z235" s="332"/>
      <c r="AA235" s="332"/>
      <c r="AB235" s="332"/>
      <c r="AC235" s="332"/>
      <c r="AD235" s="332"/>
      <c r="AE235" s="332"/>
      <c r="AF235" s="332"/>
      <c r="AG235" s="332"/>
      <c r="AH235" s="332"/>
      <c r="AI235" s="332"/>
      <c r="AJ235" s="332"/>
      <c r="AK235" s="332"/>
      <c r="AL235" s="332"/>
      <c r="AM235" s="332"/>
      <c r="AN235" s="332"/>
      <c r="AO235" s="332"/>
      <c r="AP235" s="332"/>
    </row>
    <row r="236" ht="14.25" customHeight="1">
      <c r="A236" s="332"/>
      <c r="B236" s="332"/>
      <c r="C236" s="332"/>
      <c r="D236" s="332"/>
      <c r="E236" s="332"/>
      <c r="F236" s="332"/>
      <c r="G236" s="332"/>
      <c r="H236" s="332"/>
      <c r="I236" s="332"/>
      <c r="J236" s="332"/>
      <c r="K236" s="332"/>
      <c r="L236" s="332"/>
      <c r="M236" s="332"/>
      <c r="N236" s="332"/>
      <c r="O236" s="332"/>
      <c r="P236" s="332"/>
      <c r="Q236" s="332"/>
      <c r="R236" s="332"/>
      <c r="S236" s="332"/>
      <c r="T236" s="332"/>
      <c r="U236" s="332"/>
      <c r="V236" s="332"/>
      <c r="W236" s="332"/>
      <c r="X236" s="332"/>
      <c r="Y236" s="332"/>
      <c r="Z236" s="332"/>
      <c r="AA236" s="332"/>
      <c r="AB236" s="332"/>
      <c r="AC236" s="332"/>
      <c r="AD236" s="332"/>
      <c r="AE236" s="332"/>
      <c r="AF236" s="332"/>
      <c r="AG236" s="332"/>
      <c r="AH236" s="332"/>
      <c r="AI236" s="332"/>
      <c r="AJ236" s="332"/>
      <c r="AK236" s="332"/>
      <c r="AL236" s="332"/>
      <c r="AM236" s="332"/>
      <c r="AN236" s="332"/>
      <c r="AO236" s="332"/>
      <c r="AP236" s="332"/>
    </row>
    <row r="237" ht="14.25" customHeight="1">
      <c r="A237" s="332"/>
      <c r="B237" s="332"/>
      <c r="C237" s="332"/>
      <c r="D237" s="332"/>
      <c r="E237" s="332"/>
      <c r="F237" s="332"/>
      <c r="G237" s="332"/>
      <c r="H237" s="332"/>
      <c r="I237" s="332"/>
      <c r="J237" s="332"/>
      <c r="K237" s="332"/>
      <c r="L237" s="332"/>
      <c r="M237" s="332"/>
      <c r="N237" s="332"/>
      <c r="O237" s="332"/>
      <c r="P237" s="332"/>
      <c r="Q237" s="332"/>
      <c r="R237" s="332"/>
      <c r="S237" s="332"/>
      <c r="T237" s="332"/>
      <c r="U237" s="332"/>
      <c r="V237" s="332"/>
      <c r="W237" s="332"/>
      <c r="X237" s="332"/>
      <c r="Y237" s="332"/>
      <c r="Z237" s="332"/>
      <c r="AA237" s="332"/>
      <c r="AB237" s="332"/>
      <c r="AC237" s="332"/>
      <c r="AD237" s="332"/>
      <c r="AE237" s="332"/>
      <c r="AF237" s="332"/>
      <c r="AG237" s="332"/>
      <c r="AH237" s="332"/>
      <c r="AI237" s="332"/>
      <c r="AJ237" s="332"/>
      <c r="AK237" s="332"/>
      <c r="AL237" s="332"/>
      <c r="AM237" s="332"/>
      <c r="AN237" s="332"/>
      <c r="AO237" s="332"/>
      <c r="AP237" s="332"/>
    </row>
    <row r="238" ht="14.25" customHeight="1">
      <c r="A238" s="332"/>
      <c r="B238" s="332"/>
      <c r="C238" s="332"/>
      <c r="D238" s="332"/>
      <c r="E238" s="332"/>
      <c r="F238" s="332"/>
      <c r="G238" s="332"/>
      <c r="H238" s="332"/>
      <c r="I238" s="332"/>
      <c r="J238" s="332"/>
      <c r="K238" s="332"/>
      <c r="L238" s="332"/>
      <c r="M238" s="332"/>
      <c r="N238" s="332"/>
      <c r="O238" s="332"/>
      <c r="P238" s="332"/>
      <c r="Q238" s="332"/>
      <c r="R238" s="332"/>
      <c r="S238" s="332"/>
      <c r="T238" s="332"/>
      <c r="U238" s="332"/>
      <c r="V238" s="332"/>
      <c r="W238" s="332"/>
      <c r="X238" s="332"/>
      <c r="Y238" s="332"/>
      <c r="Z238" s="332"/>
      <c r="AA238" s="332"/>
      <c r="AB238" s="332"/>
      <c r="AC238" s="332"/>
      <c r="AD238" s="332"/>
      <c r="AE238" s="332"/>
      <c r="AF238" s="332"/>
      <c r="AG238" s="332"/>
      <c r="AH238" s="332"/>
      <c r="AI238" s="332"/>
      <c r="AJ238" s="332"/>
      <c r="AK238" s="332"/>
      <c r="AL238" s="332"/>
      <c r="AM238" s="332"/>
      <c r="AN238" s="332"/>
      <c r="AO238" s="332"/>
      <c r="AP238" s="332"/>
    </row>
    <row r="239" ht="14.25" customHeight="1">
      <c r="A239" s="332"/>
      <c r="B239" s="332"/>
      <c r="C239" s="332"/>
      <c r="D239" s="332"/>
      <c r="E239" s="332"/>
      <c r="F239" s="332"/>
      <c r="G239" s="332"/>
      <c r="H239" s="332"/>
      <c r="I239" s="332"/>
      <c r="J239" s="332"/>
      <c r="K239" s="332"/>
      <c r="L239" s="332"/>
      <c r="M239" s="332"/>
      <c r="N239" s="332"/>
      <c r="O239" s="332"/>
      <c r="P239" s="332"/>
      <c r="Q239" s="332"/>
      <c r="R239" s="332"/>
      <c r="S239" s="332"/>
      <c r="T239" s="332"/>
      <c r="U239" s="332"/>
      <c r="V239" s="332"/>
      <c r="W239" s="332"/>
      <c r="X239" s="332"/>
      <c r="Y239" s="332"/>
      <c r="Z239" s="332"/>
      <c r="AA239" s="332"/>
      <c r="AB239" s="332"/>
      <c r="AC239" s="332"/>
      <c r="AD239" s="332"/>
      <c r="AE239" s="332"/>
      <c r="AF239" s="332"/>
      <c r="AG239" s="332"/>
      <c r="AH239" s="332"/>
      <c r="AI239" s="332"/>
      <c r="AJ239" s="332"/>
      <c r="AK239" s="332"/>
      <c r="AL239" s="332"/>
      <c r="AM239" s="332"/>
      <c r="AN239" s="332"/>
      <c r="AO239" s="332"/>
      <c r="AP239" s="332"/>
    </row>
    <row r="240" ht="14.25" customHeight="1">
      <c r="A240" s="332"/>
      <c r="B240" s="332"/>
      <c r="C240" s="332"/>
      <c r="D240" s="332"/>
      <c r="E240" s="332"/>
      <c r="F240" s="332"/>
      <c r="G240" s="332"/>
      <c r="H240" s="332"/>
      <c r="I240" s="332"/>
      <c r="J240" s="332"/>
      <c r="K240" s="332"/>
      <c r="L240" s="332"/>
      <c r="M240" s="332"/>
      <c r="N240" s="332"/>
      <c r="O240" s="332"/>
      <c r="P240" s="332"/>
      <c r="Q240" s="332"/>
      <c r="R240" s="332"/>
      <c r="S240" s="332"/>
      <c r="T240" s="332"/>
      <c r="U240" s="332"/>
      <c r="V240" s="332"/>
      <c r="W240" s="332"/>
      <c r="X240" s="332"/>
      <c r="Y240" s="332"/>
      <c r="Z240" s="332"/>
      <c r="AA240" s="332"/>
      <c r="AB240" s="332"/>
      <c r="AC240" s="332"/>
      <c r="AD240" s="332"/>
      <c r="AE240" s="332"/>
      <c r="AF240" s="332"/>
      <c r="AG240" s="332"/>
      <c r="AH240" s="332"/>
      <c r="AI240" s="332"/>
      <c r="AJ240" s="332"/>
      <c r="AK240" s="332"/>
      <c r="AL240" s="332"/>
      <c r="AM240" s="332"/>
      <c r="AN240" s="332"/>
      <c r="AO240" s="332"/>
      <c r="AP240" s="332"/>
    </row>
    <row r="241" ht="14.25" customHeight="1">
      <c r="A241" s="332"/>
      <c r="B241" s="332"/>
      <c r="C241" s="332"/>
      <c r="D241" s="332"/>
      <c r="E241" s="332"/>
      <c r="F241" s="332"/>
      <c r="G241" s="332"/>
      <c r="H241" s="332"/>
      <c r="I241" s="332"/>
      <c r="J241" s="332"/>
      <c r="K241" s="332"/>
      <c r="L241" s="332"/>
      <c r="M241" s="332"/>
      <c r="N241" s="332"/>
      <c r="O241" s="332"/>
      <c r="P241" s="332"/>
      <c r="Q241" s="332"/>
      <c r="R241" s="332"/>
      <c r="S241" s="332"/>
      <c r="T241" s="332"/>
      <c r="U241" s="332"/>
      <c r="V241" s="332"/>
      <c r="W241" s="332"/>
      <c r="X241" s="332"/>
      <c r="Y241" s="332"/>
      <c r="Z241" s="332"/>
      <c r="AA241" s="332"/>
      <c r="AB241" s="332"/>
      <c r="AC241" s="332"/>
      <c r="AD241" s="332"/>
      <c r="AE241" s="332"/>
      <c r="AF241" s="332"/>
      <c r="AG241" s="332"/>
      <c r="AH241" s="332"/>
      <c r="AI241" s="332"/>
      <c r="AJ241" s="332"/>
      <c r="AK241" s="332"/>
      <c r="AL241" s="332"/>
      <c r="AM241" s="332"/>
      <c r="AN241" s="332"/>
      <c r="AO241" s="332"/>
      <c r="AP241" s="332"/>
    </row>
    <row r="242" ht="14.25" customHeight="1">
      <c r="A242" s="332"/>
      <c r="B242" s="332"/>
      <c r="C242" s="332"/>
      <c r="D242" s="332"/>
      <c r="E242" s="332"/>
      <c r="F242" s="332"/>
      <c r="G242" s="332"/>
      <c r="H242" s="332"/>
      <c r="I242" s="332"/>
      <c r="J242" s="332"/>
      <c r="K242" s="332"/>
      <c r="L242" s="332"/>
      <c r="M242" s="332"/>
      <c r="N242" s="332"/>
      <c r="O242" s="332"/>
      <c r="P242" s="332"/>
      <c r="Q242" s="332"/>
      <c r="R242" s="332"/>
      <c r="S242" s="332"/>
      <c r="T242" s="332"/>
      <c r="U242" s="332"/>
      <c r="V242" s="332"/>
      <c r="W242" s="332"/>
      <c r="X242" s="332"/>
      <c r="Y242" s="332"/>
      <c r="Z242" s="332"/>
      <c r="AA242" s="332"/>
      <c r="AB242" s="332"/>
      <c r="AC242" s="332"/>
      <c r="AD242" s="332"/>
      <c r="AE242" s="332"/>
      <c r="AF242" s="332"/>
      <c r="AG242" s="332"/>
      <c r="AH242" s="332"/>
      <c r="AI242" s="332"/>
      <c r="AJ242" s="332"/>
      <c r="AK242" s="332"/>
      <c r="AL242" s="332"/>
      <c r="AM242" s="332"/>
      <c r="AN242" s="332"/>
      <c r="AO242" s="332"/>
      <c r="AP242" s="332"/>
    </row>
    <row r="243" ht="14.25" customHeight="1">
      <c r="A243" s="332"/>
      <c r="B243" s="332"/>
      <c r="C243" s="332"/>
      <c r="D243" s="332"/>
      <c r="E243" s="332"/>
      <c r="F243" s="332"/>
      <c r="G243" s="332"/>
      <c r="H243" s="332"/>
      <c r="I243" s="332"/>
      <c r="J243" s="332"/>
      <c r="K243" s="332"/>
      <c r="L243" s="332"/>
      <c r="M243" s="332"/>
      <c r="N243" s="332"/>
      <c r="O243" s="332"/>
      <c r="P243" s="332"/>
      <c r="Q243" s="332"/>
      <c r="R243" s="332"/>
      <c r="S243" s="332"/>
      <c r="T243" s="332"/>
      <c r="U243" s="332"/>
      <c r="V243" s="332"/>
      <c r="W243" s="332"/>
      <c r="X243" s="332"/>
      <c r="Y243" s="332"/>
      <c r="Z243" s="332"/>
      <c r="AA243" s="332"/>
      <c r="AB243" s="332"/>
      <c r="AC243" s="332"/>
      <c r="AD243" s="332"/>
      <c r="AE243" s="332"/>
      <c r="AF243" s="332"/>
      <c r="AG243" s="332"/>
      <c r="AH243" s="332"/>
      <c r="AI243" s="332"/>
      <c r="AJ243" s="332"/>
      <c r="AK243" s="332"/>
      <c r="AL243" s="332"/>
      <c r="AM243" s="332"/>
      <c r="AN243" s="332"/>
      <c r="AO243" s="332"/>
      <c r="AP243" s="332"/>
    </row>
    <row r="244" ht="14.25" customHeight="1">
      <c r="A244" s="332"/>
      <c r="B244" s="332"/>
      <c r="C244" s="332"/>
      <c r="D244" s="332"/>
      <c r="E244" s="332"/>
      <c r="F244" s="332"/>
      <c r="G244" s="332"/>
      <c r="H244" s="332"/>
      <c r="I244" s="332"/>
      <c r="J244" s="332"/>
      <c r="K244" s="332"/>
      <c r="L244" s="332"/>
      <c r="M244" s="332"/>
      <c r="N244" s="332"/>
      <c r="O244" s="332"/>
      <c r="P244" s="332"/>
      <c r="Q244" s="332"/>
      <c r="R244" s="332"/>
      <c r="S244" s="332"/>
      <c r="T244" s="332"/>
      <c r="U244" s="332"/>
      <c r="V244" s="332"/>
      <c r="W244" s="332"/>
      <c r="X244" s="332"/>
      <c r="Y244" s="332"/>
      <c r="Z244" s="332"/>
      <c r="AA244" s="332"/>
      <c r="AB244" s="332"/>
      <c r="AC244" s="332"/>
      <c r="AD244" s="332"/>
      <c r="AE244" s="332"/>
      <c r="AF244" s="332"/>
      <c r="AG244" s="332"/>
      <c r="AH244" s="332"/>
      <c r="AI244" s="332"/>
      <c r="AJ244" s="332"/>
      <c r="AK244" s="332"/>
      <c r="AL244" s="332"/>
      <c r="AM244" s="332"/>
      <c r="AN244" s="332"/>
      <c r="AO244" s="332"/>
      <c r="AP244" s="332"/>
    </row>
    <row r="245" ht="14.25" customHeight="1">
      <c r="A245" s="332"/>
      <c r="B245" s="332"/>
      <c r="C245" s="332"/>
      <c r="D245" s="332"/>
      <c r="E245" s="332"/>
      <c r="F245" s="332"/>
      <c r="G245" s="332"/>
      <c r="H245" s="332"/>
      <c r="I245" s="332"/>
      <c r="J245" s="332"/>
      <c r="K245" s="332"/>
      <c r="L245" s="332"/>
      <c r="M245" s="332"/>
      <c r="N245" s="332"/>
      <c r="O245" s="332"/>
      <c r="P245" s="332"/>
      <c r="Q245" s="332"/>
      <c r="R245" s="332"/>
      <c r="S245" s="332"/>
      <c r="T245" s="332"/>
      <c r="U245" s="332"/>
      <c r="V245" s="332"/>
      <c r="W245" s="332"/>
      <c r="X245" s="332"/>
      <c r="Y245" s="332"/>
      <c r="Z245" s="332"/>
      <c r="AA245" s="332"/>
      <c r="AB245" s="332"/>
      <c r="AC245" s="332"/>
      <c r="AD245" s="332"/>
      <c r="AE245" s="332"/>
      <c r="AF245" s="332"/>
      <c r="AG245" s="332"/>
      <c r="AH245" s="332"/>
      <c r="AI245" s="332"/>
      <c r="AJ245" s="332"/>
      <c r="AK245" s="332"/>
      <c r="AL245" s="332"/>
      <c r="AM245" s="332"/>
      <c r="AN245" s="332"/>
      <c r="AO245" s="332"/>
      <c r="AP245" s="332"/>
    </row>
    <row r="246" ht="14.25" customHeight="1">
      <c r="A246" s="332"/>
      <c r="B246" s="332"/>
      <c r="C246" s="332"/>
      <c r="D246" s="332"/>
      <c r="E246" s="332"/>
      <c r="F246" s="332"/>
      <c r="G246" s="332"/>
      <c r="H246" s="332"/>
      <c r="I246" s="332"/>
      <c r="J246" s="332"/>
      <c r="K246" s="332"/>
      <c r="L246" s="332"/>
      <c r="M246" s="332"/>
      <c r="N246" s="332"/>
      <c r="O246" s="332"/>
      <c r="P246" s="332"/>
      <c r="Q246" s="332"/>
      <c r="R246" s="332"/>
      <c r="S246" s="332"/>
      <c r="T246" s="332"/>
      <c r="U246" s="332"/>
      <c r="V246" s="332"/>
      <c r="W246" s="332"/>
      <c r="X246" s="332"/>
      <c r="Y246" s="332"/>
      <c r="Z246" s="332"/>
      <c r="AA246" s="332"/>
      <c r="AB246" s="332"/>
      <c r="AC246" s="332"/>
      <c r="AD246" s="332"/>
      <c r="AE246" s="332"/>
      <c r="AF246" s="332"/>
      <c r="AG246" s="332"/>
      <c r="AH246" s="332"/>
      <c r="AI246" s="332"/>
      <c r="AJ246" s="332"/>
      <c r="AK246" s="332"/>
      <c r="AL246" s="332"/>
      <c r="AM246" s="332"/>
      <c r="AN246" s="332"/>
      <c r="AO246" s="332"/>
      <c r="AP246" s="332"/>
    </row>
    <row r="247" ht="14.25" customHeight="1">
      <c r="A247" s="332"/>
      <c r="B247" s="332"/>
      <c r="C247" s="332"/>
      <c r="D247" s="332"/>
      <c r="E247" s="332"/>
      <c r="F247" s="332"/>
      <c r="G247" s="332"/>
      <c r="H247" s="332"/>
      <c r="I247" s="332"/>
      <c r="J247" s="332"/>
      <c r="K247" s="332"/>
      <c r="L247" s="332"/>
      <c r="M247" s="332"/>
      <c r="N247" s="332"/>
      <c r="O247" s="332"/>
      <c r="P247" s="332"/>
      <c r="Q247" s="332"/>
      <c r="R247" s="332"/>
      <c r="S247" s="332"/>
      <c r="T247" s="332"/>
      <c r="U247" s="332"/>
      <c r="V247" s="332"/>
      <c r="W247" s="332"/>
      <c r="X247" s="332"/>
      <c r="Y247" s="332"/>
      <c r="Z247" s="332"/>
      <c r="AA247" s="332"/>
      <c r="AB247" s="332"/>
      <c r="AC247" s="332"/>
      <c r="AD247" s="332"/>
      <c r="AE247" s="332"/>
      <c r="AF247" s="332"/>
      <c r="AG247" s="332"/>
      <c r="AH247" s="332"/>
      <c r="AI247" s="332"/>
      <c r="AJ247" s="332"/>
      <c r="AK247" s="332"/>
      <c r="AL247" s="332"/>
      <c r="AM247" s="332"/>
      <c r="AN247" s="332"/>
      <c r="AO247" s="332"/>
      <c r="AP247" s="332"/>
    </row>
    <row r="248" ht="14.25" customHeight="1">
      <c r="A248" s="332"/>
      <c r="B248" s="332"/>
      <c r="C248" s="332"/>
      <c r="D248" s="332"/>
      <c r="E248" s="332"/>
      <c r="F248" s="332"/>
      <c r="G248" s="332"/>
      <c r="H248" s="332"/>
      <c r="I248" s="332"/>
      <c r="J248" s="332"/>
      <c r="K248" s="332"/>
      <c r="L248" s="332"/>
      <c r="M248" s="332"/>
      <c r="N248" s="332"/>
      <c r="O248" s="332"/>
      <c r="P248" s="332"/>
      <c r="Q248" s="332"/>
      <c r="R248" s="332"/>
      <c r="S248" s="332"/>
      <c r="T248" s="332"/>
      <c r="U248" s="332"/>
      <c r="V248" s="332"/>
      <c r="W248" s="332"/>
      <c r="X248" s="332"/>
      <c r="Y248" s="332"/>
      <c r="Z248" s="332"/>
      <c r="AA248" s="332"/>
      <c r="AB248" s="332"/>
      <c r="AC248" s="332"/>
      <c r="AD248" s="332"/>
      <c r="AE248" s="332"/>
      <c r="AF248" s="332"/>
      <c r="AG248" s="332"/>
      <c r="AH248" s="332"/>
      <c r="AI248" s="332"/>
      <c r="AJ248" s="332"/>
      <c r="AK248" s="332"/>
      <c r="AL248" s="332"/>
      <c r="AM248" s="332"/>
      <c r="AN248" s="332"/>
      <c r="AO248" s="332"/>
      <c r="AP248" s="332"/>
    </row>
    <row r="249" ht="14.25" customHeight="1">
      <c r="A249" s="332"/>
      <c r="B249" s="332"/>
      <c r="C249" s="332"/>
      <c r="D249" s="332"/>
      <c r="E249" s="332"/>
      <c r="F249" s="332"/>
      <c r="G249" s="332"/>
      <c r="H249" s="332"/>
      <c r="I249" s="332"/>
      <c r="J249" s="332"/>
      <c r="K249" s="332"/>
      <c r="L249" s="332"/>
      <c r="M249" s="332"/>
      <c r="N249" s="332"/>
      <c r="O249" s="332"/>
      <c r="P249" s="332"/>
      <c r="Q249" s="332"/>
      <c r="R249" s="332"/>
      <c r="S249" s="332"/>
      <c r="T249" s="332"/>
      <c r="U249" s="332"/>
      <c r="V249" s="332"/>
      <c r="W249" s="332"/>
      <c r="X249" s="332"/>
      <c r="Y249" s="332"/>
      <c r="Z249" s="332"/>
      <c r="AA249" s="332"/>
      <c r="AB249" s="332"/>
      <c r="AC249" s="332"/>
      <c r="AD249" s="332"/>
      <c r="AE249" s="332"/>
      <c r="AF249" s="332"/>
      <c r="AG249" s="332"/>
      <c r="AH249" s="332"/>
      <c r="AI249" s="332"/>
      <c r="AJ249" s="332"/>
      <c r="AK249" s="332"/>
      <c r="AL249" s="332"/>
      <c r="AM249" s="332"/>
      <c r="AN249" s="332"/>
      <c r="AO249" s="332"/>
      <c r="AP249" s="332"/>
    </row>
    <row r="250" ht="14.25" customHeight="1">
      <c r="A250" s="332"/>
      <c r="B250" s="332"/>
      <c r="C250" s="332"/>
      <c r="D250" s="332"/>
      <c r="E250" s="332"/>
      <c r="F250" s="332"/>
      <c r="G250" s="332"/>
      <c r="H250" s="332"/>
      <c r="I250" s="332"/>
      <c r="J250" s="332"/>
      <c r="K250" s="332"/>
      <c r="L250" s="332"/>
      <c r="M250" s="332"/>
      <c r="N250" s="332"/>
      <c r="O250" s="332"/>
      <c r="P250" s="332"/>
      <c r="Q250" s="332"/>
      <c r="R250" s="332"/>
      <c r="S250" s="332"/>
      <c r="T250" s="332"/>
      <c r="U250" s="332"/>
      <c r="V250" s="332"/>
      <c r="W250" s="332"/>
      <c r="X250" s="332"/>
      <c r="Y250" s="332"/>
      <c r="Z250" s="332"/>
      <c r="AA250" s="332"/>
      <c r="AB250" s="332"/>
      <c r="AC250" s="332"/>
      <c r="AD250" s="332"/>
      <c r="AE250" s="332"/>
      <c r="AF250" s="332"/>
      <c r="AG250" s="332"/>
      <c r="AH250" s="332"/>
      <c r="AI250" s="332"/>
      <c r="AJ250" s="332"/>
      <c r="AK250" s="332"/>
      <c r="AL250" s="332"/>
      <c r="AM250" s="332"/>
      <c r="AN250" s="332"/>
      <c r="AO250" s="332"/>
      <c r="AP250" s="332"/>
    </row>
    <row r="251" ht="14.25" customHeight="1">
      <c r="A251" s="332"/>
      <c r="B251" s="332"/>
      <c r="C251" s="332"/>
      <c r="D251" s="332"/>
      <c r="E251" s="332"/>
      <c r="F251" s="332"/>
      <c r="G251" s="332"/>
      <c r="H251" s="332"/>
      <c r="I251" s="332"/>
      <c r="J251" s="332"/>
      <c r="K251" s="332"/>
      <c r="L251" s="332"/>
      <c r="M251" s="332"/>
      <c r="N251" s="332"/>
      <c r="O251" s="332"/>
      <c r="P251" s="332"/>
      <c r="Q251" s="332"/>
      <c r="R251" s="332"/>
      <c r="S251" s="332"/>
      <c r="T251" s="332"/>
      <c r="U251" s="332"/>
      <c r="V251" s="332"/>
      <c r="W251" s="332"/>
      <c r="X251" s="332"/>
      <c r="Y251" s="332"/>
      <c r="Z251" s="332"/>
      <c r="AA251" s="332"/>
      <c r="AB251" s="332"/>
      <c r="AC251" s="332"/>
      <c r="AD251" s="332"/>
      <c r="AE251" s="332"/>
      <c r="AF251" s="332"/>
      <c r="AG251" s="332"/>
      <c r="AH251" s="332"/>
      <c r="AI251" s="332"/>
      <c r="AJ251" s="332"/>
      <c r="AK251" s="332"/>
      <c r="AL251" s="332"/>
      <c r="AM251" s="332"/>
      <c r="AN251" s="332"/>
      <c r="AO251" s="332"/>
      <c r="AP251" s="332"/>
    </row>
    <row r="252" ht="14.25" customHeight="1">
      <c r="A252" s="332"/>
      <c r="B252" s="332"/>
      <c r="C252" s="332"/>
      <c r="D252" s="332"/>
      <c r="E252" s="332"/>
      <c r="F252" s="332"/>
      <c r="G252" s="332"/>
      <c r="H252" s="332"/>
      <c r="I252" s="332"/>
      <c r="J252" s="332"/>
      <c r="K252" s="332"/>
      <c r="L252" s="332"/>
      <c r="M252" s="332"/>
      <c r="N252" s="332"/>
      <c r="O252" s="332"/>
      <c r="P252" s="332"/>
      <c r="Q252" s="332"/>
      <c r="R252" s="332"/>
      <c r="S252" s="332"/>
      <c r="T252" s="332"/>
      <c r="U252" s="332"/>
      <c r="V252" s="332"/>
      <c r="W252" s="332"/>
      <c r="X252" s="332"/>
      <c r="Y252" s="332"/>
      <c r="Z252" s="332"/>
      <c r="AA252" s="332"/>
      <c r="AB252" s="332"/>
      <c r="AC252" s="332"/>
      <c r="AD252" s="332"/>
      <c r="AE252" s="332"/>
      <c r="AF252" s="332"/>
      <c r="AG252" s="332"/>
      <c r="AH252" s="332"/>
      <c r="AI252" s="332"/>
      <c r="AJ252" s="332"/>
      <c r="AK252" s="332"/>
      <c r="AL252" s="332"/>
      <c r="AM252" s="332"/>
      <c r="AN252" s="332"/>
      <c r="AO252" s="332"/>
      <c r="AP252" s="332"/>
    </row>
    <row r="253" ht="14.25" customHeight="1">
      <c r="A253" s="332"/>
      <c r="B253" s="332"/>
      <c r="C253" s="332"/>
      <c r="D253" s="332"/>
      <c r="E253" s="332"/>
      <c r="F253" s="332"/>
      <c r="G253" s="332"/>
      <c r="H253" s="332"/>
      <c r="I253" s="332"/>
      <c r="J253" s="332"/>
      <c r="K253" s="332"/>
      <c r="L253" s="332"/>
      <c r="M253" s="332"/>
      <c r="N253" s="332"/>
      <c r="O253" s="332"/>
      <c r="P253" s="332"/>
      <c r="Q253" s="332"/>
      <c r="R253" s="332"/>
      <c r="S253" s="332"/>
      <c r="T253" s="332"/>
      <c r="U253" s="332"/>
      <c r="V253" s="332"/>
      <c r="W253" s="332"/>
      <c r="X253" s="332"/>
      <c r="Y253" s="332"/>
      <c r="Z253" s="332"/>
      <c r="AA253" s="332"/>
      <c r="AB253" s="332"/>
      <c r="AC253" s="332"/>
      <c r="AD253" s="332"/>
      <c r="AE253" s="332"/>
      <c r="AF253" s="332"/>
      <c r="AG253" s="332"/>
      <c r="AH253" s="332"/>
      <c r="AI253" s="332"/>
      <c r="AJ253" s="332"/>
      <c r="AK253" s="332"/>
      <c r="AL253" s="332"/>
      <c r="AM253" s="332"/>
      <c r="AN253" s="332"/>
      <c r="AO253" s="332"/>
      <c r="AP253" s="332"/>
    </row>
    <row r="254" ht="14.25" customHeight="1">
      <c r="A254" s="332"/>
      <c r="B254" s="332"/>
      <c r="C254" s="332"/>
      <c r="D254" s="332"/>
      <c r="E254" s="332"/>
      <c r="F254" s="332"/>
      <c r="G254" s="332"/>
      <c r="H254" s="332"/>
      <c r="I254" s="332"/>
      <c r="J254" s="332"/>
      <c r="K254" s="332"/>
      <c r="L254" s="332"/>
      <c r="M254" s="332"/>
      <c r="N254" s="332"/>
      <c r="O254" s="332"/>
      <c r="P254" s="332"/>
      <c r="Q254" s="332"/>
      <c r="R254" s="332"/>
      <c r="S254" s="332"/>
      <c r="T254" s="332"/>
      <c r="U254" s="332"/>
      <c r="V254" s="332"/>
      <c r="W254" s="332"/>
      <c r="X254" s="332"/>
      <c r="Y254" s="332"/>
      <c r="Z254" s="332"/>
      <c r="AA254" s="332"/>
      <c r="AB254" s="332"/>
      <c r="AC254" s="332"/>
      <c r="AD254" s="332"/>
      <c r="AE254" s="332"/>
      <c r="AF254" s="332"/>
      <c r="AG254" s="332"/>
      <c r="AH254" s="332"/>
      <c r="AI254" s="332"/>
      <c r="AJ254" s="332"/>
      <c r="AK254" s="332"/>
      <c r="AL254" s="332"/>
      <c r="AM254" s="332"/>
      <c r="AN254" s="332"/>
      <c r="AO254" s="332"/>
      <c r="AP254" s="332"/>
    </row>
    <row r="255" ht="14.25" customHeight="1">
      <c r="A255" s="332"/>
      <c r="B255" s="332"/>
      <c r="C255" s="332"/>
      <c r="D255" s="332"/>
      <c r="E255" s="332"/>
      <c r="F255" s="332"/>
      <c r="G255" s="332"/>
      <c r="H255" s="332"/>
      <c r="I255" s="332"/>
      <c r="J255" s="332"/>
      <c r="K255" s="332"/>
      <c r="L255" s="332"/>
      <c r="M255" s="332"/>
      <c r="N255" s="332"/>
      <c r="O255" s="332"/>
      <c r="P255" s="332"/>
      <c r="Q255" s="332"/>
      <c r="R255" s="332"/>
      <c r="S255" s="332"/>
      <c r="T255" s="332"/>
      <c r="U255" s="332"/>
      <c r="V255" s="332"/>
      <c r="W255" s="332"/>
      <c r="X255" s="332"/>
      <c r="Y255" s="332"/>
      <c r="Z255" s="332"/>
      <c r="AA255" s="332"/>
      <c r="AB255" s="332"/>
      <c r="AC255" s="332"/>
      <c r="AD255" s="332"/>
      <c r="AE255" s="332"/>
      <c r="AF255" s="332"/>
      <c r="AG255" s="332"/>
      <c r="AH255" s="332"/>
      <c r="AI255" s="332"/>
      <c r="AJ255" s="332"/>
      <c r="AK255" s="332"/>
      <c r="AL255" s="332"/>
      <c r="AM255" s="332"/>
      <c r="AN255" s="332"/>
      <c r="AO255" s="332"/>
      <c r="AP255" s="332"/>
    </row>
    <row r="256" ht="14.25" customHeight="1">
      <c r="A256" s="332"/>
      <c r="B256" s="332"/>
      <c r="C256" s="332"/>
      <c r="D256" s="332"/>
      <c r="E256" s="332"/>
      <c r="F256" s="332"/>
      <c r="G256" s="332"/>
      <c r="H256" s="332"/>
      <c r="I256" s="332"/>
      <c r="J256" s="332"/>
      <c r="K256" s="332"/>
      <c r="L256" s="332"/>
      <c r="M256" s="332"/>
      <c r="N256" s="332"/>
      <c r="O256" s="332"/>
      <c r="P256" s="332"/>
      <c r="Q256" s="332"/>
      <c r="R256" s="332"/>
      <c r="S256" s="332"/>
      <c r="T256" s="332"/>
      <c r="U256" s="332"/>
      <c r="V256" s="332"/>
      <c r="W256" s="332"/>
      <c r="X256" s="332"/>
      <c r="Y256" s="332"/>
      <c r="Z256" s="332"/>
      <c r="AA256" s="332"/>
      <c r="AB256" s="332"/>
      <c r="AC256" s="332"/>
      <c r="AD256" s="332"/>
      <c r="AE256" s="332"/>
      <c r="AF256" s="332"/>
      <c r="AG256" s="332"/>
      <c r="AH256" s="332"/>
      <c r="AI256" s="332"/>
      <c r="AJ256" s="332"/>
      <c r="AK256" s="332"/>
      <c r="AL256" s="332"/>
      <c r="AM256" s="332"/>
      <c r="AN256" s="332"/>
      <c r="AO256" s="332"/>
      <c r="AP256" s="332"/>
    </row>
    <row r="257" ht="14.25" customHeight="1">
      <c r="A257" s="332"/>
      <c r="B257" s="332"/>
      <c r="C257" s="332"/>
      <c r="D257" s="332"/>
      <c r="E257" s="332"/>
      <c r="F257" s="332"/>
      <c r="G257" s="332"/>
      <c r="H257" s="332"/>
      <c r="I257" s="332"/>
      <c r="J257" s="332"/>
      <c r="K257" s="332"/>
      <c r="L257" s="332"/>
      <c r="M257" s="332"/>
      <c r="N257" s="332"/>
      <c r="O257" s="332"/>
      <c r="P257" s="332"/>
      <c r="Q257" s="332"/>
      <c r="R257" s="332"/>
      <c r="S257" s="332"/>
      <c r="T257" s="332"/>
      <c r="U257" s="332"/>
      <c r="V257" s="332"/>
      <c r="W257" s="332"/>
      <c r="X257" s="332"/>
      <c r="Y257" s="332"/>
      <c r="Z257" s="332"/>
      <c r="AA257" s="332"/>
      <c r="AB257" s="332"/>
      <c r="AC257" s="332"/>
      <c r="AD257" s="332"/>
      <c r="AE257" s="332"/>
      <c r="AF257" s="332"/>
      <c r="AG257" s="332"/>
      <c r="AH257" s="332"/>
      <c r="AI257" s="332"/>
      <c r="AJ257" s="332"/>
      <c r="AK257" s="332"/>
      <c r="AL257" s="332"/>
      <c r="AM257" s="332"/>
      <c r="AN257" s="332"/>
      <c r="AO257" s="332"/>
      <c r="AP257" s="332"/>
    </row>
    <row r="258" ht="14.25" customHeight="1">
      <c r="A258" s="332"/>
      <c r="B258" s="332"/>
      <c r="C258" s="332"/>
      <c r="D258" s="332"/>
      <c r="E258" s="332"/>
      <c r="F258" s="332"/>
      <c r="G258" s="332"/>
      <c r="H258" s="332"/>
      <c r="I258" s="332"/>
      <c r="J258" s="332"/>
      <c r="K258" s="332"/>
      <c r="L258" s="332"/>
      <c r="M258" s="332"/>
      <c r="N258" s="332"/>
      <c r="O258" s="332"/>
      <c r="P258" s="332"/>
      <c r="Q258" s="332"/>
      <c r="R258" s="332"/>
      <c r="S258" s="332"/>
      <c r="T258" s="332"/>
      <c r="U258" s="332"/>
      <c r="V258" s="332"/>
      <c r="W258" s="332"/>
      <c r="X258" s="332"/>
      <c r="Y258" s="332"/>
      <c r="Z258" s="332"/>
      <c r="AA258" s="332"/>
      <c r="AB258" s="332"/>
      <c r="AC258" s="332"/>
      <c r="AD258" s="332"/>
      <c r="AE258" s="332"/>
      <c r="AF258" s="332"/>
      <c r="AG258" s="332"/>
      <c r="AH258" s="332"/>
      <c r="AI258" s="332"/>
      <c r="AJ258" s="332"/>
      <c r="AK258" s="332"/>
      <c r="AL258" s="332"/>
      <c r="AM258" s="332"/>
      <c r="AN258" s="332"/>
      <c r="AO258" s="332"/>
      <c r="AP258" s="332"/>
    </row>
    <row r="259" ht="14.25" customHeight="1">
      <c r="A259" s="332"/>
      <c r="B259" s="332"/>
      <c r="C259" s="332"/>
      <c r="D259" s="332"/>
      <c r="E259" s="332"/>
      <c r="F259" s="332"/>
      <c r="G259" s="332"/>
      <c r="H259" s="332"/>
      <c r="I259" s="332"/>
      <c r="J259" s="332"/>
      <c r="K259" s="332"/>
      <c r="L259" s="332"/>
      <c r="M259" s="332"/>
      <c r="N259" s="332"/>
      <c r="O259" s="332"/>
      <c r="P259" s="332"/>
      <c r="Q259" s="332"/>
      <c r="R259" s="332"/>
      <c r="S259" s="332"/>
      <c r="T259" s="332"/>
      <c r="U259" s="332"/>
      <c r="V259" s="332"/>
      <c r="W259" s="332"/>
      <c r="X259" s="332"/>
      <c r="Y259" s="332"/>
      <c r="Z259" s="332"/>
      <c r="AA259" s="332"/>
      <c r="AB259" s="332"/>
      <c r="AC259" s="332"/>
      <c r="AD259" s="332"/>
      <c r="AE259" s="332"/>
      <c r="AF259" s="332"/>
      <c r="AG259" s="332"/>
      <c r="AH259" s="332"/>
      <c r="AI259" s="332"/>
      <c r="AJ259" s="332"/>
      <c r="AK259" s="332"/>
      <c r="AL259" s="332"/>
      <c r="AM259" s="332"/>
      <c r="AN259" s="332"/>
      <c r="AO259" s="332"/>
      <c r="AP259" s="332"/>
    </row>
    <row r="260" ht="14.25" customHeight="1">
      <c r="A260" s="332"/>
      <c r="B260" s="332"/>
      <c r="C260" s="332"/>
      <c r="D260" s="332"/>
      <c r="E260" s="332"/>
      <c r="F260" s="332"/>
      <c r="G260" s="332"/>
      <c r="H260" s="332"/>
      <c r="I260" s="332"/>
      <c r="J260" s="332"/>
      <c r="K260" s="332"/>
      <c r="L260" s="332"/>
      <c r="M260" s="332"/>
      <c r="N260" s="332"/>
      <c r="O260" s="332"/>
      <c r="P260" s="332"/>
      <c r="Q260" s="332"/>
      <c r="R260" s="332"/>
      <c r="S260" s="332"/>
      <c r="T260" s="332"/>
      <c r="U260" s="332"/>
      <c r="V260" s="332"/>
      <c r="W260" s="332"/>
      <c r="X260" s="332"/>
      <c r="Y260" s="332"/>
      <c r="Z260" s="332"/>
      <c r="AA260" s="332"/>
      <c r="AB260" s="332"/>
      <c r="AC260" s="332"/>
      <c r="AD260" s="332"/>
      <c r="AE260" s="332"/>
      <c r="AF260" s="332"/>
      <c r="AG260" s="332"/>
      <c r="AH260" s="332"/>
      <c r="AI260" s="332"/>
      <c r="AJ260" s="332"/>
      <c r="AK260" s="332"/>
      <c r="AL260" s="332"/>
      <c r="AM260" s="332"/>
      <c r="AN260" s="332"/>
      <c r="AO260" s="332"/>
      <c r="AP260" s="332"/>
    </row>
    <row r="261" ht="14.25" customHeight="1">
      <c r="A261" s="332"/>
      <c r="B261" s="332"/>
      <c r="C261" s="332"/>
      <c r="D261" s="332"/>
      <c r="E261" s="332"/>
      <c r="F261" s="332"/>
      <c r="G261" s="332"/>
      <c r="H261" s="332"/>
      <c r="I261" s="332"/>
      <c r="J261" s="332"/>
      <c r="K261" s="332"/>
      <c r="L261" s="332"/>
      <c r="M261" s="332"/>
      <c r="N261" s="332"/>
      <c r="O261" s="332"/>
      <c r="P261" s="332"/>
      <c r="Q261" s="332"/>
      <c r="R261" s="332"/>
      <c r="S261" s="332"/>
      <c r="T261" s="332"/>
      <c r="U261" s="332"/>
      <c r="V261" s="332"/>
      <c r="W261" s="332"/>
      <c r="X261" s="332"/>
      <c r="Y261" s="332"/>
      <c r="Z261" s="332"/>
      <c r="AA261" s="332"/>
      <c r="AB261" s="332"/>
      <c r="AC261" s="332"/>
      <c r="AD261" s="332"/>
      <c r="AE261" s="332"/>
      <c r="AF261" s="332"/>
      <c r="AG261" s="332"/>
      <c r="AH261" s="332"/>
      <c r="AI261" s="332"/>
      <c r="AJ261" s="332"/>
      <c r="AK261" s="332"/>
      <c r="AL261" s="332"/>
      <c r="AM261" s="332"/>
      <c r="AN261" s="332"/>
      <c r="AO261" s="332"/>
      <c r="AP261" s="332"/>
    </row>
    <row r="262" ht="14.25" customHeight="1">
      <c r="A262" s="332"/>
      <c r="B262" s="332"/>
      <c r="C262" s="332"/>
      <c r="D262" s="332"/>
      <c r="E262" s="332"/>
      <c r="F262" s="332"/>
      <c r="G262" s="332"/>
      <c r="H262" s="332"/>
      <c r="I262" s="332"/>
      <c r="J262" s="332"/>
      <c r="K262" s="332"/>
      <c r="L262" s="332"/>
      <c r="M262" s="332"/>
      <c r="N262" s="332"/>
      <c r="O262" s="332"/>
      <c r="P262" s="332"/>
      <c r="Q262" s="332"/>
      <c r="R262" s="332"/>
      <c r="S262" s="332"/>
      <c r="T262" s="332"/>
      <c r="U262" s="332"/>
      <c r="V262" s="332"/>
      <c r="W262" s="332"/>
      <c r="X262" s="332"/>
      <c r="Y262" s="332"/>
      <c r="Z262" s="332"/>
      <c r="AA262" s="332"/>
      <c r="AB262" s="332"/>
      <c r="AC262" s="332"/>
      <c r="AD262" s="332"/>
      <c r="AE262" s="332"/>
      <c r="AF262" s="332"/>
      <c r="AG262" s="332"/>
      <c r="AH262" s="332"/>
      <c r="AI262" s="332"/>
      <c r="AJ262" s="332"/>
      <c r="AK262" s="332"/>
      <c r="AL262" s="332"/>
      <c r="AM262" s="332"/>
      <c r="AN262" s="332"/>
      <c r="AO262" s="332"/>
      <c r="AP262" s="332"/>
    </row>
    <row r="263" ht="14.25" customHeight="1">
      <c r="A263" s="332"/>
      <c r="B263" s="332"/>
      <c r="C263" s="332"/>
      <c r="D263" s="332"/>
      <c r="E263" s="332"/>
      <c r="F263" s="332"/>
      <c r="G263" s="332"/>
      <c r="H263" s="332"/>
      <c r="I263" s="332"/>
      <c r="J263" s="332"/>
      <c r="K263" s="332"/>
      <c r="L263" s="332"/>
      <c r="M263" s="332"/>
      <c r="N263" s="332"/>
      <c r="O263" s="332"/>
      <c r="P263" s="332"/>
      <c r="Q263" s="332"/>
      <c r="R263" s="332"/>
      <c r="S263" s="332"/>
      <c r="T263" s="332"/>
      <c r="U263" s="332"/>
      <c r="V263" s="332"/>
      <c r="W263" s="332"/>
      <c r="X263" s="332"/>
      <c r="Y263" s="332"/>
      <c r="Z263" s="332"/>
      <c r="AA263" s="332"/>
      <c r="AB263" s="332"/>
      <c r="AC263" s="332"/>
      <c r="AD263" s="332"/>
      <c r="AE263" s="332"/>
      <c r="AF263" s="332"/>
      <c r="AG263" s="332"/>
      <c r="AH263" s="332"/>
      <c r="AI263" s="332"/>
      <c r="AJ263" s="332"/>
      <c r="AK263" s="332"/>
      <c r="AL263" s="332"/>
      <c r="AM263" s="332"/>
      <c r="AN263" s="332"/>
      <c r="AO263" s="332"/>
      <c r="AP263" s="332"/>
    </row>
    <row r="264" ht="14.25" customHeight="1">
      <c r="A264" s="332"/>
      <c r="B264" s="332"/>
      <c r="C264" s="332"/>
      <c r="D264" s="332"/>
      <c r="E264" s="332"/>
      <c r="F264" s="332"/>
      <c r="G264" s="332"/>
      <c r="H264" s="332"/>
      <c r="I264" s="332"/>
      <c r="J264" s="332"/>
      <c r="K264" s="332"/>
      <c r="L264" s="332"/>
      <c r="M264" s="332"/>
      <c r="N264" s="332"/>
      <c r="O264" s="332"/>
      <c r="P264" s="332"/>
      <c r="Q264" s="332"/>
      <c r="R264" s="332"/>
      <c r="S264" s="332"/>
      <c r="T264" s="332"/>
      <c r="U264" s="332"/>
      <c r="V264" s="332"/>
      <c r="W264" s="332"/>
      <c r="X264" s="332"/>
      <c r="Y264" s="332"/>
      <c r="Z264" s="332"/>
      <c r="AA264" s="332"/>
      <c r="AB264" s="332"/>
      <c r="AC264" s="332"/>
      <c r="AD264" s="332"/>
      <c r="AE264" s="332"/>
      <c r="AF264" s="332"/>
      <c r="AG264" s="332"/>
      <c r="AH264" s="332"/>
      <c r="AI264" s="332"/>
      <c r="AJ264" s="332"/>
      <c r="AK264" s="332"/>
      <c r="AL264" s="332"/>
      <c r="AM264" s="332"/>
      <c r="AN264" s="332"/>
      <c r="AO264" s="332"/>
      <c r="AP264" s="332"/>
    </row>
    <row r="265" ht="14.25" customHeight="1">
      <c r="A265" s="332"/>
      <c r="B265" s="332"/>
      <c r="C265" s="332"/>
      <c r="D265" s="332"/>
      <c r="E265" s="332"/>
      <c r="F265" s="332"/>
      <c r="G265" s="332"/>
      <c r="H265" s="332"/>
      <c r="I265" s="332"/>
      <c r="J265" s="332"/>
      <c r="K265" s="332"/>
      <c r="L265" s="332"/>
      <c r="M265" s="332"/>
      <c r="N265" s="332"/>
      <c r="O265" s="332"/>
      <c r="P265" s="332"/>
      <c r="Q265" s="332"/>
      <c r="R265" s="332"/>
      <c r="S265" s="332"/>
      <c r="T265" s="332"/>
      <c r="U265" s="332"/>
      <c r="V265" s="332"/>
      <c r="W265" s="332"/>
      <c r="X265" s="332"/>
      <c r="Y265" s="332"/>
      <c r="Z265" s="332"/>
      <c r="AA265" s="332"/>
      <c r="AB265" s="332"/>
      <c r="AC265" s="332"/>
      <c r="AD265" s="332"/>
      <c r="AE265" s="332"/>
      <c r="AF265" s="332"/>
      <c r="AG265" s="332"/>
      <c r="AH265" s="332"/>
      <c r="AI265" s="332"/>
      <c r="AJ265" s="332"/>
      <c r="AK265" s="332"/>
      <c r="AL265" s="332"/>
      <c r="AM265" s="332"/>
      <c r="AN265" s="332"/>
      <c r="AO265" s="332"/>
      <c r="AP265" s="332"/>
    </row>
    <row r="266" ht="14.25" customHeight="1">
      <c r="A266" s="332"/>
      <c r="B266" s="332"/>
      <c r="C266" s="332"/>
      <c r="D266" s="332"/>
      <c r="E266" s="332"/>
      <c r="F266" s="332"/>
      <c r="G266" s="332"/>
      <c r="H266" s="332"/>
      <c r="I266" s="332"/>
      <c r="J266" s="332"/>
      <c r="K266" s="332"/>
      <c r="L266" s="332"/>
      <c r="M266" s="332"/>
      <c r="N266" s="332"/>
      <c r="O266" s="332"/>
      <c r="P266" s="332"/>
      <c r="Q266" s="332"/>
      <c r="R266" s="332"/>
      <c r="S266" s="332"/>
      <c r="T266" s="332"/>
      <c r="U266" s="332"/>
      <c r="V266" s="332"/>
      <c r="W266" s="332"/>
      <c r="X266" s="332"/>
      <c r="Y266" s="332"/>
      <c r="Z266" s="332"/>
      <c r="AA266" s="332"/>
      <c r="AB266" s="332"/>
      <c r="AC266" s="332"/>
      <c r="AD266" s="332"/>
      <c r="AE266" s="332"/>
      <c r="AF266" s="332"/>
      <c r="AG266" s="332"/>
      <c r="AH266" s="332"/>
      <c r="AI266" s="332"/>
      <c r="AJ266" s="332"/>
      <c r="AK266" s="332"/>
      <c r="AL266" s="332"/>
      <c r="AM266" s="332"/>
      <c r="AN266" s="332"/>
      <c r="AO266" s="332"/>
      <c r="AP266" s="332"/>
    </row>
    <row r="267" ht="14.25" customHeight="1">
      <c r="A267" s="332"/>
      <c r="B267" s="332"/>
      <c r="C267" s="332"/>
      <c r="D267" s="332"/>
      <c r="E267" s="332"/>
      <c r="F267" s="332"/>
      <c r="G267" s="332"/>
      <c r="H267" s="332"/>
      <c r="I267" s="332"/>
      <c r="J267" s="332"/>
      <c r="K267" s="332"/>
      <c r="L267" s="332"/>
      <c r="M267" s="332"/>
      <c r="N267" s="332"/>
      <c r="O267" s="332"/>
      <c r="P267" s="332"/>
      <c r="Q267" s="332"/>
      <c r="R267" s="332"/>
      <c r="S267" s="332"/>
      <c r="T267" s="332"/>
      <c r="U267" s="332"/>
      <c r="V267" s="332"/>
      <c r="W267" s="332"/>
      <c r="X267" s="332"/>
      <c r="Y267" s="332"/>
      <c r="Z267" s="332"/>
      <c r="AA267" s="332"/>
      <c r="AB267" s="332"/>
      <c r="AC267" s="332"/>
      <c r="AD267" s="332"/>
      <c r="AE267" s="332"/>
      <c r="AF267" s="332"/>
      <c r="AG267" s="332"/>
      <c r="AH267" s="332"/>
      <c r="AI267" s="332"/>
      <c r="AJ267" s="332"/>
      <c r="AK267" s="332"/>
      <c r="AL267" s="332"/>
      <c r="AM267" s="332"/>
      <c r="AN267" s="332"/>
      <c r="AO267" s="332"/>
      <c r="AP267" s="332"/>
    </row>
    <row r="268" ht="14.25" customHeight="1">
      <c r="A268" s="332"/>
      <c r="B268" s="332"/>
      <c r="C268" s="332"/>
      <c r="D268" s="332"/>
      <c r="E268" s="332"/>
      <c r="F268" s="332"/>
      <c r="G268" s="332"/>
      <c r="H268" s="332"/>
      <c r="I268" s="332"/>
      <c r="J268" s="332"/>
      <c r="K268" s="332"/>
      <c r="L268" s="332"/>
      <c r="M268" s="332"/>
      <c r="N268" s="332"/>
      <c r="O268" s="332"/>
      <c r="P268" s="332"/>
      <c r="Q268" s="332"/>
      <c r="R268" s="332"/>
      <c r="S268" s="332"/>
      <c r="T268" s="332"/>
      <c r="U268" s="332"/>
      <c r="V268" s="332"/>
      <c r="W268" s="332"/>
      <c r="X268" s="332"/>
      <c r="Y268" s="332"/>
      <c r="Z268" s="332"/>
      <c r="AA268" s="332"/>
      <c r="AB268" s="332"/>
      <c r="AC268" s="332"/>
      <c r="AD268" s="332"/>
      <c r="AE268" s="332"/>
      <c r="AF268" s="332"/>
      <c r="AG268" s="332"/>
      <c r="AH268" s="332"/>
      <c r="AI268" s="332"/>
      <c r="AJ268" s="332"/>
      <c r="AK268" s="332"/>
      <c r="AL268" s="332"/>
      <c r="AM268" s="332"/>
      <c r="AN268" s="332"/>
      <c r="AO268" s="332"/>
      <c r="AP268" s="332"/>
    </row>
    <row r="269" ht="14.25" customHeight="1">
      <c r="A269" s="332"/>
      <c r="B269" s="332"/>
      <c r="C269" s="332"/>
      <c r="D269" s="332"/>
      <c r="E269" s="332"/>
      <c r="F269" s="332"/>
      <c r="G269" s="332"/>
      <c r="H269" s="332"/>
      <c r="I269" s="332"/>
      <c r="J269" s="332"/>
      <c r="K269" s="332"/>
      <c r="L269" s="332"/>
      <c r="M269" s="332"/>
      <c r="N269" s="332"/>
      <c r="O269" s="332"/>
      <c r="P269" s="332"/>
      <c r="Q269" s="332"/>
      <c r="R269" s="332"/>
      <c r="S269" s="332"/>
      <c r="T269" s="332"/>
      <c r="U269" s="332"/>
      <c r="V269" s="332"/>
      <c r="W269" s="332"/>
      <c r="X269" s="332"/>
      <c r="Y269" s="332"/>
      <c r="Z269" s="332"/>
      <c r="AA269" s="332"/>
      <c r="AB269" s="332"/>
      <c r="AC269" s="332"/>
      <c r="AD269" s="332"/>
      <c r="AE269" s="332"/>
      <c r="AF269" s="332"/>
      <c r="AG269" s="332"/>
      <c r="AH269" s="332"/>
      <c r="AI269" s="332"/>
      <c r="AJ269" s="332"/>
      <c r="AK269" s="332"/>
      <c r="AL269" s="332"/>
      <c r="AM269" s="332"/>
      <c r="AN269" s="332"/>
      <c r="AO269" s="332"/>
      <c r="AP269" s="332"/>
    </row>
    <row r="270" ht="14.25" customHeight="1">
      <c r="A270" s="332"/>
      <c r="B270" s="332"/>
      <c r="C270" s="332"/>
      <c r="D270" s="332"/>
      <c r="E270" s="332"/>
      <c r="F270" s="332"/>
      <c r="G270" s="332"/>
      <c r="H270" s="332"/>
      <c r="I270" s="332"/>
      <c r="J270" s="332"/>
      <c r="K270" s="332"/>
      <c r="L270" s="332"/>
      <c r="M270" s="332"/>
      <c r="N270" s="332"/>
      <c r="O270" s="332"/>
      <c r="P270" s="332"/>
      <c r="Q270" s="332"/>
      <c r="R270" s="332"/>
      <c r="S270" s="332"/>
      <c r="T270" s="332"/>
      <c r="U270" s="332"/>
      <c r="V270" s="332"/>
      <c r="W270" s="332"/>
      <c r="X270" s="332"/>
      <c r="Y270" s="332"/>
      <c r="Z270" s="332"/>
      <c r="AA270" s="332"/>
      <c r="AB270" s="332"/>
      <c r="AC270" s="332"/>
      <c r="AD270" s="332"/>
      <c r="AE270" s="332"/>
      <c r="AF270" s="332"/>
      <c r="AG270" s="332"/>
      <c r="AH270" s="332"/>
      <c r="AI270" s="332"/>
      <c r="AJ270" s="332"/>
      <c r="AK270" s="332"/>
      <c r="AL270" s="332"/>
      <c r="AM270" s="332"/>
      <c r="AN270" s="332"/>
      <c r="AO270" s="332"/>
      <c r="AP270" s="332"/>
    </row>
    <row r="271" ht="14.25" customHeight="1">
      <c r="A271" s="332"/>
      <c r="B271" s="332"/>
      <c r="C271" s="332"/>
      <c r="D271" s="332"/>
      <c r="E271" s="332"/>
      <c r="F271" s="332"/>
      <c r="G271" s="332"/>
      <c r="H271" s="332"/>
      <c r="I271" s="332"/>
      <c r="J271" s="332"/>
      <c r="K271" s="332"/>
      <c r="L271" s="332"/>
      <c r="M271" s="332"/>
      <c r="N271" s="332"/>
      <c r="O271" s="332"/>
      <c r="P271" s="332"/>
      <c r="Q271" s="332"/>
      <c r="R271" s="332"/>
      <c r="S271" s="332"/>
      <c r="T271" s="332"/>
      <c r="U271" s="332"/>
      <c r="V271" s="332"/>
      <c r="W271" s="332"/>
      <c r="X271" s="332"/>
      <c r="Y271" s="332"/>
      <c r="Z271" s="332"/>
      <c r="AA271" s="332"/>
      <c r="AB271" s="332"/>
      <c r="AC271" s="332"/>
      <c r="AD271" s="332"/>
      <c r="AE271" s="332"/>
      <c r="AF271" s="332"/>
      <c r="AG271" s="332"/>
      <c r="AH271" s="332"/>
      <c r="AI271" s="332"/>
      <c r="AJ271" s="332"/>
      <c r="AK271" s="332"/>
      <c r="AL271" s="332"/>
      <c r="AM271" s="332"/>
      <c r="AN271" s="332"/>
      <c r="AO271" s="332"/>
      <c r="AP271" s="332"/>
    </row>
    <row r="272" ht="14.25" customHeight="1">
      <c r="A272" s="332"/>
      <c r="B272" s="332"/>
      <c r="C272" s="332"/>
      <c r="D272" s="332"/>
      <c r="E272" s="332"/>
      <c r="F272" s="332"/>
      <c r="G272" s="332"/>
      <c r="H272" s="332"/>
      <c r="I272" s="332"/>
      <c r="J272" s="332"/>
      <c r="K272" s="332"/>
      <c r="L272" s="332"/>
      <c r="M272" s="332"/>
      <c r="N272" s="332"/>
      <c r="O272" s="332"/>
      <c r="P272" s="332"/>
      <c r="Q272" s="332"/>
      <c r="R272" s="332"/>
      <c r="S272" s="332"/>
      <c r="T272" s="332"/>
      <c r="U272" s="332"/>
      <c r="V272" s="332"/>
      <c r="W272" s="332"/>
      <c r="X272" s="332"/>
      <c r="Y272" s="332"/>
      <c r="Z272" s="332"/>
      <c r="AA272" s="332"/>
      <c r="AB272" s="332"/>
      <c r="AC272" s="332"/>
      <c r="AD272" s="332"/>
      <c r="AE272" s="332"/>
      <c r="AF272" s="332"/>
      <c r="AG272" s="332"/>
      <c r="AH272" s="332"/>
      <c r="AI272" s="332"/>
      <c r="AJ272" s="332"/>
      <c r="AK272" s="332"/>
      <c r="AL272" s="332"/>
      <c r="AM272" s="332"/>
      <c r="AN272" s="332"/>
      <c r="AO272" s="332"/>
      <c r="AP272" s="332"/>
    </row>
    <row r="273" ht="14.25" customHeight="1">
      <c r="A273" s="332"/>
      <c r="B273" s="332"/>
      <c r="C273" s="332"/>
      <c r="D273" s="332"/>
      <c r="E273" s="332"/>
      <c r="F273" s="332"/>
      <c r="G273" s="332"/>
      <c r="H273" s="332"/>
      <c r="I273" s="332"/>
      <c r="J273" s="332"/>
      <c r="K273" s="332"/>
      <c r="L273" s="332"/>
      <c r="M273" s="332"/>
      <c r="N273" s="332"/>
      <c r="O273" s="332"/>
      <c r="P273" s="332"/>
      <c r="Q273" s="332"/>
      <c r="R273" s="332"/>
      <c r="S273" s="332"/>
      <c r="T273" s="332"/>
      <c r="U273" s="332"/>
      <c r="V273" s="332"/>
      <c r="W273" s="332"/>
      <c r="X273" s="332"/>
      <c r="Y273" s="332"/>
      <c r="Z273" s="332"/>
      <c r="AA273" s="332"/>
      <c r="AB273" s="332"/>
      <c r="AC273" s="332"/>
      <c r="AD273" s="332"/>
      <c r="AE273" s="332"/>
      <c r="AF273" s="332"/>
      <c r="AG273" s="332"/>
      <c r="AH273" s="332"/>
      <c r="AI273" s="332"/>
      <c r="AJ273" s="332"/>
      <c r="AK273" s="332"/>
      <c r="AL273" s="332"/>
      <c r="AM273" s="332"/>
      <c r="AN273" s="332"/>
      <c r="AO273" s="332"/>
      <c r="AP273" s="332"/>
    </row>
    <row r="274" ht="14.25" customHeight="1">
      <c r="A274" s="332"/>
      <c r="B274" s="332"/>
      <c r="C274" s="332"/>
      <c r="D274" s="332"/>
      <c r="E274" s="332"/>
      <c r="F274" s="332"/>
      <c r="G274" s="332"/>
      <c r="H274" s="332"/>
      <c r="I274" s="332"/>
      <c r="J274" s="332"/>
      <c r="K274" s="332"/>
      <c r="L274" s="332"/>
      <c r="M274" s="332"/>
      <c r="N274" s="332"/>
      <c r="O274" s="332"/>
      <c r="P274" s="332"/>
      <c r="Q274" s="332"/>
      <c r="R274" s="332"/>
      <c r="S274" s="332"/>
      <c r="T274" s="332"/>
      <c r="U274" s="332"/>
      <c r="V274" s="332"/>
      <c r="W274" s="332"/>
      <c r="X274" s="332"/>
      <c r="Y274" s="332"/>
      <c r="Z274" s="332"/>
      <c r="AA274" s="332"/>
      <c r="AB274" s="332"/>
      <c r="AC274" s="332"/>
      <c r="AD274" s="332"/>
      <c r="AE274" s="332"/>
      <c r="AF274" s="332"/>
      <c r="AG274" s="332"/>
      <c r="AH274" s="332"/>
      <c r="AI274" s="332"/>
      <c r="AJ274" s="332"/>
      <c r="AK274" s="332"/>
      <c r="AL274" s="332"/>
      <c r="AM274" s="332"/>
      <c r="AN274" s="332"/>
      <c r="AO274" s="332"/>
      <c r="AP274" s="332"/>
    </row>
    <row r="275" ht="14.25" customHeight="1">
      <c r="A275" s="332"/>
      <c r="B275" s="332"/>
      <c r="C275" s="332"/>
      <c r="D275" s="332"/>
      <c r="E275" s="332"/>
      <c r="F275" s="332"/>
      <c r="G275" s="332"/>
      <c r="H275" s="332"/>
      <c r="I275" s="332"/>
      <c r="J275" s="332"/>
      <c r="K275" s="332"/>
      <c r="L275" s="332"/>
      <c r="M275" s="332"/>
      <c r="N275" s="332"/>
      <c r="O275" s="332"/>
      <c r="P275" s="332"/>
      <c r="Q275" s="332"/>
      <c r="R275" s="332"/>
      <c r="S275" s="332"/>
      <c r="T275" s="332"/>
      <c r="U275" s="332"/>
      <c r="V275" s="332"/>
      <c r="W275" s="332"/>
      <c r="X275" s="332"/>
      <c r="Y275" s="332"/>
      <c r="Z275" s="332"/>
      <c r="AA275" s="332"/>
      <c r="AB275" s="332"/>
      <c r="AC275" s="332"/>
      <c r="AD275" s="332"/>
      <c r="AE275" s="332"/>
      <c r="AF275" s="332"/>
      <c r="AG275" s="332"/>
      <c r="AH275" s="332"/>
      <c r="AI275" s="332"/>
      <c r="AJ275" s="332"/>
      <c r="AK275" s="332"/>
      <c r="AL275" s="332"/>
      <c r="AM275" s="332"/>
      <c r="AN275" s="332"/>
      <c r="AO275" s="332"/>
      <c r="AP275" s="332"/>
    </row>
    <row r="276" ht="14.25" customHeight="1">
      <c r="A276" s="332"/>
      <c r="B276" s="332"/>
      <c r="C276" s="332"/>
      <c r="D276" s="332"/>
      <c r="E276" s="332"/>
      <c r="F276" s="332"/>
      <c r="G276" s="332"/>
      <c r="H276" s="332"/>
      <c r="I276" s="332"/>
      <c r="J276" s="332"/>
      <c r="K276" s="332"/>
      <c r="L276" s="332"/>
      <c r="M276" s="332"/>
      <c r="N276" s="332"/>
      <c r="O276" s="332"/>
      <c r="P276" s="332"/>
      <c r="Q276" s="332"/>
      <c r="R276" s="332"/>
      <c r="S276" s="332"/>
      <c r="T276" s="332"/>
      <c r="U276" s="332"/>
      <c r="V276" s="332"/>
      <c r="W276" s="332"/>
      <c r="X276" s="332"/>
      <c r="Y276" s="332"/>
      <c r="Z276" s="332"/>
      <c r="AA276" s="332"/>
      <c r="AB276" s="332"/>
      <c r="AC276" s="332"/>
      <c r="AD276" s="332"/>
      <c r="AE276" s="332"/>
      <c r="AF276" s="332"/>
      <c r="AG276" s="332"/>
      <c r="AH276" s="332"/>
      <c r="AI276" s="332"/>
      <c r="AJ276" s="332"/>
      <c r="AK276" s="332"/>
      <c r="AL276" s="332"/>
      <c r="AM276" s="332"/>
      <c r="AN276" s="332"/>
      <c r="AO276" s="332"/>
      <c r="AP276" s="332"/>
    </row>
    <row r="277" ht="14.25" customHeight="1">
      <c r="A277" s="332"/>
      <c r="B277" s="332"/>
      <c r="C277" s="332"/>
      <c r="D277" s="332"/>
      <c r="E277" s="332"/>
      <c r="F277" s="332"/>
      <c r="G277" s="332"/>
      <c r="H277" s="332"/>
      <c r="I277" s="332"/>
      <c r="J277" s="332"/>
      <c r="K277" s="332"/>
      <c r="L277" s="332"/>
      <c r="M277" s="332"/>
      <c r="N277" s="332"/>
      <c r="O277" s="332"/>
      <c r="P277" s="332"/>
      <c r="Q277" s="332"/>
      <c r="R277" s="332"/>
      <c r="S277" s="332"/>
      <c r="T277" s="332"/>
      <c r="U277" s="332"/>
      <c r="V277" s="332"/>
      <c r="W277" s="332"/>
      <c r="X277" s="332"/>
      <c r="Y277" s="332"/>
      <c r="Z277" s="332"/>
      <c r="AA277" s="332"/>
      <c r="AB277" s="332"/>
      <c r="AC277" s="332"/>
      <c r="AD277" s="332"/>
      <c r="AE277" s="332"/>
      <c r="AF277" s="332"/>
      <c r="AG277" s="332"/>
      <c r="AH277" s="332"/>
      <c r="AI277" s="332"/>
      <c r="AJ277" s="332"/>
      <c r="AK277" s="332"/>
      <c r="AL277" s="332"/>
      <c r="AM277" s="332"/>
      <c r="AN277" s="332"/>
      <c r="AO277" s="332"/>
      <c r="AP277" s="332"/>
    </row>
    <row r="278" ht="14.25" customHeight="1">
      <c r="A278" s="332"/>
      <c r="B278" s="332"/>
      <c r="C278" s="332"/>
      <c r="D278" s="332"/>
      <c r="E278" s="332"/>
      <c r="F278" s="332"/>
      <c r="G278" s="332"/>
      <c r="H278" s="332"/>
      <c r="I278" s="332"/>
      <c r="J278" s="332"/>
      <c r="K278" s="332"/>
      <c r="L278" s="332"/>
      <c r="M278" s="332"/>
      <c r="N278" s="332"/>
      <c r="O278" s="332"/>
      <c r="P278" s="332"/>
      <c r="Q278" s="332"/>
      <c r="R278" s="332"/>
      <c r="S278" s="332"/>
      <c r="T278" s="332"/>
      <c r="U278" s="332"/>
      <c r="V278" s="332"/>
      <c r="W278" s="332"/>
      <c r="X278" s="332"/>
      <c r="Y278" s="332"/>
      <c r="Z278" s="332"/>
      <c r="AA278" s="332"/>
      <c r="AB278" s="332"/>
      <c r="AC278" s="332"/>
      <c r="AD278" s="332"/>
      <c r="AE278" s="332"/>
      <c r="AF278" s="332"/>
      <c r="AG278" s="332"/>
      <c r="AH278" s="332"/>
      <c r="AI278" s="332"/>
      <c r="AJ278" s="332"/>
      <c r="AK278" s="332"/>
      <c r="AL278" s="332"/>
      <c r="AM278" s="332"/>
      <c r="AN278" s="332"/>
      <c r="AO278" s="332"/>
      <c r="AP278" s="332"/>
    </row>
    <row r="279" ht="14.25" customHeight="1">
      <c r="A279" s="332"/>
      <c r="B279" s="332"/>
      <c r="C279" s="332"/>
      <c r="D279" s="332"/>
      <c r="E279" s="332"/>
      <c r="F279" s="332"/>
      <c r="G279" s="332"/>
      <c r="H279" s="332"/>
      <c r="I279" s="332"/>
      <c r="J279" s="332"/>
      <c r="K279" s="332"/>
      <c r="L279" s="332"/>
      <c r="M279" s="332"/>
      <c r="N279" s="332"/>
      <c r="O279" s="332"/>
      <c r="P279" s="332"/>
      <c r="Q279" s="332"/>
      <c r="R279" s="332"/>
      <c r="S279" s="332"/>
      <c r="T279" s="332"/>
      <c r="U279" s="332"/>
      <c r="V279" s="332"/>
      <c r="W279" s="332"/>
      <c r="X279" s="332"/>
      <c r="Y279" s="332"/>
      <c r="Z279" s="332"/>
      <c r="AA279" s="332"/>
      <c r="AB279" s="332"/>
      <c r="AC279" s="332"/>
      <c r="AD279" s="332"/>
      <c r="AE279" s="332"/>
      <c r="AF279" s="332"/>
      <c r="AG279" s="332"/>
      <c r="AH279" s="332"/>
      <c r="AI279" s="332"/>
      <c r="AJ279" s="332"/>
      <c r="AK279" s="332"/>
      <c r="AL279" s="332"/>
      <c r="AM279" s="332"/>
      <c r="AN279" s="332"/>
      <c r="AO279" s="332"/>
      <c r="AP279" s="332"/>
    </row>
    <row r="280" ht="14.25" customHeight="1">
      <c r="A280" s="332"/>
      <c r="B280" s="332"/>
      <c r="C280" s="332"/>
      <c r="D280" s="332"/>
      <c r="E280" s="332"/>
      <c r="F280" s="332"/>
      <c r="G280" s="332"/>
      <c r="H280" s="332"/>
      <c r="I280" s="332"/>
      <c r="J280" s="332"/>
      <c r="K280" s="332"/>
      <c r="L280" s="332"/>
      <c r="M280" s="332"/>
      <c r="N280" s="332"/>
      <c r="O280" s="332"/>
      <c r="P280" s="332"/>
      <c r="Q280" s="332"/>
      <c r="R280" s="332"/>
      <c r="S280" s="332"/>
      <c r="T280" s="332"/>
      <c r="U280" s="332"/>
      <c r="V280" s="332"/>
      <c r="W280" s="332"/>
      <c r="X280" s="332"/>
      <c r="Y280" s="332"/>
      <c r="Z280" s="332"/>
      <c r="AA280" s="332"/>
      <c r="AB280" s="332"/>
      <c r="AC280" s="332"/>
      <c r="AD280" s="332"/>
      <c r="AE280" s="332"/>
      <c r="AF280" s="332"/>
      <c r="AG280" s="332"/>
      <c r="AH280" s="332"/>
      <c r="AI280" s="332"/>
      <c r="AJ280" s="332"/>
      <c r="AK280" s="332"/>
      <c r="AL280" s="332"/>
      <c r="AM280" s="332"/>
      <c r="AN280" s="332"/>
      <c r="AO280" s="332"/>
      <c r="AP280" s="332"/>
    </row>
    <row r="281" ht="14.25" customHeight="1">
      <c r="A281" s="332"/>
      <c r="B281" s="332"/>
      <c r="C281" s="332"/>
      <c r="D281" s="332"/>
      <c r="E281" s="332"/>
      <c r="F281" s="332"/>
      <c r="G281" s="332"/>
      <c r="H281" s="332"/>
      <c r="I281" s="332"/>
      <c r="J281" s="332"/>
      <c r="K281" s="332"/>
      <c r="L281" s="332"/>
      <c r="M281" s="332"/>
      <c r="N281" s="332"/>
      <c r="O281" s="332"/>
      <c r="P281" s="332"/>
      <c r="Q281" s="332"/>
      <c r="R281" s="332"/>
      <c r="S281" s="332"/>
      <c r="T281" s="332"/>
      <c r="U281" s="332"/>
      <c r="V281" s="332"/>
      <c r="W281" s="332"/>
      <c r="X281" s="332"/>
      <c r="Y281" s="332"/>
      <c r="Z281" s="332"/>
      <c r="AA281" s="332"/>
      <c r="AB281" s="332"/>
      <c r="AC281" s="332"/>
      <c r="AD281" s="332"/>
      <c r="AE281" s="332"/>
      <c r="AF281" s="332"/>
      <c r="AG281" s="332"/>
      <c r="AH281" s="332"/>
      <c r="AI281" s="332"/>
      <c r="AJ281" s="332"/>
      <c r="AK281" s="332"/>
      <c r="AL281" s="332"/>
      <c r="AM281" s="332"/>
      <c r="AN281" s="332"/>
      <c r="AO281" s="332"/>
      <c r="AP281" s="332"/>
    </row>
    <row r="282" ht="14.25" customHeight="1">
      <c r="A282" s="332"/>
      <c r="B282" s="332"/>
      <c r="C282" s="332"/>
      <c r="D282" s="332"/>
      <c r="E282" s="332"/>
      <c r="F282" s="332"/>
      <c r="G282" s="332"/>
      <c r="H282" s="332"/>
      <c r="I282" s="332"/>
      <c r="J282" s="332"/>
      <c r="K282" s="332"/>
      <c r="L282" s="332"/>
      <c r="M282" s="332"/>
      <c r="N282" s="332"/>
      <c r="O282" s="332"/>
      <c r="P282" s="332"/>
      <c r="Q282" s="332"/>
      <c r="R282" s="332"/>
      <c r="S282" s="332"/>
      <c r="T282" s="332"/>
      <c r="U282" s="332"/>
      <c r="V282" s="332"/>
      <c r="W282" s="332"/>
      <c r="X282" s="332"/>
      <c r="Y282" s="332"/>
      <c r="Z282" s="332"/>
      <c r="AA282" s="332"/>
      <c r="AB282" s="332"/>
      <c r="AC282" s="332"/>
      <c r="AD282" s="332"/>
      <c r="AE282" s="332"/>
      <c r="AF282" s="332"/>
      <c r="AG282" s="332"/>
      <c r="AH282" s="332"/>
      <c r="AI282" s="332"/>
      <c r="AJ282" s="332"/>
      <c r="AK282" s="332"/>
      <c r="AL282" s="332"/>
      <c r="AM282" s="332"/>
      <c r="AN282" s="332"/>
      <c r="AO282" s="332"/>
      <c r="AP282" s="332"/>
    </row>
    <row r="283" ht="14.25" customHeight="1">
      <c r="A283" s="332"/>
      <c r="B283" s="332"/>
      <c r="C283" s="332"/>
      <c r="D283" s="332"/>
      <c r="E283" s="332"/>
      <c r="F283" s="332"/>
      <c r="G283" s="332"/>
      <c r="H283" s="332"/>
      <c r="I283" s="332"/>
      <c r="J283" s="332"/>
      <c r="K283" s="332"/>
      <c r="L283" s="332"/>
      <c r="M283" s="332"/>
      <c r="N283" s="332"/>
      <c r="O283" s="332"/>
      <c r="P283" s="332"/>
      <c r="Q283" s="332"/>
      <c r="R283" s="332"/>
      <c r="S283" s="332"/>
      <c r="T283" s="332"/>
      <c r="U283" s="332"/>
      <c r="V283" s="332"/>
      <c r="W283" s="332"/>
      <c r="X283" s="332"/>
      <c r="Y283" s="332"/>
      <c r="Z283" s="332"/>
      <c r="AA283" s="332"/>
      <c r="AB283" s="332"/>
      <c r="AC283" s="332"/>
      <c r="AD283" s="332"/>
      <c r="AE283" s="332"/>
      <c r="AF283" s="332"/>
      <c r="AG283" s="332"/>
      <c r="AH283" s="332"/>
      <c r="AI283" s="332"/>
      <c r="AJ283" s="332"/>
      <c r="AK283" s="332"/>
      <c r="AL283" s="332"/>
      <c r="AM283" s="332"/>
      <c r="AN283" s="332"/>
      <c r="AO283" s="332"/>
      <c r="AP283" s="332"/>
    </row>
    <row r="284" ht="14.25" customHeight="1">
      <c r="A284" s="332"/>
      <c r="B284" s="332"/>
      <c r="C284" s="332"/>
      <c r="D284" s="332"/>
      <c r="E284" s="332"/>
      <c r="F284" s="332"/>
      <c r="G284" s="332"/>
      <c r="H284" s="332"/>
      <c r="I284" s="332"/>
      <c r="J284" s="332"/>
      <c r="K284" s="332"/>
      <c r="L284" s="332"/>
      <c r="M284" s="332"/>
      <c r="N284" s="332"/>
      <c r="O284" s="332"/>
      <c r="P284" s="332"/>
      <c r="Q284" s="332"/>
      <c r="R284" s="332"/>
      <c r="S284" s="332"/>
      <c r="T284" s="332"/>
      <c r="U284" s="332"/>
      <c r="V284" s="332"/>
      <c r="W284" s="332"/>
      <c r="X284" s="332"/>
      <c r="Y284" s="332"/>
      <c r="Z284" s="332"/>
      <c r="AA284" s="332"/>
      <c r="AB284" s="332"/>
      <c r="AC284" s="332"/>
      <c r="AD284" s="332"/>
      <c r="AE284" s="332"/>
      <c r="AF284" s="332"/>
      <c r="AG284" s="332"/>
      <c r="AH284" s="332"/>
      <c r="AI284" s="332"/>
      <c r="AJ284" s="332"/>
      <c r="AK284" s="332"/>
      <c r="AL284" s="332"/>
      <c r="AM284" s="332"/>
      <c r="AN284" s="332"/>
      <c r="AO284" s="332"/>
      <c r="AP284" s="332"/>
    </row>
    <row r="285" ht="14.25" customHeight="1">
      <c r="A285" s="332"/>
      <c r="B285" s="332"/>
      <c r="C285" s="332"/>
      <c r="D285" s="332"/>
      <c r="E285" s="332"/>
      <c r="F285" s="332"/>
      <c r="G285" s="332"/>
      <c r="H285" s="332"/>
      <c r="I285" s="332"/>
      <c r="J285" s="332"/>
      <c r="K285" s="332"/>
      <c r="L285" s="332"/>
      <c r="M285" s="332"/>
      <c r="N285" s="332"/>
      <c r="O285" s="332"/>
      <c r="P285" s="332"/>
      <c r="Q285" s="332"/>
      <c r="R285" s="332"/>
      <c r="S285" s="332"/>
      <c r="T285" s="332"/>
      <c r="U285" s="332"/>
      <c r="V285" s="332"/>
      <c r="W285" s="332"/>
      <c r="X285" s="332"/>
      <c r="Y285" s="332"/>
      <c r="Z285" s="332"/>
      <c r="AA285" s="332"/>
      <c r="AB285" s="332"/>
      <c r="AC285" s="332"/>
      <c r="AD285" s="332"/>
      <c r="AE285" s="332"/>
      <c r="AF285" s="332"/>
      <c r="AG285" s="332"/>
      <c r="AH285" s="332"/>
      <c r="AI285" s="332"/>
      <c r="AJ285" s="332"/>
      <c r="AK285" s="332"/>
      <c r="AL285" s="332"/>
      <c r="AM285" s="332"/>
      <c r="AN285" s="332"/>
      <c r="AO285" s="332"/>
      <c r="AP285" s="332"/>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3">
    <mergeCell ref="Y1:Z2"/>
    <mergeCell ref="AA1:AB2"/>
    <mergeCell ref="AC1:AD2"/>
    <mergeCell ref="AE1:AF2"/>
    <mergeCell ref="AG1:AH2"/>
    <mergeCell ref="AI1:AJ2"/>
    <mergeCell ref="AK1:AL2"/>
    <mergeCell ref="AM1:AN2"/>
    <mergeCell ref="K1:L2"/>
    <mergeCell ref="M1:N2"/>
    <mergeCell ref="O1:P2"/>
    <mergeCell ref="Q1:R2"/>
    <mergeCell ref="S1:T2"/>
    <mergeCell ref="U1:V2"/>
    <mergeCell ref="W1:X2"/>
    <mergeCell ref="AA22:AB22"/>
    <mergeCell ref="AC22:AD22"/>
    <mergeCell ref="AE22:AF22"/>
    <mergeCell ref="AG22:AH22"/>
    <mergeCell ref="AI22:AJ22"/>
    <mergeCell ref="AK22:AL22"/>
    <mergeCell ref="AM22:AN22"/>
    <mergeCell ref="K22:L22"/>
    <mergeCell ref="J23:J25"/>
    <mergeCell ref="F2:J2"/>
    <mergeCell ref="F3:G3"/>
    <mergeCell ref="J3:J5"/>
    <mergeCell ref="F4:G4"/>
    <mergeCell ref="F20:I20"/>
    <mergeCell ref="A22:J22"/>
    <mergeCell ref="A23:B23"/>
    <mergeCell ref="A24:B24"/>
    <mergeCell ref="A42:J42"/>
    <mergeCell ref="A43:A45"/>
    <mergeCell ref="B43:B45"/>
    <mergeCell ref="C43:C45"/>
    <mergeCell ref="D43:D45"/>
    <mergeCell ref="E43:E45"/>
    <mergeCell ref="J43:J45"/>
    <mergeCell ref="Y44:Z45"/>
    <mergeCell ref="AA44:AB45"/>
    <mergeCell ref="AC44:AD45"/>
    <mergeCell ref="AE44:AF45"/>
    <mergeCell ref="AG44:AH45"/>
    <mergeCell ref="AI44:AJ45"/>
    <mergeCell ref="AK44:AL45"/>
    <mergeCell ref="AM44:AN45"/>
    <mergeCell ref="M22:N22"/>
    <mergeCell ref="O22:P22"/>
    <mergeCell ref="Q22:R22"/>
    <mergeCell ref="S22:T22"/>
    <mergeCell ref="U22:V22"/>
    <mergeCell ref="W22:X22"/>
    <mergeCell ref="Y22:Z22"/>
    <mergeCell ref="AE73:AF74"/>
    <mergeCell ref="AG73:AH74"/>
    <mergeCell ref="AI73:AJ74"/>
    <mergeCell ref="AK73:AL74"/>
    <mergeCell ref="AM73:AN74"/>
    <mergeCell ref="Q73:R74"/>
    <mergeCell ref="S73:T74"/>
    <mergeCell ref="U73:V74"/>
    <mergeCell ref="W73:X74"/>
    <mergeCell ref="Y73:Z74"/>
    <mergeCell ref="AA73:AB74"/>
    <mergeCell ref="AC73:AD74"/>
    <mergeCell ref="AE77:AF77"/>
    <mergeCell ref="AG77:AH77"/>
    <mergeCell ref="AI77:AJ77"/>
    <mergeCell ref="AK77:AL77"/>
    <mergeCell ref="AM77:AN77"/>
    <mergeCell ref="S77:T77"/>
    <mergeCell ref="U77:V77"/>
    <mergeCell ref="W77:X77"/>
    <mergeCell ref="Y77:Z77"/>
    <mergeCell ref="AA77:AB77"/>
    <mergeCell ref="AC77:AD77"/>
    <mergeCell ref="F79:H79"/>
    <mergeCell ref="U44:V45"/>
    <mergeCell ref="W44:X45"/>
    <mergeCell ref="G43:G45"/>
    <mergeCell ref="I43:I45"/>
    <mergeCell ref="K44:L45"/>
    <mergeCell ref="M44:N45"/>
    <mergeCell ref="O44:P45"/>
    <mergeCell ref="Q44:R45"/>
    <mergeCell ref="S44:T45"/>
    <mergeCell ref="AK46:AL51"/>
    <mergeCell ref="AM46:AN51"/>
    <mergeCell ref="W46:X51"/>
    <mergeCell ref="Y46:Z51"/>
    <mergeCell ref="AA46:AB51"/>
    <mergeCell ref="AC46:AD51"/>
    <mergeCell ref="AE46:AF51"/>
    <mergeCell ref="AG46:AH51"/>
    <mergeCell ref="AI46:AJ51"/>
    <mergeCell ref="J46:J51"/>
    <mergeCell ref="K46:L51"/>
    <mergeCell ref="M46:N51"/>
    <mergeCell ref="O46:P51"/>
    <mergeCell ref="Q46:R51"/>
    <mergeCell ref="S46:T51"/>
    <mergeCell ref="U46:V51"/>
    <mergeCell ref="A53:I53"/>
    <mergeCell ref="E56:G56"/>
    <mergeCell ref="F73:H74"/>
    <mergeCell ref="I73:J74"/>
    <mergeCell ref="K73:L74"/>
    <mergeCell ref="M73:N74"/>
    <mergeCell ref="O73:P74"/>
    <mergeCell ref="AC81:AD81"/>
    <mergeCell ref="AE81:AF81"/>
    <mergeCell ref="AG81:AH81"/>
    <mergeCell ref="AI81:AJ81"/>
    <mergeCell ref="AK81:AL81"/>
    <mergeCell ref="AM81:AN81"/>
    <mergeCell ref="Q77:R77"/>
    <mergeCell ref="Q81:R81"/>
    <mergeCell ref="S81:T81"/>
    <mergeCell ref="U81:V81"/>
    <mergeCell ref="W81:X81"/>
    <mergeCell ref="Y81:Z81"/>
    <mergeCell ref="AA81:AB81"/>
  </mergeCells>
  <printOptions/>
  <pageMargins bottom="0.75" footer="0.0" header="0.0" left="0.7" right="0.7" top="0.75"/>
  <pageSetup orientation="landscape"/>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88"/>
    <col customWidth="1" min="2" max="2" width="26.63"/>
    <col customWidth="1" min="3" max="3" width="14.13"/>
    <col customWidth="1" min="4" max="6" width="13.75"/>
    <col customWidth="1" min="7" max="7" width="17.75"/>
    <col customWidth="1" min="8" max="8" width="15.5"/>
    <col customWidth="1" min="9" max="9" width="14.75"/>
    <col customWidth="1" min="10" max="10" width="14.0"/>
    <col customWidth="1" min="11" max="12" width="13.75"/>
    <col customWidth="1" min="13" max="13" width="16.25"/>
    <col customWidth="1" min="14" max="14" width="13.88"/>
    <col customWidth="1" min="15" max="15" width="14.88"/>
    <col customWidth="1" min="16" max="16" width="31.88"/>
    <col customWidth="1" min="17" max="26" width="10.63"/>
  </cols>
  <sheetData>
    <row r="1" ht="14.25" customHeight="1">
      <c r="A1" s="7"/>
      <c r="B1" s="200"/>
      <c r="C1" s="200"/>
      <c r="D1" s="200"/>
      <c r="E1" s="200"/>
      <c r="F1" s="200"/>
      <c r="G1" s="7"/>
      <c r="H1" s="7"/>
      <c r="I1" s="7"/>
      <c r="J1" s="7"/>
      <c r="K1" s="7"/>
      <c r="L1" s="7"/>
      <c r="M1" s="7"/>
      <c r="N1" s="7"/>
      <c r="O1" s="7"/>
      <c r="P1" s="7"/>
      <c r="Q1" s="7"/>
      <c r="R1" s="7"/>
      <c r="S1" s="7"/>
      <c r="T1" s="7"/>
      <c r="U1" s="7"/>
      <c r="V1" s="7"/>
      <c r="W1" s="7"/>
      <c r="X1" s="7"/>
      <c r="Y1" s="7"/>
      <c r="Z1" s="7"/>
    </row>
    <row r="2" ht="14.25" customHeight="1">
      <c r="A2" s="1158" t="s">
        <v>1952</v>
      </c>
      <c r="B2" s="1158" t="s">
        <v>1953</v>
      </c>
      <c r="C2" s="1158" t="s">
        <v>1639</v>
      </c>
      <c r="D2" s="1159">
        <v>46023.0</v>
      </c>
      <c r="E2" s="1159">
        <v>46054.0</v>
      </c>
      <c r="F2" s="1159">
        <v>46082.0</v>
      </c>
      <c r="G2" s="1159">
        <v>46113.0</v>
      </c>
      <c r="H2" s="1159">
        <v>46143.0</v>
      </c>
      <c r="I2" s="1159">
        <v>46174.0</v>
      </c>
      <c r="J2" s="1159">
        <v>46204.0</v>
      </c>
      <c r="K2" s="1159">
        <v>46235.0</v>
      </c>
      <c r="L2" s="1159">
        <v>46266.0</v>
      </c>
      <c r="M2" s="1159">
        <v>46296.0</v>
      </c>
      <c r="N2" s="1159">
        <v>46327.0</v>
      </c>
      <c r="O2" s="1159">
        <v>46357.0</v>
      </c>
      <c r="P2" s="1160" t="s">
        <v>1954</v>
      </c>
      <c r="Q2" s="7"/>
      <c r="R2" s="7"/>
      <c r="S2" s="7"/>
      <c r="T2" s="7"/>
      <c r="U2" s="7"/>
      <c r="V2" s="7"/>
      <c r="W2" s="7"/>
      <c r="X2" s="7"/>
      <c r="Y2" s="7"/>
      <c r="Z2" s="7"/>
    </row>
    <row r="3" ht="14.25" customHeight="1">
      <c r="A3" s="1161" t="s">
        <v>1955</v>
      </c>
      <c r="B3" s="1162">
        <v>20000.0</v>
      </c>
      <c r="C3" s="829">
        <v>0.008</v>
      </c>
      <c r="D3" s="1162">
        <v>300000.0</v>
      </c>
      <c r="E3" s="1162">
        <v>300000.0</v>
      </c>
      <c r="F3" s="1163">
        <v>300000.0</v>
      </c>
      <c r="G3" s="1164">
        <f t="shared" ref="G3:O3" si="1">($B$3*G17)*$C$3</f>
        <v>320000</v>
      </c>
      <c r="H3" s="1164">
        <f t="shared" si="1"/>
        <v>320000</v>
      </c>
      <c r="I3" s="1164">
        <f t="shared" si="1"/>
        <v>320000</v>
      </c>
      <c r="J3" s="1164">
        <f t="shared" si="1"/>
        <v>400000</v>
      </c>
      <c r="K3" s="1164">
        <f t="shared" si="1"/>
        <v>400000</v>
      </c>
      <c r="L3" s="1164">
        <f t="shared" si="1"/>
        <v>400000</v>
      </c>
      <c r="M3" s="1164">
        <f t="shared" si="1"/>
        <v>512000</v>
      </c>
      <c r="N3" s="1164">
        <f t="shared" si="1"/>
        <v>512000</v>
      </c>
      <c r="O3" s="1164">
        <f t="shared" si="1"/>
        <v>512000</v>
      </c>
      <c r="P3" s="312" t="s">
        <v>1956</v>
      </c>
      <c r="Q3" s="7"/>
      <c r="R3" s="7"/>
      <c r="S3" s="7"/>
      <c r="T3" s="7"/>
      <c r="U3" s="7"/>
      <c r="V3" s="7"/>
      <c r="W3" s="7"/>
      <c r="X3" s="7"/>
      <c r="Y3" s="7"/>
      <c r="Z3" s="7"/>
    </row>
    <row r="4" ht="14.25" customHeight="1">
      <c r="A4" s="1161" t="s">
        <v>1957</v>
      </c>
      <c r="B4" s="1162">
        <v>35000.0</v>
      </c>
      <c r="C4" s="829">
        <v>0.01</v>
      </c>
      <c r="D4" s="1162">
        <v>300000.0</v>
      </c>
      <c r="E4" s="1162">
        <v>300000.0</v>
      </c>
      <c r="F4" s="1162">
        <v>300000.0</v>
      </c>
      <c r="G4" s="1164">
        <f t="shared" ref="G4:O4" si="2">($B$4*G18)*$C$4</f>
        <v>805000</v>
      </c>
      <c r="H4" s="1164">
        <f t="shared" si="2"/>
        <v>805000</v>
      </c>
      <c r="I4" s="1164">
        <f t="shared" si="2"/>
        <v>805000</v>
      </c>
      <c r="J4" s="1164">
        <f t="shared" si="2"/>
        <v>910000</v>
      </c>
      <c r="K4" s="1164">
        <f t="shared" si="2"/>
        <v>910000</v>
      </c>
      <c r="L4" s="1164">
        <f t="shared" si="2"/>
        <v>910000</v>
      </c>
      <c r="M4" s="1164">
        <f t="shared" si="2"/>
        <v>1190000</v>
      </c>
      <c r="N4" s="1164">
        <f t="shared" si="2"/>
        <v>1190000</v>
      </c>
      <c r="O4" s="1164">
        <f t="shared" si="2"/>
        <v>1190000</v>
      </c>
      <c r="P4" s="312" t="s">
        <v>1956</v>
      </c>
      <c r="Q4" s="7"/>
      <c r="R4" s="7"/>
      <c r="S4" s="7"/>
      <c r="T4" s="7"/>
      <c r="U4" s="7"/>
      <c r="V4" s="7"/>
      <c r="W4" s="7"/>
      <c r="X4" s="7"/>
      <c r="Y4" s="7"/>
      <c r="Z4" s="7"/>
    </row>
    <row r="5" ht="14.25" customHeight="1">
      <c r="A5" s="1165" t="s">
        <v>1958</v>
      </c>
      <c r="B5" s="1162">
        <v>25000.0</v>
      </c>
      <c r="C5" s="829">
        <v>0.01</v>
      </c>
      <c r="D5" s="1164">
        <f t="shared" ref="D5:O5" si="3">($B$5*D19)*$C$5</f>
        <v>225000</v>
      </c>
      <c r="E5" s="1164">
        <f t="shared" si="3"/>
        <v>225000</v>
      </c>
      <c r="F5" s="1164">
        <f t="shared" si="3"/>
        <v>225000</v>
      </c>
      <c r="G5" s="1164">
        <f t="shared" si="3"/>
        <v>425000</v>
      </c>
      <c r="H5" s="1164">
        <f t="shared" si="3"/>
        <v>425000</v>
      </c>
      <c r="I5" s="1164">
        <f t="shared" si="3"/>
        <v>425000</v>
      </c>
      <c r="J5" s="1164">
        <f t="shared" si="3"/>
        <v>500000</v>
      </c>
      <c r="K5" s="1164">
        <f t="shared" si="3"/>
        <v>500000</v>
      </c>
      <c r="L5" s="1164">
        <f t="shared" si="3"/>
        <v>500000</v>
      </c>
      <c r="M5" s="1164">
        <f t="shared" si="3"/>
        <v>625000</v>
      </c>
      <c r="N5" s="1164">
        <f t="shared" si="3"/>
        <v>625000</v>
      </c>
      <c r="O5" s="1164">
        <f t="shared" si="3"/>
        <v>625000</v>
      </c>
      <c r="P5" s="312" t="s">
        <v>1956</v>
      </c>
      <c r="Q5" s="7"/>
      <c r="R5" s="7"/>
      <c r="S5" s="7"/>
      <c r="T5" s="7"/>
      <c r="U5" s="7"/>
      <c r="V5" s="7"/>
      <c r="W5" s="7"/>
      <c r="X5" s="7"/>
      <c r="Y5" s="7"/>
      <c r="Z5" s="7"/>
    </row>
    <row r="6" ht="14.25" customHeight="1">
      <c r="A6" s="1166" t="s">
        <v>1959</v>
      </c>
      <c r="B6" s="1162">
        <v>25000.0</v>
      </c>
      <c r="C6" s="829">
        <v>0.01</v>
      </c>
      <c r="D6" s="1167"/>
      <c r="E6" s="1167"/>
      <c r="F6" s="1167"/>
      <c r="G6" s="1162">
        <v>300000.0</v>
      </c>
      <c r="H6" s="1162">
        <v>300000.0</v>
      </c>
      <c r="I6" s="1164">
        <f t="shared" ref="I6:O6" si="4">($B$6*I20)*$C$6</f>
        <v>300000</v>
      </c>
      <c r="J6" s="1164">
        <f t="shared" si="4"/>
        <v>300000</v>
      </c>
      <c r="K6" s="1164">
        <f t="shared" si="4"/>
        <v>375000</v>
      </c>
      <c r="L6" s="1164">
        <f t="shared" si="4"/>
        <v>425000</v>
      </c>
      <c r="M6" s="1164">
        <f t="shared" si="4"/>
        <v>475000</v>
      </c>
      <c r="N6" s="1164">
        <f t="shared" si="4"/>
        <v>525000</v>
      </c>
      <c r="O6" s="1164">
        <f t="shared" si="4"/>
        <v>600000</v>
      </c>
      <c r="P6" s="312" t="s">
        <v>1956</v>
      </c>
      <c r="Q6" s="7"/>
      <c r="R6" s="7"/>
      <c r="S6" s="7"/>
      <c r="T6" s="7"/>
      <c r="U6" s="7"/>
      <c r="V6" s="7"/>
      <c r="W6" s="7"/>
      <c r="X6" s="7"/>
      <c r="Y6" s="7"/>
      <c r="Z6" s="7"/>
    </row>
    <row r="7" ht="14.25" customHeight="1">
      <c r="A7" s="1166" t="s">
        <v>1960</v>
      </c>
      <c r="B7" s="1162">
        <v>30000.0</v>
      </c>
      <c r="C7" s="829">
        <v>0.01</v>
      </c>
      <c r="D7" s="1167"/>
      <c r="E7" s="1167"/>
      <c r="F7" s="1167"/>
      <c r="G7" s="1167"/>
      <c r="H7" s="1167"/>
      <c r="I7" s="1167"/>
      <c r="J7" s="1164">
        <f t="shared" ref="J7:O7" si="5">($B$7*J21)*$C$7</f>
        <v>420000</v>
      </c>
      <c r="K7" s="1164">
        <f t="shared" si="5"/>
        <v>420000</v>
      </c>
      <c r="L7" s="1164">
        <f t="shared" si="5"/>
        <v>510000</v>
      </c>
      <c r="M7" s="1164">
        <f t="shared" si="5"/>
        <v>510000</v>
      </c>
      <c r="N7" s="1164">
        <f t="shared" si="5"/>
        <v>600000</v>
      </c>
      <c r="O7" s="1164">
        <f t="shared" si="5"/>
        <v>600000</v>
      </c>
      <c r="P7" s="312" t="s">
        <v>1956</v>
      </c>
      <c r="Q7" s="7"/>
      <c r="R7" s="7"/>
      <c r="S7" s="7"/>
      <c r="T7" s="7"/>
      <c r="U7" s="7"/>
      <c r="V7" s="7"/>
      <c r="W7" s="7"/>
      <c r="X7" s="7"/>
      <c r="Y7" s="7"/>
      <c r="Z7" s="7"/>
    </row>
    <row r="8" ht="14.25" customHeight="1">
      <c r="A8" s="7"/>
      <c r="B8" s="200"/>
      <c r="C8" s="200"/>
      <c r="D8" s="200"/>
      <c r="E8" s="200"/>
      <c r="F8" s="200"/>
      <c r="G8" s="177"/>
      <c r="H8" s="7"/>
      <c r="I8" s="7"/>
      <c r="J8" s="7"/>
      <c r="K8" s="7"/>
      <c r="L8" s="7"/>
      <c r="M8" s="7"/>
      <c r="N8" s="7"/>
      <c r="O8" s="7"/>
      <c r="P8" s="7"/>
      <c r="Q8" s="7"/>
      <c r="R8" s="7"/>
      <c r="S8" s="7"/>
      <c r="T8" s="7"/>
      <c r="U8" s="7"/>
      <c r="V8" s="7"/>
      <c r="W8" s="7"/>
      <c r="X8" s="7"/>
      <c r="Y8" s="7"/>
      <c r="Z8" s="7"/>
    </row>
    <row r="9" ht="14.25" customHeight="1">
      <c r="A9" s="1168" t="s">
        <v>1961</v>
      </c>
      <c r="B9" s="277"/>
      <c r="C9" s="278"/>
      <c r="D9" s="1169">
        <f t="shared" ref="D9:O9" si="6">SUM(D3:D8)</f>
        <v>825000</v>
      </c>
      <c r="E9" s="1169">
        <f t="shared" si="6"/>
        <v>825000</v>
      </c>
      <c r="F9" s="1169">
        <f t="shared" si="6"/>
        <v>825000</v>
      </c>
      <c r="G9" s="1169">
        <f t="shared" si="6"/>
        <v>1850000</v>
      </c>
      <c r="H9" s="1169">
        <f t="shared" si="6"/>
        <v>1850000</v>
      </c>
      <c r="I9" s="1169">
        <f t="shared" si="6"/>
        <v>1850000</v>
      </c>
      <c r="J9" s="1169">
        <f t="shared" si="6"/>
        <v>2530000</v>
      </c>
      <c r="K9" s="1169">
        <f t="shared" si="6"/>
        <v>2605000</v>
      </c>
      <c r="L9" s="1169">
        <f t="shared" si="6"/>
        <v>2745000</v>
      </c>
      <c r="M9" s="1169">
        <f t="shared" si="6"/>
        <v>3312000</v>
      </c>
      <c r="N9" s="1169">
        <f t="shared" si="6"/>
        <v>3452000</v>
      </c>
      <c r="O9" s="1170">
        <f t="shared" si="6"/>
        <v>3527000</v>
      </c>
      <c r="P9" s="1171">
        <f>SUM(D9:O9)</f>
        <v>26196000</v>
      </c>
      <c r="Q9" s="7"/>
      <c r="R9" s="7"/>
      <c r="S9" s="7"/>
      <c r="T9" s="7"/>
      <c r="U9" s="7"/>
      <c r="V9" s="7"/>
      <c r="W9" s="7"/>
      <c r="X9" s="7"/>
      <c r="Y9" s="7"/>
      <c r="Z9" s="7"/>
    </row>
    <row r="10" ht="14.25" customHeight="1">
      <c r="A10" s="7"/>
      <c r="B10" s="200"/>
      <c r="C10" s="200"/>
      <c r="D10" s="200"/>
      <c r="E10" s="200"/>
      <c r="F10" s="200"/>
      <c r="G10" s="1172"/>
      <c r="H10" s="7"/>
      <c r="I10" s="7"/>
      <c r="J10" s="7"/>
      <c r="K10" s="7"/>
      <c r="L10" s="7"/>
      <c r="M10" s="7"/>
      <c r="N10" s="7"/>
      <c r="O10" s="7"/>
      <c r="P10" s="7"/>
      <c r="Q10" s="7"/>
      <c r="R10" s="7"/>
      <c r="S10" s="7"/>
      <c r="T10" s="7"/>
      <c r="U10" s="7"/>
      <c r="V10" s="7"/>
      <c r="W10" s="7"/>
      <c r="X10" s="7"/>
      <c r="Y10" s="7"/>
      <c r="Z10" s="7"/>
    </row>
    <row r="11" ht="14.25" customHeight="1">
      <c r="A11" s="1161"/>
      <c r="B11" s="651" t="s">
        <v>1962</v>
      </c>
      <c r="C11" s="200"/>
      <c r="D11" s="200"/>
      <c r="E11" s="200"/>
      <c r="F11" s="200"/>
      <c r="G11" s="7"/>
      <c r="H11" s="7"/>
      <c r="I11" s="7"/>
      <c r="J11" s="7"/>
      <c r="K11" s="7"/>
      <c r="L11" s="7"/>
      <c r="M11" s="7"/>
      <c r="N11" s="7"/>
      <c r="O11" s="7"/>
      <c r="P11" s="7"/>
      <c r="Q11" s="7"/>
      <c r="R11" s="7"/>
      <c r="S11" s="7"/>
      <c r="T11" s="7"/>
      <c r="U11" s="7"/>
      <c r="V11" s="7"/>
      <c r="W11" s="7"/>
      <c r="X11" s="7"/>
      <c r="Y11" s="7"/>
      <c r="Z11" s="7"/>
    </row>
    <row r="12" ht="14.25" customHeight="1">
      <c r="A12" s="1165"/>
      <c r="B12" s="651" t="s">
        <v>1963</v>
      </c>
      <c r="C12" s="200"/>
      <c r="D12" s="200"/>
      <c r="E12" s="200"/>
      <c r="F12" s="200"/>
      <c r="G12" s="7"/>
      <c r="H12" s="7"/>
      <c r="I12" s="7"/>
      <c r="J12" s="7"/>
      <c r="K12" s="7"/>
      <c r="L12" s="7"/>
      <c r="M12" s="7"/>
      <c r="N12" s="7"/>
      <c r="O12" s="7"/>
      <c r="P12" s="7"/>
      <c r="Q12" s="7"/>
      <c r="R12" s="7"/>
      <c r="S12" s="7"/>
      <c r="T12" s="7"/>
      <c r="U12" s="7"/>
      <c r="V12" s="7"/>
      <c r="W12" s="7"/>
      <c r="X12" s="7"/>
      <c r="Y12" s="7"/>
      <c r="Z12" s="7"/>
    </row>
    <row r="13" ht="14.25" customHeight="1">
      <c r="A13" s="1166"/>
      <c r="B13" s="651" t="s">
        <v>1964</v>
      </c>
      <c r="C13" s="200"/>
      <c r="D13" s="200"/>
      <c r="E13" s="200"/>
      <c r="F13" s="200"/>
      <c r="G13" s="7"/>
      <c r="H13" s="7"/>
      <c r="I13" s="7"/>
      <c r="J13" s="7"/>
      <c r="K13" s="7"/>
      <c r="L13" s="7"/>
      <c r="M13" s="7"/>
      <c r="N13" s="7"/>
      <c r="O13" s="7"/>
      <c r="P13" s="7"/>
      <c r="Q13" s="7"/>
      <c r="R13" s="7"/>
      <c r="S13" s="7"/>
      <c r="T13" s="7"/>
      <c r="U13" s="7"/>
      <c r="V13" s="7"/>
      <c r="W13" s="7"/>
      <c r="X13" s="7"/>
      <c r="Y13" s="7"/>
      <c r="Z13" s="7"/>
    </row>
    <row r="14" ht="14.25" customHeight="1">
      <c r="A14" s="7"/>
      <c r="B14" s="200"/>
      <c r="C14" s="200"/>
      <c r="D14" s="200"/>
      <c r="E14" s="200"/>
      <c r="F14" s="200"/>
      <c r="G14" s="7"/>
      <c r="H14" s="7"/>
      <c r="I14" s="7"/>
      <c r="J14" s="7"/>
      <c r="K14" s="7"/>
      <c r="L14" s="7"/>
      <c r="M14" s="7"/>
      <c r="N14" s="7"/>
      <c r="O14" s="7"/>
      <c r="P14" s="7"/>
      <c r="Q14" s="7"/>
      <c r="R14" s="7"/>
      <c r="S14" s="7"/>
      <c r="T14" s="7"/>
      <c r="U14" s="7"/>
      <c r="V14" s="7"/>
      <c r="W14" s="7"/>
      <c r="X14" s="7"/>
      <c r="Y14" s="7"/>
      <c r="Z14" s="7"/>
    </row>
    <row r="15" ht="14.25" customHeight="1">
      <c r="A15" s="7"/>
      <c r="B15" s="200"/>
      <c r="C15" s="200"/>
      <c r="D15" s="200"/>
      <c r="E15" s="200"/>
      <c r="F15" s="200"/>
      <c r="G15" s="1172"/>
      <c r="H15" s="1172"/>
      <c r="I15" s="1172"/>
      <c r="J15" s="1172"/>
      <c r="K15" s="1172"/>
      <c r="L15" s="1172"/>
      <c r="M15" s="1172"/>
      <c r="N15" s="1172"/>
      <c r="O15" s="1172"/>
      <c r="P15" s="7"/>
      <c r="Q15" s="7"/>
      <c r="R15" s="7"/>
      <c r="S15" s="7"/>
      <c r="T15" s="7"/>
      <c r="U15" s="7"/>
      <c r="V15" s="7"/>
      <c r="W15" s="7"/>
      <c r="X15" s="7"/>
      <c r="Y15" s="7"/>
      <c r="Z15" s="7"/>
    </row>
    <row r="16" ht="14.25" customHeight="1">
      <c r="A16" s="1158" t="s">
        <v>1952</v>
      </c>
      <c r="B16" s="200"/>
      <c r="C16" s="200"/>
      <c r="D16" s="1159">
        <v>46023.0</v>
      </c>
      <c r="E16" s="1159">
        <v>46054.0</v>
      </c>
      <c r="F16" s="1159">
        <v>46082.0</v>
      </c>
      <c r="G16" s="1159">
        <v>46113.0</v>
      </c>
      <c r="H16" s="1159">
        <v>46143.0</v>
      </c>
      <c r="I16" s="1159">
        <v>46174.0</v>
      </c>
      <c r="J16" s="1159">
        <v>46204.0</v>
      </c>
      <c r="K16" s="1159">
        <v>46235.0</v>
      </c>
      <c r="L16" s="1159">
        <v>46266.0</v>
      </c>
      <c r="M16" s="1159">
        <v>46296.0</v>
      </c>
      <c r="N16" s="1159">
        <v>46327.0</v>
      </c>
      <c r="O16" s="1173">
        <v>46357.0</v>
      </c>
      <c r="P16" s="272"/>
      <c r="Q16" s="7"/>
      <c r="R16" s="7"/>
      <c r="S16" s="7"/>
      <c r="T16" s="7"/>
      <c r="U16" s="7"/>
      <c r="V16" s="7"/>
      <c r="W16" s="7"/>
      <c r="X16" s="7"/>
      <c r="Y16" s="7"/>
      <c r="Z16" s="7"/>
    </row>
    <row r="17" ht="14.25" customHeight="1">
      <c r="A17" s="1161" t="s">
        <v>1955</v>
      </c>
      <c r="B17" s="713" t="s">
        <v>1965</v>
      </c>
      <c r="C17" s="278"/>
      <c r="D17" s="1162" t="s">
        <v>1966</v>
      </c>
      <c r="E17" s="1162" t="s">
        <v>1966</v>
      </c>
      <c r="F17" s="1162" t="s">
        <v>1966</v>
      </c>
      <c r="G17" s="1174">
        <v>2000.0</v>
      </c>
      <c r="H17" s="1174">
        <v>2000.0</v>
      </c>
      <c r="I17" s="1174">
        <v>2000.0</v>
      </c>
      <c r="J17" s="1174">
        <v>2500.0</v>
      </c>
      <c r="K17" s="1174">
        <v>2500.0</v>
      </c>
      <c r="L17" s="1174">
        <v>2500.0</v>
      </c>
      <c r="M17" s="1174">
        <v>3200.0</v>
      </c>
      <c r="N17" s="1174">
        <v>3200.0</v>
      </c>
      <c r="O17" s="1174">
        <v>3200.0</v>
      </c>
      <c r="P17" s="7"/>
      <c r="Q17" s="7"/>
      <c r="R17" s="7"/>
      <c r="S17" s="7"/>
      <c r="T17" s="7"/>
      <c r="U17" s="7"/>
      <c r="V17" s="7"/>
      <c r="W17" s="7"/>
      <c r="X17" s="7"/>
      <c r="Y17" s="7"/>
      <c r="Z17" s="7"/>
    </row>
    <row r="18" ht="14.25" customHeight="1">
      <c r="A18" s="1161" t="s">
        <v>1957</v>
      </c>
      <c r="B18" s="713" t="s">
        <v>1965</v>
      </c>
      <c r="C18" s="278"/>
      <c r="D18" s="1162" t="s">
        <v>1966</v>
      </c>
      <c r="E18" s="1162" t="s">
        <v>1966</v>
      </c>
      <c r="F18" s="1162" t="s">
        <v>1966</v>
      </c>
      <c r="G18" s="1174">
        <v>2300.0</v>
      </c>
      <c r="H18" s="1174">
        <v>2300.0</v>
      </c>
      <c r="I18" s="1174">
        <v>2300.0</v>
      </c>
      <c r="J18" s="1174">
        <v>2600.0</v>
      </c>
      <c r="K18" s="1174">
        <v>2600.0</v>
      </c>
      <c r="L18" s="1174">
        <v>2600.0</v>
      </c>
      <c r="M18" s="1174">
        <v>3400.0</v>
      </c>
      <c r="N18" s="1174">
        <v>3400.0</v>
      </c>
      <c r="O18" s="1174">
        <v>3400.0</v>
      </c>
      <c r="P18" s="7"/>
      <c r="Q18" s="7"/>
      <c r="R18" s="7"/>
      <c r="S18" s="7"/>
      <c r="T18" s="7"/>
      <c r="U18" s="7"/>
      <c r="V18" s="7"/>
      <c r="W18" s="7"/>
      <c r="X18" s="7"/>
      <c r="Y18" s="7"/>
      <c r="Z18" s="7"/>
    </row>
    <row r="19" ht="14.25" customHeight="1">
      <c r="A19" s="1165" t="s">
        <v>1958</v>
      </c>
      <c r="B19" s="713" t="s">
        <v>1965</v>
      </c>
      <c r="C19" s="278"/>
      <c r="D19" s="1175">
        <v>900.0</v>
      </c>
      <c r="E19" s="1175">
        <v>900.0</v>
      </c>
      <c r="F19" s="1175">
        <v>900.0</v>
      </c>
      <c r="G19" s="1174">
        <v>1700.0</v>
      </c>
      <c r="H19" s="1174">
        <v>1700.0</v>
      </c>
      <c r="I19" s="1174">
        <v>1700.0</v>
      </c>
      <c r="J19" s="1174">
        <v>2000.0</v>
      </c>
      <c r="K19" s="1174">
        <v>2000.0</v>
      </c>
      <c r="L19" s="1174">
        <v>2000.0</v>
      </c>
      <c r="M19" s="1174">
        <v>2500.0</v>
      </c>
      <c r="N19" s="1174">
        <v>2500.0</v>
      </c>
      <c r="O19" s="1174">
        <v>2500.0</v>
      </c>
      <c r="P19" s="7"/>
      <c r="Q19" s="7"/>
      <c r="R19" s="7"/>
      <c r="S19" s="7"/>
      <c r="T19" s="7"/>
      <c r="U19" s="7"/>
      <c r="V19" s="7"/>
      <c r="W19" s="7"/>
      <c r="X19" s="7"/>
      <c r="Y19" s="7"/>
      <c r="Z19" s="7"/>
    </row>
    <row r="20" ht="14.25" customHeight="1">
      <c r="A20" s="1166" t="s">
        <v>1959</v>
      </c>
      <c r="B20" s="713" t="s">
        <v>1965</v>
      </c>
      <c r="C20" s="278"/>
      <c r="D20" s="1167"/>
      <c r="E20" s="1167"/>
      <c r="F20" s="1167"/>
      <c r="G20" s="1162" t="s">
        <v>1966</v>
      </c>
      <c r="H20" s="1162" t="s">
        <v>1966</v>
      </c>
      <c r="I20" s="1174">
        <v>1200.0</v>
      </c>
      <c r="J20" s="1174">
        <v>1200.0</v>
      </c>
      <c r="K20" s="1174">
        <v>1500.0</v>
      </c>
      <c r="L20" s="1174">
        <v>1700.0</v>
      </c>
      <c r="M20" s="1174">
        <v>1900.0</v>
      </c>
      <c r="N20" s="1174">
        <v>2100.0</v>
      </c>
      <c r="O20" s="1174">
        <v>2400.0</v>
      </c>
      <c r="P20" s="7"/>
      <c r="Q20" s="7"/>
      <c r="R20" s="7"/>
      <c r="S20" s="7"/>
      <c r="T20" s="7"/>
      <c r="U20" s="7"/>
      <c r="V20" s="7"/>
      <c r="W20" s="7"/>
      <c r="X20" s="7"/>
      <c r="Y20" s="7"/>
      <c r="Z20" s="7"/>
    </row>
    <row r="21" ht="14.25" customHeight="1">
      <c r="A21" s="1166" t="s">
        <v>1960</v>
      </c>
      <c r="B21" s="713" t="s">
        <v>1965</v>
      </c>
      <c r="C21" s="278"/>
      <c r="D21" s="1167"/>
      <c r="E21" s="1167"/>
      <c r="F21" s="1167"/>
      <c r="G21" s="1176"/>
      <c r="H21" s="1176"/>
      <c r="I21" s="1176"/>
      <c r="J21" s="1174">
        <v>1400.0</v>
      </c>
      <c r="K21" s="1174">
        <v>1400.0</v>
      </c>
      <c r="L21" s="1174">
        <v>1700.0</v>
      </c>
      <c r="M21" s="1174">
        <v>1700.0</v>
      </c>
      <c r="N21" s="1174">
        <v>2000.0</v>
      </c>
      <c r="O21" s="1174">
        <v>2000.0</v>
      </c>
      <c r="P21" s="7"/>
      <c r="Q21" s="7"/>
      <c r="R21" s="7"/>
      <c r="S21" s="7"/>
      <c r="T21" s="7"/>
      <c r="U21" s="7"/>
      <c r="V21" s="7"/>
      <c r="W21" s="7"/>
      <c r="X21" s="7"/>
      <c r="Y21" s="7"/>
      <c r="Z21" s="7"/>
    </row>
    <row r="22" ht="14.25" customHeight="1">
      <c r="A22" s="7"/>
      <c r="B22" s="200"/>
      <c r="C22" s="200"/>
      <c r="D22" s="200"/>
      <c r="E22" s="200"/>
      <c r="F22" s="200"/>
      <c r="G22" s="7"/>
      <c r="H22" s="7"/>
      <c r="I22" s="7"/>
      <c r="J22" s="7"/>
      <c r="K22" s="7"/>
      <c r="L22" s="7"/>
      <c r="M22" s="7"/>
      <c r="N22" s="7"/>
      <c r="O22" s="7"/>
      <c r="P22" s="7"/>
      <c r="Q22" s="7"/>
      <c r="R22" s="7"/>
      <c r="S22" s="7"/>
      <c r="T22" s="7"/>
      <c r="U22" s="7"/>
      <c r="V22" s="7"/>
      <c r="W22" s="7"/>
      <c r="X22" s="7"/>
      <c r="Y22" s="7"/>
      <c r="Z22" s="7"/>
    </row>
    <row r="23" ht="14.25" customHeight="1">
      <c r="A23" s="7"/>
      <c r="B23" s="200"/>
      <c r="C23" s="200"/>
      <c r="D23" s="200"/>
      <c r="E23" s="200"/>
      <c r="F23" s="200"/>
      <c r="G23" s="7"/>
      <c r="H23" s="7"/>
      <c r="I23" s="7"/>
      <c r="J23" s="7"/>
      <c r="K23" s="7"/>
      <c r="L23" s="7"/>
      <c r="M23" s="7"/>
      <c r="N23" s="7"/>
      <c r="O23" s="7"/>
      <c r="P23" s="7"/>
      <c r="Q23" s="7"/>
      <c r="R23" s="7"/>
      <c r="S23" s="7"/>
      <c r="T23" s="7"/>
      <c r="U23" s="7"/>
      <c r="V23" s="7"/>
      <c r="W23" s="7"/>
      <c r="X23" s="7"/>
      <c r="Y23" s="7"/>
      <c r="Z23" s="7"/>
    </row>
    <row r="24" ht="14.25" customHeight="1">
      <c r="A24" s="7"/>
      <c r="B24" s="200"/>
      <c r="C24" s="200"/>
      <c r="D24" s="200"/>
      <c r="E24" s="200"/>
      <c r="F24" s="200"/>
      <c r="G24" s="7"/>
      <c r="H24" s="7"/>
      <c r="I24" s="7"/>
      <c r="J24" s="7"/>
      <c r="K24" s="7"/>
      <c r="L24" s="7"/>
      <c r="M24" s="7"/>
      <c r="N24" s="7"/>
      <c r="O24" s="7"/>
      <c r="P24" s="7"/>
      <c r="Q24" s="7"/>
      <c r="R24" s="7"/>
      <c r="S24" s="7"/>
      <c r="T24" s="7"/>
      <c r="U24" s="7"/>
      <c r="V24" s="7"/>
      <c r="W24" s="7"/>
      <c r="X24" s="7"/>
      <c r="Y24" s="7"/>
      <c r="Z24" s="7"/>
    </row>
    <row r="25" ht="14.25" customHeight="1">
      <c r="A25" s="7"/>
      <c r="B25" s="200"/>
      <c r="C25" s="200"/>
      <c r="D25" s="200"/>
      <c r="E25" s="200"/>
      <c r="F25" s="200"/>
      <c r="G25" s="7"/>
      <c r="H25" s="7"/>
      <c r="I25" s="7"/>
      <c r="J25" s="7"/>
      <c r="K25" s="7"/>
      <c r="L25" s="7"/>
      <c r="M25" s="7"/>
      <c r="N25" s="7"/>
      <c r="O25" s="7"/>
      <c r="P25" s="7"/>
      <c r="Q25" s="7"/>
      <c r="R25" s="7"/>
      <c r="S25" s="7"/>
      <c r="T25" s="7"/>
      <c r="U25" s="7"/>
      <c r="V25" s="7"/>
      <c r="W25" s="7"/>
      <c r="X25" s="7"/>
      <c r="Y25" s="7"/>
      <c r="Z25" s="7"/>
    </row>
    <row r="26" ht="14.25" customHeight="1">
      <c r="A26" s="7"/>
      <c r="B26" s="200"/>
      <c r="C26" s="200"/>
      <c r="D26" s="200"/>
      <c r="E26" s="200"/>
      <c r="F26" s="200"/>
      <c r="G26" s="7"/>
      <c r="H26" s="7"/>
      <c r="I26" s="7"/>
      <c r="J26" s="7"/>
      <c r="K26" s="7"/>
      <c r="L26" s="7"/>
      <c r="M26" s="7"/>
      <c r="N26" s="7"/>
      <c r="O26" s="7"/>
      <c r="P26" s="7"/>
      <c r="Q26" s="7"/>
      <c r="R26" s="7"/>
      <c r="S26" s="7"/>
      <c r="T26" s="7"/>
      <c r="U26" s="7"/>
      <c r="V26" s="7"/>
      <c r="W26" s="7"/>
      <c r="X26" s="7"/>
      <c r="Y26" s="7"/>
      <c r="Z26" s="7"/>
    </row>
    <row r="27" ht="14.25" customHeight="1">
      <c r="A27" s="7"/>
      <c r="B27" s="200"/>
      <c r="C27" s="200"/>
      <c r="D27" s="200"/>
      <c r="E27" s="200"/>
      <c r="F27" s="200"/>
      <c r="G27" s="7"/>
      <c r="H27" s="7"/>
      <c r="I27" s="7"/>
      <c r="J27" s="7"/>
      <c r="K27" s="7"/>
      <c r="L27" s="7"/>
      <c r="M27" s="7"/>
      <c r="N27" s="7"/>
      <c r="O27" s="7"/>
      <c r="P27" s="7"/>
      <c r="Q27" s="7"/>
      <c r="R27" s="7"/>
      <c r="S27" s="7"/>
      <c r="T27" s="7"/>
      <c r="U27" s="7"/>
      <c r="V27" s="7"/>
      <c r="W27" s="7"/>
      <c r="X27" s="7"/>
      <c r="Y27" s="7"/>
      <c r="Z27" s="7"/>
    </row>
    <row r="28" ht="14.25" customHeight="1">
      <c r="A28" s="7"/>
      <c r="B28" s="200"/>
      <c r="C28" s="200"/>
      <c r="D28" s="200"/>
      <c r="E28" s="200"/>
      <c r="F28" s="200"/>
      <c r="G28" s="7"/>
      <c r="H28" s="7"/>
      <c r="I28" s="7"/>
      <c r="J28" s="7"/>
      <c r="K28" s="7"/>
      <c r="L28" s="7"/>
      <c r="M28" s="7"/>
      <c r="N28" s="7"/>
      <c r="O28" s="7"/>
      <c r="P28" s="7"/>
      <c r="Q28" s="7"/>
      <c r="R28" s="7"/>
      <c r="S28" s="7"/>
      <c r="T28" s="7"/>
      <c r="U28" s="7"/>
      <c r="V28" s="7"/>
      <c r="W28" s="7"/>
      <c r="X28" s="7"/>
      <c r="Y28" s="7"/>
      <c r="Z28" s="7"/>
    </row>
    <row r="29" ht="14.25" customHeight="1">
      <c r="A29" s="7"/>
      <c r="B29" s="200"/>
      <c r="C29" s="200"/>
      <c r="D29" s="200"/>
      <c r="E29" s="200"/>
      <c r="F29" s="200"/>
      <c r="G29" s="7"/>
      <c r="H29" s="7"/>
      <c r="I29" s="7"/>
      <c r="J29" s="7"/>
      <c r="K29" s="7"/>
      <c r="L29" s="7"/>
      <c r="M29" s="7"/>
      <c r="N29" s="7"/>
      <c r="O29" s="7"/>
      <c r="P29" s="7"/>
      <c r="Q29" s="7"/>
      <c r="R29" s="7"/>
      <c r="S29" s="7"/>
      <c r="T29" s="7"/>
      <c r="U29" s="7"/>
      <c r="V29" s="7"/>
      <c r="W29" s="7"/>
      <c r="X29" s="7"/>
      <c r="Y29" s="7"/>
      <c r="Z29" s="7"/>
    </row>
    <row r="30" ht="14.25" customHeight="1">
      <c r="A30" s="7"/>
      <c r="B30" s="200"/>
      <c r="C30" s="200"/>
      <c r="D30" s="200"/>
      <c r="E30" s="200"/>
      <c r="F30" s="200"/>
      <c r="G30" s="7"/>
      <c r="H30" s="7"/>
      <c r="I30" s="7"/>
      <c r="J30" s="7"/>
      <c r="K30" s="7"/>
      <c r="L30" s="7"/>
      <c r="M30" s="7"/>
      <c r="N30" s="7"/>
      <c r="O30" s="7"/>
      <c r="P30" s="7"/>
      <c r="Q30" s="7"/>
      <c r="R30" s="7"/>
      <c r="S30" s="7"/>
      <c r="T30" s="7"/>
      <c r="U30" s="7"/>
      <c r="V30" s="7"/>
      <c r="W30" s="7"/>
      <c r="X30" s="7"/>
      <c r="Y30" s="7"/>
      <c r="Z30" s="7"/>
    </row>
    <row r="31" ht="14.25" customHeight="1">
      <c r="A31" s="7"/>
      <c r="B31" s="200"/>
      <c r="C31" s="200"/>
      <c r="D31" s="200"/>
      <c r="E31" s="200"/>
      <c r="F31" s="200"/>
      <c r="G31" s="7"/>
      <c r="H31" s="7"/>
      <c r="I31" s="7"/>
      <c r="J31" s="7"/>
      <c r="K31" s="7"/>
      <c r="L31" s="7"/>
      <c r="M31" s="7"/>
      <c r="N31" s="7"/>
      <c r="O31" s="7"/>
      <c r="P31" s="7"/>
      <c r="Q31" s="7"/>
      <c r="R31" s="7"/>
      <c r="S31" s="7"/>
      <c r="T31" s="7"/>
      <c r="U31" s="7"/>
      <c r="V31" s="7"/>
      <c r="W31" s="7"/>
      <c r="X31" s="7"/>
      <c r="Y31" s="7"/>
      <c r="Z31" s="7"/>
    </row>
    <row r="32" ht="14.25" customHeight="1">
      <c r="A32" s="7"/>
      <c r="B32" s="200"/>
      <c r="C32" s="200"/>
      <c r="D32" s="200"/>
      <c r="E32" s="200"/>
      <c r="F32" s="200"/>
      <c r="G32" s="7"/>
      <c r="H32" s="7"/>
      <c r="I32" s="7"/>
      <c r="J32" s="7"/>
      <c r="K32" s="7"/>
      <c r="L32" s="7"/>
      <c r="M32" s="7"/>
      <c r="N32" s="7"/>
      <c r="O32" s="7"/>
      <c r="P32" s="7"/>
      <c r="Q32" s="7"/>
      <c r="R32" s="7"/>
      <c r="S32" s="7"/>
      <c r="T32" s="7"/>
      <c r="U32" s="7"/>
      <c r="V32" s="7"/>
      <c r="W32" s="7"/>
      <c r="X32" s="7"/>
      <c r="Y32" s="7"/>
      <c r="Z32" s="7"/>
    </row>
    <row r="33" ht="14.25" customHeight="1">
      <c r="A33" s="7"/>
      <c r="B33" s="200"/>
      <c r="C33" s="200"/>
      <c r="D33" s="200"/>
      <c r="E33" s="200"/>
      <c r="F33" s="200"/>
      <c r="G33" s="7"/>
      <c r="H33" s="7"/>
      <c r="I33" s="7"/>
      <c r="J33" s="7"/>
      <c r="K33" s="7"/>
      <c r="L33" s="7"/>
      <c r="M33" s="7"/>
      <c r="N33" s="7"/>
      <c r="O33" s="7"/>
      <c r="P33" s="7"/>
      <c r="Q33" s="7"/>
      <c r="R33" s="7"/>
      <c r="S33" s="7"/>
      <c r="T33" s="7"/>
      <c r="U33" s="7"/>
      <c r="V33" s="7"/>
      <c r="W33" s="7"/>
      <c r="X33" s="7"/>
      <c r="Y33" s="7"/>
      <c r="Z33" s="7"/>
    </row>
    <row r="34" ht="14.25" customHeight="1">
      <c r="A34" s="7"/>
      <c r="B34" s="200"/>
      <c r="C34" s="200"/>
      <c r="D34" s="200"/>
      <c r="E34" s="200"/>
      <c r="F34" s="200"/>
      <c r="G34" s="7"/>
      <c r="H34" s="7"/>
      <c r="I34" s="7"/>
      <c r="J34" s="7"/>
      <c r="K34" s="7"/>
      <c r="L34" s="7"/>
      <c r="M34" s="7"/>
      <c r="N34" s="7"/>
      <c r="O34" s="7"/>
      <c r="P34" s="7"/>
      <c r="Q34" s="7"/>
      <c r="R34" s="7"/>
      <c r="S34" s="7"/>
      <c r="T34" s="7"/>
      <c r="U34" s="7"/>
      <c r="V34" s="7"/>
      <c r="W34" s="7"/>
      <c r="X34" s="7"/>
      <c r="Y34" s="7"/>
      <c r="Z34" s="7"/>
    </row>
    <row r="35" ht="14.25" customHeight="1">
      <c r="A35" s="7"/>
      <c r="B35" s="200"/>
      <c r="C35" s="200"/>
      <c r="D35" s="200"/>
      <c r="E35" s="200"/>
      <c r="F35" s="200"/>
      <c r="G35" s="7"/>
      <c r="H35" s="7"/>
      <c r="I35" s="7"/>
      <c r="J35" s="7"/>
      <c r="K35" s="7"/>
      <c r="L35" s="7"/>
      <c r="M35" s="7"/>
      <c r="N35" s="7"/>
      <c r="O35" s="7"/>
      <c r="P35" s="7"/>
      <c r="Q35" s="7"/>
      <c r="R35" s="7"/>
      <c r="S35" s="7"/>
      <c r="T35" s="7"/>
      <c r="U35" s="7"/>
      <c r="V35" s="7"/>
      <c r="W35" s="7"/>
      <c r="X35" s="7"/>
      <c r="Y35" s="7"/>
      <c r="Z35" s="7"/>
    </row>
    <row r="36" ht="14.25" customHeight="1">
      <c r="A36" s="7"/>
      <c r="B36" s="200"/>
      <c r="C36" s="200"/>
      <c r="D36" s="200"/>
      <c r="E36" s="200"/>
      <c r="F36" s="200"/>
      <c r="G36" s="7"/>
      <c r="H36" s="7"/>
      <c r="I36" s="7"/>
      <c r="J36" s="7"/>
      <c r="K36" s="7"/>
      <c r="L36" s="7"/>
      <c r="M36" s="7"/>
      <c r="N36" s="7"/>
      <c r="O36" s="7"/>
      <c r="P36" s="7"/>
      <c r="Q36" s="7"/>
      <c r="R36" s="7"/>
      <c r="S36" s="7"/>
      <c r="T36" s="7"/>
      <c r="U36" s="7"/>
      <c r="V36" s="7"/>
      <c r="W36" s="7"/>
      <c r="X36" s="7"/>
      <c r="Y36" s="7"/>
      <c r="Z36" s="7"/>
    </row>
    <row r="37" ht="14.25" customHeight="1">
      <c r="A37" s="7"/>
      <c r="B37" s="200"/>
      <c r="C37" s="200"/>
      <c r="D37" s="200"/>
      <c r="E37" s="200"/>
      <c r="F37" s="200"/>
      <c r="G37" s="7"/>
      <c r="H37" s="7"/>
      <c r="I37" s="7"/>
      <c r="J37" s="7"/>
      <c r="K37" s="7"/>
      <c r="L37" s="7"/>
      <c r="M37" s="7"/>
      <c r="N37" s="7"/>
      <c r="O37" s="7"/>
      <c r="P37" s="7"/>
      <c r="Q37" s="7"/>
      <c r="R37" s="7"/>
      <c r="S37" s="7"/>
      <c r="T37" s="7"/>
      <c r="U37" s="7"/>
      <c r="V37" s="7"/>
      <c r="W37" s="7"/>
      <c r="X37" s="7"/>
      <c r="Y37" s="7"/>
      <c r="Z37" s="7"/>
    </row>
    <row r="38" ht="14.25" customHeight="1">
      <c r="A38" s="7"/>
      <c r="B38" s="200"/>
      <c r="C38" s="200"/>
      <c r="D38" s="200"/>
      <c r="E38" s="200"/>
      <c r="F38" s="200"/>
      <c r="G38" s="7"/>
      <c r="H38" s="7"/>
      <c r="I38" s="7"/>
      <c r="J38" s="7"/>
      <c r="K38" s="7"/>
      <c r="L38" s="7"/>
      <c r="M38" s="7"/>
      <c r="N38" s="7"/>
      <c r="O38" s="7"/>
      <c r="P38" s="7"/>
      <c r="Q38" s="7"/>
      <c r="R38" s="7"/>
      <c r="S38" s="7"/>
      <c r="T38" s="7"/>
      <c r="U38" s="7"/>
      <c r="V38" s="7"/>
      <c r="W38" s="7"/>
      <c r="X38" s="7"/>
      <c r="Y38" s="7"/>
      <c r="Z38" s="7"/>
    </row>
    <row r="39" ht="14.25" customHeight="1">
      <c r="A39" s="7"/>
      <c r="B39" s="200"/>
      <c r="C39" s="200"/>
      <c r="D39" s="200"/>
      <c r="E39" s="200"/>
      <c r="F39" s="200"/>
      <c r="G39" s="7"/>
      <c r="H39" s="7"/>
      <c r="I39" s="7"/>
      <c r="J39" s="7"/>
      <c r="K39" s="7"/>
      <c r="L39" s="7"/>
      <c r="M39" s="7"/>
      <c r="N39" s="7"/>
      <c r="O39" s="7"/>
      <c r="P39" s="7"/>
      <c r="Q39" s="7"/>
      <c r="R39" s="7"/>
      <c r="S39" s="7"/>
      <c r="T39" s="7"/>
      <c r="U39" s="7"/>
      <c r="V39" s="7"/>
      <c r="W39" s="7"/>
      <c r="X39" s="7"/>
      <c r="Y39" s="7"/>
      <c r="Z39" s="7"/>
    </row>
    <row r="40" ht="14.25" customHeight="1">
      <c r="A40" s="7"/>
      <c r="B40" s="200"/>
      <c r="C40" s="200"/>
      <c r="D40" s="200"/>
      <c r="E40" s="200"/>
      <c r="F40" s="200"/>
      <c r="G40" s="7"/>
      <c r="H40" s="7"/>
      <c r="I40" s="7"/>
      <c r="J40" s="7"/>
      <c r="K40" s="7"/>
      <c r="L40" s="7"/>
      <c r="M40" s="7"/>
      <c r="N40" s="7"/>
      <c r="O40" s="7"/>
      <c r="P40" s="7"/>
      <c r="Q40" s="7"/>
      <c r="R40" s="7"/>
      <c r="S40" s="7"/>
      <c r="T40" s="7"/>
      <c r="U40" s="7"/>
      <c r="V40" s="7"/>
      <c r="W40" s="7"/>
      <c r="X40" s="7"/>
      <c r="Y40" s="7"/>
      <c r="Z40" s="7"/>
    </row>
    <row r="41" ht="14.25" customHeight="1">
      <c r="A41" s="7"/>
      <c r="B41" s="200"/>
      <c r="C41" s="200"/>
      <c r="D41" s="200"/>
      <c r="E41" s="200"/>
      <c r="F41" s="200"/>
      <c r="G41" s="7"/>
      <c r="H41" s="7"/>
      <c r="I41" s="7"/>
      <c r="J41" s="7"/>
      <c r="K41" s="7"/>
      <c r="L41" s="7"/>
      <c r="M41" s="7"/>
      <c r="N41" s="7"/>
      <c r="O41" s="7"/>
      <c r="P41" s="7"/>
      <c r="Q41" s="7"/>
      <c r="R41" s="7"/>
      <c r="S41" s="7"/>
      <c r="T41" s="7"/>
      <c r="U41" s="7"/>
      <c r="V41" s="7"/>
      <c r="W41" s="7"/>
      <c r="X41" s="7"/>
      <c r="Y41" s="7"/>
      <c r="Z41" s="7"/>
    </row>
    <row r="42" ht="14.25" customHeight="1">
      <c r="A42" s="7"/>
      <c r="B42" s="200"/>
      <c r="C42" s="200"/>
      <c r="D42" s="200"/>
      <c r="E42" s="200"/>
      <c r="F42" s="200"/>
      <c r="G42" s="7"/>
      <c r="H42" s="7"/>
      <c r="I42" s="7"/>
      <c r="J42" s="7"/>
      <c r="K42" s="7"/>
      <c r="L42" s="7"/>
      <c r="M42" s="7"/>
      <c r="N42" s="7"/>
      <c r="O42" s="7"/>
      <c r="P42" s="7"/>
      <c r="Q42" s="7"/>
      <c r="R42" s="7"/>
      <c r="S42" s="7"/>
      <c r="T42" s="7"/>
      <c r="U42" s="7"/>
      <c r="V42" s="7"/>
      <c r="W42" s="7"/>
      <c r="X42" s="7"/>
      <c r="Y42" s="7"/>
      <c r="Z42" s="7"/>
    </row>
    <row r="43" ht="14.25" customHeight="1">
      <c r="A43" s="7"/>
      <c r="B43" s="200"/>
      <c r="C43" s="200"/>
      <c r="D43" s="200"/>
      <c r="E43" s="200"/>
      <c r="F43" s="200"/>
      <c r="G43" s="7"/>
      <c r="H43" s="7"/>
      <c r="I43" s="7"/>
      <c r="J43" s="7"/>
      <c r="K43" s="7"/>
      <c r="L43" s="7"/>
      <c r="M43" s="7"/>
      <c r="N43" s="7"/>
      <c r="O43" s="7"/>
      <c r="P43" s="7"/>
      <c r="Q43" s="7"/>
      <c r="R43" s="7"/>
      <c r="S43" s="7"/>
      <c r="T43" s="7"/>
      <c r="U43" s="7"/>
      <c r="V43" s="7"/>
      <c r="W43" s="7"/>
      <c r="X43" s="7"/>
      <c r="Y43" s="7"/>
      <c r="Z43" s="7"/>
    </row>
    <row r="44" ht="14.25" customHeight="1">
      <c r="A44" s="7"/>
      <c r="B44" s="200"/>
      <c r="C44" s="200"/>
      <c r="D44" s="200"/>
      <c r="E44" s="200"/>
      <c r="F44" s="200"/>
      <c r="G44" s="7"/>
      <c r="H44" s="7"/>
      <c r="I44" s="7"/>
      <c r="J44" s="7"/>
      <c r="K44" s="7"/>
      <c r="L44" s="7"/>
      <c r="M44" s="7"/>
      <c r="N44" s="7"/>
      <c r="O44" s="7"/>
      <c r="P44" s="7"/>
      <c r="Q44" s="7"/>
      <c r="R44" s="7"/>
      <c r="S44" s="7"/>
      <c r="T44" s="7"/>
      <c r="U44" s="7"/>
      <c r="V44" s="7"/>
      <c r="W44" s="7"/>
      <c r="X44" s="7"/>
      <c r="Y44" s="7"/>
      <c r="Z44" s="7"/>
    </row>
    <row r="45" ht="14.25" customHeight="1">
      <c r="A45" s="7"/>
      <c r="B45" s="200"/>
      <c r="C45" s="200"/>
      <c r="D45" s="200"/>
      <c r="E45" s="200"/>
      <c r="F45" s="200"/>
      <c r="G45" s="7"/>
      <c r="H45" s="7"/>
      <c r="I45" s="7"/>
      <c r="J45" s="7"/>
      <c r="K45" s="7"/>
      <c r="L45" s="7"/>
      <c r="M45" s="7"/>
      <c r="N45" s="7"/>
      <c r="O45" s="7"/>
      <c r="P45" s="7"/>
      <c r="Q45" s="7"/>
      <c r="R45" s="7"/>
      <c r="S45" s="7"/>
      <c r="T45" s="7"/>
      <c r="U45" s="7"/>
      <c r="V45" s="7"/>
      <c r="W45" s="7"/>
      <c r="X45" s="7"/>
      <c r="Y45" s="7"/>
      <c r="Z45" s="7"/>
    </row>
    <row r="46" ht="14.25" customHeight="1">
      <c r="A46" s="7"/>
      <c r="B46" s="200"/>
      <c r="C46" s="200"/>
      <c r="D46" s="200"/>
      <c r="E46" s="200"/>
      <c r="F46" s="200"/>
      <c r="G46" s="7"/>
      <c r="H46" s="7"/>
      <c r="I46" s="7"/>
      <c r="J46" s="7"/>
      <c r="K46" s="7"/>
      <c r="L46" s="7"/>
      <c r="M46" s="7"/>
      <c r="N46" s="7"/>
      <c r="O46" s="7"/>
      <c r="P46" s="7"/>
      <c r="Q46" s="7"/>
      <c r="R46" s="7"/>
      <c r="S46" s="7"/>
      <c r="T46" s="7"/>
      <c r="U46" s="7"/>
      <c r="V46" s="7"/>
      <c r="W46" s="7"/>
      <c r="X46" s="7"/>
      <c r="Y46" s="7"/>
      <c r="Z46" s="7"/>
    </row>
    <row r="47" ht="14.25" customHeight="1">
      <c r="A47" s="7"/>
      <c r="B47" s="200"/>
      <c r="C47" s="200"/>
      <c r="D47" s="200"/>
      <c r="E47" s="200"/>
      <c r="F47" s="200"/>
      <c r="G47" s="7"/>
      <c r="H47" s="7"/>
      <c r="I47" s="7"/>
      <c r="J47" s="7"/>
      <c r="K47" s="7"/>
      <c r="L47" s="7"/>
      <c r="M47" s="7"/>
      <c r="N47" s="7"/>
      <c r="O47" s="7"/>
      <c r="P47" s="7"/>
      <c r="Q47" s="7"/>
      <c r="R47" s="7"/>
      <c r="S47" s="7"/>
      <c r="T47" s="7"/>
      <c r="U47" s="7"/>
      <c r="V47" s="7"/>
      <c r="W47" s="7"/>
      <c r="X47" s="7"/>
      <c r="Y47" s="7"/>
      <c r="Z47" s="7"/>
    </row>
    <row r="48" ht="14.25" customHeight="1">
      <c r="A48" s="7"/>
      <c r="B48" s="200"/>
      <c r="C48" s="200"/>
      <c r="D48" s="200"/>
      <c r="E48" s="200"/>
      <c r="F48" s="200"/>
      <c r="G48" s="7"/>
      <c r="H48" s="7"/>
      <c r="I48" s="7"/>
      <c r="J48" s="7"/>
      <c r="K48" s="7"/>
      <c r="L48" s="7"/>
      <c r="M48" s="7"/>
      <c r="N48" s="7"/>
      <c r="O48" s="7"/>
      <c r="P48" s="7"/>
      <c r="Q48" s="7"/>
      <c r="R48" s="7"/>
      <c r="S48" s="7"/>
      <c r="T48" s="7"/>
      <c r="U48" s="7"/>
      <c r="V48" s="7"/>
      <c r="W48" s="7"/>
      <c r="X48" s="7"/>
      <c r="Y48" s="7"/>
      <c r="Z48" s="7"/>
    </row>
    <row r="49" ht="14.25" customHeight="1">
      <c r="A49" s="7"/>
      <c r="B49" s="200"/>
      <c r="C49" s="200"/>
      <c r="D49" s="200"/>
      <c r="E49" s="200"/>
      <c r="F49" s="200"/>
      <c r="G49" s="7"/>
      <c r="H49" s="7"/>
      <c r="I49" s="7"/>
      <c r="J49" s="7"/>
      <c r="K49" s="7"/>
      <c r="L49" s="7"/>
      <c r="M49" s="7"/>
      <c r="N49" s="7"/>
      <c r="O49" s="7"/>
      <c r="P49" s="7"/>
      <c r="Q49" s="7"/>
      <c r="R49" s="7"/>
      <c r="S49" s="7"/>
      <c r="T49" s="7"/>
      <c r="U49" s="7"/>
      <c r="V49" s="7"/>
      <c r="W49" s="7"/>
      <c r="X49" s="7"/>
      <c r="Y49" s="7"/>
      <c r="Z49" s="7"/>
    </row>
    <row r="50" ht="14.25" customHeight="1">
      <c r="A50" s="7"/>
      <c r="B50" s="200"/>
      <c r="C50" s="200"/>
      <c r="D50" s="200"/>
      <c r="E50" s="200"/>
      <c r="F50" s="200"/>
      <c r="G50" s="7"/>
      <c r="H50" s="7"/>
      <c r="I50" s="7"/>
      <c r="J50" s="7"/>
      <c r="K50" s="7"/>
      <c r="L50" s="7"/>
      <c r="M50" s="7"/>
      <c r="N50" s="7"/>
      <c r="O50" s="7"/>
      <c r="P50" s="7"/>
      <c r="Q50" s="7"/>
      <c r="R50" s="7"/>
      <c r="S50" s="7"/>
      <c r="T50" s="7"/>
      <c r="U50" s="7"/>
      <c r="V50" s="7"/>
      <c r="W50" s="7"/>
      <c r="X50" s="7"/>
      <c r="Y50" s="7"/>
      <c r="Z50" s="7"/>
    </row>
    <row r="51" ht="14.25" customHeight="1">
      <c r="A51" s="7"/>
      <c r="B51" s="200"/>
      <c r="C51" s="200"/>
      <c r="D51" s="200"/>
      <c r="E51" s="200"/>
      <c r="F51" s="200"/>
      <c r="G51" s="7"/>
      <c r="H51" s="7"/>
      <c r="I51" s="7"/>
      <c r="J51" s="7"/>
      <c r="K51" s="7"/>
      <c r="L51" s="7"/>
      <c r="M51" s="7"/>
      <c r="N51" s="7"/>
      <c r="O51" s="7"/>
      <c r="P51" s="7"/>
      <c r="Q51" s="7"/>
      <c r="R51" s="7"/>
      <c r="S51" s="7"/>
      <c r="T51" s="7"/>
      <c r="U51" s="7"/>
      <c r="V51" s="7"/>
      <c r="W51" s="7"/>
      <c r="X51" s="7"/>
      <c r="Y51" s="7"/>
      <c r="Z51" s="7"/>
    </row>
    <row r="52" ht="14.25" customHeight="1">
      <c r="A52" s="7"/>
      <c r="B52" s="200"/>
      <c r="C52" s="200"/>
      <c r="D52" s="200"/>
      <c r="E52" s="200"/>
      <c r="F52" s="200"/>
      <c r="G52" s="7"/>
      <c r="H52" s="7"/>
      <c r="I52" s="7"/>
      <c r="J52" s="7"/>
      <c r="K52" s="7"/>
      <c r="L52" s="7"/>
      <c r="M52" s="7"/>
      <c r="N52" s="7"/>
      <c r="O52" s="7"/>
      <c r="P52" s="7"/>
      <c r="Q52" s="7"/>
      <c r="R52" s="7"/>
      <c r="S52" s="7"/>
      <c r="T52" s="7"/>
      <c r="U52" s="7"/>
      <c r="V52" s="7"/>
      <c r="W52" s="7"/>
      <c r="X52" s="7"/>
      <c r="Y52" s="7"/>
      <c r="Z52" s="7"/>
    </row>
    <row r="53" ht="14.25" customHeight="1">
      <c r="A53" s="7"/>
      <c r="B53" s="200"/>
      <c r="C53" s="200"/>
      <c r="D53" s="200"/>
      <c r="E53" s="200"/>
      <c r="F53" s="200"/>
      <c r="G53" s="7"/>
      <c r="H53" s="7"/>
      <c r="I53" s="7"/>
      <c r="J53" s="7"/>
      <c r="K53" s="7"/>
      <c r="L53" s="7"/>
      <c r="M53" s="7"/>
      <c r="N53" s="7"/>
      <c r="O53" s="7"/>
      <c r="P53" s="7"/>
      <c r="Q53" s="7"/>
      <c r="R53" s="7"/>
      <c r="S53" s="7"/>
      <c r="T53" s="7"/>
      <c r="U53" s="7"/>
      <c r="V53" s="7"/>
      <c r="W53" s="7"/>
      <c r="X53" s="7"/>
      <c r="Y53" s="7"/>
      <c r="Z53" s="7"/>
    </row>
    <row r="54" ht="14.25" customHeight="1">
      <c r="A54" s="7"/>
      <c r="B54" s="200"/>
      <c r="C54" s="200"/>
      <c r="D54" s="200"/>
      <c r="E54" s="200"/>
      <c r="F54" s="200"/>
      <c r="G54" s="7"/>
      <c r="H54" s="7"/>
      <c r="I54" s="7"/>
      <c r="J54" s="7"/>
      <c r="K54" s="7"/>
      <c r="L54" s="7"/>
      <c r="M54" s="7"/>
      <c r="N54" s="7"/>
      <c r="O54" s="7"/>
      <c r="P54" s="7"/>
      <c r="Q54" s="7"/>
      <c r="R54" s="7"/>
      <c r="S54" s="7"/>
      <c r="T54" s="7"/>
      <c r="U54" s="7"/>
      <c r="V54" s="7"/>
      <c r="W54" s="7"/>
      <c r="X54" s="7"/>
      <c r="Y54" s="7"/>
      <c r="Z54" s="7"/>
    </row>
    <row r="55" ht="14.25" customHeight="1">
      <c r="A55" s="7"/>
      <c r="B55" s="200"/>
      <c r="C55" s="200"/>
      <c r="D55" s="200"/>
      <c r="E55" s="200"/>
      <c r="F55" s="200"/>
      <c r="G55" s="7"/>
      <c r="H55" s="7"/>
      <c r="I55" s="7"/>
      <c r="J55" s="7"/>
      <c r="K55" s="7"/>
      <c r="L55" s="7"/>
      <c r="M55" s="7"/>
      <c r="N55" s="7"/>
      <c r="O55" s="7"/>
      <c r="P55" s="7"/>
      <c r="Q55" s="7"/>
      <c r="R55" s="7"/>
      <c r="S55" s="7"/>
      <c r="T55" s="7"/>
      <c r="U55" s="7"/>
      <c r="V55" s="7"/>
      <c r="W55" s="7"/>
      <c r="X55" s="7"/>
      <c r="Y55" s="7"/>
      <c r="Z55" s="7"/>
    </row>
    <row r="56" ht="14.25" customHeight="1">
      <c r="A56" s="7"/>
      <c r="B56" s="200"/>
      <c r="C56" s="200"/>
      <c r="D56" s="200"/>
      <c r="E56" s="200"/>
      <c r="F56" s="200"/>
      <c r="G56" s="7"/>
      <c r="H56" s="7"/>
      <c r="I56" s="7"/>
      <c r="J56" s="7"/>
      <c r="K56" s="7"/>
      <c r="L56" s="7"/>
      <c r="M56" s="7"/>
      <c r="N56" s="7"/>
      <c r="O56" s="7"/>
      <c r="P56" s="7"/>
      <c r="Q56" s="7"/>
      <c r="R56" s="7"/>
      <c r="S56" s="7"/>
      <c r="T56" s="7"/>
      <c r="U56" s="7"/>
      <c r="V56" s="7"/>
      <c r="W56" s="7"/>
      <c r="X56" s="7"/>
      <c r="Y56" s="7"/>
      <c r="Z56" s="7"/>
    </row>
    <row r="57" ht="14.25" customHeight="1">
      <c r="A57" s="7"/>
      <c r="B57" s="200"/>
      <c r="C57" s="200"/>
      <c r="D57" s="200"/>
      <c r="E57" s="200"/>
      <c r="F57" s="200"/>
      <c r="G57" s="7"/>
      <c r="H57" s="7"/>
      <c r="I57" s="7"/>
      <c r="J57" s="7"/>
      <c r="K57" s="7"/>
      <c r="L57" s="7"/>
      <c r="M57" s="7"/>
      <c r="N57" s="7"/>
      <c r="O57" s="7"/>
      <c r="P57" s="7"/>
      <c r="Q57" s="7"/>
      <c r="R57" s="7"/>
      <c r="S57" s="7"/>
      <c r="T57" s="7"/>
      <c r="U57" s="7"/>
      <c r="V57" s="7"/>
      <c r="W57" s="7"/>
      <c r="X57" s="7"/>
      <c r="Y57" s="7"/>
      <c r="Z57" s="7"/>
    </row>
    <row r="58" ht="14.25" customHeight="1">
      <c r="A58" s="7"/>
      <c r="B58" s="200"/>
      <c r="C58" s="200"/>
      <c r="D58" s="200"/>
      <c r="E58" s="200"/>
      <c r="F58" s="200"/>
      <c r="G58" s="7"/>
      <c r="H58" s="7"/>
      <c r="I58" s="7"/>
      <c r="J58" s="7"/>
      <c r="K58" s="7"/>
      <c r="L58" s="7"/>
      <c r="M58" s="7"/>
      <c r="N58" s="7"/>
      <c r="O58" s="7"/>
      <c r="P58" s="7"/>
      <c r="Q58" s="7"/>
      <c r="R58" s="7"/>
      <c r="S58" s="7"/>
      <c r="T58" s="7"/>
      <c r="U58" s="7"/>
      <c r="V58" s="7"/>
      <c r="W58" s="7"/>
      <c r="X58" s="7"/>
      <c r="Y58" s="7"/>
      <c r="Z58" s="7"/>
    </row>
    <row r="59" ht="14.25" customHeight="1">
      <c r="A59" s="7"/>
      <c r="B59" s="200"/>
      <c r="C59" s="200"/>
      <c r="D59" s="200"/>
      <c r="E59" s="200"/>
      <c r="F59" s="200"/>
      <c r="G59" s="7"/>
      <c r="H59" s="7"/>
      <c r="I59" s="7"/>
      <c r="J59" s="7"/>
      <c r="K59" s="7"/>
      <c r="L59" s="7"/>
      <c r="M59" s="7"/>
      <c r="N59" s="7"/>
      <c r="O59" s="7"/>
      <c r="P59" s="7"/>
      <c r="Q59" s="7"/>
      <c r="R59" s="7"/>
      <c r="S59" s="7"/>
      <c r="T59" s="7"/>
      <c r="U59" s="7"/>
      <c r="V59" s="7"/>
      <c r="W59" s="7"/>
      <c r="X59" s="7"/>
      <c r="Y59" s="7"/>
      <c r="Z59" s="7"/>
    </row>
    <row r="60" ht="14.25" customHeight="1">
      <c r="A60" s="7"/>
      <c r="B60" s="200"/>
      <c r="C60" s="200"/>
      <c r="D60" s="200"/>
      <c r="E60" s="200"/>
      <c r="F60" s="200"/>
      <c r="G60" s="7"/>
      <c r="H60" s="7"/>
      <c r="I60" s="7"/>
      <c r="J60" s="7"/>
      <c r="K60" s="7"/>
      <c r="L60" s="7"/>
      <c r="M60" s="7"/>
      <c r="N60" s="7"/>
      <c r="O60" s="7"/>
      <c r="P60" s="7"/>
      <c r="Q60" s="7"/>
      <c r="R60" s="7"/>
      <c r="S60" s="7"/>
      <c r="T60" s="7"/>
      <c r="U60" s="7"/>
      <c r="V60" s="7"/>
      <c r="W60" s="7"/>
      <c r="X60" s="7"/>
      <c r="Y60" s="7"/>
      <c r="Z60" s="7"/>
    </row>
    <row r="61" ht="14.25" customHeight="1">
      <c r="A61" s="7"/>
      <c r="B61" s="200"/>
      <c r="C61" s="200"/>
      <c r="D61" s="200"/>
      <c r="E61" s="200"/>
      <c r="F61" s="200"/>
      <c r="G61" s="7"/>
      <c r="H61" s="7"/>
      <c r="I61" s="7"/>
      <c r="J61" s="7"/>
      <c r="K61" s="7"/>
      <c r="L61" s="7"/>
      <c r="M61" s="7"/>
      <c r="N61" s="7"/>
      <c r="O61" s="7"/>
      <c r="P61" s="7"/>
      <c r="Q61" s="7"/>
      <c r="R61" s="7"/>
      <c r="S61" s="7"/>
      <c r="T61" s="7"/>
      <c r="U61" s="7"/>
      <c r="V61" s="7"/>
      <c r="W61" s="7"/>
      <c r="X61" s="7"/>
      <c r="Y61" s="7"/>
      <c r="Z61" s="7"/>
    </row>
    <row r="62" ht="14.25" customHeight="1">
      <c r="A62" s="7"/>
      <c r="B62" s="200"/>
      <c r="C62" s="200"/>
      <c r="D62" s="200"/>
      <c r="E62" s="200"/>
      <c r="F62" s="200"/>
      <c r="G62" s="7"/>
      <c r="H62" s="7"/>
      <c r="I62" s="7"/>
      <c r="J62" s="7"/>
      <c r="K62" s="7"/>
      <c r="L62" s="7"/>
      <c r="M62" s="7"/>
      <c r="N62" s="7"/>
      <c r="O62" s="7"/>
      <c r="P62" s="7"/>
      <c r="Q62" s="7"/>
      <c r="R62" s="7"/>
      <c r="S62" s="7"/>
      <c r="T62" s="7"/>
      <c r="U62" s="7"/>
      <c r="V62" s="7"/>
      <c r="W62" s="7"/>
      <c r="X62" s="7"/>
      <c r="Y62" s="7"/>
      <c r="Z62" s="7"/>
    </row>
    <row r="63" ht="14.25" customHeight="1">
      <c r="A63" s="7"/>
      <c r="B63" s="200"/>
      <c r="C63" s="200"/>
      <c r="D63" s="200"/>
      <c r="E63" s="200"/>
      <c r="F63" s="200"/>
      <c r="G63" s="7"/>
      <c r="H63" s="7"/>
      <c r="I63" s="7"/>
      <c r="J63" s="7"/>
      <c r="K63" s="7"/>
      <c r="L63" s="7"/>
      <c r="M63" s="7"/>
      <c r="N63" s="7"/>
      <c r="O63" s="7"/>
      <c r="P63" s="7"/>
      <c r="Q63" s="7"/>
      <c r="R63" s="7"/>
      <c r="S63" s="7"/>
      <c r="T63" s="7"/>
      <c r="U63" s="7"/>
      <c r="V63" s="7"/>
      <c r="W63" s="7"/>
      <c r="X63" s="7"/>
      <c r="Y63" s="7"/>
      <c r="Z63" s="7"/>
    </row>
    <row r="64" ht="14.25" customHeight="1">
      <c r="A64" s="7"/>
      <c r="B64" s="200"/>
      <c r="C64" s="200"/>
      <c r="D64" s="200"/>
      <c r="E64" s="200"/>
      <c r="F64" s="200"/>
      <c r="G64" s="7"/>
      <c r="H64" s="7"/>
      <c r="I64" s="7"/>
      <c r="J64" s="7"/>
      <c r="K64" s="7"/>
      <c r="L64" s="7"/>
      <c r="M64" s="7"/>
      <c r="N64" s="7"/>
      <c r="O64" s="7"/>
      <c r="P64" s="7"/>
      <c r="Q64" s="7"/>
      <c r="R64" s="7"/>
      <c r="S64" s="7"/>
      <c r="T64" s="7"/>
      <c r="U64" s="7"/>
      <c r="V64" s="7"/>
      <c r="W64" s="7"/>
      <c r="X64" s="7"/>
      <c r="Y64" s="7"/>
      <c r="Z64" s="7"/>
    </row>
    <row r="65" ht="14.25" customHeight="1">
      <c r="A65" s="7"/>
      <c r="B65" s="200"/>
      <c r="C65" s="200"/>
      <c r="D65" s="200"/>
      <c r="E65" s="200"/>
      <c r="F65" s="200"/>
      <c r="G65" s="7"/>
      <c r="H65" s="7"/>
      <c r="I65" s="7"/>
      <c r="J65" s="7"/>
      <c r="K65" s="7"/>
      <c r="L65" s="7"/>
      <c r="M65" s="7"/>
      <c r="N65" s="7"/>
      <c r="O65" s="7"/>
      <c r="P65" s="7"/>
      <c r="Q65" s="7"/>
      <c r="R65" s="7"/>
      <c r="S65" s="7"/>
      <c r="T65" s="7"/>
      <c r="U65" s="7"/>
      <c r="V65" s="7"/>
      <c r="W65" s="7"/>
      <c r="X65" s="7"/>
      <c r="Y65" s="7"/>
      <c r="Z65" s="7"/>
    </row>
    <row r="66" ht="14.25" customHeight="1">
      <c r="A66" s="7"/>
      <c r="B66" s="200"/>
      <c r="C66" s="200"/>
      <c r="D66" s="200"/>
      <c r="E66" s="200"/>
      <c r="F66" s="200"/>
      <c r="G66" s="7"/>
      <c r="H66" s="7"/>
      <c r="I66" s="7"/>
      <c r="J66" s="7"/>
      <c r="K66" s="7"/>
      <c r="L66" s="7"/>
      <c r="M66" s="7"/>
      <c r="N66" s="7"/>
      <c r="O66" s="7"/>
      <c r="P66" s="7"/>
      <c r="Q66" s="7"/>
      <c r="R66" s="7"/>
      <c r="S66" s="7"/>
      <c r="T66" s="7"/>
      <c r="U66" s="7"/>
      <c r="V66" s="7"/>
      <c r="W66" s="7"/>
      <c r="X66" s="7"/>
      <c r="Y66" s="7"/>
      <c r="Z66" s="7"/>
    </row>
    <row r="67" ht="14.25" customHeight="1">
      <c r="A67" s="7"/>
      <c r="B67" s="200"/>
      <c r="C67" s="200"/>
      <c r="D67" s="200"/>
      <c r="E67" s="200"/>
      <c r="F67" s="200"/>
      <c r="G67" s="7"/>
      <c r="H67" s="7"/>
      <c r="I67" s="7"/>
      <c r="J67" s="7"/>
      <c r="K67" s="7"/>
      <c r="L67" s="7"/>
      <c r="M67" s="7"/>
      <c r="N67" s="7"/>
      <c r="O67" s="7"/>
      <c r="P67" s="7"/>
      <c r="Q67" s="7"/>
      <c r="R67" s="7"/>
      <c r="S67" s="7"/>
      <c r="T67" s="7"/>
      <c r="U67" s="7"/>
      <c r="V67" s="7"/>
      <c r="W67" s="7"/>
      <c r="X67" s="7"/>
      <c r="Y67" s="7"/>
      <c r="Z67" s="7"/>
    </row>
    <row r="68" ht="14.25" customHeight="1">
      <c r="A68" s="7"/>
      <c r="B68" s="200"/>
      <c r="C68" s="200"/>
      <c r="D68" s="200"/>
      <c r="E68" s="200"/>
      <c r="F68" s="200"/>
      <c r="G68" s="7"/>
      <c r="H68" s="7"/>
      <c r="I68" s="7"/>
      <c r="J68" s="7"/>
      <c r="K68" s="7"/>
      <c r="L68" s="7"/>
      <c r="M68" s="7"/>
      <c r="N68" s="7"/>
      <c r="O68" s="7"/>
      <c r="P68" s="7"/>
      <c r="Q68" s="7"/>
      <c r="R68" s="7"/>
      <c r="S68" s="7"/>
      <c r="T68" s="7"/>
      <c r="U68" s="7"/>
      <c r="V68" s="7"/>
      <c r="W68" s="7"/>
      <c r="X68" s="7"/>
      <c r="Y68" s="7"/>
      <c r="Z68" s="7"/>
    </row>
    <row r="69" ht="14.25" customHeight="1">
      <c r="A69" s="7"/>
      <c r="B69" s="200"/>
      <c r="C69" s="200"/>
      <c r="D69" s="200"/>
      <c r="E69" s="200"/>
      <c r="F69" s="200"/>
      <c r="G69" s="7"/>
      <c r="H69" s="7"/>
      <c r="I69" s="7"/>
      <c r="J69" s="7"/>
      <c r="K69" s="7"/>
      <c r="L69" s="7"/>
      <c r="M69" s="7"/>
      <c r="N69" s="7"/>
      <c r="O69" s="7"/>
      <c r="P69" s="7"/>
      <c r="Q69" s="7"/>
      <c r="R69" s="7"/>
      <c r="S69" s="7"/>
      <c r="T69" s="7"/>
      <c r="U69" s="7"/>
      <c r="V69" s="7"/>
      <c r="W69" s="7"/>
      <c r="X69" s="7"/>
      <c r="Y69" s="7"/>
      <c r="Z69" s="7"/>
    </row>
    <row r="70" ht="14.25" customHeight="1">
      <c r="A70" s="7"/>
      <c r="B70" s="200"/>
      <c r="C70" s="200"/>
      <c r="D70" s="200"/>
      <c r="E70" s="200"/>
      <c r="F70" s="200"/>
      <c r="G70" s="7"/>
      <c r="H70" s="7"/>
      <c r="I70" s="7"/>
      <c r="J70" s="7"/>
      <c r="K70" s="7"/>
      <c r="L70" s="7"/>
      <c r="M70" s="7"/>
      <c r="N70" s="7"/>
      <c r="O70" s="7"/>
      <c r="P70" s="7"/>
      <c r="Q70" s="7"/>
      <c r="R70" s="7"/>
      <c r="S70" s="7"/>
      <c r="T70" s="7"/>
      <c r="U70" s="7"/>
      <c r="V70" s="7"/>
      <c r="W70" s="7"/>
      <c r="X70" s="7"/>
      <c r="Y70" s="7"/>
      <c r="Z70" s="7"/>
    </row>
    <row r="71" ht="14.25" customHeight="1">
      <c r="A71" s="7"/>
      <c r="B71" s="200"/>
      <c r="C71" s="200"/>
      <c r="D71" s="200"/>
      <c r="E71" s="200"/>
      <c r="F71" s="200"/>
      <c r="G71" s="7"/>
      <c r="H71" s="7"/>
      <c r="I71" s="7"/>
      <c r="J71" s="7"/>
      <c r="K71" s="7"/>
      <c r="L71" s="7"/>
      <c r="M71" s="7"/>
      <c r="N71" s="7"/>
      <c r="O71" s="7"/>
      <c r="P71" s="7"/>
      <c r="Q71" s="7"/>
      <c r="R71" s="7"/>
      <c r="S71" s="7"/>
      <c r="T71" s="7"/>
      <c r="U71" s="7"/>
      <c r="V71" s="7"/>
      <c r="W71" s="7"/>
      <c r="X71" s="7"/>
      <c r="Y71" s="7"/>
      <c r="Z71" s="7"/>
    </row>
    <row r="72" ht="14.25" customHeight="1">
      <c r="A72" s="7"/>
      <c r="B72" s="200"/>
      <c r="C72" s="200"/>
      <c r="D72" s="200"/>
      <c r="E72" s="200"/>
      <c r="F72" s="200"/>
      <c r="G72" s="7"/>
      <c r="H72" s="7"/>
      <c r="I72" s="7"/>
      <c r="J72" s="7"/>
      <c r="K72" s="7"/>
      <c r="L72" s="7"/>
      <c r="M72" s="7"/>
      <c r="N72" s="7"/>
      <c r="O72" s="7"/>
      <c r="P72" s="7"/>
      <c r="Q72" s="7"/>
      <c r="R72" s="7"/>
      <c r="S72" s="7"/>
      <c r="T72" s="7"/>
      <c r="U72" s="7"/>
      <c r="V72" s="7"/>
      <c r="W72" s="7"/>
      <c r="X72" s="7"/>
      <c r="Y72" s="7"/>
      <c r="Z72" s="7"/>
    </row>
    <row r="73" ht="14.25" customHeight="1">
      <c r="A73" s="7"/>
      <c r="B73" s="200"/>
      <c r="C73" s="200"/>
      <c r="D73" s="200"/>
      <c r="E73" s="200"/>
      <c r="F73" s="200"/>
      <c r="G73" s="7"/>
      <c r="H73" s="7"/>
      <c r="I73" s="7"/>
      <c r="J73" s="7"/>
      <c r="K73" s="7"/>
      <c r="L73" s="7"/>
      <c r="M73" s="7"/>
      <c r="N73" s="7"/>
      <c r="O73" s="7"/>
      <c r="P73" s="7"/>
      <c r="Q73" s="7"/>
      <c r="R73" s="7"/>
      <c r="S73" s="7"/>
      <c r="T73" s="7"/>
      <c r="U73" s="7"/>
      <c r="V73" s="7"/>
      <c r="W73" s="7"/>
      <c r="X73" s="7"/>
      <c r="Y73" s="7"/>
      <c r="Z73" s="7"/>
    </row>
    <row r="74" ht="14.25" customHeight="1">
      <c r="A74" s="7"/>
      <c r="B74" s="200"/>
      <c r="C74" s="200"/>
      <c r="D74" s="200"/>
      <c r="E74" s="200"/>
      <c r="F74" s="200"/>
      <c r="G74" s="7"/>
      <c r="H74" s="7"/>
      <c r="I74" s="7"/>
      <c r="J74" s="7"/>
      <c r="K74" s="7"/>
      <c r="L74" s="7"/>
      <c r="M74" s="7"/>
      <c r="N74" s="7"/>
      <c r="O74" s="7"/>
      <c r="P74" s="7"/>
      <c r="Q74" s="7"/>
      <c r="R74" s="7"/>
      <c r="S74" s="7"/>
      <c r="T74" s="7"/>
      <c r="U74" s="7"/>
      <c r="V74" s="7"/>
      <c r="W74" s="7"/>
      <c r="X74" s="7"/>
      <c r="Y74" s="7"/>
      <c r="Z74" s="7"/>
    </row>
    <row r="75" ht="14.25" customHeight="1">
      <c r="A75" s="7"/>
      <c r="B75" s="200"/>
      <c r="C75" s="200"/>
      <c r="D75" s="200"/>
      <c r="E75" s="200"/>
      <c r="F75" s="200"/>
      <c r="G75" s="7"/>
      <c r="H75" s="7"/>
      <c r="I75" s="7"/>
      <c r="J75" s="7"/>
      <c r="K75" s="7"/>
      <c r="L75" s="7"/>
      <c r="M75" s="7"/>
      <c r="N75" s="7"/>
      <c r="O75" s="7"/>
      <c r="P75" s="7"/>
      <c r="Q75" s="7"/>
      <c r="R75" s="7"/>
      <c r="S75" s="7"/>
      <c r="T75" s="7"/>
      <c r="U75" s="7"/>
      <c r="V75" s="7"/>
      <c r="W75" s="7"/>
      <c r="X75" s="7"/>
      <c r="Y75" s="7"/>
      <c r="Z75" s="7"/>
    </row>
    <row r="76" ht="14.25" customHeight="1">
      <c r="A76" s="7"/>
      <c r="B76" s="200"/>
      <c r="C76" s="200"/>
      <c r="D76" s="200"/>
      <c r="E76" s="200"/>
      <c r="F76" s="200"/>
      <c r="G76" s="7"/>
      <c r="H76" s="7"/>
      <c r="I76" s="7"/>
      <c r="J76" s="7"/>
      <c r="K76" s="7"/>
      <c r="L76" s="7"/>
      <c r="M76" s="7"/>
      <c r="N76" s="7"/>
      <c r="O76" s="7"/>
      <c r="P76" s="7"/>
      <c r="Q76" s="7"/>
      <c r="R76" s="7"/>
      <c r="S76" s="7"/>
      <c r="T76" s="7"/>
      <c r="U76" s="7"/>
      <c r="V76" s="7"/>
      <c r="W76" s="7"/>
      <c r="X76" s="7"/>
      <c r="Y76" s="7"/>
      <c r="Z76" s="7"/>
    </row>
    <row r="77" ht="14.25" customHeight="1">
      <c r="A77" s="7"/>
      <c r="B77" s="200"/>
      <c r="C77" s="200"/>
      <c r="D77" s="200"/>
      <c r="E77" s="200"/>
      <c r="F77" s="200"/>
      <c r="G77" s="7"/>
      <c r="H77" s="7"/>
      <c r="I77" s="7"/>
      <c r="J77" s="7"/>
      <c r="K77" s="7"/>
      <c r="L77" s="7"/>
      <c r="M77" s="7"/>
      <c r="N77" s="7"/>
      <c r="O77" s="7"/>
      <c r="P77" s="7"/>
      <c r="Q77" s="7"/>
      <c r="R77" s="7"/>
      <c r="S77" s="7"/>
      <c r="T77" s="7"/>
      <c r="U77" s="7"/>
      <c r="V77" s="7"/>
      <c r="W77" s="7"/>
      <c r="X77" s="7"/>
      <c r="Y77" s="7"/>
      <c r="Z77" s="7"/>
    </row>
    <row r="78" ht="14.25" customHeight="1">
      <c r="A78" s="7"/>
      <c r="B78" s="200"/>
      <c r="C78" s="200"/>
      <c r="D78" s="200"/>
      <c r="E78" s="200"/>
      <c r="F78" s="200"/>
      <c r="G78" s="7"/>
      <c r="H78" s="7"/>
      <c r="I78" s="7"/>
      <c r="J78" s="7"/>
      <c r="K78" s="7"/>
      <c r="L78" s="7"/>
      <c r="M78" s="7"/>
      <c r="N78" s="7"/>
      <c r="O78" s="7"/>
      <c r="P78" s="7"/>
      <c r="Q78" s="7"/>
      <c r="R78" s="7"/>
      <c r="S78" s="7"/>
      <c r="T78" s="7"/>
      <c r="U78" s="7"/>
      <c r="V78" s="7"/>
      <c r="W78" s="7"/>
      <c r="X78" s="7"/>
      <c r="Y78" s="7"/>
      <c r="Z78" s="7"/>
    </row>
    <row r="79" ht="14.25" customHeight="1">
      <c r="A79" s="7"/>
      <c r="B79" s="200"/>
      <c r="C79" s="200"/>
      <c r="D79" s="200"/>
      <c r="E79" s="200"/>
      <c r="F79" s="200"/>
      <c r="G79" s="7"/>
      <c r="H79" s="7"/>
      <c r="I79" s="7"/>
      <c r="J79" s="7"/>
      <c r="K79" s="7"/>
      <c r="L79" s="7"/>
      <c r="M79" s="7"/>
      <c r="N79" s="7"/>
      <c r="O79" s="7"/>
      <c r="P79" s="7"/>
      <c r="Q79" s="7"/>
      <c r="R79" s="7"/>
      <c r="S79" s="7"/>
      <c r="T79" s="7"/>
      <c r="U79" s="7"/>
      <c r="V79" s="7"/>
      <c r="W79" s="7"/>
      <c r="X79" s="7"/>
      <c r="Y79" s="7"/>
      <c r="Z79" s="7"/>
    </row>
    <row r="80" ht="14.25" customHeight="1">
      <c r="A80" s="7"/>
      <c r="B80" s="200"/>
      <c r="C80" s="200"/>
      <c r="D80" s="200"/>
      <c r="E80" s="200"/>
      <c r="F80" s="200"/>
      <c r="G80" s="7"/>
      <c r="H80" s="7"/>
      <c r="I80" s="7"/>
      <c r="J80" s="7"/>
      <c r="K80" s="7"/>
      <c r="L80" s="7"/>
      <c r="M80" s="7"/>
      <c r="N80" s="7"/>
      <c r="O80" s="7"/>
      <c r="P80" s="7"/>
      <c r="Q80" s="7"/>
      <c r="R80" s="7"/>
      <c r="S80" s="7"/>
      <c r="T80" s="7"/>
      <c r="U80" s="7"/>
      <c r="V80" s="7"/>
      <c r="W80" s="7"/>
      <c r="X80" s="7"/>
      <c r="Y80" s="7"/>
      <c r="Z80" s="7"/>
    </row>
    <row r="81" ht="14.25" customHeight="1">
      <c r="A81" s="7"/>
      <c r="B81" s="200"/>
      <c r="C81" s="200"/>
      <c r="D81" s="200"/>
      <c r="E81" s="200"/>
      <c r="F81" s="200"/>
      <c r="G81" s="7"/>
      <c r="H81" s="7"/>
      <c r="I81" s="7"/>
      <c r="J81" s="7"/>
      <c r="K81" s="7"/>
      <c r="L81" s="7"/>
      <c r="M81" s="7"/>
      <c r="N81" s="7"/>
      <c r="O81" s="7"/>
      <c r="P81" s="7"/>
      <c r="Q81" s="7"/>
      <c r="R81" s="7"/>
      <c r="S81" s="7"/>
      <c r="T81" s="7"/>
      <c r="U81" s="7"/>
      <c r="V81" s="7"/>
      <c r="W81" s="7"/>
      <c r="X81" s="7"/>
      <c r="Y81" s="7"/>
      <c r="Z81" s="7"/>
    </row>
    <row r="82" ht="14.25" customHeight="1">
      <c r="A82" s="7"/>
      <c r="B82" s="200"/>
      <c r="C82" s="200"/>
      <c r="D82" s="200"/>
      <c r="E82" s="200"/>
      <c r="F82" s="200"/>
      <c r="G82" s="7"/>
      <c r="H82" s="7"/>
      <c r="I82" s="7"/>
      <c r="J82" s="7"/>
      <c r="K82" s="7"/>
      <c r="L82" s="7"/>
      <c r="M82" s="7"/>
      <c r="N82" s="7"/>
      <c r="O82" s="7"/>
      <c r="P82" s="7"/>
      <c r="Q82" s="7"/>
      <c r="R82" s="7"/>
      <c r="S82" s="7"/>
      <c r="T82" s="7"/>
      <c r="U82" s="7"/>
      <c r="V82" s="7"/>
      <c r="W82" s="7"/>
      <c r="X82" s="7"/>
      <c r="Y82" s="7"/>
      <c r="Z82" s="7"/>
    </row>
    <row r="83" ht="14.25" customHeight="1">
      <c r="A83" s="7"/>
      <c r="B83" s="200"/>
      <c r="C83" s="200"/>
      <c r="D83" s="200"/>
      <c r="E83" s="200"/>
      <c r="F83" s="200"/>
      <c r="G83" s="7"/>
      <c r="H83" s="7"/>
      <c r="I83" s="7"/>
      <c r="J83" s="7"/>
      <c r="K83" s="7"/>
      <c r="L83" s="7"/>
      <c r="M83" s="7"/>
      <c r="N83" s="7"/>
      <c r="O83" s="7"/>
      <c r="P83" s="7"/>
      <c r="Q83" s="7"/>
      <c r="R83" s="7"/>
      <c r="S83" s="7"/>
      <c r="T83" s="7"/>
      <c r="U83" s="7"/>
      <c r="V83" s="7"/>
      <c r="W83" s="7"/>
      <c r="X83" s="7"/>
      <c r="Y83" s="7"/>
      <c r="Z83" s="7"/>
    </row>
    <row r="84" ht="14.25" customHeight="1">
      <c r="A84" s="7"/>
      <c r="B84" s="200"/>
      <c r="C84" s="200"/>
      <c r="D84" s="200"/>
      <c r="E84" s="200"/>
      <c r="F84" s="200"/>
      <c r="G84" s="7"/>
      <c r="H84" s="7"/>
      <c r="I84" s="7"/>
      <c r="J84" s="7"/>
      <c r="K84" s="7"/>
      <c r="L84" s="7"/>
      <c r="M84" s="7"/>
      <c r="N84" s="7"/>
      <c r="O84" s="7"/>
      <c r="P84" s="7"/>
      <c r="Q84" s="7"/>
      <c r="R84" s="7"/>
      <c r="S84" s="7"/>
      <c r="T84" s="7"/>
      <c r="U84" s="7"/>
      <c r="V84" s="7"/>
      <c r="W84" s="7"/>
      <c r="X84" s="7"/>
      <c r="Y84" s="7"/>
      <c r="Z84" s="7"/>
    </row>
    <row r="85" ht="14.25" customHeight="1">
      <c r="A85" s="7"/>
      <c r="B85" s="200"/>
      <c r="C85" s="200"/>
      <c r="D85" s="200"/>
      <c r="E85" s="200"/>
      <c r="F85" s="200"/>
      <c r="G85" s="7"/>
      <c r="H85" s="7"/>
      <c r="I85" s="7"/>
      <c r="J85" s="7"/>
      <c r="K85" s="7"/>
      <c r="L85" s="7"/>
      <c r="M85" s="7"/>
      <c r="N85" s="7"/>
      <c r="O85" s="7"/>
      <c r="P85" s="7"/>
      <c r="Q85" s="7"/>
      <c r="R85" s="7"/>
      <c r="S85" s="7"/>
      <c r="T85" s="7"/>
      <c r="U85" s="7"/>
      <c r="V85" s="7"/>
      <c r="W85" s="7"/>
      <c r="X85" s="7"/>
      <c r="Y85" s="7"/>
      <c r="Z85" s="7"/>
    </row>
    <row r="86" ht="14.25" customHeight="1">
      <c r="A86" s="7"/>
      <c r="B86" s="200"/>
      <c r="C86" s="200"/>
      <c r="D86" s="200"/>
      <c r="E86" s="200"/>
      <c r="F86" s="200"/>
      <c r="G86" s="7"/>
      <c r="H86" s="7"/>
      <c r="I86" s="7"/>
      <c r="J86" s="7"/>
      <c r="K86" s="7"/>
      <c r="L86" s="7"/>
      <c r="M86" s="7"/>
      <c r="N86" s="7"/>
      <c r="O86" s="7"/>
      <c r="P86" s="7"/>
      <c r="Q86" s="7"/>
      <c r="R86" s="7"/>
      <c r="S86" s="7"/>
      <c r="T86" s="7"/>
      <c r="U86" s="7"/>
      <c r="V86" s="7"/>
      <c r="W86" s="7"/>
      <c r="X86" s="7"/>
      <c r="Y86" s="7"/>
      <c r="Z86" s="7"/>
    </row>
    <row r="87" ht="14.25" customHeight="1">
      <c r="A87" s="7"/>
      <c r="B87" s="200"/>
      <c r="C87" s="200"/>
      <c r="D87" s="200"/>
      <c r="E87" s="200"/>
      <c r="F87" s="200"/>
      <c r="G87" s="7"/>
      <c r="H87" s="7"/>
      <c r="I87" s="7"/>
      <c r="J87" s="7"/>
      <c r="K87" s="7"/>
      <c r="L87" s="7"/>
      <c r="M87" s="7"/>
      <c r="N87" s="7"/>
      <c r="O87" s="7"/>
      <c r="P87" s="7"/>
      <c r="Q87" s="7"/>
      <c r="R87" s="7"/>
      <c r="S87" s="7"/>
      <c r="T87" s="7"/>
      <c r="U87" s="7"/>
      <c r="V87" s="7"/>
      <c r="W87" s="7"/>
      <c r="X87" s="7"/>
      <c r="Y87" s="7"/>
      <c r="Z87" s="7"/>
    </row>
    <row r="88" ht="14.25" customHeight="1">
      <c r="A88" s="7"/>
      <c r="B88" s="200"/>
      <c r="C88" s="200"/>
      <c r="D88" s="200"/>
      <c r="E88" s="200"/>
      <c r="F88" s="200"/>
      <c r="G88" s="7"/>
      <c r="H88" s="7"/>
      <c r="I88" s="7"/>
      <c r="J88" s="7"/>
      <c r="K88" s="7"/>
      <c r="L88" s="7"/>
      <c r="M88" s="7"/>
      <c r="N88" s="7"/>
      <c r="O88" s="7"/>
      <c r="P88" s="7"/>
      <c r="Q88" s="7"/>
      <c r="R88" s="7"/>
      <c r="S88" s="7"/>
      <c r="T88" s="7"/>
      <c r="U88" s="7"/>
      <c r="V88" s="7"/>
      <c r="W88" s="7"/>
      <c r="X88" s="7"/>
      <c r="Y88" s="7"/>
      <c r="Z88" s="7"/>
    </row>
    <row r="89" ht="14.25" customHeight="1">
      <c r="A89" s="7"/>
      <c r="B89" s="200"/>
      <c r="C89" s="200"/>
      <c r="D89" s="200"/>
      <c r="E89" s="200"/>
      <c r="F89" s="200"/>
      <c r="G89" s="7"/>
      <c r="H89" s="7"/>
      <c r="I89" s="7"/>
      <c r="J89" s="7"/>
      <c r="K89" s="7"/>
      <c r="L89" s="7"/>
      <c r="M89" s="7"/>
      <c r="N89" s="7"/>
      <c r="O89" s="7"/>
      <c r="P89" s="7"/>
      <c r="Q89" s="7"/>
      <c r="R89" s="7"/>
      <c r="S89" s="7"/>
      <c r="T89" s="7"/>
      <c r="U89" s="7"/>
      <c r="V89" s="7"/>
      <c r="W89" s="7"/>
      <c r="X89" s="7"/>
      <c r="Y89" s="7"/>
      <c r="Z89" s="7"/>
    </row>
    <row r="90" ht="14.25" customHeight="1">
      <c r="A90" s="7"/>
      <c r="B90" s="200"/>
      <c r="C90" s="200"/>
      <c r="D90" s="200"/>
      <c r="E90" s="200"/>
      <c r="F90" s="200"/>
      <c r="G90" s="7"/>
      <c r="H90" s="7"/>
      <c r="I90" s="7"/>
      <c r="J90" s="7"/>
      <c r="K90" s="7"/>
      <c r="L90" s="7"/>
      <c r="M90" s="7"/>
      <c r="N90" s="7"/>
      <c r="O90" s="7"/>
      <c r="P90" s="7"/>
      <c r="Q90" s="7"/>
      <c r="R90" s="7"/>
      <c r="S90" s="7"/>
      <c r="T90" s="7"/>
      <c r="U90" s="7"/>
      <c r="V90" s="7"/>
      <c r="W90" s="7"/>
      <c r="X90" s="7"/>
      <c r="Y90" s="7"/>
      <c r="Z90" s="7"/>
    </row>
    <row r="91" ht="14.25" customHeight="1">
      <c r="A91" s="7"/>
      <c r="B91" s="200"/>
      <c r="C91" s="200"/>
      <c r="D91" s="200"/>
      <c r="E91" s="200"/>
      <c r="F91" s="200"/>
      <c r="G91" s="7"/>
      <c r="H91" s="7"/>
      <c r="I91" s="7"/>
      <c r="J91" s="7"/>
      <c r="K91" s="7"/>
      <c r="L91" s="7"/>
      <c r="M91" s="7"/>
      <c r="N91" s="7"/>
      <c r="O91" s="7"/>
      <c r="P91" s="7"/>
      <c r="Q91" s="7"/>
      <c r="R91" s="7"/>
      <c r="S91" s="7"/>
      <c r="T91" s="7"/>
      <c r="U91" s="7"/>
      <c r="V91" s="7"/>
      <c r="W91" s="7"/>
      <c r="X91" s="7"/>
      <c r="Y91" s="7"/>
      <c r="Z91" s="7"/>
    </row>
    <row r="92" ht="14.25" customHeight="1">
      <c r="A92" s="7"/>
      <c r="B92" s="200"/>
      <c r="C92" s="200"/>
      <c r="D92" s="200"/>
      <c r="E92" s="200"/>
      <c r="F92" s="200"/>
      <c r="G92" s="7"/>
      <c r="H92" s="7"/>
      <c r="I92" s="7"/>
      <c r="J92" s="7"/>
      <c r="K92" s="7"/>
      <c r="L92" s="7"/>
      <c r="M92" s="7"/>
      <c r="N92" s="7"/>
      <c r="O92" s="7"/>
      <c r="P92" s="7"/>
      <c r="Q92" s="7"/>
      <c r="R92" s="7"/>
      <c r="S92" s="7"/>
      <c r="T92" s="7"/>
      <c r="U92" s="7"/>
      <c r="V92" s="7"/>
      <c r="W92" s="7"/>
      <c r="X92" s="7"/>
      <c r="Y92" s="7"/>
      <c r="Z92" s="7"/>
    </row>
    <row r="93" ht="14.25" customHeight="1">
      <c r="A93" s="7"/>
      <c r="B93" s="200"/>
      <c r="C93" s="200"/>
      <c r="D93" s="200"/>
      <c r="E93" s="200"/>
      <c r="F93" s="200"/>
      <c r="G93" s="7"/>
      <c r="H93" s="7"/>
      <c r="I93" s="7"/>
      <c r="J93" s="7"/>
      <c r="K93" s="7"/>
      <c r="L93" s="7"/>
      <c r="M93" s="7"/>
      <c r="N93" s="7"/>
      <c r="O93" s="7"/>
      <c r="P93" s="7"/>
      <c r="Q93" s="7"/>
      <c r="R93" s="7"/>
      <c r="S93" s="7"/>
      <c r="T93" s="7"/>
      <c r="U93" s="7"/>
      <c r="V93" s="7"/>
      <c r="W93" s="7"/>
      <c r="X93" s="7"/>
      <c r="Y93" s="7"/>
      <c r="Z93" s="7"/>
    </row>
    <row r="94" ht="14.25" customHeight="1">
      <c r="A94" s="7"/>
      <c r="B94" s="200"/>
      <c r="C94" s="200"/>
      <c r="D94" s="200"/>
      <c r="E94" s="200"/>
      <c r="F94" s="200"/>
      <c r="G94" s="7"/>
      <c r="H94" s="7"/>
      <c r="I94" s="7"/>
      <c r="J94" s="7"/>
      <c r="K94" s="7"/>
      <c r="L94" s="7"/>
      <c r="M94" s="7"/>
      <c r="N94" s="7"/>
      <c r="O94" s="7"/>
      <c r="P94" s="7"/>
      <c r="Q94" s="7"/>
      <c r="R94" s="7"/>
      <c r="S94" s="7"/>
      <c r="T94" s="7"/>
      <c r="U94" s="7"/>
      <c r="V94" s="7"/>
      <c r="W94" s="7"/>
      <c r="X94" s="7"/>
      <c r="Y94" s="7"/>
      <c r="Z94" s="7"/>
    </row>
    <row r="95" ht="14.25" customHeight="1">
      <c r="A95" s="7"/>
      <c r="B95" s="200"/>
      <c r="C95" s="200"/>
      <c r="D95" s="200"/>
      <c r="E95" s="200"/>
      <c r="F95" s="200"/>
      <c r="G95" s="7"/>
      <c r="H95" s="7"/>
      <c r="I95" s="7"/>
      <c r="J95" s="7"/>
      <c r="K95" s="7"/>
      <c r="L95" s="7"/>
      <c r="M95" s="7"/>
      <c r="N95" s="7"/>
      <c r="O95" s="7"/>
      <c r="P95" s="7"/>
      <c r="Q95" s="7"/>
      <c r="R95" s="7"/>
      <c r="S95" s="7"/>
      <c r="T95" s="7"/>
      <c r="U95" s="7"/>
      <c r="V95" s="7"/>
      <c r="W95" s="7"/>
      <c r="X95" s="7"/>
      <c r="Y95" s="7"/>
      <c r="Z95" s="7"/>
    </row>
    <row r="96" ht="14.25" customHeight="1">
      <c r="A96" s="7"/>
      <c r="B96" s="200"/>
      <c r="C96" s="200"/>
      <c r="D96" s="200"/>
      <c r="E96" s="200"/>
      <c r="F96" s="200"/>
      <c r="G96" s="7"/>
      <c r="H96" s="7"/>
      <c r="I96" s="7"/>
      <c r="J96" s="7"/>
      <c r="K96" s="7"/>
      <c r="L96" s="7"/>
      <c r="M96" s="7"/>
      <c r="N96" s="7"/>
      <c r="O96" s="7"/>
      <c r="P96" s="7"/>
      <c r="Q96" s="7"/>
      <c r="R96" s="7"/>
      <c r="S96" s="7"/>
      <c r="T96" s="7"/>
      <c r="U96" s="7"/>
      <c r="V96" s="7"/>
      <c r="W96" s="7"/>
      <c r="X96" s="7"/>
      <c r="Y96" s="7"/>
      <c r="Z96" s="7"/>
    </row>
    <row r="97" ht="14.25" customHeight="1">
      <c r="A97" s="7"/>
      <c r="B97" s="200"/>
      <c r="C97" s="200"/>
      <c r="D97" s="200"/>
      <c r="E97" s="200"/>
      <c r="F97" s="200"/>
      <c r="G97" s="7"/>
      <c r="H97" s="7"/>
      <c r="I97" s="7"/>
      <c r="J97" s="7"/>
      <c r="K97" s="7"/>
      <c r="L97" s="7"/>
      <c r="M97" s="7"/>
      <c r="N97" s="7"/>
      <c r="O97" s="7"/>
      <c r="P97" s="7"/>
      <c r="Q97" s="7"/>
      <c r="R97" s="7"/>
      <c r="S97" s="7"/>
      <c r="T97" s="7"/>
      <c r="U97" s="7"/>
      <c r="V97" s="7"/>
      <c r="W97" s="7"/>
      <c r="X97" s="7"/>
      <c r="Y97" s="7"/>
      <c r="Z97" s="7"/>
    </row>
    <row r="98" ht="14.25" customHeight="1">
      <c r="A98" s="7"/>
      <c r="B98" s="200"/>
      <c r="C98" s="200"/>
      <c r="D98" s="200"/>
      <c r="E98" s="200"/>
      <c r="F98" s="200"/>
      <c r="G98" s="7"/>
      <c r="H98" s="7"/>
      <c r="I98" s="7"/>
      <c r="J98" s="7"/>
      <c r="K98" s="7"/>
      <c r="L98" s="7"/>
      <c r="M98" s="7"/>
      <c r="N98" s="7"/>
      <c r="O98" s="7"/>
      <c r="P98" s="7"/>
      <c r="Q98" s="7"/>
      <c r="R98" s="7"/>
      <c r="S98" s="7"/>
      <c r="T98" s="7"/>
      <c r="U98" s="7"/>
      <c r="V98" s="7"/>
      <c r="W98" s="7"/>
      <c r="X98" s="7"/>
      <c r="Y98" s="7"/>
      <c r="Z98" s="7"/>
    </row>
    <row r="99" ht="14.25" customHeight="1">
      <c r="A99" s="7"/>
      <c r="B99" s="200"/>
      <c r="C99" s="200"/>
      <c r="D99" s="200"/>
      <c r="E99" s="200"/>
      <c r="F99" s="200"/>
      <c r="G99" s="7"/>
      <c r="H99" s="7"/>
      <c r="I99" s="7"/>
      <c r="J99" s="7"/>
      <c r="K99" s="7"/>
      <c r="L99" s="7"/>
      <c r="M99" s="7"/>
      <c r="N99" s="7"/>
      <c r="O99" s="7"/>
      <c r="P99" s="7"/>
      <c r="Q99" s="7"/>
      <c r="R99" s="7"/>
      <c r="S99" s="7"/>
      <c r="T99" s="7"/>
      <c r="U99" s="7"/>
      <c r="V99" s="7"/>
      <c r="W99" s="7"/>
      <c r="X99" s="7"/>
      <c r="Y99" s="7"/>
      <c r="Z99" s="7"/>
    </row>
    <row r="100" ht="14.25" customHeight="1">
      <c r="A100" s="7"/>
      <c r="B100" s="200"/>
      <c r="C100" s="200"/>
      <c r="D100" s="200"/>
      <c r="E100" s="200"/>
      <c r="F100" s="200"/>
      <c r="G100" s="7"/>
      <c r="H100" s="7"/>
      <c r="I100" s="7"/>
      <c r="J100" s="7"/>
      <c r="K100" s="7"/>
      <c r="L100" s="7"/>
      <c r="M100" s="7"/>
      <c r="N100" s="7"/>
      <c r="O100" s="7"/>
      <c r="P100" s="7"/>
      <c r="Q100" s="7"/>
      <c r="R100" s="7"/>
      <c r="S100" s="7"/>
      <c r="T100" s="7"/>
      <c r="U100" s="7"/>
      <c r="V100" s="7"/>
      <c r="W100" s="7"/>
      <c r="X100" s="7"/>
      <c r="Y100" s="7"/>
      <c r="Z100" s="7"/>
    </row>
    <row r="101" ht="14.25" customHeight="1">
      <c r="A101" s="7"/>
      <c r="B101" s="200"/>
      <c r="C101" s="200"/>
      <c r="D101" s="200"/>
      <c r="E101" s="200"/>
      <c r="F101" s="200"/>
      <c r="G101" s="7"/>
      <c r="H101" s="7"/>
      <c r="I101" s="7"/>
      <c r="J101" s="7"/>
      <c r="K101" s="7"/>
      <c r="L101" s="7"/>
      <c r="M101" s="7"/>
      <c r="N101" s="7"/>
      <c r="O101" s="7"/>
      <c r="P101" s="7"/>
      <c r="Q101" s="7"/>
      <c r="R101" s="7"/>
      <c r="S101" s="7"/>
      <c r="T101" s="7"/>
      <c r="U101" s="7"/>
      <c r="V101" s="7"/>
      <c r="W101" s="7"/>
      <c r="X101" s="7"/>
      <c r="Y101" s="7"/>
      <c r="Z101" s="7"/>
    </row>
    <row r="102" ht="14.25" customHeight="1">
      <c r="A102" s="7"/>
      <c r="B102" s="200"/>
      <c r="C102" s="200"/>
      <c r="D102" s="200"/>
      <c r="E102" s="200"/>
      <c r="F102" s="200"/>
      <c r="G102" s="7"/>
      <c r="H102" s="7"/>
      <c r="I102" s="7"/>
      <c r="J102" s="7"/>
      <c r="K102" s="7"/>
      <c r="L102" s="7"/>
      <c r="M102" s="7"/>
      <c r="N102" s="7"/>
      <c r="O102" s="7"/>
      <c r="P102" s="7"/>
      <c r="Q102" s="7"/>
      <c r="R102" s="7"/>
      <c r="S102" s="7"/>
      <c r="T102" s="7"/>
      <c r="U102" s="7"/>
      <c r="V102" s="7"/>
      <c r="W102" s="7"/>
      <c r="X102" s="7"/>
      <c r="Y102" s="7"/>
      <c r="Z102" s="7"/>
    </row>
    <row r="103" ht="14.25" customHeight="1">
      <c r="A103" s="7"/>
      <c r="B103" s="200"/>
      <c r="C103" s="200"/>
      <c r="D103" s="200"/>
      <c r="E103" s="200"/>
      <c r="F103" s="200"/>
      <c r="G103" s="7"/>
      <c r="H103" s="7"/>
      <c r="I103" s="7"/>
      <c r="J103" s="7"/>
      <c r="K103" s="7"/>
      <c r="L103" s="7"/>
      <c r="M103" s="7"/>
      <c r="N103" s="7"/>
      <c r="O103" s="7"/>
      <c r="P103" s="7"/>
      <c r="Q103" s="7"/>
      <c r="R103" s="7"/>
      <c r="S103" s="7"/>
      <c r="T103" s="7"/>
      <c r="U103" s="7"/>
      <c r="V103" s="7"/>
      <c r="W103" s="7"/>
      <c r="X103" s="7"/>
      <c r="Y103" s="7"/>
      <c r="Z103" s="7"/>
    </row>
    <row r="104" ht="14.25" customHeight="1">
      <c r="A104" s="7"/>
      <c r="B104" s="200"/>
      <c r="C104" s="200"/>
      <c r="D104" s="200"/>
      <c r="E104" s="200"/>
      <c r="F104" s="200"/>
      <c r="G104" s="7"/>
      <c r="H104" s="7"/>
      <c r="I104" s="7"/>
      <c r="J104" s="7"/>
      <c r="K104" s="7"/>
      <c r="L104" s="7"/>
      <c r="M104" s="7"/>
      <c r="N104" s="7"/>
      <c r="O104" s="7"/>
      <c r="P104" s="7"/>
      <c r="Q104" s="7"/>
      <c r="R104" s="7"/>
      <c r="S104" s="7"/>
      <c r="T104" s="7"/>
      <c r="U104" s="7"/>
      <c r="V104" s="7"/>
      <c r="W104" s="7"/>
      <c r="X104" s="7"/>
      <c r="Y104" s="7"/>
      <c r="Z104" s="7"/>
    </row>
    <row r="105" ht="14.25" customHeight="1">
      <c r="A105" s="7"/>
      <c r="B105" s="200"/>
      <c r="C105" s="200"/>
      <c r="D105" s="200"/>
      <c r="E105" s="200"/>
      <c r="F105" s="200"/>
      <c r="G105" s="7"/>
      <c r="H105" s="7"/>
      <c r="I105" s="7"/>
      <c r="J105" s="7"/>
      <c r="K105" s="7"/>
      <c r="L105" s="7"/>
      <c r="M105" s="7"/>
      <c r="N105" s="7"/>
      <c r="O105" s="7"/>
      <c r="P105" s="7"/>
      <c r="Q105" s="7"/>
      <c r="R105" s="7"/>
      <c r="S105" s="7"/>
      <c r="T105" s="7"/>
      <c r="U105" s="7"/>
      <c r="V105" s="7"/>
      <c r="W105" s="7"/>
      <c r="X105" s="7"/>
      <c r="Y105" s="7"/>
      <c r="Z105" s="7"/>
    </row>
    <row r="106" ht="14.25" customHeight="1">
      <c r="A106" s="7"/>
      <c r="B106" s="200"/>
      <c r="C106" s="200"/>
      <c r="D106" s="200"/>
      <c r="E106" s="200"/>
      <c r="F106" s="200"/>
      <c r="G106" s="7"/>
      <c r="H106" s="7"/>
      <c r="I106" s="7"/>
      <c r="J106" s="7"/>
      <c r="K106" s="7"/>
      <c r="L106" s="7"/>
      <c r="M106" s="7"/>
      <c r="N106" s="7"/>
      <c r="O106" s="7"/>
      <c r="P106" s="7"/>
      <c r="Q106" s="7"/>
      <c r="R106" s="7"/>
      <c r="S106" s="7"/>
      <c r="T106" s="7"/>
      <c r="U106" s="7"/>
      <c r="V106" s="7"/>
      <c r="W106" s="7"/>
      <c r="X106" s="7"/>
      <c r="Y106" s="7"/>
      <c r="Z106" s="7"/>
    </row>
    <row r="107" ht="14.25" customHeight="1">
      <c r="A107" s="7"/>
      <c r="B107" s="200"/>
      <c r="C107" s="200"/>
      <c r="D107" s="200"/>
      <c r="E107" s="200"/>
      <c r="F107" s="200"/>
      <c r="G107" s="7"/>
      <c r="H107" s="7"/>
      <c r="I107" s="7"/>
      <c r="J107" s="7"/>
      <c r="K107" s="7"/>
      <c r="L107" s="7"/>
      <c r="M107" s="7"/>
      <c r="N107" s="7"/>
      <c r="O107" s="7"/>
      <c r="P107" s="7"/>
      <c r="Q107" s="7"/>
      <c r="R107" s="7"/>
      <c r="S107" s="7"/>
      <c r="T107" s="7"/>
      <c r="U107" s="7"/>
      <c r="V107" s="7"/>
      <c r="W107" s="7"/>
      <c r="X107" s="7"/>
      <c r="Y107" s="7"/>
      <c r="Z107" s="7"/>
    </row>
    <row r="108" ht="14.25" customHeight="1">
      <c r="A108" s="7"/>
      <c r="B108" s="200"/>
      <c r="C108" s="200"/>
      <c r="D108" s="200"/>
      <c r="E108" s="200"/>
      <c r="F108" s="200"/>
      <c r="G108" s="7"/>
      <c r="H108" s="7"/>
      <c r="I108" s="7"/>
      <c r="J108" s="7"/>
      <c r="K108" s="7"/>
      <c r="L108" s="7"/>
      <c r="M108" s="7"/>
      <c r="N108" s="7"/>
      <c r="O108" s="7"/>
      <c r="P108" s="7"/>
      <c r="Q108" s="7"/>
      <c r="R108" s="7"/>
      <c r="S108" s="7"/>
      <c r="T108" s="7"/>
      <c r="U108" s="7"/>
      <c r="V108" s="7"/>
      <c r="W108" s="7"/>
      <c r="X108" s="7"/>
      <c r="Y108" s="7"/>
      <c r="Z108" s="7"/>
    </row>
    <row r="109" ht="14.25" customHeight="1">
      <c r="A109" s="7"/>
      <c r="B109" s="200"/>
      <c r="C109" s="200"/>
      <c r="D109" s="200"/>
      <c r="E109" s="200"/>
      <c r="F109" s="200"/>
      <c r="G109" s="7"/>
      <c r="H109" s="7"/>
      <c r="I109" s="7"/>
      <c r="J109" s="7"/>
      <c r="K109" s="7"/>
      <c r="L109" s="7"/>
      <c r="M109" s="7"/>
      <c r="N109" s="7"/>
      <c r="O109" s="7"/>
      <c r="P109" s="7"/>
      <c r="Q109" s="7"/>
      <c r="R109" s="7"/>
      <c r="S109" s="7"/>
      <c r="T109" s="7"/>
      <c r="U109" s="7"/>
      <c r="V109" s="7"/>
      <c r="W109" s="7"/>
      <c r="X109" s="7"/>
      <c r="Y109" s="7"/>
      <c r="Z109" s="7"/>
    </row>
    <row r="110" ht="14.25" customHeight="1">
      <c r="A110" s="7"/>
      <c r="B110" s="200"/>
      <c r="C110" s="200"/>
      <c r="D110" s="200"/>
      <c r="E110" s="200"/>
      <c r="F110" s="200"/>
      <c r="G110" s="7"/>
      <c r="H110" s="7"/>
      <c r="I110" s="7"/>
      <c r="J110" s="7"/>
      <c r="K110" s="7"/>
      <c r="L110" s="7"/>
      <c r="M110" s="7"/>
      <c r="N110" s="7"/>
      <c r="O110" s="7"/>
      <c r="P110" s="7"/>
      <c r="Q110" s="7"/>
      <c r="R110" s="7"/>
      <c r="S110" s="7"/>
      <c r="T110" s="7"/>
      <c r="U110" s="7"/>
      <c r="V110" s="7"/>
      <c r="W110" s="7"/>
      <c r="X110" s="7"/>
      <c r="Y110" s="7"/>
      <c r="Z110" s="7"/>
    </row>
    <row r="111" ht="14.25" customHeight="1">
      <c r="A111" s="7"/>
      <c r="B111" s="200"/>
      <c r="C111" s="200"/>
      <c r="D111" s="200"/>
      <c r="E111" s="200"/>
      <c r="F111" s="200"/>
      <c r="G111" s="7"/>
      <c r="H111" s="7"/>
      <c r="I111" s="7"/>
      <c r="J111" s="7"/>
      <c r="K111" s="7"/>
      <c r="L111" s="7"/>
      <c r="M111" s="7"/>
      <c r="N111" s="7"/>
      <c r="O111" s="7"/>
      <c r="P111" s="7"/>
      <c r="Q111" s="7"/>
      <c r="R111" s="7"/>
      <c r="S111" s="7"/>
      <c r="T111" s="7"/>
      <c r="U111" s="7"/>
      <c r="V111" s="7"/>
      <c r="W111" s="7"/>
      <c r="X111" s="7"/>
      <c r="Y111" s="7"/>
      <c r="Z111" s="7"/>
    </row>
    <row r="112" ht="14.25" customHeight="1">
      <c r="A112" s="7"/>
      <c r="B112" s="200"/>
      <c r="C112" s="200"/>
      <c r="D112" s="200"/>
      <c r="E112" s="200"/>
      <c r="F112" s="200"/>
      <c r="G112" s="7"/>
      <c r="H112" s="7"/>
      <c r="I112" s="7"/>
      <c r="J112" s="7"/>
      <c r="K112" s="7"/>
      <c r="L112" s="7"/>
      <c r="M112" s="7"/>
      <c r="N112" s="7"/>
      <c r="O112" s="7"/>
      <c r="P112" s="7"/>
      <c r="Q112" s="7"/>
      <c r="R112" s="7"/>
      <c r="S112" s="7"/>
      <c r="T112" s="7"/>
      <c r="U112" s="7"/>
      <c r="V112" s="7"/>
      <c r="W112" s="7"/>
      <c r="X112" s="7"/>
      <c r="Y112" s="7"/>
      <c r="Z112" s="7"/>
    </row>
    <row r="113" ht="14.25" customHeight="1">
      <c r="A113" s="7"/>
      <c r="B113" s="200"/>
      <c r="C113" s="200"/>
      <c r="D113" s="200"/>
      <c r="E113" s="200"/>
      <c r="F113" s="200"/>
      <c r="G113" s="7"/>
      <c r="H113" s="7"/>
      <c r="I113" s="7"/>
      <c r="J113" s="7"/>
      <c r="K113" s="7"/>
      <c r="L113" s="7"/>
      <c r="M113" s="7"/>
      <c r="N113" s="7"/>
      <c r="O113" s="7"/>
      <c r="P113" s="7"/>
      <c r="Q113" s="7"/>
      <c r="R113" s="7"/>
      <c r="S113" s="7"/>
      <c r="T113" s="7"/>
      <c r="U113" s="7"/>
      <c r="V113" s="7"/>
      <c r="W113" s="7"/>
      <c r="X113" s="7"/>
      <c r="Y113" s="7"/>
      <c r="Z113" s="7"/>
    </row>
    <row r="114" ht="14.25" customHeight="1">
      <c r="A114" s="7"/>
      <c r="B114" s="200"/>
      <c r="C114" s="200"/>
      <c r="D114" s="200"/>
      <c r="E114" s="200"/>
      <c r="F114" s="200"/>
      <c r="G114" s="7"/>
      <c r="H114" s="7"/>
      <c r="I114" s="7"/>
      <c r="J114" s="7"/>
      <c r="K114" s="7"/>
      <c r="L114" s="7"/>
      <c r="M114" s="7"/>
      <c r="N114" s="7"/>
      <c r="O114" s="7"/>
      <c r="P114" s="7"/>
      <c r="Q114" s="7"/>
      <c r="R114" s="7"/>
      <c r="S114" s="7"/>
      <c r="T114" s="7"/>
      <c r="U114" s="7"/>
      <c r="V114" s="7"/>
      <c r="W114" s="7"/>
      <c r="X114" s="7"/>
      <c r="Y114" s="7"/>
      <c r="Z114" s="7"/>
    </row>
    <row r="115" ht="14.25" customHeight="1">
      <c r="A115" s="7"/>
      <c r="B115" s="200"/>
      <c r="C115" s="200"/>
      <c r="D115" s="200"/>
      <c r="E115" s="200"/>
      <c r="F115" s="200"/>
      <c r="G115" s="7"/>
      <c r="H115" s="7"/>
      <c r="I115" s="7"/>
      <c r="J115" s="7"/>
      <c r="K115" s="7"/>
      <c r="L115" s="7"/>
      <c r="M115" s="7"/>
      <c r="N115" s="7"/>
      <c r="O115" s="7"/>
      <c r="P115" s="7"/>
      <c r="Q115" s="7"/>
      <c r="R115" s="7"/>
      <c r="S115" s="7"/>
      <c r="T115" s="7"/>
      <c r="U115" s="7"/>
      <c r="V115" s="7"/>
      <c r="W115" s="7"/>
      <c r="X115" s="7"/>
      <c r="Y115" s="7"/>
      <c r="Z115" s="7"/>
    </row>
    <row r="116" ht="14.25" customHeight="1">
      <c r="A116" s="7"/>
      <c r="B116" s="200"/>
      <c r="C116" s="200"/>
      <c r="D116" s="200"/>
      <c r="E116" s="200"/>
      <c r="F116" s="200"/>
      <c r="G116" s="7"/>
      <c r="H116" s="7"/>
      <c r="I116" s="7"/>
      <c r="J116" s="7"/>
      <c r="K116" s="7"/>
      <c r="L116" s="7"/>
      <c r="M116" s="7"/>
      <c r="N116" s="7"/>
      <c r="O116" s="7"/>
      <c r="P116" s="7"/>
      <c r="Q116" s="7"/>
      <c r="R116" s="7"/>
      <c r="S116" s="7"/>
      <c r="T116" s="7"/>
      <c r="U116" s="7"/>
      <c r="V116" s="7"/>
      <c r="W116" s="7"/>
      <c r="X116" s="7"/>
      <c r="Y116" s="7"/>
      <c r="Z116" s="7"/>
    </row>
    <row r="117" ht="14.25" customHeight="1">
      <c r="A117" s="7"/>
      <c r="B117" s="200"/>
      <c r="C117" s="200"/>
      <c r="D117" s="200"/>
      <c r="E117" s="200"/>
      <c r="F117" s="200"/>
      <c r="G117" s="7"/>
      <c r="H117" s="7"/>
      <c r="I117" s="7"/>
      <c r="J117" s="7"/>
      <c r="K117" s="7"/>
      <c r="L117" s="7"/>
      <c r="M117" s="7"/>
      <c r="N117" s="7"/>
      <c r="O117" s="7"/>
      <c r="P117" s="7"/>
      <c r="Q117" s="7"/>
      <c r="R117" s="7"/>
      <c r="S117" s="7"/>
      <c r="T117" s="7"/>
      <c r="U117" s="7"/>
      <c r="V117" s="7"/>
      <c r="W117" s="7"/>
      <c r="X117" s="7"/>
      <c r="Y117" s="7"/>
      <c r="Z117" s="7"/>
    </row>
    <row r="118" ht="14.25" customHeight="1">
      <c r="A118" s="7"/>
      <c r="B118" s="200"/>
      <c r="C118" s="200"/>
      <c r="D118" s="200"/>
      <c r="E118" s="200"/>
      <c r="F118" s="200"/>
      <c r="G118" s="7"/>
      <c r="H118" s="7"/>
      <c r="I118" s="7"/>
      <c r="J118" s="7"/>
      <c r="K118" s="7"/>
      <c r="L118" s="7"/>
      <c r="M118" s="7"/>
      <c r="N118" s="7"/>
      <c r="O118" s="7"/>
      <c r="P118" s="7"/>
      <c r="Q118" s="7"/>
      <c r="R118" s="7"/>
      <c r="S118" s="7"/>
      <c r="T118" s="7"/>
      <c r="U118" s="7"/>
      <c r="V118" s="7"/>
      <c r="W118" s="7"/>
      <c r="X118" s="7"/>
      <c r="Y118" s="7"/>
      <c r="Z118" s="7"/>
    </row>
    <row r="119" ht="14.25" customHeight="1">
      <c r="A119" s="7"/>
      <c r="B119" s="200"/>
      <c r="C119" s="200"/>
      <c r="D119" s="200"/>
      <c r="E119" s="200"/>
      <c r="F119" s="200"/>
      <c r="G119" s="7"/>
      <c r="H119" s="7"/>
      <c r="I119" s="7"/>
      <c r="J119" s="7"/>
      <c r="K119" s="7"/>
      <c r="L119" s="7"/>
      <c r="M119" s="7"/>
      <c r="N119" s="7"/>
      <c r="O119" s="7"/>
      <c r="P119" s="7"/>
      <c r="Q119" s="7"/>
      <c r="R119" s="7"/>
      <c r="S119" s="7"/>
      <c r="T119" s="7"/>
      <c r="U119" s="7"/>
      <c r="V119" s="7"/>
      <c r="W119" s="7"/>
      <c r="X119" s="7"/>
      <c r="Y119" s="7"/>
      <c r="Z119" s="7"/>
    </row>
    <row r="120" ht="14.25" customHeight="1">
      <c r="A120" s="7"/>
      <c r="B120" s="200"/>
      <c r="C120" s="200"/>
      <c r="D120" s="200"/>
      <c r="E120" s="200"/>
      <c r="F120" s="200"/>
      <c r="G120" s="7"/>
      <c r="H120" s="7"/>
      <c r="I120" s="7"/>
      <c r="J120" s="7"/>
      <c r="K120" s="7"/>
      <c r="L120" s="7"/>
      <c r="M120" s="7"/>
      <c r="N120" s="7"/>
      <c r="O120" s="7"/>
      <c r="P120" s="7"/>
      <c r="Q120" s="7"/>
      <c r="R120" s="7"/>
      <c r="S120" s="7"/>
      <c r="T120" s="7"/>
      <c r="U120" s="7"/>
      <c r="V120" s="7"/>
      <c r="W120" s="7"/>
      <c r="X120" s="7"/>
      <c r="Y120" s="7"/>
      <c r="Z120" s="7"/>
    </row>
    <row r="121" ht="14.25" customHeight="1">
      <c r="A121" s="7"/>
      <c r="B121" s="200"/>
      <c r="C121" s="200"/>
      <c r="D121" s="200"/>
      <c r="E121" s="200"/>
      <c r="F121" s="200"/>
      <c r="G121" s="7"/>
      <c r="H121" s="7"/>
      <c r="I121" s="7"/>
      <c r="J121" s="7"/>
      <c r="K121" s="7"/>
      <c r="L121" s="7"/>
      <c r="M121" s="7"/>
      <c r="N121" s="7"/>
      <c r="O121" s="7"/>
      <c r="P121" s="7"/>
      <c r="Q121" s="7"/>
      <c r="R121" s="7"/>
      <c r="S121" s="7"/>
      <c r="T121" s="7"/>
      <c r="U121" s="7"/>
      <c r="V121" s="7"/>
      <c r="W121" s="7"/>
      <c r="X121" s="7"/>
      <c r="Y121" s="7"/>
      <c r="Z121" s="7"/>
    </row>
    <row r="122" ht="14.25" customHeight="1">
      <c r="A122" s="7"/>
      <c r="B122" s="200"/>
      <c r="C122" s="200"/>
      <c r="D122" s="200"/>
      <c r="E122" s="200"/>
      <c r="F122" s="200"/>
      <c r="G122" s="7"/>
      <c r="H122" s="7"/>
      <c r="I122" s="7"/>
      <c r="J122" s="7"/>
      <c r="K122" s="7"/>
      <c r="L122" s="7"/>
      <c r="M122" s="7"/>
      <c r="N122" s="7"/>
      <c r="O122" s="7"/>
      <c r="P122" s="7"/>
      <c r="Q122" s="7"/>
      <c r="R122" s="7"/>
      <c r="S122" s="7"/>
      <c r="T122" s="7"/>
      <c r="U122" s="7"/>
      <c r="V122" s="7"/>
      <c r="W122" s="7"/>
      <c r="X122" s="7"/>
      <c r="Y122" s="7"/>
      <c r="Z122" s="7"/>
    </row>
    <row r="123" ht="14.25" customHeight="1">
      <c r="A123" s="7"/>
      <c r="B123" s="200"/>
      <c r="C123" s="200"/>
      <c r="D123" s="200"/>
      <c r="E123" s="200"/>
      <c r="F123" s="200"/>
      <c r="G123" s="7"/>
      <c r="H123" s="7"/>
      <c r="I123" s="7"/>
      <c r="J123" s="7"/>
      <c r="K123" s="7"/>
      <c r="L123" s="7"/>
      <c r="M123" s="7"/>
      <c r="N123" s="7"/>
      <c r="O123" s="7"/>
      <c r="P123" s="7"/>
      <c r="Q123" s="7"/>
      <c r="R123" s="7"/>
      <c r="S123" s="7"/>
      <c r="T123" s="7"/>
      <c r="U123" s="7"/>
      <c r="V123" s="7"/>
      <c r="W123" s="7"/>
      <c r="X123" s="7"/>
      <c r="Y123" s="7"/>
      <c r="Z123" s="7"/>
    </row>
    <row r="124" ht="14.25" customHeight="1">
      <c r="A124" s="7"/>
      <c r="B124" s="200"/>
      <c r="C124" s="200"/>
      <c r="D124" s="200"/>
      <c r="E124" s="200"/>
      <c r="F124" s="200"/>
      <c r="G124" s="7"/>
      <c r="H124" s="7"/>
      <c r="I124" s="7"/>
      <c r="J124" s="7"/>
      <c r="K124" s="7"/>
      <c r="L124" s="7"/>
      <c r="M124" s="7"/>
      <c r="N124" s="7"/>
      <c r="O124" s="7"/>
      <c r="P124" s="7"/>
      <c r="Q124" s="7"/>
      <c r="R124" s="7"/>
      <c r="S124" s="7"/>
      <c r="T124" s="7"/>
      <c r="U124" s="7"/>
      <c r="V124" s="7"/>
      <c r="W124" s="7"/>
      <c r="X124" s="7"/>
      <c r="Y124" s="7"/>
      <c r="Z124" s="7"/>
    </row>
    <row r="125" ht="14.25" customHeight="1">
      <c r="A125" s="7"/>
      <c r="B125" s="200"/>
      <c r="C125" s="200"/>
      <c r="D125" s="200"/>
      <c r="E125" s="200"/>
      <c r="F125" s="200"/>
      <c r="G125" s="7"/>
      <c r="H125" s="7"/>
      <c r="I125" s="7"/>
      <c r="J125" s="7"/>
      <c r="K125" s="7"/>
      <c r="L125" s="7"/>
      <c r="M125" s="7"/>
      <c r="N125" s="7"/>
      <c r="O125" s="7"/>
      <c r="P125" s="7"/>
      <c r="Q125" s="7"/>
      <c r="R125" s="7"/>
      <c r="S125" s="7"/>
      <c r="T125" s="7"/>
      <c r="U125" s="7"/>
      <c r="V125" s="7"/>
      <c r="W125" s="7"/>
      <c r="X125" s="7"/>
      <c r="Y125" s="7"/>
      <c r="Z125" s="7"/>
    </row>
    <row r="126" ht="14.25" customHeight="1">
      <c r="A126" s="7"/>
      <c r="B126" s="200"/>
      <c r="C126" s="200"/>
      <c r="D126" s="200"/>
      <c r="E126" s="200"/>
      <c r="F126" s="200"/>
      <c r="G126" s="7"/>
      <c r="H126" s="7"/>
      <c r="I126" s="7"/>
      <c r="J126" s="7"/>
      <c r="K126" s="7"/>
      <c r="L126" s="7"/>
      <c r="M126" s="7"/>
      <c r="N126" s="7"/>
      <c r="O126" s="7"/>
      <c r="P126" s="7"/>
      <c r="Q126" s="7"/>
      <c r="R126" s="7"/>
      <c r="S126" s="7"/>
      <c r="T126" s="7"/>
      <c r="U126" s="7"/>
      <c r="V126" s="7"/>
      <c r="W126" s="7"/>
      <c r="X126" s="7"/>
      <c r="Y126" s="7"/>
      <c r="Z126" s="7"/>
    </row>
    <row r="127" ht="14.25" customHeight="1">
      <c r="A127" s="7"/>
      <c r="B127" s="200"/>
      <c r="C127" s="200"/>
      <c r="D127" s="200"/>
      <c r="E127" s="200"/>
      <c r="F127" s="200"/>
      <c r="G127" s="7"/>
      <c r="H127" s="7"/>
      <c r="I127" s="7"/>
      <c r="J127" s="7"/>
      <c r="K127" s="7"/>
      <c r="L127" s="7"/>
      <c r="M127" s="7"/>
      <c r="N127" s="7"/>
      <c r="O127" s="7"/>
      <c r="P127" s="7"/>
      <c r="Q127" s="7"/>
      <c r="R127" s="7"/>
      <c r="S127" s="7"/>
      <c r="T127" s="7"/>
      <c r="U127" s="7"/>
      <c r="V127" s="7"/>
      <c r="W127" s="7"/>
      <c r="X127" s="7"/>
      <c r="Y127" s="7"/>
      <c r="Z127" s="7"/>
    </row>
    <row r="128" ht="14.25" customHeight="1">
      <c r="A128" s="7"/>
      <c r="B128" s="200"/>
      <c r="C128" s="200"/>
      <c r="D128" s="200"/>
      <c r="E128" s="200"/>
      <c r="F128" s="200"/>
      <c r="G128" s="7"/>
      <c r="H128" s="7"/>
      <c r="I128" s="7"/>
      <c r="J128" s="7"/>
      <c r="K128" s="7"/>
      <c r="L128" s="7"/>
      <c r="M128" s="7"/>
      <c r="N128" s="7"/>
      <c r="O128" s="7"/>
      <c r="P128" s="7"/>
      <c r="Q128" s="7"/>
      <c r="R128" s="7"/>
      <c r="S128" s="7"/>
      <c r="T128" s="7"/>
      <c r="U128" s="7"/>
      <c r="V128" s="7"/>
      <c r="W128" s="7"/>
      <c r="X128" s="7"/>
      <c r="Y128" s="7"/>
      <c r="Z128" s="7"/>
    </row>
    <row r="129" ht="14.25" customHeight="1">
      <c r="A129" s="7"/>
      <c r="B129" s="200"/>
      <c r="C129" s="200"/>
      <c r="D129" s="200"/>
      <c r="E129" s="200"/>
      <c r="F129" s="200"/>
      <c r="G129" s="7"/>
      <c r="H129" s="7"/>
      <c r="I129" s="7"/>
      <c r="J129" s="7"/>
      <c r="K129" s="7"/>
      <c r="L129" s="7"/>
      <c r="M129" s="7"/>
      <c r="N129" s="7"/>
      <c r="O129" s="7"/>
      <c r="P129" s="7"/>
      <c r="Q129" s="7"/>
      <c r="R129" s="7"/>
      <c r="S129" s="7"/>
      <c r="T129" s="7"/>
      <c r="U129" s="7"/>
      <c r="V129" s="7"/>
      <c r="W129" s="7"/>
      <c r="X129" s="7"/>
      <c r="Y129" s="7"/>
      <c r="Z129" s="7"/>
    </row>
    <row r="130" ht="14.25" customHeight="1">
      <c r="A130" s="7"/>
      <c r="B130" s="200"/>
      <c r="C130" s="200"/>
      <c r="D130" s="200"/>
      <c r="E130" s="200"/>
      <c r="F130" s="200"/>
      <c r="G130" s="7"/>
      <c r="H130" s="7"/>
      <c r="I130" s="7"/>
      <c r="J130" s="7"/>
      <c r="K130" s="7"/>
      <c r="L130" s="7"/>
      <c r="M130" s="7"/>
      <c r="N130" s="7"/>
      <c r="O130" s="7"/>
      <c r="P130" s="7"/>
      <c r="Q130" s="7"/>
      <c r="R130" s="7"/>
      <c r="S130" s="7"/>
      <c r="T130" s="7"/>
      <c r="U130" s="7"/>
      <c r="V130" s="7"/>
      <c r="W130" s="7"/>
      <c r="X130" s="7"/>
      <c r="Y130" s="7"/>
      <c r="Z130" s="7"/>
    </row>
    <row r="131" ht="14.25" customHeight="1">
      <c r="A131" s="7"/>
      <c r="B131" s="200"/>
      <c r="C131" s="200"/>
      <c r="D131" s="200"/>
      <c r="E131" s="200"/>
      <c r="F131" s="200"/>
      <c r="G131" s="7"/>
      <c r="H131" s="7"/>
      <c r="I131" s="7"/>
      <c r="J131" s="7"/>
      <c r="K131" s="7"/>
      <c r="L131" s="7"/>
      <c r="M131" s="7"/>
      <c r="N131" s="7"/>
      <c r="O131" s="7"/>
      <c r="P131" s="7"/>
      <c r="Q131" s="7"/>
      <c r="R131" s="7"/>
      <c r="S131" s="7"/>
      <c r="T131" s="7"/>
      <c r="U131" s="7"/>
      <c r="V131" s="7"/>
      <c r="W131" s="7"/>
      <c r="X131" s="7"/>
      <c r="Y131" s="7"/>
      <c r="Z131" s="7"/>
    </row>
    <row r="132" ht="14.25" customHeight="1">
      <c r="A132" s="7"/>
      <c r="B132" s="200"/>
      <c r="C132" s="200"/>
      <c r="D132" s="200"/>
      <c r="E132" s="200"/>
      <c r="F132" s="200"/>
      <c r="G132" s="7"/>
      <c r="H132" s="7"/>
      <c r="I132" s="7"/>
      <c r="J132" s="7"/>
      <c r="K132" s="7"/>
      <c r="L132" s="7"/>
      <c r="M132" s="7"/>
      <c r="N132" s="7"/>
      <c r="O132" s="7"/>
      <c r="P132" s="7"/>
      <c r="Q132" s="7"/>
      <c r="R132" s="7"/>
      <c r="S132" s="7"/>
      <c r="T132" s="7"/>
      <c r="U132" s="7"/>
      <c r="V132" s="7"/>
      <c r="W132" s="7"/>
      <c r="X132" s="7"/>
      <c r="Y132" s="7"/>
      <c r="Z132" s="7"/>
    </row>
    <row r="133" ht="14.25" customHeight="1">
      <c r="A133" s="7"/>
      <c r="B133" s="200"/>
      <c r="C133" s="200"/>
      <c r="D133" s="200"/>
      <c r="E133" s="200"/>
      <c r="F133" s="200"/>
      <c r="G133" s="7"/>
      <c r="H133" s="7"/>
      <c r="I133" s="7"/>
      <c r="J133" s="7"/>
      <c r="K133" s="7"/>
      <c r="L133" s="7"/>
      <c r="M133" s="7"/>
      <c r="N133" s="7"/>
      <c r="O133" s="7"/>
      <c r="P133" s="7"/>
      <c r="Q133" s="7"/>
      <c r="R133" s="7"/>
      <c r="S133" s="7"/>
      <c r="T133" s="7"/>
      <c r="U133" s="7"/>
      <c r="V133" s="7"/>
      <c r="W133" s="7"/>
      <c r="X133" s="7"/>
      <c r="Y133" s="7"/>
      <c r="Z133" s="7"/>
    </row>
    <row r="134" ht="14.25" customHeight="1">
      <c r="A134" s="7"/>
      <c r="B134" s="200"/>
      <c r="C134" s="200"/>
      <c r="D134" s="200"/>
      <c r="E134" s="200"/>
      <c r="F134" s="200"/>
      <c r="G134" s="7"/>
      <c r="H134" s="7"/>
      <c r="I134" s="7"/>
      <c r="J134" s="7"/>
      <c r="K134" s="7"/>
      <c r="L134" s="7"/>
      <c r="M134" s="7"/>
      <c r="N134" s="7"/>
      <c r="O134" s="7"/>
      <c r="P134" s="7"/>
      <c r="Q134" s="7"/>
      <c r="R134" s="7"/>
      <c r="S134" s="7"/>
      <c r="T134" s="7"/>
      <c r="U134" s="7"/>
      <c r="V134" s="7"/>
      <c r="W134" s="7"/>
      <c r="X134" s="7"/>
      <c r="Y134" s="7"/>
      <c r="Z134" s="7"/>
    </row>
    <row r="135" ht="14.25" customHeight="1">
      <c r="A135" s="7"/>
      <c r="B135" s="200"/>
      <c r="C135" s="200"/>
      <c r="D135" s="200"/>
      <c r="E135" s="200"/>
      <c r="F135" s="200"/>
      <c r="G135" s="7"/>
      <c r="H135" s="7"/>
      <c r="I135" s="7"/>
      <c r="J135" s="7"/>
      <c r="K135" s="7"/>
      <c r="L135" s="7"/>
      <c r="M135" s="7"/>
      <c r="N135" s="7"/>
      <c r="O135" s="7"/>
      <c r="P135" s="7"/>
      <c r="Q135" s="7"/>
      <c r="R135" s="7"/>
      <c r="S135" s="7"/>
      <c r="T135" s="7"/>
      <c r="U135" s="7"/>
      <c r="V135" s="7"/>
      <c r="W135" s="7"/>
      <c r="X135" s="7"/>
      <c r="Y135" s="7"/>
      <c r="Z135" s="7"/>
    </row>
    <row r="136" ht="14.25" customHeight="1">
      <c r="A136" s="7"/>
      <c r="B136" s="200"/>
      <c r="C136" s="200"/>
      <c r="D136" s="200"/>
      <c r="E136" s="200"/>
      <c r="F136" s="200"/>
      <c r="G136" s="7"/>
      <c r="H136" s="7"/>
      <c r="I136" s="7"/>
      <c r="J136" s="7"/>
      <c r="K136" s="7"/>
      <c r="L136" s="7"/>
      <c r="M136" s="7"/>
      <c r="N136" s="7"/>
      <c r="O136" s="7"/>
      <c r="P136" s="7"/>
      <c r="Q136" s="7"/>
      <c r="R136" s="7"/>
      <c r="S136" s="7"/>
      <c r="T136" s="7"/>
      <c r="U136" s="7"/>
      <c r="V136" s="7"/>
      <c r="W136" s="7"/>
      <c r="X136" s="7"/>
      <c r="Y136" s="7"/>
      <c r="Z136" s="7"/>
    </row>
    <row r="137" ht="14.25" customHeight="1">
      <c r="A137" s="7"/>
      <c r="B137" s="200"/>
      <c r="C137" s="200"/>
      <c r="D137" s="200"/>
      <c r="E137" s="200"/>
      <c r="F137" s="200"/>
      <c r="G137" s="7"/>
      <c r="H137" s="7"/>
      <c r="I137" s="7"/>
      <c r="J137" s="7"/>
      <c r="K137" s="7"/>
      <c r="L137" s="7"/>
      <c r="M137" s="7"/>
      <c r="N137" s="7"/>
      <c r="O137" s="7"/>
      <c r="P137" s="7"/>
      <c r="Q137" s="7"/>
      <c r="R137" s="7"/>
      <c r="S137" s="7"/>
      <c r="T137" s="7"/>
      <c r="U137" s="7"/>
      <c r="V137" s="7"/>
      <c r="W137" s="7"/>
      <c r="X137" s="7"/>
      <c r="Y137" s="7"/>
      <c r="Z137" s="7"/>
    </row>
    <row r="138" ht="14.25" customHeight="1">
      <c r="A138" s="7"/>
      <c r="B138" s="200"/>
      <c r="C138" s="200"/>
      <c r="D138" s="200"/>
      <c r="E138" s="200"/>
      <c r="F138" s="200"/>
      <c r="G138" s="7"/>
      <c r="H138" s="7"/>
      <c r="I138" s="7"/>
      <c r="J138" s="7"/>
      <c r="K138" s="7"/>
      <c r="L138" s="7"/>
      <c r="M138" s="7"/>
      <c r="N138" s="7"/>
      <c r="O138" s="7"/>
      <c r="P138" s="7"/>
      <c r="Q138" s="7"/>
      <c r="R138" s="7"/>
      <c r="S138" s="7"/>
      <c r="T138" s="7"/>
      <c r="U138" s="7"/>
      <c r="V138" s="7"/>
      <c r="W138" s="7"/>
      <c r="X138" s="7"/>
      <c r="Y138" s="7"/>
      <c r="Z138" s="7"/>
    </row>
    <row r="139" ht="14.25" customHeight="1">
      <c r="A139" s="7"/>
      <c r="B139" s="200"/>
      <c r="C139" s="200"/>
      <c r="D139" s="200"/>
      <c r="E139" s="200"/>
      <c r="F139" s="200"/>
      <c r="G139" s="7"/>
      <c r="H139" s="7"/>
      <c r="I139" s="7"/>
      <c r="J139" s="7"/>
      <c r="K139" s="7"/>
      <c r="L139" s="7"/>
      <c r="M139" s="7"/>
      <c r="N139" s="7"/>
      <c r="O139" s="7"/>
      <c r="P139" s="7"/>
      <c r="Q139" s="7"/>
      <c r="R139" s="7"/>
      <c r="S139" s="7"/>
      <c r="T139" s="7"/>
      <c r="U139" s="7"/>
      <c r="V139" s="7"/>
      <c r="W139" s="7"/>
      <c r="X139" s="7"/>
      <c r="Y139" s="7"/>
      <c r="Z139" s="7"/>
    </row>
    <row r="140" ht="14.25" customHeight="1">
      <c r="A140" s="7"/>
      <c r="B140" s="200"/>
      <c r="C140" s="200"/>
      <c r="D140" s="200"/>
      <c r="E140" s="200"/>
      <c r="F140" s="200"/>
      <c r="G140" s="7"/>
      <c r="H140" s="7"/>
      <c r="I140" s="7"/>
      <c r="J140" s="7"/>
      <c r="K140" s="7"/>
      <c r="L140" s="7"/>
      <c r="M140" s="7"/>
      <c r="N140" s="7"/>
      <c r="O140" s="7"/>
      <c r="P140" s="7"/>
      <c r="Q140" s="7"/>
      <c r="R140" s="7"/>
      <c r="S140" s="7"/>
      <c r="T140" s="7"/>
      <c r="U140" s="7"/>
      <c r="V140" s="7"/>
      <c r="W140" s="7"/>
      <c r="X140" s="7"/>
      <c r="Y140" s="7"/>
      <c r="Z140" s="7"/>
    </row>
    <row r="141" ht="14.25" customHeight="1">
      <c r="A141" s="7"/>
      <c r="B141" s="200"/>
      <c r="C141" s="200"/>
      <c r="D141" s="200"/>
      <c r="E141" s="200"/>
      <c r="F141" s="200"/>
      <c r="G141" s="7"/>
      <c r="H141" s="7"/>
      <c r="I141" s="7"/>
      <c r="J141" s="7"/>
      <c r="K141" s="7"/>
      <c r="L141" s="7"/>
      <c r="M141" s="7"/>
      <c r="N141" s="7"/>
      <c r="O141" s="7"/>
      <c r="P141" s="7"/>
      <c r="Q141" s="7"/>
      <c r="R141" s="7"/>
      <c r="S141" s="7"/>
      <c r="T141" s="7"/>
      <c r="U141" s="7"/>
      <c r="V141" s="7"/>
      <c r="W141" s="7"/>
      <c r="X141" s="7"/>
      <c r="Y141" s="7"/>
      <c r="Z141" s="7"/>
    </row>
    <row r="142" ht="14.25" customHeight="1">
      <c r="A142" s="7"/>
      <c r="B142" s="200"/>
      <c r="C142" s="200"/>
      <c r="D142" s="200"/>
      <c r="E142" s="200"/>
      <c r="F142" s="200"/>
      <c r="G142" s="7"/>
      <c r="H142" s="7"/>
      <c r="I142" s="7"/>
      <c r="J142" s="7"/>
      <c r="K142" s="7"/>
      <c r="L142" s="7"/>
      <c r="M142" s="7"/>
      <c r="N142" s="7"/>
      <c r="O142" s="7"/>
      <c r="P142" s="7"/>
      <c r="Q142" s="7"/>
      <c r="R142" s="7"/>
      <c r="S142" s="7"/>
      <c r="T142" s="7"/>
      <c r="U142" s="7"/>
      <c r="V142" s="7"/>
      <c r="W142" s="7"/>
      <c r="X142" s="7"/>
      <c r="Y142" s="7"/>
      <c r="Z142" s="7"/>
    </row>
    <row r="143" ht="14.25" customHeight="1">
      <c r="A143" s="7"/>
      <c r="B143" s="200"/>
      <c r="C143" s="200"/>
      <c r="D143" s="200"/>
      <c r="E143" s="200"/>
      <c r="F143" s="200"/>
      <c r="G143" s="7"/>
      <c r="H143" s="7"/>
      <c r="I143" s="7"/>
      <c r="J143" s="7"/>
      <c r="K143" s="7"/>
      <c r="L143" s="7"/>
      <c r="M143" s="7"/>
      <c r="N143" s="7"/>
      <c r="O143" s="7"/>
      <c r="P143" s="7"/>
      <c r="Q143" s="7"/>
      <c r="R143" s="7"/>
      <c r="S143" s="7"/>
      <c r="T143" s="7"/>
      <c r="U143" s="7"/>
      <c r="V143" s="7"/>
      <c r="W143" s="7"/>
      <c r="X143" s="7"/>
      <c r="Y143" s="7"/>
      <c r="Z143" s="7"/>
    </row>
    <row r="144" ht="14.25" customHeight="1">
      <c r="A144" s="7"/>
      <c r="B144" s="200"/>
      <c r="C144" s="200"/>
      <c r="D144" s="200"/>
      <c r="E144" s="200"/>
      <c r="F144" s="200"/>
      <c r="G144" s="7"/>
      <c r="H144" s="7"/>
      <c r="I144" s="7"/>
      <c r="J144" s="7"/>
      <c r="K144" s="7"/>
      <c r="L144" s="7"/>
      <c r="M144" s="7"/>
      <c r="N144" s="7"/>
      <c r="O144" s="7"/>
      <c r="P144" s="7"/>
      <c r="Q144" s="7"/>
      <c r="R144" s="7"/>
      <c r="S144" s="7"/>
      <c r="T144" s="7"/>
      <c r="U144" s="7"/>
      <c r="V144" s="7"/>
      <c r="W144" s="7"/>
      <c r="X144" s="7"/>
      <c r="Y144" s="7"/>
      <c r="Z144" s="7"/>
    </row>
    <row r="145" ht="14.25" customHeight="1">
      <c r="A145" s="7"/>
      <c r="B145" s="200"/>
      <c r="C145" s="200"/>
      <c r="D145" s="200"/>
      <c r="E145" s="200"/>
      <c r="F145" s="200"/>
      <c r="G145" s="7"/>
      <c r="H145" s="7"/>
      <c r="I145" s="7"/>
      <c r="J145" s="7"/>
      <c r="K145" s="7"/>
      <c r="L145" s="7"/>
      <c r="M145" s="7"/>
      <c r="N145" s="7"/>
      <c r="O145" s="7"/>
      <c r="P145" s="7"/>
      <c r="Q145" s="7"/>
      <c r="R145" s="7"/>
      <c r="S145" s="7"/>
      <c r="T145" s="7"/>
      <c r="U145" s="7"/>
      <c r="V145" s="7"/>
      <c r="W145" s="7"/>
      <c r="X145" s="7"/>
      <c r="Y145" s="7"/>
      <c r="Z145" s="7"/>
    </row>
    <row r="146" ht="14.25" customHeight="1">
      <c r="A146" s="7"/>
      <c r="B146" s="200"/>
      <c r="C146" s="200"/>
      <c r="D146" s="200"/>
      <c r="E146" s="200"/>
      <c r="F146" s="200"/>
      <c r="G146" s="7"/>
      <c r="H146" s="7"/>
      <c r="I146" s="7"/>
      <c r="J146" s="7"/>
      <c r="K146" s="7"/>
      <c r="L146" s="7"/>
      <c r="M146" s="7"/>
      <c r="N146" s="7"/>
      <c r="O146" s="7"/>
      <c r="P146" s="7"/>
      <c r="Q146" s="7"/>
      <c r="R146" s="7"/>
      <c r="S146" s="7"/>
      <c r="T146" s="7"/>
      <c r="U146" s="7"/>
      <c r="V146" s="7"/>
      <c r="W146" s="7"/>
      <c r="X146" s="7"/>
      <c r="Y146" s="7"/>
      <c r="Z146" s="7"/>
    </row>
    <row r="147" ht="14.25" customHeight="1">
      <c r="A147" s="7"/>
      <c r="B147" s="200"/>
      <c r="C147" s="200"/>
      <c r="D147" s="200"/>
      <c r="E147" s="200"/>
      <c r="F147" s="200"/>
      <c r="G147" s="7"/>
      <c r="H147" s="7"/>
      <c r="I147" s="7"/>
      <c r="J147" s="7"/>
      <c r="K147" s="7"/>
      <c r="L147" s="7"/>
      <c r="M147" s="7"/>
      <c r="N147" s="7"/>
      <c r="O147" s="7"/>
      <c r="P147" s="7"/>
      <c r="Q147" s="7"/>
      <c r="R147" s="7"/>
      <c r="S147" s="7"/>
      <c r="T147" s="7"/>
      <c r="U147" s="7"/>
      <c r="V147" s="7"/>
      <c r="W147" s="7"/>
      <c r="X147" s="7"/>
      <c r="Y147" s="7"/>
      <c r="Z147" s="7"/>
    </row>
    <row r="148" ht="14.25" customHeight="1">
      <c r="A148" s="7"/>
      <c r="B148" s="200"/>
      <c r="C148" s="200"/>
      <c r="D148" s="200"/>
      <c r="E148" s="200"/>
      <c r="F148" s="200"/>
      <c r="G148" s="7"/>
      <c r="H148" s="7"/>
      <c r="I148" s="7"/>
      <c r="J148" s="7"/>
      <c r="K148" s="7"/>
      <c r="L148" s="7"/>
      <c r="M148" s="7"/>
      <c r="N148" s="7"/>
      <c r="O148" s="7"/>
      <c r="P148" s="7"/>
      <c r="Q148" s="7"/>
      <c r="R148" s="7"/>
      <c r="S148" s="7"/>
      <c r="T148" s="7"/>
      <c r="U148" s="7"/>
      <c r="V148" s="7"/>
      <c r="W148" s="7"/>
      <c r="X148" s="7"/>
      <c r="Y148" s="7"/>
      <c r="Z148" s="7"/>
    </row>
    <row r="149" ht="14.25" customHeight="1">
      <c r="A149" s="7"/>
      <c r="B149" s="200"/>
      <c r="C149" s="200"/>
      <c r="D149" s="200"/>
      <c r="E149" s="200"/>
      <c r="F149" s="200"/>
      <c r="G149" s="7"/>
      <c r="H149" s="7"/>
      <c r="I149" s="7"/>
      <c r="J149" s="7"/>
      <c r="K149" s="7"/>
      <c r="L149" s="7"/>
      <c r="M149" s="7"/>
      <c r="N149" s="7"/>
      <c r="O149" s="7"/>
      <c r="P149" s="7"/>
      <c r="Q149" s="7"/>
      <c r="R149" s="7"/>
      <c r="S149" s="7"/>
      <c r="T149" s="7"/>
      <c r="U149" s="7"/>
      <c r="V149" s="7"/>
      <c r="W149" s="7"/>
      <c r="X149" s="7"/>
      <c r="Y149" s="7"/>
      <c r="Z149" s="7"/>
    </row>
    <row r="150" ht="14.25" customHeight="1">
      <c r="A150" s="7"/>
      <c r="B150" s="200"/>
      <c r="C150" s="200"/>
      <c r="D150" s="200"/>
      <c r="E150" s="200"/>
      <c r="F150" s="200"/>
      <c r="G150" s="7"/>
      <c r="H150" s="7"/>
      <c r="I150" s="7"/>
      <c r="J150" s="7"/>
      <c r="K150" s="7"/>
      <c r="L150" s="7"/>
      <c r="M150" s="7"/>
      <c r="N150" s="7"/>
      <c r="O150" s="7"/>
      <c r="P150" s="7"/>
      <c r="Q150" s="7"/>
      <c r="R150" s="7"/>
      <c r="S150" s="7"/>
      <c r="T150" s="7"/>
      <c r="U150" s="7"/>
      <c r="V150" s="7"/>
      <c r="W150" s="7"/>
      <c r="X150" s="7"/>
      <c r="Y150" s="7"/>
      <c r="Z150" s="7"/>
    </row>
    <row r="151" ht="14.25" customHeight="1">
      <c r="A151" s="7"/>
      <c r="B151" s="200"/>
      <c r="C151" s="200"/>
      <c r="D151" s="200"/>
      <c r="E151" s="200"/>
      <c r="F151" s="200"/>
      <c r="G151" s="7"/>
      <c r="H151" s="7"/>
      <c r="I151" s="7"/>
      <c r="J151" s="7"/>
      <c r="K151" s="7"/>
      <c r="L151" s="7"/>
      <c r="M151" s="7"/>
      <c r="N151" s="7"/>
      <c r="O151" s="7"/>
      <c r="P151" s="7"/>
      <c r="Q151" s="7"/>
      <c r="R151" s="7"/>
      <c r="S151" s="7"/>
      <c r="T151" s="7"/>
      <c r="U151" s="7"/>
      <c r="V151" s="7"/>
      <c r="W151" s="7"/>
      <c r="X151" s="7"/>
      <c r="Y151" s="7"/>
      <c r="Z151" s="7"/>
    </row>
    <row r="152" ht="14.25" customHeight="1">
      <c r="A152" s="7"/>
      <c r="B152" s="200"/>
      <c r="C152" s="200"/>
      <c r="D152" s="200"/>
      <c r="E152" s="200"/>
      <c r="F152" s="200"/>
      <c r="G152" s="7"/>
      <c r="H152" s="7"/>
      <c r="I152" s="7"/>
      <c r="J152" s="7"/>
      <c r="K152" s="7"/>
      <c r="L152" s="7"/>
      <c r="M152" s="7"/>
      <c r="N152" s="7"/>
      <c r="O152" s="7"/>
      <c r="P152" s="7"/>
      <c r="Q152" s="7"/>
      <c r="R152" s="7"/>
      <c r="S152" s="7"/>
      <c r="T152" s="7"/>
      <c r="U152" s="7"/>
      <c r="V152" s="7"/>
      <c r="W152" s="7"/>
      <c r="X152" s="7"/>
      <c r="Y152" s="7"/>
      <c r="Z152" s="7"/>
    </row>
    <row r="153" ht="14.25" customHeight="1">
      <c r="A153" s="7"/>
      <c r="B153" s="200"/>
      <c r="C153" s="200"/>
      <c r="D153" s="200"/>
      <c r="E153" s="200"/>
      <c r="F153" s="200"/>
      <c r="G153" s="7"/>
      <c r="H153" s="7"/>
      <c r="I153" s="7"/>
      <c r="J153" s="7"/>
      <c r="K153" s="7"/>
      <c r="L153" s="7"/>
      <c r="M153" s="7"/>
      <c r="N153" s="7"/>
      <c r="O153" s="7"/>
      <c r="P153" s="7"/>
      <c r="Q153" s="7"/>
      <c r="R153" s="7"/>
      <c r="S153" s="7"/>
      <c r="T153" s="7"/>
      <c r="U153" s="7"/>
      <c r="V153" s="7"/>
      <c r="W153" s="7"/>
      <c r="X153" s="7"/>
      <c r="Y153" s="7"/>
      <c r="Z153" s="7"/>
    </row>
    <row r="154" ht="14.25" customHeight="1">
      <c r="A154" s="7"/>
      <c r="B154" s="200"/>
      <c r="C154" s="200"/>
      <c r="D154" s="200"/>
      <c r="E154" s="200"/>
      <c r="F154" s="200"/>
      <c r="G154" s="7"/>
      <c r="H154" s="7"/>
      <c r="I154" s="7"/>
      <c r="J154" s="7"/>
      <c r="K154" s="7"/>
      <c r="L154" s="7"/>
      <c r="M154" s="7"/>
      <c r="N154" s="7"/>
      <c r="O154" s="7"/>
      <c r="P154" s="7"/>
      <c r="Q154" s="7"/>
      <c r="R154" s="7"/>
      <c r="S154" s="7"/>
      <c r="T154" s="7"/>
      <c r="U154" s="7"/>
      <c r="V154" s="7"/>
      <c r="W154" s="7"/>
      <c r="X154" s="7"/>
      <c r="Y154" s="7"/>
      <c r="Z154" s="7"/>
    </row>
    <row r="155" ht="14.25" customHeight="1">
      <c r="A155" s="7"/>
      <c r="B155" s="200"/>
      <c r="C155" s="200"/>
      <c r="D155" s="200"/>
      <c r="E155" s="200"/>
      <c r="F155" s="200"/>
      <c r="G155" s="7"/>
      <c r="H155" s="7"/>
      <c r="I155" s="7"/>
      <c r="J155" s="7"/>
      <c r="K155" s="7"/>
      <c r="L155" s="7"/>
      <c r="M155" s="7"/>
      <c r="N155" s="7"/>
      <c r="O155" s="7"/>
      <c r="P155" s="7"/>
      <c r="Q155" s="7"/>
      <c r="R155" s="7"/>
      <c r="S155" s="7"/>
      <c r="T155" s="7"/>
      <c r="U155" s="7"/>
      <c r="V155" s="7"/>
      <c r="W155" s="7"/>
      <c r="X155" s="7"/>
      <c r="Y155" s="7"/>
      <c r="Z155" s="7"/>
    </row>
    <row r="156" ht="14.25" customHeight="1">
      <c r="A156" s="7"/>
      <c r="B156" s="200"/>
      <c r="C156" s="200"/>
      <c r="D156" s="200"/>
      <c r="E156" s="200"/>
      <c r="F156" s="200"/>
      <c r="G156" s="7"/>
      <c r="H156" s="7"/>
      <c r="I156" s="7"/>
      <c r="J156" s="7"/>
      <c r="K156" s="7"/>
      <c r="L156" s="7"/>
      <c r="M156" s="7"/>
      <c r="N156" s="7"/>
      <c r="O156" s="7"/>
      <c r="P156" s="7"/>
      <c r="Q156" s="7"/>
      <c r="R156" s="7"/>
      <c r="S156" s="7"/>
      <c r="T156" s="7"/>
      <c r="U156" s="7"/>
      <c r="V156" s="7"/>
      <c r="W156" s="7"/>
      <c r="X156" s="7"/>
      <c r="Y156" s="7"/>
      <c r="Z156" s="7"/>
    </row>
    <row r="157" ht="14.25" customHeight="1">
      <c r="A157" s="7"/>
      <c r="B157" s="200"/>
      <c r="C157" s="200"/>
      <c r="D157" s="200"/>
      <c r="E157" s="200"/>
      <c r="F157" s="200"/>
      <c r="G157" s="7"/>
      <c r="H157" s="7"/>
      <c r="I157" s="7"/>
      <c r="J157" s="7"/>
      <c r="K157" s="7"/>
      <c r="L157" s="7"/>
      <c r="M157" s="7"/>
      <c r="N157" s="7"/>
      <c r="O157" s="7"/>
      <c r="P157" s="7"/>
      <c r="Q157" s="7"/>
      <c r="R157" s="7"/>
      <c r="S157" s="7"/>
      <c r="T157" s="7"/>
      <c r="U157" s="7"/>
      <c r="V157" s="7"/>
      <c r="W157" s="7"/>
      <c r="X157" s="7"/>
      <c r="Y157" s="7"/>
      <c r="Z157" s="7"/>
    </row>
    <row r="158" ht="14.25" customHeight="1">
      <c r="A158" s="7"/>
      <c r="B158" s="200"/>
      <c r="C158" s="200"/>
      <c r="D158" s="200"/>
      <c r="E158" s="200"/>
      <c r="F158" s="200"/>
      <c r="G158" s="7"/>
      <c r="H158" s="7"/>
      <c r="I158" s="7"/>
      <c r="J158" s="7"/>
      <c r="K158" s="7"/>
      <c r="L158" s="7"/>
      <c r="M158" s="7"/>
      <c r="N158" s="7"/>
      <c r="O158" s="7"/>
      <c r="P158" s="7"/>
      <c r="Q158" s="7"/>
      <c r="R158" s="7"/>
      <c r="S158" s="7"/>
      <c r="T158" s="7"/>
      <c r="U158" s="7"/>
      <c r="V158" s="7"/>
      <c r="W158" s="7"/>
      <c r="X158" s="7"/>
      <c r="Y158" s="7"/>
      <c r="Z158" s="7"/>
    </row>
    <row r="159" ht="14.25" customHeight="1">
      <c r="A159" s="7"/>
      <c r="B159" s="200"/>
      <c r="C159" s="200"/>
      <c r="D159" s="200"/>
      <c r="E159" s="200"/>
      <c r="F159" s="200"/>
      <c r="G159" s="7"/>
      <c r="H159" s="7"/>
      <c r="I159" s="7"/>
      <c r="J159" s="7"/>
      <c r="K159" s="7"/>
      <c r="L159" s="7"/>
      <c r="M159" s="7"/>
      <c r="N159" s="7"/>
      <c r="O159" s="7"/>
      <c r="P159" s="7"/>
      <c r="Q159" s="7"/>
      <c r="R159" s="7"/>
      <c r="S159" s="7"/>
      <c r="T159" s="7"/>
      <c r="U159" s="7"/>
      <c r="V159" s="7"/>
      <c r="W159" s="7"/>
      <c r="X159" s="7"/>
      <c r="Y159" s="7"/>
      <c r="Z159" s="7"/>
    </row>
    <row r="160" ht="14.25" customHeight="1">
      <c r="A160" s="7"/>
      <c r="B160" s="200"/>
      <c r="C160" s="200"/>
      <c r="D160" s="200"/>
      <c r="E160" s="200"/>
      <c r="F160" s="200"/>
      <c r="G160" s="7"/>
      <c r="H160" s="7"/>
      <c r="I160" s="7"/>
      <c r="J160" s="7"/>
      <c r="K160" s="7"/>
      <c r="L160" s="7"/>
      <c r="M160" s="7"/>
      <c r="N160" s="7"/>
      <c r="O160" s="7"/>
      <c r="P160" s="7"/>
      <c r="Q160" s="7"/>
      <c r="R160" s="7"/>
      <c r="S160" s="7"/>
      <c r="T160" s="7"/>
      <c r="U160" s="7"/>
      <c r="V160" s="7"/>
      <c r="W160" s="7"/>
      <c r="X160" s="7"/>
      <c r="Y160" s="7"/>
      <c r="Z160" s="7"/>
    </row>
    <row r="161" ht="14.25" customHeight="1">
      <c r="A161" s="7"/>
      <c r="B161" s="200"/>
      <c r="C161" s="200"/>
      <c r="D161" s="200"/>
      <c r="E161" s="200"/>
      <c r="F161" s="200"/>
      <c r="G161" s="7"/>
      <c r="H161" s="7"/>
      <c r="I161" s="7"/>
      <c r="J161" s="7"/>
      <c r="K161" s="7"/>
      <c r="L161" s="7"/>
      <c r="M161" s="7"/>
      <c r="N161" s="7"/>
      <c r="O161" s="7"/>
      <c r="P161" s="7"/>
      <c r="Q161" s="7"/>
      <c r="R161" s="7"/>
      <c r="S161" s="7"/>
      <c r="T161" s="7"/>
      <c r="U161" s="7"/>
      <c r="V161" s="7"/>
      <c r="W161" s="7"/>
      <c r="X161" s="7"/>
      <c r="Y161" s="7"/>
      <c r="Z161" s="7"/>
    </row>
    <row r="162" ht="14.25" customHeight="1">
      <c r="A162" s="7"/>
      <c r="B162" s="200"/>
      <c r="C162" s="200"/>
      <c r="D162" s="200"/>
      <c r="E162" s="200"/>
      <c r="F162" s="200"/>
      <c r="G162" s="7"/>
      <c r="H162" s="7"/>
      <c r="I162" s="7"/>
      <c r="J162" s="7"/>
      <c r="K162" s="7"/>
      <c r="L162" s="7"/>
      <c r="M162" s="7"/>
      <c r="N162" s="7"/>
      <c r="O162" s="7"/>
      <c r="P162" s="7"/>
      <c r="Q162" s="7"/>
      <c r="R162" s="7"/>
      <c r="S162" s="7"/>
      <c r="T162" s="7"/>
      <c r="U162" s="7"/>
      <c r="V162" s="7"/>
      <c r="W162" s="7"/>
      <c r="X162" s="7"/>
      <c r="Y162" s="7"/>
      <c r="Z162" s="7"/>
    </row>
    <row r="163" ht="14.25" customHeight="1">
      <c r="A163" s="7"/>
      <c r="B163" s="200"/>
      <c r="C163" s="200"/>
      <c r="D163" s="200"/>
      <c r="E163" s="200"/>
      <c r="F163" s="200"/>
      <c r="G163" s="7"/>
      <c r="H163" s="7"/>
      <c r="I163" s="7"/>
      <c r="J163" s="7"/>
      <c r="K163" s="7"/>
      <c r="L163" s="7"/>
      <c r="M163" s="7"/>
      <c r="N163" s="7"/>
      <c r="O163" s="7"/>
      <c r="P163" s="7"/>
      <c r="Q163" s="7"/>
      <c r="R163" s="7"/>
      <c r="S163" s="7"/>
      <c r="T163" s="7"/>
      <c r="U163" s="7"/>
      <c r="V163" s="7"/>
      <c r="W163" s="7"/>
      <c r="X163" s="7"/>
      <c r="Y163" s="7"/>
      <c r="Z163" s="7"/>
    </row>
    <row r="164" ht="14.25" customHeight="1">
      <c r="A164" s="7"/>
      <c r="B164" s="200"/>
      <c r="C164" s="200"/>
      <c r="D164" s="200"/>
      <c r="E164" s="200"/>
      <c r="F164" s="200"/>
      <c r="G164" s="7"/>
      <c r="H164" s="7"/>
      <c r="I164" s="7"/>
      <c r="J164" s="7"/>
      <c r="K164" s="7"/>
      <c r="L164" s="7"/>
      <c r="M164" s="7"/>
      <c r="N164" s="7"/>
      <c r="O164" s="7"/>
      <c r="P164" s="7"/>
      <c r="Q164" s="7"/>
      <c r="R164" s="7"/>
      <c r="S164" s="7"/>
      <c r="T164" s="7"/>
      <c r="U164" s="7"/>
      <c r="V164" s="7"/>
      <c r="W164" s="7"/>
      <c r="X164" s="7"/>
      <c r="Y164" s="7"/>
      <c r="Z164" s="7"/>
    </row>
    <row r="165" ht="14.25" customHeight="1">
      <c r="A165" s="7"/>
      <c r="B165" s="200"/>
      <c r="C165" s="200"/>
      <c r="D165" s="200"/>
      <c r="E165" s="200"/>
      <c r="F165" s="200"/>
      <c r="G165" s="7"/>
      <c r="H165" s="7"/>
      <c r="I165" s="7"/>
      <c r="J165" s="7"/>
      <c r="K165" s="7"/>
      <c r="L165" s="7"/>
      <c r="M165" s="7"/>
      <c r="N165" s="7"/>
      <c r="O165" s="7"/>
      <c r="P165" s="7"/>
      <c r="Q165" s="7"/>
      <c r="R165" s="7"/>
      <c r="S165" s="7"/>
      <c r="T165" s="7"/>
      <c r="U165" s="7"/>
      <c r="V165" s="7"/>
      <c r="W165" s="7"/>
      <c r="X165" s="7"/>
      <c r="Y165" s="7"/>
      <c r="Z165" s="7"/>
    </row>
    <row r="166" ht="14.25" customHeight="1">
      <c r="A166" s="7"/>
      <c r="B166" s="200"/>
      <c r="C166" s="200"/>
      <c r="D166" s="200"/>
      <c r="E166" s="200"/>
      <c r="F166" s="200"/>
      <c r="G166" s="7"/>
      <c r="H166" s="7"/>
      <c r="I166" s="7"/>
      <c r="J166" s="7"/>
      <c r="K166" s="7"/>
      <c r="L166" s="7"/>
      <c r="M166" s="7"/>
      <c r="N166" s="7"/>
      <c r="O166" s="7"/>
      <c r="P166" s="7"/>
      <c r="Q166" s="7"/>
      <c r="R166" s="7"/>
      <c r="S166" s="7"/>
      <c r="T166" s="7"/>
      <c r="U166" s="7"/>
      <c r="V166" s="7"/>
      <c r="W166" s="7"/>
      <c r="X166" s="7"/>
      <c r="Y166" s="7"/>
      <c r="Z166" s="7"/>
    </row>
    <row r="167" ht="14.25" customHeight="1">
      <c r="A167" s="7"/>
      <c r="B167" s="200"/>
      <c r="C167" s="200"/>
      <c r="D167" s="200"/>
      <c r="E167" s="200"/>
      <c r="F167" s="200"/>
      <c r="G167" s="7"/>
      <c r="H167" s="7"/>
      <c r="I167" s="7"/>
      <c r="J167" s="7"/>
      <c r="K167" s="7"/>
      <c r="L167" s="7"/>
      <c r="M167" s="7"/>
      <c r="N167" s="7"/>
      <c r="O167" s="7"/>
      <c r="P167" s="7"/>
      <c r="Q167" s="7"/>
      <c r="R167" s="7"/>
      <c r="S167" s="7"/>
      <c r="T167" s="7"/>
      <c r="U167" s="7"/>
      <c r="V167" s="7"/>
      <c r="W167" s="7"/>
      <c r="X167" s="7"/>
      <c r="Y167" s="7"/>
      <c r="Z167" s="7"/>
    </row>
    <row r="168" ht="14.25" customHeight="1">
      <c r="A168" s="7"/>
      <c r="B168" s="200"/>
      <c r="C168" s="200"/>
      <c r="D168" s="200"/>
      <c r="E168" s="200"/>
      <c r="F168" s="200"/>
      <c r="G168" s="7"/>
      <c r="H168" s="7"/>
      <c r="I168" s="7"/>
      <c r="J168" s="7"/>
      <c r="K168" s="7"/>
      <c r="L168" s="7"/>
      <c r="M168" s="7"/>
      <c r="N168" s="7"/>
      <c r="O168" s="7"/>
      <c r="P168" s="7"/>
      <c r="Q168" s="7"/>
      <c r="R168" s="7"/>
      <c r="S168" s="7"/>
      <c r="T168" s="7"/>
      <c r="U168" s="7"/>
      <c r="V168" s="7"/>
      <c r="W168" s="7"/>
      <c r="X168" s="7"/>
      <c r="Y168" s="7"/>
      <c r="Z168" s="7"/>
    </row>
    <row r="169" ht="14.25" customHeight="1">
      <c r="A169" s="7"/>
      <c r="B169" s="200"/>
      <c r="C169" s="200"/>
      <c r="D169" s="200"/>
      <c r="E169" s="200"/>
      <c r="F169" s="200"/>
      <c r="G169" s="7"/>
      <c r="H169" s="7"/>
      <c r="I169" s="7"/>
      <c r="J169" s="7"/>
      <c r="K169" s="7"/>
      <c r="L169" s="7"/>
      <c r="M169" s="7"/>
      <c r="N169" s="7"/>
      <c r="O169" s="7"/>
      <c r="P169" s="7"/>
      <c r="Q169" s="7"/>
      <c r="R169" s="7"/>
      <c r="S169" s="7"/>
      <c r="T169" s="7"/>
      <c r="U169" s="7"/>
      <c r="V169" s="7"/>
      <c r="W169" s="7"/>
      <c r="X169" s="7"/>
      <c r="Y169" s="7"/>
      <c r="Z169" s="7"/>
    </row>
    <row r="170" ht="14.25" customHeight="1">
      <c r="A170" s="7"/>
      <c r="B170" s="200"/>
      <c r="C170" s="200"/>
      <c r="D170" s="200"/>
      <c r="E170" s="200"/>
      <c r="F170" s="200"/>
      <c r="G170" s="7"/>
      <c r="H170" s="7"/>
      <c r="I170" s="7"/>
      <c r="J170" s="7"/>
      <c r="K170" s="7"/>
      <c r="L170" s="7"/>
      <c r="M170" s="7"/>
      <c r="N170" s="7"/>
      <c r="O170" s="7"/>
      <c r="P170" s="7"/>
      <c r="Q170" s="7"/>
      <c r="R170" s="7"/>
      <c r="S170" s="7"/>
      <c r="T170" s="7"/>
      <c r="U170" s="7"/>
      <c r="V170" s="7"/>
      <c r="W170" s="7"/>
      <c r="X170" s="7"/>
      <c r="Y170" s="7"/>
      <c r="Z170" s="7"/>
    </row>
    <row r="171" ht="14.25" customHeight="1">
      <c r="A171" s="7"/>
      <c r="B171" s="200"/>
      <c r="C171" s="200"/>
      <c r="D171" s="200"/>
      <c r="E171" s="200"/>
      <c r="F171" s="200"/>
      <c r="G171" s="7"/>
      <c r="H171" s="7"/>
      <c r="I171" s="7"/>
      <c r="J171" s="7"/>
      <c r="K171" s="7"/>
      <c r="L171" s="7"/>
      <c r="M171" s="7"/>
      <c r="N171" s="7"/>
      <c r="O171" s="7"/>
      <c r="P171" s="7"/>
      <c r="Q171" s="7"/>
      <c r="R171" s="7"/>
      <c r="S171" s="7"/>
      <c r="T171" s="7"/>
      <c r="U171" s="7"/>
      <c r="V171" s="7"/>
      <c r="W171" s="7"/>
      <c r="X171" s="7"/>
      <c r="Y171" s="7"/>
      <c r="Z171" s="7"/>
    </row>
    <row r="172" ht="14.25" customHeight="1">
      <c r="A172" s="7"/>
      <c r="B172" s="200"/>
      <c r="C172" s="200"/>
      <c r="D172" s="200"/>
      <c r="E172" s="200"/>
      <c r="F172" s="200"/>
      <c r="G172" s="7"/>
      <c r="H172" s="7"/>
      <c r="I172" s="7"/>
      <c r="J172" s="7"/>
      <c r="K172" s="7"/>
      <c r="L172" s="7"/>
      <c r="M172" s="7"/>
      <c r="N172" s="7"/>
      <c r="O172" s="7"/>
      <c r="P172" s="7"/>
      <c r="Q172" s="7"/>
      <c r="R172" s="7"/>
      <c r="S172" s="7"/>
      <c r="T172" s="7"/>
      <c r="U172" s="7"/>
      <c r="V172" s="7"/>
      <c r="W172" s="7"/>
      <c r="X172" s="7"/>
      <c r="Y172" s="7"/>
      <c r="Z172" s="7"/>
    </row>
    <row r="173" ht="14.25" customHeight="1">
      <c r="A173" s="7"/>
      <c r="B173" s="200"/>
      <c r="C173" s="200"/>
      <c r="D173" s="200"/>
      <c r="E173" s="200"/>
      <c r="F173" s="200"/>
      <c r="G173" s="7"/>
      <c r="H173" s="7"/>
      <c r="I173" s="7"/>
      <c r="J173" s="7"/>
      <c r="K173" s="7"/>
      <c r="L173" s="7"/>
      <c r="M173" s="7"/>
      <c r="N173" s="7"/>
      <c r="O173" s="7"/>
      <c r="P173" s="7"/>
      <c r="Q173" s="7"/>
      <c r="R173" s="7"/>
      <c r="S173" s="7"/>
      <c r="T173" s="7"/>
      <c r="U173" s="7"/>
      <c r="V173" s="7"/>
      <c r="W173" s="7"/>
      <c r="X173" s="7"/>
      <c r="Y173" s="7"/>
      <c r="Z173" s="7"/>
    </row>
    <row r="174" ht="14.25" customHeight="1">
      <c r="A174" s="7"/>
      <c r="B174" s="200"/>
      <c r="C174" s="200"/>
      <c r="D174" s="200"/>
      <c r="E174" s="200"/>
      <c r="F174" s="200"/>
      <c r="G174" s="7"/>
      <c r="H174" s="7"/>
      <c r="I174" s="7"/>
      <c r="J174" s="7"/>
      <c r="K174" s="7"/>
      <c r="L174" s="7"/>
      <c r="M174" s="7"/>
      <c r="N174" s="7"/>
      <c r="O174" s="7"/>
      <c r="P174" s="7"/>
      <c r="Q174" s="7"/>
      <c r="R174" s="7"/>
      <c r="S174" s="7"/>
      <c r="T174" s="7"/>
      <c r="U174" s="7"/>
      <c r="V174" s="7"/>
      <c r="W174" s="7"/>
      <c r="X174" s="7"/>
      <c r="Y174" s="7"/>
      <c r="Z174" s="7"/>
    </row>
    <row r="175" ht="14.25" customHeight="1">
      <c r="A175" s="7"/>
      <c r="B175" s="200"/>
      <c r="C175" s="200"/>
      <c r="D175" s="200"/>
      <c r="E175" s="200"/>
      <c r="F175" s="200"/>
      <c r="G175" s="7"/>
      <c r="H175" s="7"/>
      <c r="I175" s="7"/>
      <c r="J175" s="7"/>
      <c r="K175" s="7"/>
      <c r="L175" s="7"/>
      <c r="M175" s="7"/>
      <c r="N175" s="7"/>
      <c r="O175" s="7"/>
      <c r="P175" s="7"/>
      <c r="Q175" s="7"/>
      <c r="R175" s="7"/>
      <c r="S175" s="7"/>
      <c r="T175" s="7"/>
      <c r="U175" s="7"/>
      <c r="V175" s="7"/>
      <c r="W175" s="7"/>
      <c r="X175" s="7"/>
      <c r="Y175" s="7"/>
      <c r="Z175" s="7"/>
    </row>
    <row r="176" ht="14.25" customHeight="1">
      <c r="A176" s="7"/>
      <c r="B176" s="200"/>
      <c r="C176" s="200"/>
      <c r="D176" s="200"/>
      <c r="E176" s="200"/>
      <c r="F176" s="200"/>
      <c r="G176" s="7"/>
      <c r="H176" s="7"/>
      <c r="I176" s="7"/>
      <c r="J176" s="7"/>
      <c r="K176" s="7"/>
      <c r="L176" s="7"/>
      <c r="M176" s="7"/>
      <c r="N176" s="7"/>
      <c r="O176" s="7"/>
      <c r="P176" s="7"/>
      <c r="Q176" s="7"/>
      <c r="R176" s="7"/>
      <c r="S176" s="7"/>
      <c r="T176" s="7"/>
      <c r="U176" s="7"/>
      <c r="V176" s="7"/>
      <c r="W176" s="7"/>
      <c r="X176" s="7"/>
      <c r="Y176" s="7"/>
      <c r="Z176" s="7"/>
    </row>
    <row r="177" ht="14.25" customHeight="1">
      <c r="A177" s="7"/>
      <c r="B177" s="200"/>
      <c r="C177" s="200"/>
      <c r="D177" s="200"/>
      <c r="E177" s="200"/>
      <c r="F177" s="200"/>
      <c r="G177" s="7"/>
      <c r="H177" s="7"/>
      <c r="I177" s="7"/>
      <c r="J177" s="7"/>
      <c r="K177" s="7"/>
      <c r="L177" s="7"/>
      <c r="M177" s="7"/>
      <c r="N177" s="7"/>
      <c r="O177" s="7"/>
      <c r="P177" s="7"/>
      <c r="Q177" s="7"/>
      <c r="R177" s="7"/>
      <c r="S177" s="7"/>
      <c r="T177" s="7"/>
      <c r="U177" s="7"/>
      <c r="V177" s="7"/>
      <c r="W177" s="7"/>
      <c r="X177" s="7"/>
      <c r="Y177" s="7"/>
      <c r="Z177" s="7"/>
    </row>
    <row r="178" ht="14.25" customHeight="1">
      <c r="A178" s="7"/>
      <c r="B178" s="200"/>
      <c r="C178" s="200"/>
      <c r="D178" s="200"/>
      <c r="E178" s="200"/>
      <c r="F178" s="200"/>
      <c r="G178" s="7"/>
      <c r="H178" s="7"/>
      <c r="I178" s="7"/>
      <c r="J178" s="7"/>
      <c r="K178" s="7"/>
      <c r="L178" s="7"/>
      <c r="M178" s="7"/>
      <c r="N178" s="7"/>
      <c r="O178" s="7"/>
      <c r="P178" s="7"/>
      <c r="Q178" s="7"/>
      <c r="R178" s="7"/>
      <c r="S178" s="7"/>
      <c r="T178" s="7"/>
      <c r="U178" s="7"/>
      <c r="V178" s="7"/>
      <c r="W178" s="7"/>
      <c r="X178" s="7"/>
      <c r="Y178" s="7"/>
      <c r="Z178" s="7"/>
    </row>
    <row r="179" ht="14.25" customHeight="1">
      <c r="A179" s="7"/>
      <c r="B179" s="200"/>
      <c r="C179" s="200"/>
      <c r="D179" s="200"/>
      <c r="E179" s="200"/>
      <c r="F179" s="200"/>
      <c r="G179" s="7"/>
      <c r="H179" s="7"/>
      <c r="I179" s="7"/>
      <c r="J179" s="7"/>
      <c r="K179" s="7"/>
      <c r="L179" s="7"/>
      <c r="M179" s="7"/>
      <c r="N179" s="7"/>
      <c r="O179" s="7"/>
      <c r="P179" s="7"/>
      <c r="Q179" s="7"/>
      <c r="R179" s="7"/>
      <c r="S179" s="7"/>
      <c r="T179" s="7"/>
      <c r="U179" s="7"/>
      <c r="V179" s="7"/>
      <c r="W179" s="7"/>
      <c r="X179" s="7"/>
      <c r="Y179" s="7"/>
      <c r="Z179" s="7"/>
    </row>
    <row r="180" ht="14.25" customHeight="1">
      <c r="A180" s="7"/>
      <c r="B180" s="200"/>
      <c r="C180" s="200"/>
      <c r="D180" s="200"/>
      <c r="E180" s="200"/>
      <c r="F180" s="200"/>
      <c r="G180" s="7"/>
      <c r="H180" s="7"/>
      <c r="I180" s="7"/>
      <c r="J180" s="7"/>
      <c r="K180" s="7"/>
      <c r="L180" s="7"/>
      <c r="M180" s="7"/>
      <c r="N180" s="7"/>
      <c r="O180" s="7"/>
      <c r="P180" s="7"/>
      <c r="Q180" s="7"/>
      <c r="R180" s="7"/>
      <c r="S180" s="7"/>
      <c r="T180" s="7"/>
      <c r="U180" s="7"/>
      <c r="V180" s="7"/>
      <c r="W180" s="7"/>
      <c r="X180" s="7"/>
      <c r="Y180" s="7"/>
      <c r="Z180" s="7"/>
    </row>
    <row r="181" ht="14.25" customHeight="1">
      <c r="A181" s="7"/>
      <c r="B181" s="200"/>
      <c r="C181" s="200"/>
      <c r="D181" s="200"/>
      <c r="E181" s="200"/>
      <c r="F181" s="200"/>
      <c r="G181" s="7"/>
      <c r="H181" s="7"/>
      <c r="I181" s="7"/>
      <c r="J181" s="7"/>
      <c r="K181" s="7"/>
      <c r="L181" s="7"/>
      <c r="M181" s="7"/>
      <c r="N181" s="7"/>
      <c r="O181" s="7"/>
      <c r="P181" s="7"/>
      <c r="Q181" s="7"/>
      <c r="R181" s="7"/>
      <c r="S181" s="7"/>
      <c r="T181" s="7"/>
      <c r="U181" s="7"/>
      <c r="V181" s="7"/>
      <c r="W181" s="7"/>
      <c r="X181" s="7"/>
      <c r="Y181" s="7"/>
      <c r="Z181" s="7"/>
    </row>
    <row r="182" ht="14.25" customHeight="1">
      <c r="A182" s="7"/>
      <c r="B182" s="200"/>
      <c r="C182" s="200"/>
      <c r="D182" s="200"/>
      <c r="E182" s="200"/>
      <c r="F182" s="200"/>
      <c r="G182" s="7"/>
      <c r="H182" s="7"/>
      <c r="I182" s="7"/>
      <c r="J182" s="7"/>
      <c r="K182" s="7"/>
      <c r="L182" s="7"/>
      <c r="M182" s="7"/>
      <c r="N182" s="7"/>
      <c r="O182" s="7"/>
      <c r="P182" s="7"/>
      <c r="Q182" s="7"/>
      <c r="R182" s="7"/>
      <c r="S182" s="7"/>
      <c r="T182" s="7"/>
      <c r="U182" s="7"/>
      <c r="V182" s="7"/>
      <c r="W182" s="7"/>
      <c r="X182" s="7"/>
      <c r="Y182" s="7"/>
      <c r="Z182" s="7"/>
    </row>
    <row r="183" ht="14.25" customHeight="1">
      <c r="A183" s="7"/>
      <c r="B183" s="200"/>
      <c r="C183" s="200"/>
      <c r="D183" s="200"/>
      <c r="E183" s="200"/>
      <c r="F183" s="200"/>
      <c r="G183" s="7"/>
      <c r="H183" s="7"/>
      <c r="I183" s="7"/>
      <c r="J183" s="7"/>
      <c r="K183" s="7"/>
      <c r="L183" s="7"/>
      <c r="M183" s="7"/>
      <c r="N183" s="7"/>
      <c r="O183" s="7"/>
      <c r="P183" s="7"/>
      <c r="Q183" s="7"/>
      <c r="R183" s="7"/>
      <c r="S183" s="7"/>
      <c r="T183" s="7"/>
      <c r="U183" s="7"/>
      <c r="V183" s="7"/>
      <c r="W183" s="7"/>
      <c r="X183" s="7"/>
      <c r="Y183" s="7"/>
      <c r="Z183" s="7"/>
    </row>
    <row r="184" ht="14.25" customHeight="1">
      <c r="A184" s="7"/>
      <c r="B184" s="200"/>
      <c r="C184" s="200"/>
      <c r="D184" s="200"/>
      <c r="E184" s="200"/>
      <c r="F184" s="200"/>
      <c r="G184" s="7"/>
      <c r="H184" s="7"/>
      <c r="I184" s="7"/>
      <c r="J184" s="7"/>
      <c r="K184" s="7"/>
      <c r="L184" s="7"/>
      <c r="M184" s="7"/>
      <c r="N184" s="7"/>
      <c r="O184" s="7"/>
      <c r="P184" s="7"/>
      <c r="Q184" s="7"/>
      <c r="R184" s="7"/>
      <c r="S184" s="7"/>
      <c r="T184" s="7"/>
      <c r="U184" s="7"/>
      <c r="V184" s="7"/>
      <c r="W184" s="7"/>
      <c r="X184" s="7"/>
      <c r="Y184" s="7"/>
      <c r="Z184" s="7"/>
    </row>
    <row r="185" ht="14.25" customHeight="1">
      <c r="A185" s="7"/>
      <c r="B185" s="200"/>
      <c r="C185" s="200"/>
      <c r="D185" s="200"/>
      <c r="E185" s="200"/>
      <c r="F185" s="200"/>
      <c r="G185" s="7"/>
      <c r="H185" s="7"/>
      <c r="I185" s="7"/>
      <c r="J185" s="7"/>
      <c r="K185" s="7"/>
      <c r="L185" s="7"/>
      <c r="M185" s="7"/>
      <c r="N185" s="7"/>
      <c r="O185" s="7"/>
      <c r="P185" s="7"/>
      <c r="Q185" s="7"/>
      <c r="R185" s="7"/>
      <c r="S185" s="7"/>
      <c r="T185" s="7"/>
      <c r="U185" s="7"/>
      <c r="V185" s="7"/>
      <c r="W185" s="7"/>
      <c r="X185" s="7"/>
      <c r="Y185" s="7"/>
      <c r="Z185" s="7"/>
    </row>
    <row r="186" ht="14.25" customHeight="1">
      <c r="A186" s="7"/>
      <c r="B186" s="200"/>
      <c r="C186" s="200"/>
      <c r="D186" s="200"/>
      <c r="E186" s="200"/>
      <c r="F186" s="200"/>
      <c r="G186" s="7"/>
      <c r="H186" s="7"/>
      <c r="I186" s="7"/>
      <c r="J186" s="7"/>
      <c r="K186" s="7"/>
      <c r="L186" s="7"/>
      <c r="M186" s="7"/>
      <c r="N186" s="7"/>
      <c r="O186" s="7"/>
      <c r="P186" s="7"/>
      <c r="Q186" s="7"/>
      <c r="R186" s="7"/>
      <c r="S186" s="7"/>
      <c r="T186" s="7"/>
      <c r="U186" s="7"/>
      <c r="V186" s="7"/>
      <c r="W186" s="7"/>
      <c r="X186" s="7"/>
      <c r="Y186" s="7"/>
      <c r="Z186" s="7"/>
    </row>
    <row r="187" ht="14.25" customHeight="1">
      <c r="A187" s="7"/>
      <c r="B187" s="200"/>
      <c r="C187" s="200"/>
      <c r="D187" s="200"/>
      <c r="E187" s="200"/>
      <c r="F187" s="200"/>
      <c r="G187" s="7"/>
      <c r="H187" s="7"/>
      <c r="I187" s="7"/>
      <c r="J187" s="7"/>
      <c r="K187" s="7"/>
      <c r="L187" s="7"/>
      <c r="M187" s="7"/>
      <c r="N187" s="7"/>
      <c r="O187" s="7"/>
      <c r="P187" s="7"/>
      <c r="Q187" s="7"/>
      <c r="R187" s="7"/>
      <c r="S187" s="7"/>
      <c r="T187" s="7"/>
      <c r="U187" s="7"/>
      <c r="V187" s="7"/>
      <c r="W187" s="7"/>
      <c r="X187" s="7"/>
      <c r="Y187" s="7"/>
      <c r="Z187" s="7"/>
    </row>
    <row r="188" ht="14.25" customHeight="1">
      <c r="A188" s="7"/>
      <c r="B188" s="200"/>
      <c r="C188" s="200"/>
      <c r="D188" s="200"/>
      <c r="E188" s="200"/>
      <c r="F188" s="200"/>
      <c r="G188" s="7"/>
      <c r="H188" s="7"/>
      <c r="I188" s="7"/>
      <c r="J188" s="7"/>
      <c r="K188" s="7"/>
      <c r="L188" s="7"/>
      <c r="M188" s="7"/>
      <c r="N188" s="7"/>
      <c r="O188" s="7"/>
      <c r="P188" s="7"/>
      <c r="Q188" s="7"/>
      <c r="R188" s="7"/>
      <c r="S188" s="7"/>
      <c r="T188" s="7"/>
      <c r="U188" s="7"/>
      <c r="V188" s="7"/>
      <c r="W188" s="7"/>
      <c r="X188" s="7"/>
      <c r="Y188" s="7"/>
      <c r="Z188" s="7"/>
    </row>
    <row r="189" ht="14.25" customHeight="1">
      <c r="A189" s="7"/>
      <c r="B189" s="200"/>
      <c r="C189" s="200"/>
      <c r="D189" s="200"/>
      <c r="E189" s="200"/>
      <c r="F189" s="200"/>
      <c r="G189" s="7"/>
      <c r="H189" s="7"/>
      <c r="I189" s="7"/>
      <c r="J189" s="7"/>
      <c r="K189" s="7"/>
      <c r="L189" s="7"/>
      <c r="M189" s="7"/>
      <c r="N189" s="7"/>
      <c r="O189" s="7"/>
      <c r="P189" s="7"/>
      <c r="Q189" s="7"/>
      <c r="R189" s="7"/>
      <c r="S189" s="7"/>
      <c r="T189" s="7"/>
      <c r="U189" s="7"/>
      <c r="V189" s="7"/>
      <c r="W189" s="7"/>
      <c r="X189" s="7"/>
      <c r="Y189" s="7"/>
      <c r="Z189" s="7"/>
    </row>
    <row r="190" ht="14.25" customHeight="1">
      <c r="A190" s="7"/>
      <c r="B190" s="200"/>
      <c r="C190" s="200"/>
      <c r="D190" s="200"/>
      <c r="E190" s="200"/>
      <c r="F190" s="200"/>
      <c r="G190" s="7"/>
      <c r="H190" s="7"/>
      <c r="I190" s="7"/>
      <c r="J190" s="7"/>
      <c r="K190" s="7"/>
      <c r="L190" s="7"/>
      <c r="M190" s="7"/>
      <c r="N190" s="7"/>
      <c r="O190" s="7"/>
      <c r="P190" s="7"/>
      <c r="Q190" s="7"/>
      <c r="R190" s="7"/>
      <c r="S190" s="7"/>
      <c r="T190" s="7"/>
      <c r="U190" s="7"/>
      <c r="V190" s="7"/>
      <c r="W190" s="7"/>
      <c r="X190" s="7"/>
      <c r="Y190" s="7"/>
      <c r="Z190" s="7"/>
    </row>
    <row r="191" ht="14.25" customHeight="1">
      <c r="A191" s="7"/>
      <c r="B191" s="200"/>
      <c r="C191" s="200"/>
      <c r="D191" s="200"/>
      <c r="E191" s="200"/>
      <c r="F191" s="200"/>
      <c r="G191" s="7"/>
      <c r="H191" s="7"/>
      <c r="I191" s="7"/>
      <c r="J191" s="7"/>
      <c r="K191" s="7"/>
      <c r="L191" s="7"/>
      <c r="M191" s="7"/>
      <c r="N191" s="7"/>
      <c r="O191" s="7"/>
      <c r="P191" s="7"/>
      <c r="Q191" s="7"/>
      <c r="R191" s="7"/>
      <c r="S191" s="7"/>
      <c r="T191" s="7"/>
      <c r="U191" s="7"/>
      <c r="V191" s="7"/>
      <c r="W191" s="7"/>
      <c r="X191" s="7"/>
      <c r="Y191" s="7"/>
      <c r="Z191" s="7"/>
    </row>
    <row r="192" ht="14.25" customHeight="1">
      <c r="A192" s="7"/>
      <c r="B192" s="200"/>
      <c r="C192" s="200"/>
      <c r="D192" s="200"/>
      <c r="E192" s="200"/>
      <c r="F192" s="200"/>
      <c r="G192" s="7"/>
      <c r="H192" s="7"/>
      <c r="I192" s="7"/>
      <c r="J192" s="7"/>
      <c r="K192" s="7"/>
      <c r="L192" s="7"/>
      <c r="M192" s="7"/>
      <c r="N192" s="7"/>
      <c r="O192" s="7"/>
      <c r="P192" s="7"/>
      <c r="Q192" s="7"/>
      <c r="R192" s="7"/>
      <c r="S192" s="7"/>
      <c r="T192" s="7"/>
      <c r="U192" s="7"/>
      <c r="V192" s="7"/>
      <c r="W192" s="7"/>
      <c r="X192" s="7"/>
      <c r="Y192" s="7"/>
      <c r="Z192" s="7"/>
    </row>
    <row r="193" ht="14.25" customHeight="1">
      <c r="A193" s="7"/>
      <c r="B193" s="200"/>
      <c r="C193" s="200"/>
      <c r="D193" s="200"/>
      <c r="E193" s="200"/>
      <c r="F193" s="200"/>
      <c r="G193" s="7"/>
      <c r="H193" s="7"/>
      <c r="I193" s="7"/>
      <c r="J193" s="7"/>
      <c r="K193" s="7"/>
      <c r="L193" s="7"/>
      <c r="M193" s="7"/>
      <c r="N193" s="7"/>
      <c r="O193" s="7"/>
      <c r="P193" s="7"/>
      <c r="Q193" s="7"/>
      <c r="R193" s="7"/>
      <c r="S193" s="7"/>
      <c r="T193" s="7"/>
      <c r="U193" s="7"/>
      <c r="V193" s="7"/>
      <c r="W193" s="7"/>
      <c r="X193" s="7"/>
      <c r="Y193" s="7"/>
      <c r="Z193" s="7"/>
    </row>
    <row r="194" ht="14.25" customHeight="1">
      <c r="A194" s="7"/>
      <c r="B194" s="200"/>
      <c r="C194" s="200"/>
      <c r="D194" s="200"/>
      <c r="E194" s="200"/>
      <c r="F194" s="200"/>
      <c r="G194" s="7"/>
      <c r="H194" s="7"/>
      <c r="I194" s="7"/>
      <c r="J194" s="7"/>
      <c r="K194" s="7"/>
      <c r="L194" s="7"/>
      <c r="M194" s="7"/>
      <c r="N194" s="7"/>
      <c r="O194" s="7"/>
      <c r="P194" s="7"/>
      <c r="Q194" s="7"/>
      <c r="R194" s="7"/>
      <c r="S194" s="7"/>
      <c r="T194" s="7"/>
      <c r="U194" s="7"/>
      <c r="V194" s="7"/>
      <c r="W194" s="7"/>
      <c r="X194" s="7"/>
      <c r="Y194" s="7"/>
      <c r="Z194" s="7"/>
    </row>
    <row r="195" ht="14.25" customHeight="1">
      <c r="A195" s="7"/>
      <c r="B195" s="200"/>
      <c r="C195" s="200"/>
      <c r="D195" s="200"/>
      <c r="E195" s="200"/>
      <c r="F195" s="200"/>
      <c r="G195" s="7"/>
      <c r="H195" s="7"/>
      <c r="I195" s="7"/>
      <c r="J195" s="7"/>
      <c r="K195" s="7"/>
      <c r="L195" s="7"/>
      <c r="M195" s="7"/>
      <c r="N195" s="7"/>
      <c r="O195" s="7"/>
      <c r="P195" s="7"/>
      <c r="Q195" s="7"/>
      <c r="R195" s="7"/>
      <c r="S195" s="7"/>
      <c r="T195" s="7"/>
      <c r="U195" s="7"/>
      <c r="V195" s="7"/>
      <c r="W195" s="7"/>
      <c r="X195" s="7"/>
      <c r="Y195" s="7"/>
      <c r="Z195" s="7"/>
    </row>
    <row r="196" ht="14.25" customHeight="1">
      <c r="A196" s="7"/>
      <c r="B196" s="200"/>
      <c r="C196" s="200"/>
      <c r="D196" s="200"/>
      <c r="E196" s="200"/>
      <c r="F196" s="200"/>
      <c r="G196" s="7"/>
      <c r="H196" s="7"/>
      <c r="I196" s="7"/>
      <c r="J196" s="7"/>
      <c r="K196" s="7"/>
      <c r="L196" s="7"/>
      <c r="M196" s="7"/>
      <c r="N196" s="7"/>
      <c r="O196" s="7"/>
      <c r="P196" s="7"/>
      <c r="Q196" s="7"/>
      <c r="R196" s="7"/>
      <c r="S196" s="7"/>
      <c r="T196" s="7"/>
      <c r="U196" s="7"/>
      <c r="V196" s="7"/>
      <c r="W196" s="7"/>
      <c r="X196" s="7"/>
      <c r="Y196" s="7"/>
      <c r="Z196" s="7"/>
    </row>
    <row r="197" ht="14.25" customHeight="1">
      <c r="A197" s="7"/>
      <c r="B197" s="200"/>
      <c r="C197" s="200"/>
      <c r="D197" s="200"/>
      <c r="E197" s="200"/>
      <c r="F197" s="200"/>
      <c r="G197" s="7"/>
      <c r="H197" s="7"/>
      <c r="I197" s="7"/>
      <c r="J197" s="7"/>
      <c r="K197" s="7"/>
      <c r="L197" s="7"/>
      <c r="M197" s="7"/>
      <c r="N197" s="7"/>
      <c r="O197" s="7"/>
      <c r="P197" s="7"/>
      <c r="Q197" s="7"/>
      <c r="R197" s="7"/>
      <c r="S197" s="7"/>
      <c r="T197" s="7"/>
      <c r="U197" s="7"/>
      <c r="V197" s="7"/>
      <c r="W197" s="7"/>
      <c r="X197" s="7"/>
      <c r="Y197" s="7"/>
      <c r="Z197" s="7"/>
    </row>
    <row r="198" ht="14.25" customHeight="1">
      <c r="A198" s="7"/>
      <c r="B198" s="200"/>
      <c r="C198" s="200"/>
      <c r="D198" s="200"/>
      <c r="E198" s="200"/>
      <c r="F198" s="200"/>
      <c r="G198" s="7"/>
      <c r="H198" s="7"/>
      <c r="I198" s="7"/>
      <c r="J198" s="7"/>
      <c r="K198" s="7"/>
      <c r="L198" s="7"/>
      <c r="M198" s="7"/>
      <c r="N198" s="7"/>
      <c r="O198" s="7"/>
      <c r="P198" s="7"/>
      <c r="Q198" s="7"/>
      <c r="R198" s="7"/>
      <c r="S198" s="7"/>
      <c r="T198" s="7"/>
      <c r="U198" s="7"/>
      <c r="V198" s="7"/>
      <c r="W198" s="7"/>
      <c r="X198" s="7"/>
      <c r="Y198" s="7"/>
      <c r="Z198" s="7"/>
    </row>
    <row r="199" ht="14.25" customHeight="1">
      <c r="A199" s="7"/>
      <c r="B199" s="200"/>
      <c r="C199" s="200"/>
      <c r="D199" s="200"/>
      <c r="E199" s="200"/>
      <c r="F199" s="200"/>
      <c r="G199" s="7"/>
      <c r="H199" s="7"/>
      <c r="I199" s="7"/>
      <c r="J199" s="7"/>
      <c r="K199" s="7"/>
      <c r="L199" s="7"/>
      <c r="M199" s="7"/>
      <c r="N199" s="7"/>
      <c r="O199" s="7"/>
      <c r="P199" s="7"/>
      <c r="Q199" s="7"/>
      <c r="R199" s="7"/>
      <c r="S199" s="7"/>
      <c r="T199" s="7"/>
      <c r="U199" s="7"/>
      <c r="V199" s="7"/>
      <c r="W199" s="7"/>
      <c r="X199" s="7"/>
      <c r="Y199" s="7"/>
      <c r="Z199" s="7"/>
    </row>
    <row r="200" ht="14.25" customHeight="1">
      <c r="A200" s="7"/>
      <c r="B200" s="200"/>
      <c r="C200" s="200"/>
      <c r="D200" s="200"/>
      <c r="E200" s="200"/>
      <c r="F200" s="200"/>
      <c r="G200" s="7"/>
      <c r="H200" s="7"/>
      <c r="I200" s="7"/>
      <c r="J200" s="7"/>
      <c r="K200" s="7"/>
      <c r="L200" s="7"/>
      <c r="M200" s="7"/>
      <c r="N200" s="7"/>
      <c r="O200" s="7"/>
      <c r="P200" s="7"/>
      <c r="Q200" s="7"/>
      <c r="R200" s="7"/>
      <c r="S200" s="7"/>
      <c r="T200" s="7"/>
      <c r="U200" s="7"/>
      <c r="V200" s="7"/>
      <c r="W200" s="7"/>
      <c r="X200" s="7"/>
      <c r="Y200" s="7"/>
      <c r="Z200" s="7"/>
    </row>
    <row r="201" ht="14.25" customHeight="1">
      <c r="A201" s="7"/>
      <c r="B201" s="200"/>
      <c r="C201" s="200"/>
      <c r="D201" s="200"/>
      <c r="E201" s="200"/>
      <c r="F201" s="200"/>
      <c r="G201" s="7"/>
      <c r="H201" s="7"/>
      <c r="I201" s="7"/>
      <c r="J201" s="7"/>
      <c r="K201" s="7"/>
      <c r="L201" s="7"/>
      <c r="M201" s="7"/>
      <c r="N201" s="7"/>
      <c r="O201" s="7"/>
      <c r="P201" s="7"/>
      <c r="Q201" s="7"/>
      <c r="R201" s="7"/>
      <c r="S201" s="7"/>
      <c r="T201" s="7"/>
      <c r="U201" s="7"/>
      <c r="V201" s="7"/>
      <c r="W201" s="7"/>
      <c r="X201" s="7"/>
      <c r="Y201" s="7"/>
      <c r="Z201" s="7"/>
    </row>
    <row r="202" ht="14.25" customHeight="1">
      <c r="A202" s="7"/>
      <c r="B202" s="200"/>
      <c r="C202" s="200"/>
      <c r="D202" s="200"/>
      <c r="E202" s="200"/>
      <c r="F202" s="200"/>
      <c r="G202" s="7"/>
      <c r="H202" s="7"/>
      <c r="I202" s="7"/>
      <c r="J202" s="7"/>
      <c r="K202" s="7"/>
      <c r="L202" s="7"/>
      <c r="M202" s="7"/>
      <c r="N202" s="7"/>
      <c r="O202" s="7"/>
      <c r="P202" s="7"/>
      <c r="Q202" s="7"/>
      <c r="R202" s="7"/>
      <c r="S202" s="7"/>
      <c r="T202" s="7"/>
      <c r="U202" s="7"/>
      <c r="V202" s="7"/>
      <c r="W202" s="7"/>
      <c r="X202" s="7"/>
      <c r="Y202" s="7"/>
      <c r="Z202" s="7"/>
    </row>
    <row r="203" ht="14.25" customHeight="1">
      <c r="A203" s="7"/>
      <c r="B203" s="200"/>
      <c r="C203" s="200"/>
      <c r="D203" s="200"/>
      <c r="E203" s="200"/>
      <c r="F203" s="200"/>
      <c r="G203" s="7"/>
      <c r="H203" s="7"/>
      <c r="I203" s="7"/>
      <c r="J203" s="7"/>
      <c r="K203" s="7"/>
      <c r="L203" s="7"/>
      <c r="M203" s="7"/>
      <c r="N203" s="7"/>
      <c r="O203" s="7"/>
      <c r="P203" s="7"/>
      <c r="Q203" s="7"/>
      <c r="R203" s="7"/>
      <c r="S203" s="7"/>
      <c r="T203" s="7"/>
      <c r="U203" s="7"/>
      <c r="V203" s="7"/>
      <c r="W203" s="7"/>
      <c r="X203" s="7"/>
      <c r="Y203" s="7"/>
      <c r="Z203" s="7"/>
    </row>
    <row r="204" ht="14.25" customHeight="1">
      <c r="A204" s="7"/>
      <c r="B204" s="200"/>
      <c r="C204" s="200"/>
      <c r="D204" s="200"/>
      <c r="E204" s="200"/>
      <c r="F204" s="200"/>
      <c r="G204" s="7"/>
      <c r="H204" s="7"/>
      <c r="I204" s="7"/>
      <c r="J204" s="7"/>
      <c r="K204" s="7"/>
      <c r="L204" s="7"/>
      <c r="M204" s="7"/>
      <c r="N204" s="7"/>
      <c r="O204" s="7"/>
      <c r="P204" s="7"/>
      <c r="Q204" s="7"/>
      <c r="R204" s="7"/>
      <c r="S204" s="7"/>
      <c r="T204" s="7"/>
      <c r="U204" s="7"/>
      <c r="V204" s="7"/>
      <c r="W204" s="7"/>
      <c r="X204" s="7"/>
      <c r="Y204" s="7"/>
      <c r="Z204" s="7"/>
    </row>
    <row r="205" ht="14.25" customHeight="1">
      <c r="A205" s="7"/>
      <c r="B205" s="200"/>
      <c r="C205" s="200"/>
      <c r="D205" s="200"/>
      <c r="E205" s="200"/>
      <c r="F205" s="200"/>
      <c r="G205" s="7"/>
      <c r="H205" s="7"/>
      <c r="I205" s="7"/>
      <c r="J205" s="7"/>
      <c r="K205" s="7"/>
      <c r="L205" s="7"/>
      <c r="M205" s="7"/>
      <c r="N205" s="7"/>
      <c r="O205" s="7"/>
      <c r="P205" s="7"/>
      <c r="Q205" s="7"/>
      <c r="R205" s="7"/>
      <c r="S205" s="7"/>
      <c r="T205" s="7"/>
      <c r="U205" s="7"/>
      <c r="V205" s="7"/>
      <c r="W205" s="7"/>
      <c r="X205" s="7"/>
      <c r="Y205" s="7"/>
      <c r="Z205" s="7"/>
    </row>
    <row r="206" ht="14.25" customHeight="1">
      <c r="A206" s="7"/>
      <c r="B206" s="200"/>
      <c r="C206" s="200"/>
      <c r="D206" s="200"/>
      <c r="E206" s="200"/>
      <c r="F206" s="200"/>
      <c r="G206" s="7"/>
      <c r="H206" s="7"/>
      <c r="I206" s="7"/>
      <c r="J206" s="7"/>
      <c r="K206" s="7"/>
      <c r="L206" s="7"/>
      <c r="M206" s="7"/>
      <c r="N206" s="7"/>
      <c r="O206" s="7"/>
      <c r="P206" s="7"/>
      <c r="Q206" s="7"/>
      <c r="R206" s="7"/>
      <c r="S206" s="7"/>
      <c r="T206" s="7"/>
      <c r="U206" s="7"/>
      <c r="V206" s="7"/>
      <c r="W206" s="7"/>
      <c r="X206" s="7"/>
      <c r="Y206" s="7"/>
      <c r="Z206" s="7"/>
    </row>
    <row r="207" ht="14.25" customHeight="1">
      <c r="A207" s="7"/>
      <c r="B207" s="200"/>
      <c r="C207" s="200"/>
      <c r="D207" s="200"/>
      <c r="E207" s="200"/>
      <c r="F207" s="200"/>
      <c r="G207" s="7"/>
      <c r="H207" s="7"/>
      <c r="I207" s="7"/>
      <c r="J207" s="7"/>
      <c r="K207" s="7"/>
      <c r="L207" s="7"/>
      <c r="M207" s="7"/>
      <c r="N207" s="7"/>
      <c r="O207" s="7"/>
      <c r="P207" s="7"/>
      <c r="Q207" s="7"/>
      <c r="R207" s="7"/>
      <c r="S207" s="7"/>
      <c r="T207" s="7"/>
      <c r="U207" s="7"/>
      <c r="V207" s="7"/>
      <c r="W207" s="7"/>
      <c r="X207" s="7"/>
      <c r="Y207" s="7"/>
      <c r="Z207" s="7"/>
    </row>
    <row r="208" ht="14.25" customHeight="1">
      <c r="A208" s="7"/>
      <c r="B208" s="200"/>
      <c r="C208" s="200"/>
      <c r="D208" s="200"/>
      <c r="E208" s="200"/>
      <c r="F208" s="200"/>
      <c r="G208" s="7"/>
      <c r="H208" s="7"/>
      <c r="I208" s="7"/>
      <c r="J208" s="7"/>
      <c r="K208" s="7"/>
      <c r="L208" s="7"/>
      <c r="M208" s="7"/>
      <c r="N208" s="7"/>
      <c r="O208" s="7"/>
      <c r="P208" s="7"/>
      <c r="Q208" s="7"/>
      <c r="R208" s="7"/>
      <c r="S208" s="7"/>
      <c r="T208" s="7"/>
      <c r="U208" s="7"/>
      <c r="V208" s="7"/>
      <c r="W208" s="7"/>
      <c r="X208" s="7"/>
      <c r="Y208" s="7"/>
      <c r="Z208" s="7"/>
    </row>
    <row r="209" ht="14.25" customHeight="1">
      <c r="A209" s="7"/>
      <c r="B209" s="200"/>
      <c r="C209" s="200"/>
      <c r="D209" s="200"/>
      <c r="E209" s="200"/>
      <c r="F209" s="200"/>
      <c r="G209" s="7"/>
      <c r="H209" s="7"/>
      <c r="I209" s="7"/>
      <c r="J209" s="7"/>
      <c r="K209" s="7"/>
      <c r="L209" s="7"/>
      <c r="M209" s="7"/>
      <c r="N209" s="7"/>
      <c r="O209" s="7"/>
      <c r="P209" s="7"/>
      <c r="Q209" s="7"/>
      <c r="R209" s="7"/>
      <c r="S209" s="7"/>
      <c r="T209" s="7"/>
      <c r="U209" s="7"/>
      <c r="V209" s="7"/>
      <c r="W209" s="7"/>
      <c r="X209" s="7"/>
      <c r="Y209" s="7"/>
      <c r="Z209" s="7"/>
    </row>
    <row r="210" ht="14.25" customHeight="1">
      <c r="A210" s="7"/>
      <c r="B210" s="200"/>
      <c r="C210" s="200"/>
      <c r="D210" s="200"/>
      <c r="E210" s="200"/>
      <c r="F210" s="200"/>
      <c r="G210" s="7"/>
      <c r="H210" s="7"/>
      <c r="I210" s="7"/>
      <c r="J210" s="7"/>
      <c r="K210" s="7"/>
      <c r="L210" s="7"/>
      <c r="M210" s="7"/>
      <c r="N210" s="7"/>
      <c r="O210" s="7"/>
      <c r="P210" s="7"/>
      <c r="Q210" s="7"/>
      <c r="R210" s="7"/>
      <c r="S210" s="7"/>
      <c r="T210" s="7"/>
      <c r="U210" s="7"/>
      <c r="V210" s="7"/>
      <c r="W210" s="7"/>
      <c r="X210" s="7"/>
      <c r="Y210" s="7"/>
      <c r="Z210" s="7"/>
    </row>
    <row r="211" ht="14.25" customHeight="1">
      <c r="A211" s="7"/>
      <c r="B211" s="200"/>
      <c r="C211" s="200"/>
      <c r="D211" s="200"/>
      <c r="E211" s="200"/>
      <c r="F211" s="200"/>
      <c r="G211" s="7"/>
      <c r="H211" s="7"/>
      <c r="I211" s="7"/>
      <c r="J211" s="7"/>
      <c r="K211" s="7"/>
      <c r="L211" s="7"/>
      <c r="M211" s="7"/>
      <c r="N211" s="7"/>
      <c r="O211" s="7"/>
      <c r="P211" s="7"/>
      <c r="Q211" s="7"/>
      <c r="R211" s="7"/>
      <c r="S211" s="7"/>
      <c r="T211" s="7"/>
      <c r="U211" s="7"/>
      <c r="V211" s="7"/>
      <c r="W211" s="7"/>
      <c r="X211" s="7"/>
      <c r="Y211" s="7"/>
      <c r="Z211" s="7"/>
    </row>
    <row r="212" ht="14.25" customHeight="1">
      <c r="A212" s="7"/>
      <c r="B212" s="200"/>
      <c r="C212" s="200"/>
      <c r="D212" s="200"/>
      <c r="E212" s="200"/>
      <c r="F212" s="200"/>
      <c r="G212" s="7"/>
      <c r="H212" s="7"/>
      <c r="I212" s="7"/>
      <c r="J212" s="7"/>
      <c r="K212" s="7"/>
      <c r="L212" s="7"/>
      <c r="M212" s="7"/>
      <c r="N212" s="7"/>
      <c r="O212" s="7"/>
      <c r="P212" s="7"/>
      <c r="Q212" s="7"/>
      <c r="R212" s="7"/>
      <c r="S212" s="7"/>
      <c r="T212" s="7"/>
      <c r="U212" s="7"/>
      <c r="V212" s="7"/>
      <c r="W212" s="7"/>
      <c r="X212" s="7"/>
      <c r="Y212" s="7"/>
      <c r="Z212" s="7"/>
    </row>
    <row r="213" ht="14.25" customHeight="1">
      <c r="A213" s="7"/>
      <c r="B213" s="200"/>
      <c r="C213" s="200"/>
      <c r="D213" s="200"/>
      <c r="E213" s="200"/>
      <c r="F213" s="200"/>
      <c r="G213" s="7"/>
      <c r="H213" s="7"/>
      <c r="I213" s="7"/>
      <c r="J213" s="7"/>
      <c r="K213" s="7"/>
      <c r="L213" s="7"/>
      <c r="M213" s="7"/>
      <c r="N213" s="7"/>
      <c r="O213" s="7"/>
      <c r="P213" s="7"/>
      <c r="Q213" s="7"/>
      <c r="R213" s="7"/>
      <c r="S213" s="7"/>
      <c r="T213" s="7"/>
      <c r="U213" s="7"/>
      <c r="V213" s="7"/>
      <c r="W213" s="7"/>
      <c r="X213" s="7"/>
      <c r="Y213" s="7"/>
      <c r="Z213" s="7"/>
    </row>
    <row r="214" ht="14.25" customHeight="1">
      <c r="A214" s="7"/>
      <c r="B214" s="200"/>
      <c r="C214" s="200"/>
      <c r="D214" s="200"/>
      <c r="E214" s="200"/>
      <c r="F214" s="200"/>
      <c r="G214" s="7"/>
      <c r="H214" s="7"/>
      <c r="I214" s="7"/>
      <c r="J214" s="7"/>
      <c r="K214" s="7"/>
      <c r="L214" s="7"/>
      <c r="M214" s="7"/>
      <c r="N214" s="7"/>
      <c r="O214" s="7"/>
      <c r="P214" s="7"/>
      <c r="Q214" s="7"/>
      <c r="R214" s="7"/>
      <c r="S214" s="7"/>
      <c r="T214" s="7"/>
      <c r="U214" s="7"/>
      <c r="V214" s="7"/>
      <c r="W214" s="7"/>
      <c r="X214" s="7"/>
      <c r="Y214" s="7"/>
      <c r="Z214" s="7"/>
    </row>
    <row r="215" ht="14.25" customHeight="1">
      <c r="A215" s="7"/>
      <c r="B215" s="200"/>
      <c r="C215" s="200"/>
      <c r="D215" s="200"/>
      <c r="E215" s="200"/>
      <c r="F215" s="200"/>
      <c r="G215" s="7"/>
      <c r="H215" s="7"/>
      <c r="I215" s="7"/>
      <c r="J215" s="7"/>
      <c r="K215" s="7"/>
      <c r="L215" s="7"/>
      <c r="M215" s="7"/>
      <c r="N215" s="7"/>
      <c r="O215" s="7"/>
      <c r="P215" s="7"/>
      <c r="Q215" s="7"/>
      <c r="R215" s="7"/>
      <c r="S215" s="7"/>
      <c r="T215" s="7"/>
      <c r="U215" s="7"/>
      <c r="V215" s="7"/>
      <c r="W215" s="7"/>
      <c r="X215" s="7"/>
      <c r="Y215" s="7"/>
      <c r="Z215" s="7"/>
    </row>
    <row r="216" ht="14.25" customHeight="1">
      <c r="A216" s="7"/>
      <c r="B216" s="200"/>
      <c r="C216" s="200"/>
      <c r="D216" s="200"/>
      <c r="E216" s="200"/>
      <c r="F216" s="200"/>
      <c r="G216" s="7"/>
      <c r="H216" s="7"/>
      <c r="I216" s="7"/>
      <c r="J216" s="7"/>
      <c r="K216" s="7"/>
      <c r="L216" s="7"/>
      <c r="M216" s="7"/>
      <c r="N216" s="7"/>
      <c r="O216" s="7"/>
      <c r="P216" s="7"/>
      <c r="Q216" s="7"/>
      <c r="R216" s="7"/>
      <c r="S216" s="7"/>
      <c r="T216" s="7"/>
      <c r="U216" s="7"/>
      <c r="V216" s="7"/>
      <c r="W216" s="7"/>
      <c r="X216" s="7"/>
      <c r="Y216" s="7"/>
      <c r="Z216" s="7"/>
    </row>
    <row r="217" ht="14.25" customHeight="1">
      <c r="A217" s="7"/>
      <c r="B217" s="200"/>
      <c r="C217" s="200"/>
      <c r="D217" s="200"/>
      <c r="E217" s="200"/>
      <c r="F217" s="200"/>
      <c r="G217" s="7"/>
      <c r="H217" s="7"/>
      <c r="I217" s="7"/>
      <c r="J217" s="7"/>
      <c r="K217" s="7"/>
      <c r="L217" s="7"/>
      <c r="M217" s="7"/>
      <c r="N217" s="7"/>
      <c r="O217" s="7"/>
      <c r="P217" s="7"/>
      <c r="Q217" s="7"/>
      <c r="R217" s="7"/>
      <c r="S217" s="7"/>
      <c r="T217" s="7"/>
      <c r="U217" s="7"/>
      <c r="V217" s="7"/>
      <c r="W217" s="7"/>
      <c r="X217" s="7"/>
      <c r="Y217" s="7"/>
      <c r="Z217" s="7"/>
    </row>
    <row r="218" ht="14.25" customHeight="1">
      <c r="A218" s="7"/>
      <c r="B218" s="200"/>
      <c r="C218" s="200"/>
      <c r="D218" s="200"/>
      <c r="E218" s="200"/>
      <c r="F218" s="200"/>
      <c r="G218" s="7"/>
      <c r="H218" s="7"/>
      <c r="I218" s="7"/>
      <c r="J218" s="7"/>
      <c r="K218" s="7"/>
      <c r="L218" s="7"/>
      <c r="M218" s="7"/>
      <c r="N218" s="7"/>
      <c r="O218" s="7"/>
      <c r="P218" s="7"/>
      <c r="Q218" s="7"/>
      <c r="R218" s="7"/>
      <c r="S218" s="7"/>
      <c r="T218" s="7"/>
      <c r="U218" s="7"/>
      <c r="V218" s="7"/>
      <c r="W218" s="7"/>
      <c r="X218" s="7"/>
      <c r="Y218" s="7"/>
      <c r="Z218" s="7"/>
    </row>
    <row r="219" ht="14.25" customHeight="1">
      <c r="A219" s="7"/>
      <c r="B219" s="200"/>
      <c r="C219" s="200"/>
      <c r="D219" s="200"/>
      <c r="E219" s="200"/>
      <c r="F219" s="200"/>
      <c r="G219" s="7"/>
      <c r="H219" s="7"/>
      <c r="I219" s="7"/>
      <c r="J219" s="7"/>
      <c r="K219" s="7"/>
      <c r="L219" s="7"/>
      <c r="M219" s="7"/>
      <c r="N219" s="7"/>
      <c r="O219" s="7"/>
      <c r="P219" s="7"/>
      <c r="Q219" s="7"/>
      <c r="R219" s="7"/>
      <c r="S219" s="7"/>
      <c r="T219" s="7"/>
      <c r="U219" s="7"/>
      <c r="V219" s="7"/>
      <c r="W219" s="7"/>
      <c r="X219" s="7"/>
      <c r="Y219" s="7"/>
      <c r="Z219" s="7"/>
    </row>
    <row r="220" ht="14.25" customHeight="1">
      <c r="A220" s="7"/>
      <c r="B220" s="200"/>
      <c r="C220" s="200"/>
      <c r="D220" s="200"/>
      <c r="E220" s="200"/>
      <c r="F220" s="200"/>
      <c r="G220" s="7"/>
      <c r="H220" s="7"/>
      <c r="I220" s="7"/>
      <c r="J220" s="7"/>
      <c r="K220" s="7"/>
      <c r="L220" s="7"/>
      <c r="M220" s="7"/>
      <c r="N220" s="7"/>
      <c r="O220" s="7"/>
      <c r="P220" s="7"/>
      <c r="Q220" s="7"/>
      <c r="R220" s="7"/>
      <c r="S220" s="7"/>
      <c r="T220" s="7"/>
      <c r="U220" s="7"/>
      <c r="V220" s="7"/>
      <c r="W220" s="7"/>
      <c r="X220" s="7"/>
      <c r="Y220" s="7"/>
      <c r="Z220" s="7"/>
    </row>
    <row r="221" ht="14.25" customHeight="1">
      <c r="A221" s="7"/>
      <c r="B221" s="200"/>
      <c r="C221" s="200"/>
      <c r="D221" s="200"/>
      <c r="E221" s="200"/>
      <c r="F221" s="200"/>
      <c r="G221" s="7"/>
      <c r="H221" s="7"/>
      <c r="I221" s="7"/>
      <c r="J221" s="7"/>
      <c r="K221" s="7"/>
      <c r="L221" s="7"/>
      <c r="M221" s="7"/>
      <c r="N221" s="7"/>
      <c r="O221" s="7"/>
      <c r="P221" s="7"/>
      <c r="Q221" s="7"/>
      <c r="R221" s="7"/>
      <c r="S221" s="7"/>
      <c r="T221" s="7"/>
      <c r="U221" s="7"/>
      <c r="V221" s="7"/>
      <c r="W221" s="7"/>
      <c r="X221" s="7"/>
      <c r="Y221" s="7"/>
      <c r="Z221" s="7"/>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9:C9"/>
    <mergeCell ref="B17:C17"/>
    <mergeCell ref="B18:C18"/>
    <mergeCell ref="B19:C19"/>
    <mergeCell ref="B20:C20"/>
    <mergeCell ref="B21:C21"/>
  </mergeCells>
  <printOptions/>
  <pageMargins bottom="0.75" footer="0.0" header="0.0" left="0.7" right="0.7" top="0.75"/>
  <pageSetup orientation="landscape"/>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1.5"/>
    <col customWidth="1" min="7" max="21" width="10.63"/>
  </cols>
  <sheetData>
    <row r="1" ht="14.25" customHeight="1">
      <c r="A1" s="7"/>
      <c r="B1" s="7"/>
      <c r="C1" s="7"/>
      <c r="D1" s="7"/>
      <c r="E1" s="7"/>
      <c r="F1" s="7"/>
      <c r="G1" s="7"/>
      <c r="H1" s="7"/>
      <c r="I1" s="7"/>
      <c r="J1" s="7"/>
      <c r="K1" s="7"/>
      <c r="L1" s="7"/>
      <c r="M1" s="7"/>
      <c r="N1" s="7"/>
      <c r="O1" s="7"/>
      <c r="P1" s="7"/>
      <c r="Q1" s="7"/>
      <c r="R1" s="7"/>
      <c r="S1" s="7"/>
      <c r="T1" s="7"/>
      <c r="U1" s="7"/>
      <c r="V1" s="7"/>
      <c r="W1" s="7"/>
      <c r="X1" s="7"/>
      <c r="Y1" s="7"/>
      <c r="Z1" s="7"/>
    </row>
    <row r="2" ht="14.25" customHeight="1">
      <c r="A2" s="7" t="s">
        <v>1967</v>
      </c>
      <c r="B2" s="7"/>
      <c r="C2" s="7"/>
      <c r="D2" s="7"/>
      <c r="E2" s="7"/>
      <c r="F2" s="7"/>
      <c r="G2" s="7"/>
      <c r="H2" s="7"/>
      <c r="I2" s="7"/>
      <c r="J2" s="7"/>
      <c r="K2" s="7"/>
      <c r="L2" s="7"/>
      <c r="M2" s="7"/>
      <c r="N2" s="7"/>
      <c r="O2" s="7"/>
      <c r="P2" s="7"/>
      <c r="Q2" s="7"/>
      <c r="R2" s="7"/>
      <c r="S2" s="7"/>
      <c r="T2" s="7"/>
      <c r="U2" s="7"/>
      <c r="V2" s="7"/>
      <c r="W2" s="7"/>
      <c r="X2" s="7"/>
      <c r="Y2" s="7"/>
      <c r="Z2" s="7"/>
    </row>
    <row r="3" ht="14.25" customHeight="1">
      <c r="A3" s="7" t="s">
        <v>1968</v>
      </c>
      <c r="B3" s="7"/>
      <c r="C3" s="7"/>
      <c r="D3" s="7"/>
      <c r="E3" s="7"/>
      <c r="F3" s="7"/>
      <c r="G3" s="7"/>
      <c r="H3" s="7"/>
      <c r="I3" s="7"/>
      <c r="J3" s="7"/>
      <c r="K3" s="7"/>
      <c r="L3" s="7"/>
      <c r="M3" s="7"/>
      <c r="N3" s="7"/>
      <c r="O3" s="7"/>
      <c r="P3" s="7"/>
      <c r="Q3" s="7"/>
      <c r="R3" s="7"/>
      <c r="S3" s="7"/>
      <c r="T3" s="7"/>
      <c r="U3" s="7"/>
      <c r="V3" s="7"/>
      <c r="W3" s="7"/>
      <c r="X3" s="7"/>
      <c r="Y3" s="7"/>
      <c r="Z3" s="7"/>
    </row>
    <row r="4" ht="14.25" customHeight="1">
      <c r="A4" s="7" t="s">
        <v>1969</v>
      </c>
      <c r="B4" s="7"/>
      <c r="C4" s="7"/>
      <c r="D4" s="7"/>
      <c r="E4" s="7"/>
      <c r="F4" s="7"/>
      <c r="G4" s="7"/>
      <c r="H4" s="7"/>
      <c r="I4" s="7"/>
      <c r="J4" s="7"/>
      <c r="K4" s="7"/>
      <c r="L4" s="7"/>
      <c r="M4" s="7"/>
      <c r="N4" s="7"/>
      <c r="O4" s="7"/>
      <c r="P4" s="7"/>
      <c r="Q4" s="7"/>
      <c r="R4" s="7"/>
      <c r="S4" s="7"/>
      <c r="T4" s="7"/>
      <c r="U4" s="7"/>
      <c r="V4" s="7"/>
      <c r="W4" s="7"/>
      <c r="X4" s="7"/>
      <c r="Y4" s="7"/>
      <c r="Z4" s="7"/>
    </row>
    <row r="5" ht="14.25" customHeight="1">
      <c r="A5" s="7" t="s">
        <v>1970</v>
      </c>
      <c r="B5" s="7"/>
      <c r="C5" s="7"/>
      <c r="D5" s="7"/>
      <c r="E5" s="7"/>
      <c r="F5" s="7"/>
      <c r="G5" s="7"/>
      <c r="H5" s="7"/>
      <c r="I5" s="7"/>
      <c r="J5" s="7"/>
      <c r="K5" s="7"/>
      <c r="L5" s="7"/>
      <c r="M5" s="7"/>
      <c r="N5" s="7"/>
      <c r="O5" s="7"/>
      <c r="P5" s="7"/>
      <c r="Q5" s="7"/>
      <c r="R5" s="7"/>
      <c r="S5" s="7"/>
      <c r="T5" s="7"/>
      <c r="U5" s="7"/>
      <c r="V5" s="7"/>
      <c r="W5" s="7"/>
      <c r="X5" s="7"/>
      <c r="Y5" s="7"/>
      <c r="Z5" s="7"/>
    </row>
    <row r="6" ht="14.25" customHeight="1">
      <c r="A6" s="7"/>
      <c r="B6" s="7"/>
      <c r="C6" s="7"/>
      <c r="D6" s="7"/>
      <c r="E6" s="7"/>
      <c r="F6" s="7"/>
      <c r="G6" s="7"/>
      <c r="H6" s="7"/>
      <c r="I6" s="7"/>
      <c r="J6" s="7"/>
      <c r="K6" s="7"/>
      <c r="L6" s="7"/>
      <c r="M6" s="7"/>
      <c r="N6" s="7"/>
      <c r="O6" s="7"/>
      <c r="P6" s="7"/>
      <c r="Q6" s="7"/>
      <c r="R6" s="7"/>
      <c r="S6" s="7"/>
      <c r="T6" s="7"/>
      <c r="U6" s="7"/>
      <c r="V6" s="7"/>
      <c r="W6" s="7"/>
      <c r="X6" s="7"/>
      <c r="Y6" s="7"/>
      <c r="Z6" s="7"/>
    </row>
    <row r="7" ht="14.25" customHeight="1">
      <c r="A7" s="7"/>
      <c r="B7" s="7"/>
      <c r="C7" s="7"/>
      <c r="D7" s="7"/>
      <c r="E7" s="7"/>
      <c r="F7" s="7"/>
      <c r="G7" s="7"/>
      <c r="H7" s="7"/>
      <c r="I7" s="7"/>
      <c r="J7" s="7"/>
      <c r="K7" s="7"/>
      <c r="L7" s="7"/>
      <c r="M7" s="7"/>
      <c r="N7" s="7"/>
      <c r="O7" s="7"/>
      <c r="P7" s="7"/>
      <c r="Q7" s="7"/>
      <c r="R7" s="7"/>
      <c r="S7" s="7"/>
      <c r="T7" s="7"/>
      <c r="U7" s="7"/>
      <c r="V7" s="7"/>
      <c r="W7" s="7"/>
      <c r="X7" s="7"/>
      <c r="Y7" s="7"/>
      <c r="Z7" s="7"/>
    </row>
    <row r="8" ht="14.25" customHeight="1">
      <c r="A8" s="7"/>
      <c r="B8" s="7"/>
      <c r="C8" s="7"/>
      <c r="D8" s="7"/>
      <c r="E8" s="7"/>
      <c r="F8" s="7"/>
      <c r="G8" s="7"/>
      <c r="H8" s="7"/>
      <c r="I8" s="7"/>
      <c r="J8" s="7"/>
      <c r="K8" s="7"/>
      <c r="L8" s="7"/>
      <c r="M8" s="7"/>
      <c r="N8" s="7"/>
      <c r="O8" s="7"/>
      <c r="P8" s="7"/>
      <c r="Q8" s="7"/>
      <c r="R8" s="7"/>
      <c r="S8" s="7"/>
      <c r="T8" s="7"/>
      <c r="U8" s="7"/>
      <c r="V8" s="7"/>
      <c r="W8" s="7"/>
      <c r="X8" s="7"/>
      <c r="Y8" s="7"/>
      <c r="Z8" s="7"/>
    </row>
    <row r="9" ht="14.25" customHeight="1">
      <c r="A9" s="7"/>
      <c r="B9" s="7"/>
      <c r="C9" s="7"/>
      <c r="D9" s="7"/>
      <c r="E9" s="7"/>
      <c r="F9" s="7"/>
      <c r="G9" s="7"/>
      <c r="H9" s="7"/>
      <c r="I9" s="7"/>
      <c r="J9" s="7"/>
      <c r="K9" s="7"/>
      <c r="L9" s="7"/>
      <c r="M9" s="7"/>
      <c r="N9" s="7"/>
      <c r="O9" s="7"/>
      <c r="P9" s="7"/>
      <c r="Q9" s="7"/>
      <c r="R9" s="7"/>
      <c r="S9" s="7"/>
      <c r="T9" s="7"/>
      <c r="U9" s="7"/>
      <c r="V9" s="7"/>
      <c r="W9" s="7"/>
      <c r="X9" s="7"/>
      <c r="Y9" s="7"/>
      <c r="Z9" s="7"/>
    </row>
    <row r="10" ht="14.25" customHeight="1">
      <c r="A10" s="7"/>
      <c r="B10" s="7"/>
      <c r="C10" s="7"/>
      <c r="D10" s="7"/>
      <c r="E10" s="7"/>
      <c r="F10" s="7"/>
      <c r="G10" s="7"/>
      <c r="H10" s="7"/>
      <c r="I10" s="7"/>
      <c r="J10" s="7"/>
      <c r="K10" s="7"/>
      <c r="L10" s="7"/>
      <c r="M10" s="7"/>
      <c r="N10" s="7"/>
      <c r="O10" s="7"/>
      <c r="P10" s="7"/>
      <c r="Q10" s="7"/>
      <c r="R10" s="7"/>
      <c r="S10" s="7"/>
      <c r="T10" s="7"/>
      <c r="U10" s="7"/>
      <c r="V10" s="7"/>
      <c r="W10" s="7"/>
      <c r="X10" s="7"/>
      <c r="Y10" s="7"/>
      <c r="Z10" s="7"/>
    </row>
    <row r="11" ht="14.25" customHeight="1">
      <c r="A11" s="7"/>
      <c r="B11" s="7"/>
      <c r="C11" s="7"/>
      <c r="D11" s="7"/>
      <c r="E11" s="7"/>
      <c r="F11" s="7"/>
      <c r="G11" s="7"/>
      <c r="H11" s="7"/>
      <c r="I11" s="7"/>
      <c r="J11" s="7"/>
      <c r="K11" s="7"/>
      <c r="L11" s="7"/>
      <c r="M11" s="7"/>
      <c r="N11" s="7"/>
      <c r="O11" s="7"/>
      <c r="P11" s="7"/>
      <c r="Q11" s="7"/>
      <c r="R11" s="7"/>
      <c r="S11" s="7"/>
      <c r="T11" s="7"/>
      <c r="U11" s="7"/>
      <c r="V11" s="7"/>
      <c r="W11" s="7"/>
      <c r="X11" s="7"/>
      <c r="Y11" s="7"/>
      <c r="Z11" s="7"/>
    </row>
    <row r="12" ht="14.2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ht="14.25"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ht="14.2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ht="14.2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4.2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ht="14.2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14.2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14.2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14.2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4.2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4.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4.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4.2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4.2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4.2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4.2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4.2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4.2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4.2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4.2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4.2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4.2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4.2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4.2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4.2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4.2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4.2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4.2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4.2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4.2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4.2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4.2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4.2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4.2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4.2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4.2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4.2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4.2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4.2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4.2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4.2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4.2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4.2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4.2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4.2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4.2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4.2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4.2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4.2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4.2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4.2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4.2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4.2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4.2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4.2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4.2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4.2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4.2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4.2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4.2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4.2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4.2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4.2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4.2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4.2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4.2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4.2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4.2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4.2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4.2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4.2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10.63"/>
  </cols>
  <sheetData>
    <row r="1" ht="14.25" customHeight="1">
      <c r="A1" s="7"/>
      <c r="B1" s="7"/>
      <c r="C1" s="7"/>
      <c r="D1" s="7"/>
      <c r="E1" s="7"/>
      <c r="F1" s="7"/>
    </row>
    <row r="2" ht="14.25" customHeight="1">
      <c r="A2" s="7"/>
      <c r="B2" s="7"/>
      <c r="C2" s="7"/>
      <c r="D2" s="7"/>
      <c r="E2" s="7"/>
      <c r="F2" s="7"/>
    </row>
    <row r="3" ht="14.25" customHeight="1">
      <c r="A3" s="7"/>
      <c r="B3" s="7"/>
      <c r="C3" s="7"/>
      <c r="D3" s="7"/>
      <c r="E3" s="7"/>
      <c r="F3" s="7"/>
    </row>
    <row r="4" ht="14.25" customHeight="1">
      <c r="A4" s="7"/>
      <c r="B4" s="7"/>
      <c r="C4" s="7"/>
      <c r="D4" s="7"/>
      <c r="E4" s="7"/>
      <c r="F4" s="7"/>
    </row>
    <row r="5" ht="14.25" customHeight="1">
      <c r="A5" s="7"/>
      <c r="B5" s="7"/>
      <c r="C5" s="7"/>
      <c r="D5" s="7"/>
      <c r="E5" s="7"/>
      <c r="F5" s="7"/>
    </row>
    <row r="6" ht="14.25" customHeight="1">
      <c r="A6" s="7"/>
      <c r="B6" s="7"/>
      <c r="C6" s="7"/>
      <c r="D6" s="7"/>
      <c r="E6" s="7"/>
      <c r="F6" s="7"/>
    </row>
    <row r="7" ht="14.25" customHeight="1">
      <c r="A7" s="7"/>
      <c r="B7" s="7"/>
      <c r="C7" s="7"/>
      <c r="D7" s="7"/>
      <c r="E7" s="7"/>
      <c r="F7" s="7"/>
    </row>
    <row r="8" ht="14.25" customHeight="1">
      <c r="A8" s="7"/>
      <c r="B8" s="7"/>
      <c r="C8" s="7"/>
      <c r="D8" s="7"/>
      <c r="E8" s="7"/>
      <c r="F8" s="7"/>
    </row>
    <row r="9" ht="14.25" customHeight="1">
      <c r="A9" s="7"/>
      <c r="B9" s="7"/>
      <c r="C9" s="7"/>
      <c r="D9" s="7"/>
      <c r="E9" s="7"/>
      <c r="F9" s="7"/>
    </row>
    <row r="10" ht="14.25" customHeight="1">
      <c r="A10" s="7"/>
      <c r="B10" s="7"/>
      <c r="C10" s="7"/>
      <c r="D10" s="7"/>
      <c r="E10" s="7"/>
      <c r="F10" s="7"/>
    </row>
    <row r="11" ht="14.25" customHeight="1">
      <c r="A11" s="7"/>
      <c r="B11" s="7"/>
      <c r="C11" s="7"/>
      <c r="D11" s="7"/>
      <c r="E11" s="7"/>
      <c r="F11" s="7"/>
    </row>
    <row r="12" ht="14.25" customHeight="1">
      <c r="A12" s="7"/>
      <c r="B12" s="7"/>
      <c r="C12" s="7"/>
      <c r="D12" s="7"/>
      <c r="E12" s="7"/>
      <c r="F12" s="7"/>
    </row>
    <row r="13" ht="14.25" customHeight="1">
      <c r="A13" s="7"/>
      <c r="B13" s="7"/>
      <c r="C13" s="7"/>
      <c r="D13" s="7"/>
      <c r="E13" s="7"/>
      <c r="F13" s="7"/>
    </row>
    <row r="14" ht="14.25" customHeight="1">
      <c r="A14" s="7"/>
      <c r="B14" s="7"/>
      <c r="C14" s="7"/>
      <c r="D14" s="7"/>
      <c r="E14" s="7"/>
      <c r="F14" s="7"/>
    </row>
    <row r="15" ht="14.25" customHeight="1">
      <c r="A15" s="7"/>
      <c r="B15" s="7"/>
      <c r="C15" s="7"/>
      <c r="D15" s="7"/>
      <c r="E15" s="7"/>
      <c r="F15" s="7"/>
    </row>
    <row r="16" ht="14.25" customHeight="1">
      <c r="A16" s="7"/>
      <c r="B16" s="7"/>
      <c r="C16" s="7"/>
      <c r="D16" s="7"/>
      <c r="E16" s="7"/>
      <c r="F16" s="7"/>
    </row>
    <row r="17" ht="14.25" customHeight="1">
      <c r="A17" s="7"/>
      <c r="B17" s="7"/>
      <c r="C17" s="7"/>
      <c r="D17" s="7"/>
      <c r="E17" s="7"/>
      <c r="F17" s="7"/>
    </row>
    <row r="18" ht="14.25" customHeight="1">
      <c r="A18" s="7"/>
      <c r="B18" s="7"/>
      <c r="C18" s="7"/>
      <c r="D18" s="7"/>
      <c r="E18" s="7"/>
      <c r="F18" s="7"/>
    </row>
    <row r="19" ht="14.25" customHeight="1">
      <c r="A19" s="7"/>
      <c r="B19" s="7"/>
      <c r="C19" s="7"/>
      <c r="D19" s="7"/>
      <c r="E19" s="7"/>
      <c r="F19" s="7"/>
    </row>
    <row r="20" ht="14.25" customHeight="1">
      <c r="A20" s="7"/>
      <c r="B20" s="7"/>
      <c r="C20" s="7"/>
      <c r="D20" s="7"/>
      <c r="E20" s="7"/>
      <c r="F20" s="7"/>
    </row>
    <row r="21" ht="14.25" customHeight="1">
      <c r="A21" s="7"/>
      <c r="B21" s="7"/>
      <c r="C21" s="7"/>
      <c r="D21" s="7"/>
      <c r="E21" s="7"/>
      <c r="F21" s="7"/>
    </row>
    <row r="22" ht="14.25" customHeight="1">
      <c r="A22" s="7"/>
      <c r="B22" s="7"/>
      <c r="C22" s="7"/>
      <c r="D22" s="7"/>
      <c r="E22" s="7"/>
      <c r="F22" s="7"/>
    </row>
    <row r="23" ht="14.25" customHeight="1">
      <c r="A23" s="7"/>
      <c r="B23" s="7"/>
      <c r="C23" s="7"/>
      <c r="D23" s="7"/>
      <c r="E23" s="7"/>
      <c r="F23" s="7"/>
    </row>
    <row r="24" ht="14.25" customHeight="1">
      <c r="A24" s="7"/>
      <c r="B24" s="7"/>
      <c r="C24" s="7"/>
      <c r="D24" s="7"/>
      <c r="E24" s="7"/>
      <c r="F24" s="7"/>
    </row>
    <row r="25" ht="14.25" customHeight="1">
      <c r="A25" s="7"/>
      <c r="B25" s="7"/>
      <c r="C25" s="7"/>
      <c r="D25" s="7"/>
      <c r="E25" s="7"/>
      <c r="F25" s="7"/>
    </row>
    <row r="26" ht="14.25" customHeight="1">
      <c r="A26" s="7"/>
      <c r="B26" s="7"/>
      <c r="C26" s="7"/>
      <c r="D26" s="7"/>
      <c r="E26" s="7"/>
      <c r="F26" s="7"/>
    </row>
    <row r="27" ht="14.25" customHeight="1">
      <c r="A27" s="7"/>
      <c r="B27" s="7"/>
      <c r="C27" s="7"/>
      <c r="D27" s="7"/>
      <c r="E27" s="7"/>
      <c r="F27" s="7"/>
    </row>
    <row r="28" ht="14.25" customHeight="1">
      <c r="A28" s="7"/>
      <c r="B28" s="7"/>
      <c r="C28" s="7"/>
      <c r="D28" s="7"/>
      <c r="E28" s="7"/>
      <c r="F28" s="7"/>
    </row>
    <row r="29" ht="14.25" customHeight="1">
      <c r="A29" s="7"/>
      <c r="B29" s="7"/>
      <c r="C29" s="7"/>
      <c r="D29" s="7"/>
      <c r="E29" s="7"/>
      <c r="F29" s="7"/>
    </row>
    <row r="30" ht="14.25" customHeight="1">
      <c r="A30" s="7"/>
      <c r="B30" s="7"/>
      <c r="C30" s="7"/>
      <c r="D30" s="7"/>
      <c r="E30" s="7"/>
      <c r="F30" s="7"/>
    </row>
    <row r="31" ht="14.25" customHeight="1">
      <c r="A31" s="7"/>
      <c r="B31" s="7"/>
      <c r="C31" s="7"/>
      <c r="D31" s="7"/>
      <c r="E31" s="7"/>
      <c r="F31" s="7"/>
    </row>
    <row r="32" ht="14.25" customHeight="1">
      <c r="A32" s="7"/>
      <c r="B32" s="7"/>
      <c r="C32" s="7"/>
      <c r="D32" s="7"/>
      <c r="E32" s="7"/>
      <c r="F32" s="7"/>
    </row>
    <row r="33" ht="14.25" customHeight="1">
      <c r="A33" s="7"/>
      <c r="B33" s="7"/>
      <c r="C33" s="7"/>
      <c r="D33" s="7"/>
      <c r="E33" s="7"/>
      <c r="F33" s="7"/>
    </row>
    <row r="34" ht="14.25" customHeight="1">
      <c r="A34" s="7"/>
      <c r="B34" s="7"/>
      <c r="C34" s="7"/>
      <c r="D34" s="7"/>
      <c r="E34" s="7"/>
      <c r="F34" s="7"/>
    </row>
    <row r="35" ht="14.25" customHeight="1">
      <c r="A35" s="7"/>
      <c r="B35" s="7"/>
      <c r="C35" s="7"/>
      <c r="D35" s="7"/>
      <c r="E35" s="7"/>
      <c r="F35" s="7"/>
    </row>
    <row r="36" ht="14.25" customHeight="1">
      <c r="A36" s="7"/>
      <c r="B36" s="7"/>
      <c r="C36" s="7"/>
      <c r="D36" s="7"/>
      <c r="E36" s="7"/>
      <c r="F36" s="7"/>
    </row>
    <row r="37" ht="14.25" customHeight="1">
      <c r="A37" s="7"/>
      <c r="B37" s="7"/>
      <c r="C37" s="7"/>
      <c r="D37" s="7"/>
      <c r="E37" s="7"/>
      <c r="F37" s="7"/>
    </row>
    <row r="38" ht="14.25" customHeight="1">
      <c r="A38" s="7"/>
      <c r="B38" s="7"/>
      <c r="C38" s="7"/>
      <c r="D38" s="7"/>
      <c r="E38" s="7"/>
      <c r="F38" s="7"/>
    </row>
    <row r="39" ht="14.25" customHeight="1">
      <c r="A39" s="7"/>
      <c r="B39" s="7"/>
      <c r="C39" s="7"/>
      <c r="D39" s="7"/>
      <c r="E39" s="7"/>
      <c r="F39" s="7"/>
    </row>
    <row r="40" ht="14.25" customHeight="1">
      <c r="A40" s="7"/>
      <c r="B40" s="7"/>
      <c r="C40" s="7"/>
      <c r="D40" s="7"/>
      <c r="E40" s="7"/>
      <c r="F40" s="7"/>
    </row>
    <row r="41" ht="14.25" customHeight="1">
      <c r="A41" s="7"/>
      <c r="B41" s="7"/>
      <c r="C41" s="7"/>
      <c r="D41" s="7"/>
      <c r="E41" s="7"/>
      <c r="F41" s="7"/>
    </row>
    <row r="42" ht="14.25" customHeight="1">
      <c r="A42" s="7"/>
      <c r="B42" s="7"/>
      <c r="C42" s="7"/>
      <c r="D42" s="7"/>
      <c r="E42" s="7"/>
      <c r="F42" s="7"/>
    </row>
    <row r="43" ht="14.25" customHeight="1">
      <c r="A43" s="7"/>
      <c r="B43" s="7"/>
      <c r="C43" s="7"/>
      <c r="D43" s="7"/>
      <c r="E43" s="7"/>
      <c r="F43" s="7"/>
    </row>
    <row r="44" ht="14.25" customHeight="1">
      <c r="A44" s="7"/>
      <c r="B44" s="7"/>
      <c r="C44" s="7"/>
      <c r="D44" s="7"/>
      <c r="E44" s="7"/>
      <c r="F44" s="7"/>
    </row>
    <row r="45" ht="14.25" customHeight="1">
      <c r="A45" s="7"/>
      <c r="B45" s="7"/>
      <c r="C45" s="7"/>
      <c r="D45" s="7"/>
      <c r="E45" s="7"/>
      <c r="F45" s="7"/>
    </row>
    <row r="46" ht="14.25" customHeight="1">
      <c r="A46" s="7"/>
      <c r="B46" s="7"/>
      <c r="C46" s="7"/>
      <c r="D46" s="7"/>
      <c r="E46" s="7"/>
      <c r="F46" s="7"/>
    </row>
    <row r="47" ht="14.25" customHeight="1">
      <c r="A47" s="7"/>
      <c r="B47" s="7"/>
      <c r="C47" s="7"/>
      <c r="D47" s="7"/>
      <c r="E47" s="7"/>
      <c r="F47" s="7"/>
    </row>
    <row r="48" ht="14.25" customHeight="1">
      <c r="A48" s="7"/>
      <c r="B48" s="7"/>
      <c r="C48" s="7"/>
      <c r="D48" s="7"/>
      <c r="E48" s="7"/>
      <c r="F48" s="7"/>
    </row>
    <row r="49" ht="14.25" customHeight="1">
      <c r="A49" s="7"/>
      <c r="B49" s="7"/>
      <c r="C49" s="7"/>
      <c r="D49" s="7"/>
      <c r="E49" s="7"/>
      <c r="F49" s="7"/>
    </row>
    <row r="50" ht="14.25" customHeight="1">
      <c r="A50" s="7"/>
      <c r="B50" s="7"/>
      <c r="C50" s="7"/>
      <c r="D50" s="7"/>
      <c r="E50" s="7"/>
      <c r="F50" s="7"/>
    </row>
    <row r="51" ht="14.25" customHeight="1">
      <c r="A51" s="7"/>
      <c r="B51" s="7"/>
      <c r="C51" s="7"/>
      <c r="D51" s="7"/>
      <c r="E51" s="7"/>
      <c r="F51" s="7"/>
    </row>
    <row r="52" ht="14.25" customHeight="1">
      <c r="A52" s="7"/>
      <c r="B52" s="7"/>
      <c r="C52" s="7"/>
      <c r="D52" s="7"/>
      <c r="E52" s="7"/>
      <c r="F52" s="7"/>
    </row>
    <row r="53" ht="14.25" customHeight="1">
      <c r="A53" s="7"/>
      <c r="B53" s="7"/>
      <c r="C53" s="7"/>
      <c r="D53" s="7"/>
      <c r="E53" s="7"/>
      <c r="F53" s="7"/>
    </row>
    <row r="54" ht="14.25" customHeight="1">
      <c r="A54" s="7"/>
      <c r="B54" s="7"/>
      <c r="C54" s="7"/>
      <c r="D54" s="7"/>
      <c r="E54" s="7"/>
      <c r="F54" s="7"/>
    </row>
    <row r="55" ht="14.25" customHeight="1">
      <c r="A55" s="7"/>
      <c r="B55" s="7"/>
      <c r="C55" s="7"/>
      <c r="D55" s="7"/>
      <c r="E55" s="7"/>
      <c r="F55" s="7"/>
    </row>
    <row r="56" ht="14.25" customHeight="1">
      <c r="A56" s="7"/>
      <c r="B56" s="7"/>
      <c r="C56" s="7"/>
      <c r="D56" s="7"/>
      <c r="E56" s="7"/>
      <c r="F56" s="7"/>
    </row>
    <row r="57" ht="14.25" customHeight="1">
      <c r="A57" s="7"/>
      <c r="B57" s="7"/>
      <c r="C57" s="7"/>
      <c r="D57" s="7"/>
      <c r="E57" s="7"/>
      <c r="F57" s="7"/>
    </row>
    <row r="58" ht="14.25" customHeight="1">
      <c r="A58" s="7"/>
      <c r="B58" s="7"/>
      <c r="C58" s="7"/>
      <c r="D58" s="7"/>
      <c r="E58" s="7"/>
      <c r="F58" s="7"/>
    </row>
    <row r="59" ht="14.25" customHeight="1">
      <c r="A59" s="7"/>
      <c r="B59" s="7"/>
      <c r="C59" s="7"/>
      <c r="D59" s="7"/>
      <c r="E59" s="7"/>
      <c r="F59" s="7"/>
    </row>
    <row r="60" ht="14.25" customHeight="1">
      <c r="A60" s="7"/>
      <c r="B60" s="7"/>
      <c r="C60" s="7"/>
      <c r="D60" s="7"/>
      <c r="E60" s="7"/>
      <c r="F60" s="7"/>
    </row>
    <row r="61" ht="14.25" customHeight="1">
      <c r="A61" s="7"/>
      <c r="B61" s="7"/>
      <c r="C61" s="7"/>
      <c r="D61" s="7"/>
      <c r="E61" s="7"/>
      <c r="F61" s="7"/>
    </row>
    <row r="62" ht="14.25" customHeight="1">
      <c r="A62" s="7"/>
      <c r="B62" s="7"/>
      <c r="C62" s="7"/>
      <c r="D62" s="7"/>
      <c r="E62" s="7"/>
      <c r="F62" s="7"/>
    </row>
    <row r="63" ht="14.25" customHeight="1">
      <c r="A63" s="7"/>
      <c r="B63" s="7"/>
      <c r="C63" s="7"/>
      <c r="D63" s="7"/>
      <c r="E63" s="7"/>
      <c r="F63" s="7"/>
    </row>
    <row r="64" ht="14.25" customHeight="1">
      <c r="A64" s="7"/>
      <c r="B64" s="7"/>
      <c r="C64" s="7"/>
      <c r="D64" s="7"/>
      <c r="E64" s="7"/>
      <c r="F64" s="7"/>
    </row>
    <row r="65" ht="14.25" customHeight="1">
      <c r="A65" s="7"/>
      <c r="B65" s="7"/>
      <c r="C65" s="7"/>
      <c r="D65" s="7"/>
      <c r="E65" s="7"/>
      <c r="F65" s="7"/>
    </row>
    <row r="66" ht="14.25" customHeight="1">
      <c r="A66" s="7"/>
      <c r="B66" s="7"/>
      <c r="C66" s="7"/>
      <c r="D66" s="7"/>
      <c r="E66" s="7"/>
      <c r="F66" s="7"/>
    </row>
    <row r="67" ht="14.25" customHeight="1">
      <c r="A67" s="7"/>
      <c r="B67" s="7"/>
      <c r="C67" s="7"/>
      <c r="D67" s="7"/>
      <c r="E67" s="7"/>
      <c r="F67" s="7"/>
    </row>
    <row r="68" ht="14.25" customHeight="1">
      <c r="A68" s="7"/>
      <c r="B68" s="7"/>
      <c r="C68" s="7"/>
      <c r="D68" s="7"/>
      <c r="E68" s="7"/>
      <c r="F68" s="7"/>
    </row>
    <row r="69" ht="14.25" customHeight="1">
      <c r="A69" s="7"/>
      <c r="B69" s="7"/>
      <c r="C69" s="7"/>
      <c r="D69" s="7"/>
      <c r="E69" s="7"/>
      <c r="F69" s="7"/>
    </row>
    <row r="70" ht="14.25" customHeight="1">
      <c r="A70" s="7"/>
      <c r="B70" s="7"/>
      <c r="C70" s="7"/>
      <c r="D70" s="7"/>
      <c r="E70" s="7"/>
      <c r="F70" s="7"/>
    </row>
    <row r="71" ht="14.25" customHeight="1">
      <c r="A71" s="7"/>
      <c r="B71" s="7"/>
      <c r="C71" s="7"/>
      <c r="D71" s="7"/>
      <c r="E71" s="7"/>
      <c r="F71" s="7"/>
    </row>
    <row r="72" ht="14.25" customHeight="1">
      <c r="A72" s="7"/>
      <c r="B72" s="7"/>
      <c r="C72" s="7"/>
      <c r="D72" s="7"/>
      <c r="E72" s="7"/>
      <c r="F72" s="7"/>
    </row>
    <row r="73" ht="14.25" customHeight="1">
      <c r="A73" s="7"/>
      <c r="B73" s="7"/>
      <c r="C73" s="7"/>
      <c r="D73" s="7"/>
      <c r="E73" s="7"/>
      <c r="F73" s="7"/>
    </row>
    <row r="74" ht="14.25" customHeight="1">
      <c r="A74" s="7"/>
      <c r="B74" s="7"/>
      <c r="C74" s="7"/>
      <c r="D74" s="7"/>
      <c r="E74" s="7"/>
      <c r="F74" s="7"/>
    </row>
    <row r="75" ht="14.25" customHeight="1">
      <c r="A75" s="7"/>
      <c r="B75" s="7"/>
      <c r="C75" s="7"/>
      <c r="D75" s="7"/>
      <c r="E75" s="7"/>
      <c r="F75" s="7"/>
    </row>
    <row r="76" ht="14.25" customHeight="1">
      <c r="A76" s="7"/>
      <c r="B76" s="7"/>
      <c r="C76" s="7"/>
      <c r="D76" s="7"/>
      <c r="E76" s="7"/>
      <c r="F76" s="7"/>
    </row>
    <row r="77" ht="14.25" customHeight="1">
      <c r="A77" s="7"/>
      <c r="B77" s="7"/>
      <c r="C77" s="7"/>
      <c r="D77" s="7"/>
      <c r="E77" s="7"/>
      <c r="F77" s="7"/>
    </row>
    <row r="78" ht="14.25" customHeight="1">
      <c r="A78" s="7"/>
      <c r="B78" s="7"/>
      <c r="C78" s="7"/>
      <c r="D78" s="7"/>
      <c r="E78" s="7"/>
      <c r="F78" s="7"/>
    </row>
    <row r="79" ht="14.25" customHeight="1">
      <c r="A79" s="7"/>
      <c r="B79" s="7"/>
      <c r="C79" s="7"/>
      <c r="D79" s="7"/>
      <c r="E79" s="7"/>
      <c r="F79" s="7"/>
    </row>
    <row r="80" ht="14.25" customHeight="1">
      <c r="A80" s="7"/>
      <c r="B80" s="7"/>
      <c r="C80" s="7"/>
      <c r="D80" s="7"/>
      <c r="E80" s="7"/>
      <c r="F80" s="7"/>
    </row>
    <row r="81" ht="14.25" customHeight="1">
      <c r="A81" s="7"/>
      <c r="B81" s="7"/>
      <c r="C81" s="7"/>
      <c r="D81" s="7"/>
      <c r="E81" s="7"/>
      <c r="F81" s="7"/>
    </row>
    <row r="82" ht="14.25" customHeight="1">
      <c r="A82" s="7"/>
      <c r="B82" s="7"/>
      <c r="C82" s="7"/>
      <c r="D82" s="7"/>
      <c r="E82" s="7"/>
      <c r="F82" s="7"/>
    </row>
    <row r="83" ht="14.25" customHeight="1">
      <c r="A83" s="7"/>
      <c r="B83" s="7"/>
      <c r="C83" s="7"/>
      <c r="D83" s="7"/>
      <c r="E83" s="7"/>
      <c r="F83" s="7"/>
    </row>
    <row r="84" ht="14.25" customHeight="1">
      <c r="A84" s="7"/>
      <c r="B84" s="7"/>
      <c r="C84" s="7"/>
      <c r="D84" s="7"/>
      <c r="E84" s="7"/>
      <c r="F84" s="7"/>
    </row>
    <row r="85" ht="14.25" customHeight="1">
      <c r="A85" s="7"/>
      <c r="B85" s="7"/>
      <c r="C85" s="7"/>
      <c r="D85" s="7"/>
      <c r="E85" s="7"/>
      <c r="F85" s="7"/>
    </row>
    <row r="86" ht="14.25" customHeight="1">
      <c r="A86" s="7"/>
      <c r="B86" s="7"/>
      <c r="C86" s="7"/>
      <c r="D86" s="7"/>
      <c r="E86" s="7"/>
      <c r="F86" s="7"/>
    </row>
    <row r="87" ht="14.25" customHeight="1">
      <c r="A87" s="7"/>
      <c r="B87" s="7"/>
      <c r="C87" s="7"/>
      <c r="D87" s="7"/>
      <c r="E87" s="7"/>
      <c r="F87" s="7"/>
    </row>
    <row r="88" ht="14.25" customHeight="1">
      <c r="A88" s="7"/>
      <c r="B88" s="7"/>
      <c r="C88" s="7"/>
      <c r="D88" s="7"/>
      <c r="E88" s="7"/>
      <c r="F88" s="7"/>
    </row>
    <row r="89" ht="14.25" customHeight="1">
      <c r="A89" s="7"/>
      <c r="B89" s="7"/>
      <c r="C89" s="7"/>
      <c r="D89" s="7"/>
      <c r="E89" s="7"/>
      <c r="F89" s="7"/>
    </row>
    <row r="90" ht="14.25" customHeight="1">
      <c r="A90" s="7"/>
      <c r="B90" s="7"/>
      <c r="C90" s="7"/>
      <c r="D90" s="7"/>
      <c r="E90" s="7"/>
      <c r="F90" s="7"/>
    </row>
    <row r="91" ht="14.25" customHeight="1">
      <c r="A91" s="7"/>
      <c r="B91" s="7"/>
      <c r="C91" s="7"/>
      <c r="D91" s="7"/>
      <c r="E91" s="7"/>
      <c r="F91" s="7"/>
    </row>
    <row r="92" ht="14.25" customHeight="1">
      <c r="A92" s="7"/>
      <c r="B92" s="7"/>
      <c r="C92" s="7"/>
      <c r="D92" s="7"/>
      <c r="E92" s="7"/>
      <c r="F92" s="7"/>
    </row>
    <row r="93" ht="14.25" customHeight="1">
      <c r="A93" s="7"/>
      <c r="B93" s="7"/>
      <c r="C93" s="7"/>
      <c r="D93" s="7"/>
      <c r="E93" s="7"/>
      <c r="F93" s="7"/>
    </row>
    <row r="94" ht="14.25" customHeight="1">
      <c r="A94" s="7"/>
      <c r="B94" s="7"/>
      <c r="C94" s="7"/>
      <c r="D94" s="7"/>
      <c r="E94" s="7"/>
      <c r="F94" s="7"/>
    </row>
    <row r="95" ht="14.25" customHeight="1">
      <c r="A95" s="7"/>
      <c r="B95" s="7"/>
      <c r="C95" s="7"/>
      <c r="D95" s="7"/>
      <c r="E95" s="7"/>
      <c r="F95" s="7"/>
    </row>
    <row r="96" ht="14.25" customHeight="1">
      <c r="A96" s="7"/>
      <c r="B96" s="7"/>
      <c r="C96" s="7"/>
      <c r="D96" s="7"/>
      <c r="E96" s="7"/>
      <c r="F96" s="7"/>
    </row>
    <row r="97" ht="14.25" customHeight="1">
      <c r="A97" s="7"/>
      <c r="B97" s="7"/>
      <c r="C97" s="7"/>
      <c r="D97" s="7"/>
      <c r="E97" s="7"/>
      <c r="F97" s="7"/>
    </row>
    <row r="98" ht="14.25" customHeight="1">
      <c r="A98" s="7"/>
      <c r="B98" s="7"/>
      <c r="C98" s="7"/>
      <c r="D98" s="7"/>
      <c r="E98" s="7"/>
      <c r="F98" s="7"/>
    </row>
    <row r="99" ht="14.25" customHeight="1">
      <c r="A99" s="7"/>
      <c r="B99" s="7"/>
      <c r="C99" s="7"/>
      <c r="D99" s="7"/>
      <c r="E99" s="7"/>
      <c r="F99" s="7"/>
    </row>
    <row r="100" ht="14.25" customHeight="1">
      <c r="A100" s="7"/>
      <c r="B100" s="7"/>
      <c r="C100" s="7"/>
      <c r="D100" s="7"/>
      <c r="E100" s="7"/>
      <c r="F100" s="7"/>
    </row>
    <row r="101" ht="14.25" customHeight="1">
      <c r="A101" s="7"/>
      <c r="B101" s="7"/>
      <c r="C101" s="7"/>
      <c r="D101" s="7"/>
      <c r="E101" s="7"/>
      <c r="F101" s="7"/>
    </row>
    <row r="102" ht="14.25" customHeight="1">
      <c r="A102" s="7"/>
      <c r="B102" s="7"/>
      <c r="C102" s="7"/>
      <c r="D102" s="7"/>
      <c r="E102" s="7"/>
      <c r="F102" s="7"/>
    </row>
    <row r="103" ht="14.25" customHeight="1">
      <c r="A103" s="7"/>
      <c r="B103" s="7"/>
      <c r="C103" s="7"/>
      <c r="D103" s="7"/>
      <c r="E103" s="7"/>
      <c r="F103" s="7"/>
    </row>
    <row r="104" ht="14.25" customHeight="1">
      <c r="A104" s="7"/>
      <c r="B104" s="7"/>
      <c r="C104" s="7"/>
      <c r="D104" s="7"/>
      <c r="E104" s="7"/>
      <c r="F104" s="7"/>
    </row>
    <row r="105" ht="14.25" customHeight="1">
      <c r="A105" s="7"/>
      <c r="B105" s="7"/>
      <c r="C105" s="7"/>
      <c r="D105" s="7"/>
      <c r="E105" s="7"/>
      <c r="F105" s="7"/>
    </row>
    <row r="106" ht="14.25" customHeight="1">
      <c r="A106" s="7"/>
      <c r="B106" s="7"/>
      <c r="C106" s="7"/>
      <c r="D106" s="7"/>
      <c r="E106" s="7"/>
      <c r="F106" s="7"/>
    </row>
    <row r="107" ht="14.25" customHeight="1">
      <c r="A107" s="7"/>
      <c r="B107" s="7"/>
      <c r="C107" s="7"/>
      <c r="D107" s="7"/>
      <c r="E107" s="7"/>
      <c r="F107" s="7"/>
    </row>
    <row r="108" ht="14.25" customHeight="1">
      <c r="A108" s="7"/>
      <c r="B108" s="7"/>
      <c r="C108" s="7"/>
      <c r="D108" s="7"/>
      <c r="E108" s="7"/>
      <c r="F108" s="7"/>
    </row>
    <row r="109" ht="14.25" customHeight="1">
      <c r="A109" s="7"/>
      <c r="B109" s="7"/>
      <c r="C109" s="7"/>
      <c r="D109" s="7"/>
      <c r="E109" s="7"/>
      <c r="F109" s="7"/>
    </row>
    <row r="110" ht="14.25" customHeight="1">
      <c r="A110" s="7"/>
      <c r="B110" s="7"/>
      <c r="C110" s="7"/>
      <c r="D110" s="7"/>
      <c r="E110" s="7"/>
      <c r="F110" s="7"/>
    </row>
    <row r="111" ht="14.25" customHeight="1">
      <c r="A111" s="7"/>
      <c r="B111" s="7"/>
      <c r="C111" s="7"/>
      <c r="D111" s="7"/>
      <c r="E111" s="7"/>
      <c r="F111" s="7"/>
    </row>
    <row r="112" ht="14.25" customHeight="1">
      <c r="A112" s="7"/>
      <c r="B112" s="7"/>
      <c r="C112" s="7"/>
      <c r="D112" s="7"/>
      <c r="E112" s="7"/>
      <c r="F112" s="7"/>
    </row>
    <row r="113" ht="14.25" customHeight="1">
      <c r="A113" s="7"/>
      <c r="B113" s="7"/>
      <c r="C113" s="7"/>
      <c r="D113" s="7"/>
      <c r="E113" s="7"/>
      <c r="F113" s="7"/>
    </row>
    <row r="114" ht="14.25" customHeight="1">
      <c r="A114" s="7"/>
      <c r="B114" s="7"/>
      <c r="C114" s="7"/>
      <c r="D114" s="7"/>
      <c r="E114" s="7"/>
      <c r="F114" s="7"/>
    </row>
    <row r="115" ht="14.25" customHeight="1">
      <c r="A115" s="7"/>
      <c r="B115" s="7"/>
      <c r="C115" s="7"/>
      <c r="D115" s="7"/>
      <c r="E115" s="7"/>
      <c r="F115" s="7"/>
    </row>
    <row r="116" ht="14.25" customHeight="1">
      <c r="A116" s="7"/>
      <c r="B116" s="7"/>
      <c r="C116" s="7"/>
      <c r="D116" s="7"/>
      <c r="E116" s="7"/>
      <c r="F116" s="7"/>
    </row>
    <row r="117" ht="14.25" customHeight="1">
      <c r="A117" s="7"/>
      <c r="B117" s="7"/>
      <c r="C117" s="7"/>
      <c r="D117" s="7"/>
      <c r="E117" s="7"/>
      <c r="F117" s="7"/>
    </row>
    <row r="118" ht="14.25" customHeight="1">
      <c r="A118" s="7"/>
      <c r="B118" s="7"/>
      <c r="C118" s="7"/>
      <c r="D118" s="7"/>
      <c r="E118" s="7"/>
      <c r="F118" s="7"/>
    </row>
    <row r="119" ht="14.25" customHeight="1">
      <c r="A119" s="7"/>
      <c r="B119" s="7"/>
      <c r="C119" s="7"/>
      <c r="D119" s="7"/>
      <c r="E119" s="7"/>
      <c r="F119" s="7"/>
    </row>
    <row r="120" ht="14.25" customHeight="1">
      <c r="A120" s="7"/>
      <c r="B120" s="7"/>
      <c r="C120" s="7"/>
      <c r="D120" s="7"/>
      <c r="E120" s="7"/>
      <c r="F120" s="7"/>
    </row>
    <row r="121" ht="14.25" customHeight="1">
      <c r="A121" s="7"/>
      <c r="B121" s="7"/>
      <c r="C121" s="7"/>
      <c r="D121" s="7"/>
      <c r="E121" s="7"/>
      <c r="F121" s="7"/>
    </row>
    <row r="122" ht="14.25" customHeight="1">
      <c r="A122" s="7"/>
      <c r="B122" s="7"/>
      <c r="C122" s="7"/>
      <c r="D122" s="7"/>
      <c r="E122" s="7"/>
      <c r="F122" s="7"/>
    </row>
    <row r="123" ht="14.25" customHeight="1">
      <c r="A123" s="7"/>
      <c r="B123" s="7"/>
      <c r="C123" s="7"/>
      <c r="D123" s="7"/>
      <c r="E123" s="7"/>
      <c r="F123" s="7"/>
    </row>
    <row r="124" ht="14.25" customHeight="1">
      <c r="A124" s="7"/>
      <c r="B124" s="7"/>
      <c r="C124" s="7"/>
      <c r="D124" s="7"/>
      <c r="E124" s="7"/>
      <c r="F124" s="7"/>
    </row>
    <row r="125" ht="14.25" customHeight="1">
      <c r="A125" s="7"/>
      <c r="B125" s="7"/>
      <c r="C125" s="7"/>
      <c r="D125" s="7"/>
      <c r="E125" s="7"/>
      <c r="F125" s="7"/>
    </row>
    <row r="126" ht="14.25" customHeight="1">
      <c r="A126" s="7"/>
      <c r="B126" s="7"/>
      <c r="C126" s="7"/>
      <c r="D126" s="7"/>
      <c r="E126" s="7"/>
      <c r="F126" s="7"/>
    </row>
    <row r="127" ht="14.25" customHeight="1">
      <c r="A127" s="7"/>
      <c r="B127" s="7"/>
      <c r="C127" s="7"/>
      <c r="D127" s="7"/>
      <c r="E127" s="7"/>
      <c r="F127" s="7"/>
    </row>
    <row r="128" ht="14.25" customHeight="1">
      <c r="A128" s="7"/>
      <c r="B128" s="7"/>
      <c r="C128" s="7"/>
      <c r="D128" s="7"/>
      <c r="E128" s="7"/>
      <c r="F128" s="7"/>
    </row>
    <row r="129" ht="14.25" customHeight="1">
      <c r="A129" s="7"/>
      <c r="B129" s="7"/>
      <c r="C129" s="7"/>
      <c r="D129" s="7"/>
      <c r="E129" s="7"/>
      <c r="F129" s="7"/>
    </row>
    <row r="130" ht="14.25" customHeight="1">
      <c r="A130" s="7"/>
      <c r="B130" s="7"/>
      <c r="C130" s="7"/>
      <c r="D130" s="7"/>
      <c r="E130" s="7"/>
      <c r="F130" s="7"/>
    </row>
    <row r="131" ht="14.25" customHeight="1">
      <c r="A131" s="7"/>
      <c r="B131" s="7"/>
      <c r="C131" s="7"/>
      <c r="D131" s="7"/>
      <c r="E131" s="7"/>
      <c r="F131" s="7"/>
    </row>
    <row r="132" ht="14.25" customHeight="1">
      <c r="A132" s="7"/>
      <c r="B132" s="7"/>
      <c r="C132" s="7"/>
      <c r="D132" s="7"/>
      <c r="E132" s="7"/>
      <c r="F132" s="7"/>
    </row>
    <row r="133" ht="14.25" customHeight="1">
      <c r="A133" s="7"/>
      <c r="B133" s="7"/>
      <c r="C133" s="7"/>
      <c r="D133" s="7"/>
      <c r="E133" s="7"/>
      <c r="F133" s="7"/>
    </row>
    <row r="134" ht="14.25" customHeight="1">
      <c r="A134" s="7"/>
      <c r="B134" s="7"/>
      <c r="C134" s="7"/>
      <c r="D134" s="7"/>
      <c r="E134" s="7"/>
      <c r="F134" s="7"/>
    </row>
    <row r="135" ht="14.25" customHeight="1">
      <c r="A135" s="7"/>
      <c r="B135" s="7"/>
      <c r="C135" s="7"/>
      <c r="D135" s="7"/>
      <c r="E135" s="7"/>
      <c r="F135" s="7"/>
    </row>
    <row r="136" ht="14.25" customHeight="1">
      <c r="A136" s="7"/>
      <c r="B136" s="7"/>
      <c r="C136" s="7"/>
      <c r="D136" s="7"/>
      <c r="E136" s="7"/>
      <c r="F136" s="7"/>
    </row>
    <row r="137" ht="14.25" customHeight="1">
      <c r="A137" s="7"/>
      <c r="B137" s="7"/>
      <c r="C137" s="7"/>
      <c r="D137" s="7"/>
      <c r="E137" s="7"/>
      <c r="F137" s="7"/>
    </row>
    <row r="138" ht="14.25" customHeight="1">
      <c r="A138" s="7"/>
      <c r="B138" s="7"/>
      <c r="C138" s="7"/>
      <c r="D138" s="7"/>
      <c r="E138" s="7"/>
      <c r="F138" s="7"/>
    </row>
    <row r="139" ht="14.25" customHeight="1">
      <c r="A139" s="7"/>
      <c r="B139" s="7"/>
      <c r="C139" s="7"/>
      <c r="D139" s="7"/>
      <c r="E139" s="7"/>
      <c r="F139" s="7"/>
    </row>
    <row r="140" ht="14.25" customHeight="1">
      <c r="A140" s="7"/>
      <c r="B140" s="7"/>
      <c r="C140" s="7"/>
      <c r="D140" s="7"/>
      <c r="E140" s="7"/>
      <c r="F140" s="7"/>
    </row>
    <row r="141" ht="14.25" customHeight="1">
      <c r="A141" s="7"/>
      <c r="B141" s="7"/>
      <c r="C141" s="7"/>
      <c r="D141" s="7"/>
      <c r="E141" s="7"/>
      <c r="F141" s="7"/>
    </row>
    <row r="142" ht="14.25" customHeight="1">
      <c r="A142" s="7"/>
      <c r="B142" s="7"/>
      <c r="C142" s="7"/>
      <c r="D142" s="7"/>
      <c r="E142" s="7"/>
      <c r="F142" s="7"/>
    </row>
    <row r="143" ht="14.25" customHeight="1">
      <c r="A143" s="7"/>
      <c r="B143" s="7"/>
      <c r="C143" s="7"/>
      <c r="D143" s="7"/>
      <c r="E143" s="7"/>
      <c r="F143" s="7"/>
    </row>
    <row r="144" ht="14.25" customHeight="1">
      <c r="A144" s="7"/>
      <c r="B144" s="7"/>
      <c r="C144" s="7"/>
      <c r="D144" s="7"/>
      <c r="E144" s="7"/>
      <c r="F144" s="7"/>
    </row>
    <row r="145" ht="14.25" customHeight="1">
      <c r="A145" s="7"/>
      <c r="B145" s="7"/>
      <c r="C145" s="7"/>
      <c r="D145" s="7"/>
      <c r="E145" s="7"/>
      <c r="F145" s="7"/>
    </row>
    <row r="146" ht="14.25" customHeight="1">
      <c r="A146" s="7"/>
      <c r="B146" s="7"/>
      <c r="C146" s="7"/>
      <c r="D146" s="7"/>
      <c r="E146" s="7"/>
      <c r="F146" s="7"/>
    </row>
    <row r="147" ht="14.25" customHeight="1">
      <c r="A147" s="7"/>
      <c r="B147" s="7"/>
      <c r="C147" s="7"/>
      <c r="D147" s="7"/>
      <c r="E147" s="7"/>
      <c r="F147" s="7"/>
    </row>
    <row r="148" ht="14.25" customHeight="1">
      <c r="A148" s="7"/>
      <c r="B148" s="7"/>
      <c r="C148" s="7"/>
      <c r="D148" s="7"/>
      <c r="E148" s="7"/>
      <c r="F148" s="7"/>
    </row>
    <row r="149" ht="14.25" customHeight="1">
      <c r="A149" s="7"/>
      <c r="B149" s="7"/>
      <c r="C149" s="7"/>
      <c r="D149" s="7"/>
      <c r="E149" s="7"/>
      <c r="F149" s="7"/>
    </row>
    <row r="150" ht="14.25" customHeight="1">
      <c r="A150" s="7"/>
      <c r="B150" s="7"/>
      <c r="C150" s="7"/>
      <c r="D150" s="7"/>
      <c r="E150" s="7"/>
      <c r="F150" s="7"/>
    </row>
    <row r="151" ht="14.25" customHeight="1">
      <c r="A151" s="7"/>
      <c r="B151" s="7"/>
      <c r="C151" s="7"/>
      <c r="D151" s="7"/>
      <c r="E151" s="7"/>
      <c r="F151" s="7"/>
    </row>
    <row r="152" ht="14.25" customHeight="1">
      <c r="A152" s="7"/>
      <c r="B152" s="7"/>
      <c r="C152" s="7"/>
      <c r="D152" s="7"/>
      <c r="E152" s="7"/>
      <c r="F152" s="7"/>
    </row>
    <row r="153" ht="14.25" customHeight="1">
      <c r="A153" s="7"/>
      <c r="B153" s="7"/>
      <c r="C153" s="7"/>
      <c r="D153" s="7"/>
      <c r="E153" s="7"/>
      <c r="F153" s="7"/>
    </row>
    <row r="154" ht="14.25" customHeight="1">
      <c r="A154" s="7"/>
      <c r="B154" s="7"/>
      <c r="C154" s="7"/>
      <c r="D154" s="7"/>
      <c r="E154" s="7"/>
      <c r="F154" s="7"/>
    </row>
    <row r="155" ht="14.25" customHeight="1">
      <c r="A155" s="7"/>
      <c r="B155" s="7"/>
      <c r="C155" s="7"/>
      <c r="D155" s="7"/>
      <c r="E155" s="7"/>
      <c r="F155" s="7"/>
    </row>
    <row r="156" ht="14.25" customHeight="1">
      <c r="A156" s="7"/>
      <c r="B156" s="7"/>
      <c r="C156" s="7"/>
      <c r="D156" s="7"/>
      <c r="E156" s="7"/>
      <c r="F156" s="7"/>
    </row>
    <row r="157" ht="14.25" customHeight="1">
      <c r="A157" s="7"/>
      <c r="B157" s="7"/>
      <c r="C157" s="7"/>
      <c r="D157" s="7"/>
      <c r="E157" s="7"/>
      <c r="F157" s="7"/>
    </row>
    <row r="158" ht="14.25" customHeight="1">
      <c r="A158" s="7"/>
      <c r="B158" s="7"/>
      <c r="C158" s="7"/>
      <c r="D158" s="7"/>
      <c r="E158" s="7"/>
      <c r="F158" s="7"/>
    </row>
    <row r="159" ht="14.25" customHeight="1">
      <c r="A159" s="7"/>
      <c r="B159" s="7"/>
      <c r="C159" s="7"/>
      <c r="D159" s="7"/>
      <c r="E159" s="7"/>
      <c r="F159" s="7"/>
    </row>
    <row r="160" ht="14.25" customHeight="1">
      <c r="A160" s="7"/>
      <c r="B160" s="7"/>
      <c r="C160" s="7"/>
      <c r="D160" s="7"/>
      <c r="E160" s="7"/>
      <c r="F160" s="7"/>
    </row>
    <row r="161" ht="14.25" customHeight="1">
      <c r="A161" s="7"/>
      <c r="B161" s="7"/>
      <c r="C161" s="7"/>
      <c r="D161" s="7"/>
      <c r="E161" s="7"/>
      <c r="F161" s="7"/>
    </row>
    <row r="162" ht="14.25" customHeight="1">
      <c r="A162" s="7"/>
      <c r="B162" s="7"/>
      <c r="C162" s="7"/>
      <c r="D162" s="7"/>
      <c r="E162" s="7"/>
      <c r="F162" s="7"/>
    </row>
    <row r="163" ht="14.25" customHeight="1">
      <c r="A163" s="7"/>
      <c r="B163" s="7"/>
      <c r="C163" s="7"/>
      <c r="D163" s="7"/>
      <c r="E163" s="7"/>
      <c r="F163" s="7"/>
    </row>
    <row r="164" ht="14.25" customHeight="1">
      <c r="A164" s="7"/>
      <c r="B164" s="7"/>
      <c r="C164" s="7"/>
      <c r="D164" s="7"/>
      <c r="E164" s="7"/>
      <c r="F164" s="7"/>
    </row>
    <row r="165" ht="14.25" customHeight="1">
      <c r="A165" s="7"/>
      <c r="B165" s="7"/>
      <c r="C165" s="7"/>
      <c r="D165" s="7"/>
      <c r="E165" s="7"/>
      <c r="F165" s="7"/>
    </row>
    <row r="166" ht="14.25" customHeight="1">
      <c r="A166" s="7"/>
      <c r="B166" s="7"/>
      <c r="C166" s="7"/>
      <c r="D166" s="7"/>
      <c r="E166" s="7"/>
      <c r="F166" s="7"/>
    </row>
    <row r="167" ht="14.25" customHeight="1">
      <c r="A167" s="7"/>
      <c r="B167" s="7"/>
      <c r="C167" s="7"/>
      <c r="D167" s="7"/>
      <c r="E167" s="7"/>
      <c r="F167" s="7"/>
    </row>
    <row r="168" ht="14.25" customHeight="1">
      <c r="A168" s="7"/>
      <c r="B168" s="7"/>
      <c r="C168" s="7"/>
      <c r="D168" s="7"/>
      <c r="E168" s="7"/>
      <c r="F168" s="7"/>
    </row>
    <row r="169" ht="14.25" customHeight="1">
      <c r="A169" s="7"/>
      <c r="B169" s="7"/>
      <c r="C169" s="7"/>
      <c r="D169" s="7"/>
      <c r="E169" s="7"/>
      <c r="F169" s="7"/>
    </row>
    <row r="170" ht="14.25" customHeight="1">
      <c r="A170" s="7"/>
      <c r="B170" s="7"/>
      <c r="C170" s="7"/>
      <c r="D170" s="7"/>
      <c r="E170" s="7"/>
      <c r="F170" s="7"/>
    </row>
    <row r="171" ht="14.25" customHeight="1">
      <c r="A171" s="7"/>
      <c r="B171" s="7"/>
      <c r="C171" s="7"/>
      <c r="D171" s="7"/>
      <c r="E171" s="7"/>
      <c r="F171" s="7"/>
    </row>
    <row r="172" ht="14.25" customHeight="1">
      <c r="A172" s="7"/>
      <c r="B172" s="7"/>
      <c r="C172" s="7"/>
      <c r="D172" s="7"/>
      <c r="E172" s="7"/>
      <c r="F172" s="7"/>
    </row>
    <row r="173" ht="14.25" customHeight="1">
      <c r="A173" s="7"/>
      <c r="B173" s="7"/>
      <c r="C173" s="7"/>
      <c r="D173" s="7"/>
      <c r="E173" s="7"/>
      <c r="F173" s="7"/>
    </row>
    <row r="174" ht="14.25" customHeight="1">
      <c r="A174" s="7"/>
      <c r="B174" s="7"/>
      <c r="C174" s="7"/>
      <c r="D174" s="7"/>
      <c r="E174" s="7"/>
      <c r="F174" s="7"/>
    </row>
    <row r="175" ht="14.25" customHeight="1">
      <c r="A175" s="7"/>
      <c r="B175" s="7"/>
      <c r="C175" s="7"/>
      <c r="D175" s="7"/>
      <c r="E175" s="7"/>
      <c r="F175" s="7"/>
    </row>
    <row r="176" ht="14.25" customHeight="1">
      <c r="A176" s="7"/>
      <c r="B176" s="7"/>
      <c r="C176" s="7"/>
      <c r="D176" s="7"/>
      <c r="E176" s="7"/>
      <c r="F176" s="7"/>
    </row>
    <row r="177" ht="14.25" customHeight="1">
      <c r="A177" s="7"/>
      <c r="B177" s="7"/>
      <c r="C177" s="7"/>
      <c r="D177" s="7"/>
      <c r="E177" s="7"/>
      <c r="F177" s="7"/>
    </row>
    <row r="178" ht="14.25" customHeight="1">
      <c r="A178" s="7"/>
      <c r="B178" s="7"/>
      <c r="C178" s="7"/>
      <c r="D178" s="7"/>
      <c r="E178" s="7"/>
      <c r="F178" s="7"/>
    </row>
    <row r="179" ht="14.25" customHeight="1">
      <c r="A179" s="7"/>
      <c r="B179" s="7"/>
      <c r="C179" s="7"/>
      <c r="D179" s="7"/>
      <c r="E179" s="7"/>
      <c r="F179" s="7"/>
    </row>
    <row r="180" ht="14.25" customHeight="1">
      <c r="A180" s="7"/>
      <c r="B180" s="7"/>
      <c r="C180" s="7"/>
      <c r="D180" s="7"/>
      <c r="E180" s="7"/>
      <c r="F180" s="7"/>
    </row>
    <row r="181" ht="14.25" customHeight="1">
      <c r="A181" s="7"/>
      <c r="B181" s="7"/>
      <c r="C181" s="7"/>
      <c r="D181" s="7"/>
      <c r="E181" s="7"/>
      <c r="F181" s="7"/>
    </row>
    <row r="182" ht="14.25" customHeight="1">
      <c r="A182" s="7"/>
      <c r="B182" s="7"/>
      <c r="C182" s="7"/>
      <c r="D182" s="7"/>
      <c r="E182" s="7"/>
      <c r="F182" s="7"/>
    </row>
    <row r="183" ht="14.25" customHeight="1">
      <c r="A183" s="7"/>
      <c r="B183" s="7"/>
      <c r="C183" s="7"/>
      <c r="D183" s="7"/>
      <c r="E183" s="7"/>
      <c r="F183" s="7"/>
    </row>
    <row r="184" ht="14.25" customHeight="1">
      <c r="A184" s="7"/>
      <c r="B184" s="7"/>
      <c r="C184" s="7"/>
      <c r="D184" s="7"/>
      <c r="E184" s="7"/>
      <c r="F184" s="7"/>
    </row>
    <row r="185" ht="14.25" customHeight="1">
      <c r="A185" s="7"/>
      <c r="B185" s="7"/>
      <c r="C185" s="7"/>
      <c r="D185" s="7"/>
      <c r="E185" s="7"/>
      <c r="F185" s="7"/>
    </row>
    <row r="186" ht="14.25" customHeight="1">
      <c r="A186" s="7"/>
      <c r="B186" s="7"/>
      <c r="C186" s="7"/>
      <c r="D186" s="7"/>
      <c r="E186" s="7"/>
      <c r="F186" s="7"/>
    </row>
    <row r="187" ht="14.25" customHeight="1">
      <c r="A187" s="7"/>
      <c r="B187" s="7"/>
      <c r="C187" s="7"/>
      <c r="D187" s="7"/>
      <c r="E187" s="7"/>
      <c r="F187" s="7"/>
    </row>
    <row r="188" ht="14.25" customHeight="1">
      <c r="A188" s="7"/>
      <c r="B188" s="7"/>
      <c r="C188" s="7"/>
      <c r="D188" s="7"/>
      <c r="E188" s="7"/>
      <c r="F188" s="7"/>
    </row>
    <row r="189" ht="14.25" customHeight="1">
      <c r="A189" s="7"/>
      <c r="B189" s="7"/>
      <c r="C189" s="7"/>
      <c r="D189" s="7"/>
      <c r="E189" s="7"/>
      <c r="F189" s="7"/>
    </row>
    <row r="190" ht="14.25" customHeight="1">
      <c r="A190" s="7"/>
      <c r="B190" s="7"/>
      <c r="C190" s="7"/>
      <c r="D190" s="7"/>
      <c r="E190" s="7"/>
      <c r="F190" s="7"/>
    </row>
    <row r="191" ht="14.25" customHeight="1">
      <c r="A191" s="7"/>
      <c r="B191" s="7"/>
      <c r="C191" s="7"/>
      <c r="D191" s="7"/>
      <c r="E191" s="7"/>
      <c r="F191" s="7"/>
    </row>
    <row r="192" ht="14.25" customHeight="1">
      <c r="A192" s="7"/>
      <c r="B192" s="7"/>
      <c r="C192" s="7"/>
      <c r="D192" s="7"/>
      <c r="E192" s="7"/>
      <c r="F192" s="7"/>
    </row>
    <row r="193" ht="14.25" customHeight="1">
      <c r="A193" s="7"/>
      <c r="B193" s="7"/>
      <c r="C193" s="7"/>
      <c r="D193" s="7"/>
      <c r="E193" s="7"/>
      <c r="F193" s="7"/>
    </row>
    <row r="194" ht="14.25" customHeight="1">
      <c r="A194" s="7"/>
      <c r="B194" s="7"/>
      <c r="C194" s="7"/>
      <c r="D194" s="7"/>
      <c r="E194" s="7"/>
      <c r="F194" s="7"/>
    </row>
    <row r="195" ht="14.25" customHeight="1">
      <c r="A195" s="7"/>
      <c r="B195" s="7"/>
      <c r="C195" s="7"/>
      <c r="D195" s="7"/>
      <c r="E195" s="7"/>
      <c r="F195" s="7"/>
    </row>
    <row r="196" ht="14.25" customHeight="1">
      <c r="A196" s="7"/>
      <c r="B196" s="7"/>
      <c r="C196" s="7"/>
      <c r="D196" s="7"/>
      <c r="E196" s="7"/>
      <c r="F196" s="7"/>
    </row>
    <row r="197" ht="14.25" customHeight="1">
      <c r="A197" s="7"/>
      <c r="B197" s="7"/>
      <c r="C197" s="7"/>
      <c r="D197" s="7"/>
      <c r="E197" s="7"/>
      <c r="F197" s="7"/>
    </row>
    <row r="198" ht="14.25" customHeight="1">
      <c r="A198" s="7"/>
      <c r="B198" s="7"/>
      <c r="C198" s="7"/>
      <c r="D198" s="7"/>
      <c r="E198" s="7"/>
      <c r="F198" s="7"/>
    </row>
    <row r="199" ht="14.25" customHeight="1">
      <c r="A199" s="7"/>
      <c r="B199" s="7"/>
      <c r="C199" s="7"/>
      <c r="D199" s="7"/>
      <c r="E199" s="7"/>
      <c r="F199" s="7"/>
    </row>
    <row r="200" ht="14.25" customHeight="1">
      <c r="A200" s="7"/>
      <c r="B200" s="7"/>
      <c r="C200" s="7"/>
      <c r="D200" s="7"/>
      <c r="E200" s="7"/>
      <c r="F200" s="7"/>
    </row>
    <row r="201" ht="14.25" customHeight="1">
      <c r="A201" s="7"/>
      <c r="B201" s="7"/>
      <c r="C201" s="7"/>
      <c r="D201" s="7"/>
      <c r="E201" s="7"/>
      <c r="F201" s="7"/>
    </row>
    <row r="202" ht="14.25" customHeight="1">
      <c r="A202" s="7"/>
      <c r="B202" s="7"/>
      <c r="C202" s="7"/>
      <c r="D202" s="7"/>
      <c r="E202" s="7"/>
      <c r="F202" s="7"/>
    </row>
    <row r="203" ht="14.25" customHeight="1">
      <c r="A203" s="7"/>
      <c r="B203" s="7"/>
      <c r="C203" s="7"/>
      <c r="D203" s="7"/>
      <c r="E203" s="7"/>
      <c r="F203" s="7"/>
    </row>
    <row r="204" ht="14.25" customHeight="1">
      <c r="A204" s="7"/>
      <c r="B204" s="7"/>
      <c r="C204" s="7"/>
      <c r="D204" s="7"/>
      <c r="E204" s="7"/>
      <c r="F204" s="7"/>
    </row>
    <row r="205" ht="14.25" customHeight="1">
      <c r="A205" s="7"/>
      <c r="B205" s="7"/>
      <c r="C205" s="7"/>
      <c r="D205" s="7"/>
      <c r="E205" s="7"/>
      <c r="F205" s="7"/>
    </row>
    <row r="206" ht="14.25" customHeight="1">
      <c r="A206" s="7"/>
      <c r="B206" s="7"/>
      <c r="C206" s="7"/>
      <c r="D206" s="7"/>
      <c r="E206" s="7"/>
      <c r="F206" s="7"/>
    </row>
    <row r="207" ht="14.25" customHeight="1">
      <c r="A207" s="7"/>
      <c r="B207" s="7"/>
      <c r="C207" s="7"/>
      <c r="D207" s="7"/>
      <c r="E207" s="7"/>
      <c r="F207" s="7"/>
    </row>
    <row r="208" ht="14.25" customHeight="1">
      <c r="A208" s="7"/>
      <c r="B208" s="7"/>
      <c r="C208" s="7"/>
      <c r="D208" s="7"/>
      <c r="E208" s="7"/>
      <c r="F208" s="7"/>
    </row>
    <row r="209" ht="14.25" customHeight="1">
      <c r="A209" s="7"/>
      <c r="B209" s="7"/>
      <c r="C209" s="7"/>
      <c r="D209" s="7"/>
      <c r="E209" s="7"/>
      <c r="F209" s="7"/>
    </row>
    <row r="210" ht="14.25" customHeight="1">
      <c r="A210" s="7"/>
      <c r="B210" s="7"/>
      <c r="C210" s="7"/>
      <c r="D210" s="7"/>
      <c r="E210" s="7"/>
      <c r="F210" s="7"/>
    </row>
    <row r="211" ht="14.25" customHeight="1">
      <c r="A211" s="7"/>
      <c r="B211" s="7"/>
      <c r="C211" s="7"/>
      <c r="D211" s="7"/>
      <c r="E211" s="7"/>
      <c r="F211" s="7"/>
    </row>
    <row r="212" ht="14.25" customHeight="1">
      <c r="A212" s="7"/>
      <c r="B212" s="7"/>
      <c r="C212" s="7"/>
      <c r="D212" s="7"/>
      <c r="E212" s="7"/>
      <c r="F212" s="7"/>
    </row>
    <row r="213" ht="14.25" customHeight="1">
      <c r="A213" s="7"/>
      <c r="B213" s="7"/>
      <c r="C213" s="7"/>
      <c r="D213" s="7"/>
      <c r="E213" s="7"/>
      <c r="F213" s="7"/>
    </row>
    <row r="214" ht="14.25" customHeight="1">
      <c r="A214" s="7"/>
      <c r="B214" s="7"/>
      <c r="C214" s="7"/>
      <c r="D214" s="7"/>
      <c r="E214" s="7"/>
      <c r="F214" s="7"/>
    </row>
    <row r="215" ht="14.25" customHeight="1">
      <c r="A215" s="7"/>
      <c r="B215" s="7"/>
      <c r="C215" s="7"/>
      <c r="D215" s="7"/>
      <c r="E215" s="7"/>
      <c r="F215" s="7"/>
    </row>
    <row r="216" ht="14.25" customHeight="1">
      <c r="A216" s="7"/>
      <c r="B216" s="7"/>
      <c r="C216" s="7"/>
      <c r="D216" s="7"/>
      <c r="E216" s="7"/>
      <c r="F216" s="7"/>
    </row>
    <row r="217" ht="14.25" customHeight="1">
      <c r="A217" s="7"/>
      <c r="B217" s="7"/>
      <c r="C217" s="7"/>
      <c r="D217" s="7"/>
      <c r="E217" s="7"/>
      <c r="F217" s="7"/>
    </row>
    <row r="218" ht="14.25" customHeight="1">
      <c r="A218" s="7"/>
      <c r="B218" s="7"/>
      <c r="C218" s="7"/>
      <c r="D218" s="7"/>
      <c r="E218" s="7"/>
      <c r="F218" s="7"/>
    </row>
    <row r="219" ht="14.25" customHeight="1">
      <c r="A219" s="7"/>
      <c r="B219" s="7"/>
      <c r="C219" s="7"/>
      <c r="D219" s="7"/>
      <c r="E219" s="7"/>
      <c r="F219" s="7"/>
    </row>
    <row r="220" ht="14.25" customHeight="1">
      <c r="A220" s="7"/>
      <c r="B220" s="7"/>
      <c r="C220" s="7"/>
      <c r="D220" s="7"/>
      <c r="E220" s="7"/>
      <c r="F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5"/>
    <col customWidth="1" min="2" max="12" width="10.63"/>
  </cols>
  <sheetData>
    <row r="1" ht="14.25" customHeight="1">
      <c r="A1" s="7"/>
      <c r="B1" s="7"/>
      <c r="C1" s="7"/>
      <c r="D1" s="7"/>
      <c r="E1" s="7"/>
      <c r="F1" s="7"/>
      <c r="G1" s="7"/>
      <c r="H1" s="7"/>
      <c r="I1" s="7"/>
      <c r="J1" s="7"/>
      <c r="K1" s="7"/>
      <c r="L1" s="7"/>
    </row>
    <row r="2" ht="14.25" customHeight="1">
      <c r="A2" s="7"/>
      <c r="B2" s="266" t="s">
        <v>1971</v>
      </c>
      <c r="C2" s="7"/>
      <c r="D2" s="7"/>
      <c r="E2" s="7"/>
      <c r="F2" s="7"/>
      <c r="G2" s="7"/>
      <c r="H2" s="7"/>
      <c r="I2" s="7" t="s">
        <v>1908</v>
      </c>
      <c r="J2" s="7" t="s">
        <v>1923</v>
      </c>
      <c r="K2" s="7" t="s">
        <v>1924</v>
      </c>
      <c r="L2" s="7" t="s">
        <v>1972</v>
      </c>
    </row>
    <row r="3" ht="14.25" customHeight="1">
      <c r="A3" s="7"/>
      <c r="B3" s="272" t="s">
        <v>1973</v>
      </c>
      <c r="C3" s="1177" t="s">
        <v>1974</v>
      </c>
      <c r="D3" s="1177"/>
      <c r="E3" s="1178">
        <v>13.5412</v>
      </c>
      <c r="F3" s="265">
        <v>28.0</v>
      </c>
      <c r="G3" s="1178">
        <f t="shared" ref="G3:G5" si="1">E3*F3</f>
        <v>379.1536</v>
      </c>
      <c r="H3" s="7"/>
      <c r="I3" s="7">
        <f>+F3+1</f>
        <v>29</v>
      </c>
      <c r="J3" s="7">
        <v>30.0</v>
      </c>
      <c r="K3" s="7">
        <v>30.0</v>
      </c>
      <c r="L3" s="7">
        <v>31.0</v>
      </c>
    </row>
    <row r="4" ht="14.25" customHeight="1">
      <c r="A4" s="7"/>
      <c r="B4" s="272"/>
      <c r="C4" s="1177" t="s">
        <v>1975</v>
      </c>
      <c r="D4" s="1177"/>
      <c r="E4" s="1178">
        <v>14.5</v>
      </c>
      <c r="F4" s="1177">
        <v>3.0</v>
      </c>
      <c r="G4" s="1178">
        <f t="shared" si="1"/>
        <v>43.5</v>
      </c>
      <c r="H4" s="7"/>
      <c r="I4" s="7">
        <f t="shared" ref="I4:I5" si="3">+F4</f>
        <v>3</v>
      </c>
      <c r="J4" s="7">
        <f t="shared" ref="J4:L4" si="2">+I4</f>
        <v>3</v>
      </c>
      <c r="K4" s="7">
        <f t="shared" si="2"/>
        <v>3</v>
      </c>
      <c r="L4" s="7">
        <f t="shared" si="2"/>
        <v>3</v>
      </c>
    </row>
    <row r="5" ht="14.25" customHeight="1">
      <c r="A5" s="7"/>
      <c r="B5" s="272"/>
      <c r="C5" s="1177" t="s">
        <v>1976</v>
      </c>
      <c r="D5" s="1177"/>
      <c r="E5" s="1178">
        <v>20.93</v>
      </c>
      <c r="F5" s="265">
        <v>2.0</v>
      </c>
      <c r="G5" s="1178">
        <f t="shared" si="1"/>
        <v>41.86</v>
      </c>
      <c r="H5" s="7"/>
      <c r="I5" s="7">
        <f t="shared" si="3"/>
        <v>2</v>
      </c>
      <c r="J5" s="7">
        <f t="shared" ref="J5:L5" si="4">+I5</f>
        <v>2</v>
      </c>
      <c r="K5" s="7">
        <f t="shared" si="4"/>
        <v>2</v>
      </c>
      <c r="L5" s="7">
        <f t="shared" si="4"/>
        <v>2</v>
      </c>
    </row>
    <row r="6" ht="14.25" customHeight="1">
      <c r="A6" s="7"/>
      <c r="B6" s="7"/>
      <c r="C6" s="1177" t="s">
        <v>1977</v>
      </c>
      <c r="D6" s="1179"/>
      <c r="E6" s="1178"/>
      <c r="F6" s="1180"/>
      <c r="G6" s="1181">
        <f>SUM(G3:G5)</f>
        <v>464.5136</v>
      </c>
      <c r="H6" s="7"/>
      <c r="I6" s="7"/>
      <c r="J6" s="7"/>
      <c r="K6" s="7"/>
      <c r="L6" s="7"/>
    </row>
    <row r="7" ht="14.25" customHeight="1">
      <c r="A7" s="7"/>
      <c r="B7" s="7"/>
      <c r="C7" s="7"/>
      <c r="D7" s="7"/>
      <c r="E7" s="7"/>
      <c r="F7" s="7"/>
      <c r="G7" s="7"/>
      <c r="H7" s="7"/>
      <c r="I7" s="1182">
        <f t="shared" ref="I7:L7" si="5">+I3*$E$3+I4*$E$4+I5*$E$5</f>
        <v>478.0548</v>
      </c>
      <c r="J7" s="1182">
        <f t="shared" si="5"/>
        <v>491.596</v>
      </c>
      <c r="K7" s="1182">
        <f t="shared" si="5"/>
        <v>491.596</v>
      </c>
      <c r="L7" s="1182">
        <f t="shared" si="5"/>
        <v>505.1372</v>
      </c>
    </row>
    <row r="8" ht="14.25" customHeight="1">
      <c r="A8" s="7"/>
      <c r="B8" s="7"/>
      <c r="C8" s="7"/>
      <c r="D8" s="7"/>
      <c r="E8" s="7"/>
      <c r="F8" s="7"/>
      <c r="G8" s="7"/>
      <c r="H8" s="7"/>
      <c r="I8" s="7"/>
      <c r="J8" s="7"/>
      <c r="K8" s="7"/>
      <c r="L8" s="7"/>
    </row>
    <row r="9" ht="14.25" customHeight="1">
      <c r="A9" s="7"/>
      <c r="B9" s="7"/>
      <c r="C9" s="7"/>
      <c r="D9" s="7"/>
      <c r="E9" s="7"/>
      <c r="F9" s="7"/>
      <c r="G9" s="7"/>
      <c r="H9" s="7"/>
      <c r="I9" s="7"/>
      <c r="J9" s="7"/>
      <c r="K9" s="7"/>
      <c r="L9" s="7"/>
    </row>
    <row r="10" ht="14.25" customHeight="1">
      <c r="A10" s="7"/>
      <c r="B10" s="7"/>
      <c r="C10" s="7"/>
      <c r="D10" s="7"/>
      <c r="E10" s="7"/>
      <c r="F10" s="7"/>
      <c r="G10" s="7"/>
      <c r="H10" s="7"/>
      <c r="I10" s="7"/>
      <c r="J10" s="7"/>
      <c r="K10" s="7"/>
      <c r="L10" s="7"/>
    </row>
    <row r="11" ht="14.25" customHeight="1">
      <c r="A11" s="7"/>
      <c r="B11" s="7"/>
      <c r="C11" s="7"/>
      <c r="D11" s="7"/>
      <c r="E11" s="7"/>
      <c r="F11" s="7"/>
      <c r="G11" s="7"/>
      <c r="H11" s="7"/>
      <c r="I11" s="7"/>
      <c r="J11" s="7"/>
      <c r="K11" s="7"/>
      <c r="L11" s="7"/>
    </row>
    <row r="12" ht="14.25" customHeight="1">
      <c r="A12" s="7"/>
      <c r="B12" s="7"/>
      <c r="C12" s="7"/>
      <c r="D12" s="7"/>
      <c r="E12" s="7"/>
      <c r="F12" s="7"/>
      <c r="G12" s="7"/>
      <c r="H12" s="7"/>
      <c r="I12" s="7"/>
      <c r="J12" s="7"/>
      <c r="K12" s="7"/>
      <c r="L12" s="7"/>
    </row>
    <row r="13" ht="14.25" customHeight="1">
      <c r="A13" s="7"/>
      <c r="B13" s="7"/>
      <c r="C13" s="7"/>
      <c r="D13" s="7"/>
      <c r="E13" s="7"/>
      <c r="F13" s="7"/>
      <c r="G13" s="7"/>
      <c r="H13" s="7"/>
      <c r="I13" s="7"/>
      <c r="J13" s="7"/>
      <c r="K13" s="7"/>
      <c r="L13" s="7"/>
    </row>
    <row r="14" ht="14.25" customHeight="1">
      <c r="A14" s="7"/>
      <c r="B14" s="7"/>
      <c r="C14" s="7"/>
      <c r="D14" s="7"/>
      <c r="E14" s="7"/>
      <c r="F14" s="7"/>
      <c r="G14" s="7"/>
      <c r="H14" s="7"/>
      <c r="I14" s="7"/>
      <c r="J14" s="7"/>
      <c r="K14" s="7"/>
      <c r="L14" s="7"/>
    </row>
    <row r="15" ht="14.25" customHeight="1">
      <c r="A15" s="7"/>
      <c r="B15" s="7"/>
      <c r="C15" s="7"/>
      <c r="D15" s="7"/>
      <c r="E15" s="7"/>
      <c r="F15" s="7"/>
      <c r="G15" s="7"/>
      <c r="H15" s="7"/>
      <c r="I15" s="7"/>
      <c r="J15" s="7"/>
      <c r="K15" s="7"/>
      <c r="L15" s="7"/>
    </row>
    <row r="16" ht="14.25" customHeight="1">
      <c r="A16" s="7"/>
      <c r="B16" s="7"/>
      <c r="C16" s="7"/>
      <c r="D16" s="7"/>
      <c r="E16" s="7"/>
      <c r="F16" s="7"/>
      <c r="G16" s="7"/>
      <c r="H16" s="7"/>
      <c r="I16" s="7"/>
      <c r="J16" s="7"/>
      <c r="K16" s="7"/>
      <c r="L16" s="7"/>
    </row>
    <row r="17" ht="14.25" customHeight="1">
      <c r="A17" s="7"/>
      <c r="B17" s="7"/>
      <c r="C17" s="7"/>
      <c r="D17" s="7"/>
      <c r="E17" s="7"/>
      <c r="F17" s="7"/>
      <c r="G17" s="7"/>
      <c r="H17" s="7"/>
      <c r="I17" s="7"/>
      <c r="J17" s="7"/>
      <c r="K17" s="7"/>
      <c r="L17" s="7"/>
    </row>
    <row r="18" ht="14.25" customHeight="1">
      <c r="A18" s="7"/>
      <c r="B18" s="7"/>
      <c r="C18" s="7"/>
      <c r="D18" s="7"/>
      <c r="E18" s="7"/>
      <c r="F18" s="7"/>
      <c r="G18" s="7"/>
      <c r="H18" s="7"/>
      <c r="I18" s="7"/>
      <c r="J18" s="7"/>
      <c r="K18" s="7"/>
      <c r="L18" s="7"/>
    </row>
    <row r="19" ht="14.25" customHeight="1">
      <c r="A19" s="7"/>
      <c r="B19" s="7"/>
      <c r="C19" s="7"/>
      <c r="D19" s="7"/>
      <c r="E19" s="7"/>
      <c r="F19" s="7"/>
      <c r="G19" s="7"/>
      <c r="H19" s="7"/>
      <c r="I19" s="7"/>
      <c r="J19" s="7"/>
      <c r="K19" s="7"/>
      <c r="L19" s="7"/>
    </row>
    <row r="20" ht="14.25" customHeight="1">
      <c r="A20" s="7"/>
      <c r="B20" s="7"/>
      <c r="C20" s="7"/>
      <c r="D20" s="7"/>
      <c r="E20" s="7"/>
      <c r="F20" s="7"/>
      <c r="G20" s="7"/>
      <c r="H20" s="7"/>
      <c r="I20" s="7"/>
      <c r="J20" s="7"/>
      <c r="K20" s="7"/>
      <c r="L20" s="7"/>
    </row>
    <row r="21" ht="14.25" customHeight="1">
      <c r="A21" s="7"/>
      <c r="B21" s="7"/>
      <c r="C21" s="7"/>
      <c r="D21" s="7"/>
      <c r="E21" s="7"/>
      <c r="F21" s="7"/>
      <c r="G21" s="7"/>
      <c r="H21" s="7"/>
      <c r="I21" s="7"/>
      <c r="J21" s="7"/>
      <c r="K21" s="7"/>
      <c r="L21" s="7"/>
    </row>
    <row r="22" ht="14.25" customHeight="1">
      <c r="A22" s="7"/>
      <c r="B22" s="7"/>
      <c r="C22" s="7"/>
      <c r="D22" s="7"/>
      <c r="E22" s="7"/>
      <c r="F22" s="7"/>
      <c r="G22" s="7"/>
      <c r="H22" s="7"/>
      <c r="I22" s="7"/>
      <c r="J22" s="7"/>
      <c r="K22" s="7"/>
      <c r="L22" s="7"/>
    </row>
    <row r="23" ht="14.25" customHeight="1">
      <c r="A23" s="7"/>
      <c r="B23" s="7"/>
      <c r="C23" s="7"/>
      <c r="D23" s="7"/>
      <c r="E23" s="7"/>
      <c r="F23" s="7"/>
      <c r="G23" s="7"/>
      <c r="H23" s="7"/>
      <c r="I23" s="7"/>
      <c r="J23" s="7"/>
      <c r="K23" s="7"/>
      <c r="L23" s="7"/>
    </row>
    <row r="24" ht="14.25" customHeight="1">
      <c r="A24" s="7"/>
      <c r="B24" s="7"/>
      <c r="C24" s="7"/>
      <c r="D24" s="7"/>
      <c r="E24" s="7"/>
      <c r="F24" s="7"/>
      <c r="G24" s="7"/>
      <c r="H24" s="7"/>
      <c r="I24" s="7"/>
      <c r="J24" s="7"/>
      <c r="K24" s="7"/>
      <c r="L24" s="7"/>
    </row>
    <row r="25" ht="14.25" customHeight="1">
      <c r="A25" s="7"/>
      <c r="B25" s="7"/>
      <c r="C25" s="7"/>
      <c r="D25" s="7"/>
      <c r="E25" s="7"/>
      <c r="F25" s="7"/>
      <c r="G25" s="7"/>
      <c r="H25" s="7"/>
      <c r="I25" s="7"/>
      <c r="J25" s="7"/>
      <c r="K25" s="7"/>
      <c r="L25" s="7"/>
    </row>
    <row r="26" ht="14.25" customHeight="1">
      <c r="A26" s="7"/>
      <c r="B26" s="7"/>
      <c r="C26" s="7"/>
      <c r="D26" s="7"/>
      <c r="E26" s="7"/>
      <c r="F26" s="7"/>
      <c r="G26" s="7"/>
      <c r="H26" s="7"/>
      <c r="I26" s="7"/>
      <c r="J26" s="7"/>
      <c r="K26" s="7"/>
      <c r="L26" s="7"/>
    </row>
    <row r="27" ht="14.25" customHeight="1">
      <c r="A27" s="7"/>
      <c r="B27" s="7"/>
      <c r="C27" s="7"/>
      <c r="D27" s="7"/>
      <c r="E27" s="7"/>
      <c r="F27" s="7"/>
      <c r="G27" s="7"/>
      <c r="H27" s="7"/>
      <c r="I27" s="7"/>
      <c r="J27" s="7"/>
      <c r="K27" s="7"/>
      <c r="L27" s="7"/>
    </row>
    <row r="28" ht="14.25" customHeight="1">
      <c r="A28" s="7"/>
      <c r="B28" s="7"/>
      <c r="C28" s="7"/>
      <c r="D28" s="7"/>
      <c r="E28" s="7"/>
      <c r="F28" s="7"/>
      <c r="G28" s="7"/>
      <c r="H28" s="7"/>
      <c r="I28" s="7"/>
      <c r="J28" s="7"/>
      <c r="K28" s="7"/>
      <c r="L28" s="7"/>
    </row>
    <row r="29" ht="14.25" customHeight="1">
      <c r="A29" s="7"/>
      <c r="B29" s="7"/>
      <c r="C29" s="7"/>
      <c r="D29" s="7"/>
      <c r="E29" s="7"/>
      <c r="F29" s="7"/>
      <c r="G29" s="7"/>
      <c r="H29" s="7"/>
      <c r="I29" s="7"/>
      <c r="J29" s="7"/>
      <c r="K29" s="7"/>
      <c r="L29" s="7"/>
    </row>
    <row r="30" ht="14.25" customHeight="1">
      <c r="A30" s="7"/>
      <c r="B30" s="7"/>
      <c r="C30" s="7"/>
      <c r="D30" s="7"/>
      <c r="E30" s="7"/>
      <c r="F30" s="7"/>
      <c r="G30" s="7"/>
      <c r="H30" s="7"/>
      <c r="I30" s="7"/>
      <c r="J30" s="7"/>
      <c r="K30" s="7"/>
      <c r="L30" s="7"/>
    </row>
    <row r="31" ht="14.25" customHeight="1">
      <c r="A31" s="7"/>
      <c r="B31" s="7"/>
      <c r="C31" s="7"/>
      <c r="D31" s="7"/>
      <c r="E31" s="7"/>
      <c r="F31" s="7"/>
      <c r="G31" s="7"/>
      <c r="H31" s="7"/>
      <c r="I31" s="7"/>
      <c r="J31" s="7"/>
      <c r="K31" s="7"/>
      <c r="L31" s="7"/>
    </row>
    <row r="32" ht="14.25" customHeight="1">
      <c r="A32" s="7"/>
      <c r="B32" s="7"/>
      <c r="C32" s="7"/>
      <c r="D32" s="7"/>
      <c r="E32" s="7"/>
      <c r="F32" s="7"/>
      <c r="G32" s="7"/>
      <c r="H32" s="7"/>
      <c r="I32" s="7"/>
      <c r="J32" s="7"/>
      <c r="K32" s="7"/>
      <c r="L32" s="7"/>
    </row>
    <row r="33" ht="14.25" customHeight="1">
      <c r="A33" s="7"/>
      <c r="B33" s="7"/>
      <c r="C33" s="7"/>
      <c r="D33" s="7"/>
      <c r="E33" s="7"/>
      <c r="F33" s="7"/>
      <c r="G33" s="7"/>
      <c r="H33" s="7"/>
      <c r="I33" s="7"/>
      <c r="J33" s="7"/>
      <c r="K33" s="7"/>
      <c r="L33" s="7"/>
    </row>
    <row r="34" ht="14.25" customHeight="1">
      <c r="A34" s="7"/>
      <c r="B34" s="7"/>
      <c r="C34" s="7"/>
      <c r="D34" s="7"/>
      <c r="E34" s="7"/>
      <c r="F34" s="7"/>
      <c r="G34" s="7"/>
      <c r="H34" s="7"/>
      <c r="I34" s="7"/>
      <c r="J34" s="7"/>
      <c r="K34" s="7"/>
      <c r="L34" s="7"/>
    </row>
    <row r="35" ht="14.25" customHeight="1">
      <c r="A35" s="7"/>
      <c r="B35" s="7"/>
      <c r="C35" s="7"/>
      <c r="D35" s="7"/>
      <c r="E35" s="7"/>
      <c r="F35" s="7"/>
      <c r="G35" s="7"/>
      <c r="H35" s="7"/>
      <c r="I35" s="7"/>
      <c r="J35" s="7"/>
      <c r="K35" s="7"/>
      <c r="L35" s="7"/>
    </row>
    <row r="36" ht="14.25" customHeight="1">
      <c r="A36" s="7"/>
      <c r="B36" s="7"/>
      <c r="C36" s="7"/>
      <c r="D36" s="7"/>
      <c r="E36" s="7"/>
      <c r="F36" s="7"/>
      <c r="G36" s="7"/>
      <c r="H36" s="7"/>
      <c r="I36" s="7"/>
      <c r="J36" s="7"/>
      <c r="K36" s="7"/>
      <c r="L36" s="7"/>
    </row>
    <row r="37" ht="14.25" customHeight="1">
      <c r="A37" s="7"/>
      <c r="B37" s="7"/>
      <c r="C37" s="7"/>
      <c r="D37" s="7"/>
      <c r="E37" s="7"/>
      <c r="F37" s="7"/>
      <c r="G37" s="7"/>
      <c r="H37" s="7"/>
      <c r="I37" s="7"/>
      <c r="J37" s="7"/>
      <c r="K37" s="7"/>
      <c r="L37" s="7"/>
    </row>
    <row r="38" ht="14.25" customHeight="1">
      <c r="A38" s="7"/>
      <c r="B38" s="7"/>
      <c r="C38" s="7"/>
      <c r="D38" s="7"/>
      <c r="E38" s="7"/>
      <c r="F38" s="7"/>
      <c r="G38" s="7"/>
      <c r="H38" s="7"/>
      <c r="I38" s="7"/>
      <c r="J38" s="7"/>
      <c r="K38" s="7"/>
      <c r="L38" s="7"/>
    </row>
    <row r="39" ht="14.25" customHeight="1">
      <c r="A39" s="7"/>
      <c r="B39" s="7"/>
      <c r="C39" s="7"/>
      <c r="D39" s="7"/>
      <c r="E39" s="7"/>
      <c r="F39" s="7"/>
      <c r="G39" s="7"/>
      <c r="H39" s="7"/>
      <c r="I39" s="7"/>
      <c r="J39" s="7"/>
      <c r="K39" s="7"/>
      <c r="L39" s="7"/>
    </row>
    <row r="40" ht="14.25" customHeight="1">
      <c r="A40" s="7"/>
      <c r="B40" s="7"/>
      <c r="C40" s="7"/>
      <c r="D40" s="7"/>
      <c r="E40" s="7"/>
      <c r="F40" s="7"/>
      <c r="G40" s="7"/>
      <c r="H40" s="7"/>
      <c r="I40" s="7"/>
      <c r="J40" s="7"/>
      <c r="K40" s="7"/>
      <c r="L40" s="7"/>
    </row>
    <row r="41" ht="14.25" customHeight="1">
      <c r="A41" s="7"/>
      <c r="B41" s="7"/>
      <c r="C41" s="7"/>
      <c r="D41" s="7"/>
      <c r="E41" s="7"/>
      <c r="F41" s="7"/>
      <c r="G41" s="7"/>
      <c r="H41" s="7"/>
      <c r="I41" s="7"/>
      <c r="J41" s="7"/>
      <c r="K41" s="7"/>
      <c r="L41" s="7"/>
    </row>
    <row r="42" ht="14.25" customHeight="1">
      <c r="A42" s="7"/>
      <c r="B42" s="7"/>
      <c r="C42" s="7"/>
      <c r="D42" s="7"/>
      <c r="E42" s="7"/>
      <c r="F42" s="7"/>
      <c r="G42" s="7"/>
      <c r="H42" s="7"/>
      <c r="I42" s="7"/>
      <c r="J42" s="7"/>
      <c r="K42" s="7"/>
      <c r="L42" s="7"/>
    </row>
    <row r="43" ht="14.25" customHeight="1">
      <c r="A43" s="7"/>
      <c r="B43" s="7"/>
      <c r="C43" s="7"/>
      <c r="D43" s="7"/>
      <c r="E43" s="7"/>
      <c r="F43" s="7"/>
      <c r="G43" s="7"/>
      <c r="H43" s="7"/>
      <c r="I43" s="7"/>
      <c r="J43" s="7"/>
      <c r="K43" s="7"/>
      <c r="L43" s="7"/>
    </row>
    <row r="44" ht="14.25" customHeight="1">
      <c r="A44" s="7"/>
      <c r="B44" s="7"/>
      <c r="C44" s="7"/>
      <c r="D44" s="7"/>
      <c r="E44" s="7"/>
      <c r="F44" s="7"/>
      <c r="G44" s="7"/>
      <c r="H44" s="7"/>
      <c r="I44" s="7"/>
      <c r="J44" s="7"/>
      <c r="K44" s="7"/>
      <c r="L44" s="7"/>
    </row>
    <row r="45" ht="14.25" customHeight="1">
      <c r="A45" s="7"/>
      <c r="B45" s="7"/>
      <c r="C45" s="7"/>
      <c r="D45" s="7"/>
      <c r="E45" s="7"/>
      <c r="F45" s="7"/>
      <c r="G45" s="7"/>
      <c r="H45" s="7"/>
      <c r="I45" s="7"/>
      <c r="J45" s="7"/>
      <c r="K45" s="7"/>
      <c r="L45" s="7"/>
    </row>
    <row r="46" ht="14.25" customHeight="1">
      <c r="A46" s="7"/>
      <c r="B46" s="7"/>
      <c r="C46" s="7"/>
      <c r="D46" s="7"/>
      <c r="E46" s="7"/>
      <c r="F46" s="7"/>
      <c r="G46" s="7"/>
      <c r="H46" s="7"/>
      <c r="I46" s="7"/>
      <c r="J46" s="7"/>
      <c r="K46" s="7"/>
      <c r="L46" s="7"/>
    </row>
    <row r="47" ht="14.25" customHeight="1">
      <c r="A47" s="7"/>
      <c r="B47" s="7"/>
      <c r="C47" s="7"/>
      <c r="D47" s="7"/>
      <c r="E47" s="7"/>
      <c r="F47" s="7"/>
      <c r="G47" s="7"/>
      <c r="H47" s="7"/>
      <c r="I47" s="7"/>
      <c r="J47" s="7"/>
      <c r="K47" s="7"/>
      <c r="L47" s="7"/>
    </row>
    <row r="48" ht="14.25" customHeight="1">
      <c r="A48" s="7"/>
      <c r="B48" s="7"/>
      <c r="C48" s="7"/>
      <c r="D48" s="7"/>
      <c r="E48" s="7"/>
      <c r="F48" s="7"/>
      <c r="G48" s="7"/>
      <c r="H48" s="7"/>
      <c r="I48" s="7"/>
      <c r="J48" s="7"/>
      <c r="K48" s="7"/>
      <c r="L48" s="7"/>
    </row>
    <row r="49" ht="14.25" customHeight="1">
      <c r="A49" s="7"/>
      <c r="B49" s="7"/>
      <c r="C49" s="7"/>
      <c r="D49" s="7"/>
      <c r="E49" s="7"/>
      <c r="F49" s="7"/>
      <c r="G49" s="7"/>
      <c r="H49" s="7"/>
      <c r="I49" s="7"/>
      <c r="J49" s="7"/>
      <c r="K49" s="7"/>
      <c r="L49" s="7"/>
    </row>
    <row r="50" ht="14.25" customHeight="1">
      <c r="A50" s="7"/>
      <c r="B50" s="7"/>
      <c r="C50" s="7"/>
      <c r="D50" s="7"/>
      <c r="E50" s="7"/>
      <c r="F50" s="7"/>
      <c r="G50" s="7"/>
      <c r="H50" s="7"/>
      <c r="I50" s="7"/>
      <c r="J50" s="7"/>
      <c r="K50" s="7"/>
      <c r="L50" s="7"/>
    </row>
    <row r="51" ht="14.25" customHeight="1">
      <c r="A51" s="7"/>
      <c r="B51" s="7"/>
      <c r="C51" s="7"/>
      <c r="D51" s="7"/>
      <c r="E51" s="7"/>
      <c r="F51" s="7"/>
      <c r="G51" s="7"/>
      <c r="H51" s="7"/>
      <c r="I51" s="7"/>
      <c r="J51" s="7"/>
      <c r="K51" s="7"/>
      <c r="L51" s="7"/>
    </row>
    <row r="52" ht="14.25" customHeight="1">
      <c r="A52" s="7"/>
      <c r="B52" s="7"/>
      <c r="C52" s="7"/>
      <c r="D52" s="7"/>
      <c r="E52" s="7"/>
      <c r="F52" s="7"/>
      <c r="G52" s="7"/>
      <c r="H52" s="7"/>
      <c r="I52" s="7"/>
      <c r="J52" s="7"/>
      <c r="K52" s="7"/>
      <c r="L52" s="7"/>
    </row>
    <row r="53" ht="14.25" customHeight="1">
      <c r="A53" s="7"/>
      <c r="B53" s="7"/>
      <c r="C53" s="7"/>
      <c r="D53" s="7"/>
      <c r="E53" s="7"/>
      <c r="F53" s="7"/>
      <c r="G53" s="7"/>
      <c r="H53" s="7"/>
      <c r="I53" s="7"/>
      <c r="J53" s="7"/>
      <c r="K53" s="7"/>
      <c r="L53" s="7"/>
    </row>
    <row r="54" ht="14.25" customHeight="1">
      <c r="A54" s="7"/>
      <c r="B54" s="7"/>
      <c r="C54" s="7"/>
      <c r="D54" s="7"/>
      <c r="E54" s="7"/>
      <c r="F54" s="7"/>
      <c r="G54" s="7"/>
      <c r="H54" s="7"/>
      <c r="I54" s="7"/>
      <c r="J54" s="7"/>
      <c r="K54" s="7"/>
      <c r="L54" s="7"/>
    </row>
    <row r="55" ht="14.25" customHeight="1">
      <c r="A55" s="7"/>
      <c r="B55" s="7"/>
      <c r="C55" s="7"/>
      <c r="D55" s="7"/>
      <c r="E55" s="7"/>
      <c r="F55" s="7"/>
      <c r="G55" s="7"/>
      <c r="H55" s="7"/>
      <c r="I55" s="7"/>
      <c r="J55" s="7"/>
      <c r="K55" s="7"/>
      <c r="L55" s="7"/>
    </row>
    <row r="56" ht="14.25" customHeight="1">
      <c r="A56" s="7"/>
      <c r="B56" s="7"/>
      <c r="C56" s="7"/>
      <c r="D56" s="7"/>
      <c r="E56" s="7"/>
      <c r="F56" s="7"/>
      <c r="G56" s="7"/>
      <c r="H56" s="7"/>
      <c r="I56" s="7"/>
      <c r="J56" s="7"/>
      <c r="K56" s="7"/>
      <c r="L56" s="7"/>
    </row>
    <row r="57" ht="14.25" customHeight="1">
      <c r="A57" s="7"/>
      <c r="B57" s="7"/>
      <c r="C57" s="7"/>
      <c r="D57" s="7"/>
      <c r="E57" s="7"/>
      <c r="F57" s="7"/>
      <c r="G57" s="7"/>
      <c r="H57" s="7"/>
      <c r="I57" s="7"/>
      <c r="J57" s="7"/>
      <c r="K57" s="7"/>
      <c r="L57" s="7"/>
    </row>
    <row r="58" ht="14.25" customHeight="1">
      <c r="A58" s="7"/>
      <c r="B58" s="7"/>
      <c r="C58" s="7"/>
      <c r="D58" s="7"/>
      <c r="E58" s="7"/>
      <c r="F58" s="7"/>
      <c r="G58" s="7"/>
      <c r="H58" s="7"/>
      <c r="I58" s="7"/>
      <c r="J58" s="7"/>
      <c r="K58" s="7"/>
      <c r="L58" s="7"/>
    </row>
    <row r="59" ht="14.25" customHeight="1">
      <c r="A59" s="7"/>
      <c r="B59" s="7"/>
      <c r="C59" s="7"/>
      <c r="D59" s="7"/>
      <c r="E59" s="7"/>
      <c r="F59" s="7"/>
      <c r="G59" s="7"/>
      <c r="H59" s="7"/>
      <c r="I59" s="7"/>
      <c r="J59" s="7"/>
      <c r="K59" s="7"/>
      <c r="L59" s="7"/>
    </row>
    <row r="60" ht="14.25" customHeight="1">
      <c r="A60" s="7"/>
      <c r="B60" s="7"/>
      <c r="C60" s="7"/>
      <c r="D60" s="7"/>
      <c r="E60" s="7"/>
      <c r="F60" s="7"/>
      <c r="G60" s="7"/>
      <c r="H60" s="7"/>
      <c r="I60" s="7"/>
      <c r="J60" s="7"/>
      <c r="K60" s="7"/>
      <c r="L60" s="7"/>
    </row>
    <row r="61" ht="14.25" customHeight="1">
      <c r="A61" s="7"/>
      <c r="B61" s="7"/>
      <c r="C61" s="7"/>
      <c r="D61" s="7"/>
      <c r="E61" s="7"/>
      <c r="F61" s="7"/>
      <c r="G61" s="7"/>
      <c r="H61" s="7"/>
      <c r="I61" s="7"/>
      <c r="J61" s="7"/>
      <c r="K61" s="7"/>
      <c r="L61" s="7"/>
    </row>
    <row r="62" ht="14.25" customHeight="1">
      <c r="A62" s="7"/>
      <c r="B62" s="7"/>
      <c r="C62" s="7"/>
      <c r="D62" s="7"/>
      <c r="E62" s="7"/>
      <c r="F62" s="7"/>
      <c r="G62" s="7"/>
      <c r="H62" s="7"/>
      <c r="I62" s="7"/>
      <c r="J62" s="7"/>
      <c r="K62" s="7"/>
      <c r="L62" s="7"/>
    </row>
    <row r="63" ht="14.25" customHeight="1">
      <c r="A63" s="7"/>
      <c r="B63" s="7"/>
      <c r="C63" s="7"/>
      <c r="D63" s="7"/>
      <c r="E63" s="7"/>
      <c r="F63" s="7"/>
      <c r="G63" s="7"/>
      <c r="H63" s="7"/>
      <c r="I63" s="7"/>
      <c r="J63" s="7"/>
      <c r="K63" s="7"/>
      <c r="L63" s="7"/>
    </row>
    <row r="64" ht="14.25" customHeight="1">
      <c r="A64" s="7"/>
      <c r="B64" s="7"/>
      <c r="C64" s="7"/>
      <c r="D64" s="7"/>
      <c r="E64" s="7"/>
      <c r="F64" s="7"/>
      <c r="G64" s="7"/>
      <c r="H64" s="7"/>
      <c r="I64" s="7"/>
      <c r="J64" s="7"/>
      <c r="K64" s="7"/>
      <c r="L64" s="7"/>
    </row>
    <row r="65" ht="14.25" customHeight="1">
      <c r="A65" s="7"/>
      <c r="B65" s="7"/>
      <c r="C65" s="7"/>
      <c r="D65" s="7"/>
      <c r="E65" s="7"/>
      <c r="F65" s="7"/>
      <c r="G65" s="7"/>
      <c r="H65" s="7"/>
      <c r="I65" s="7"/>
      <c r="J65" s="7"/>
      <c r="K65" s="7"/>
      <c r="L65" s="7"/>
    </row>
    <row r="66" ht="14.25" customHeight="1">
      <c r="A66" s="7"/>
      <c r="B66" s="7"/>
      <c r="C66" s="7"/>
      <c r="D66" s="7"/>
      <c r="E66" s="7"/>
      <c r="F66" s="7"/>
      <c r="G66" s="7"/>
      <c r="H66" s="7"/>
      <c r="I66" s="7"/>
      <c r="J66" s="7"/>
      <c r="K66" s="7"/>
      <c r="L66" s="7"/>
    </row>
    <row r="67" ht="14.25" customHeight="1">
      <c r="A67" s="7"/>
      <c r="B67" s="7"/>
      <c r="C67" s="7"/>
      <c r="D67" s="7"/>
      <c r="E67" s="7"/>
      <c r="F67" s="7"/>
      <c r="G67" s="7"/>
      <c r="H67" s="7"/>
      <c r="I67" s="7"/>
      <c r="J67" s="7"/>
      <c r="K67" s="7"/>
      <c r="L67" s="7"/>
    </row>
    <row r="68" ht="14.25" customHeight="1">
      <c r="A68" s="7"/>
      <c r="B68" s="7"/>
      <c r="C68" s="7"/>
      <c r="D68" s="7"/>
      <c r="E68" s="7"/>
      <c r="F68" s="7"/>
      <c r="G68" s="7"/>
      <c r="H68" s="7"/>
      <c r="I68" s="7"/>
      <c r="J68" s="7"/>
      <c r="K68" s="7"/>
      <c r="L68" s="7"/>
    </row>
    <row r="69" ht="14.25" customHeight="1">
      <c r="A69" s="7"/>
      <c r="B69" s="7"/>
      <c r="C69" s="7"/>
      <c r="D69" s="7"/>
      <c r="E69" s="7"/>
      <c r="F69" s="7"/>
      <c r="G69" s="7"/>
      <c r="H69" s="7"/>
      <c r="I69" s="7"/>
      <c r="J69" s="7"/>
      <c r="K69" s="7"/>
      <c r="L69" s="7"/>
    </row>
    <row r="70" ht="14.25" customHeight="1">
      <c r="A70" s="7"/>
      <c r="B70" s="7"/>
      <c r="C70" s="7"/>
      <c r="D70" s="7"/>
      <c r="E70" s="7"/>
      <c r="F70" s="7"/>
      <c r="G70" s="7"/>
      <c r="H70" s="7"/>
      <c r="I70" s="7"/>
      <c r="J70" s="7"/>
      <c r="K70" s="7"/>
      <c r="L70" s="7"/>
    </row>
    <row r="71" ht="14.25" customHeight="1">
      <c r="A71" s="7"/>
      <c r="B71" s="7"/>
      <c r="C71" s="7"/>
      <c r="D71" s="7"/>
      <c r="E71" s="7"/>
      <c r="F71" s="7"/>
      <c r="G71" s="7"/>
      <c r="H71" s="7"/>
      <c r="I71" s="7"/>
      <c r="J71" s="7"/>
      <c r="K71" s="7"/>
      <c r="L71" s="7"/>
    </row>
    <row r="72" ht="14.25" customHeight="1">
      <c r="A72" s="7"/>
      <c r="B72" s="7"/>
      <c r="C72" s="7"/>
      <c r="D72" s="7"/>
      <c r="E72" s="7"/>
      <c r="F72" s="7"/>
      <c r="G72" s="7"/>
      <c r="H72" s="7"/>
      <c r="I72" s="7"/>
      <c r="J72" s="7"/>
      <c r="K72" s="7"/>
      <c r="L72" s="7"/>
    </row>
    <row r="73" ht="14.25" customHeight="1">
      <c r="A73" s="7"/>
      <c r="B73" s="7"/>
      <c r="C73" s="7"/>
      <c r="D73" s="7"/>
      <c r="E73" s="7"/>
      <c r="F73" s="7"/>
      <c r="G73" s="7"/>
      <c r="H73" s="7"/>
      <c r="I73" s="7"/>
      <c r="J73" s="7"/>
      <c r="K73" s="7"/>
      <c r="L73" s="7"/>
    </row>
    <row r="74" ht="14.25" customHeight="1">
      <c r="A74" s="7"/>
      <c r="B74" s="7"/>
      <c r="C74" s="7"/>
      <c r="D74" s="7"/>
      <c r="E74" s="7"/>
      <c r="F74" s="7"/>
      <c r="G74" s="7"/>
      <c r="H74" s="7"/>
      <c r="I74" s="7"/>
      <c r="J74" s="7"/>
      <c r="K74" s="7"/>
      <c r="L74" s="7"/>
    </row>
    <row r="75" ht="14.25" customHeight="1">
      <c r="A75" s="7"/>
      <c r="B75" s="7"/>
      <c r="C75" s="7"/>
      <c r="D75" s="7"/>
      <c r="E75" s="7"/>
      <c r="F75" s="7"/>
      <c r="G75" s="7"/>
      <c r="H75" s="7"/>
      <c r="I75" s="7"/>
      <c r="J75" s="7"/>
      <c r="K75" s="7"/>
      <c r="L75" s="7"/>
    </row>
    <row r="76" ht="14.25" customHeight="1">
      <c r="A76" s="7"/>
      <c r="B76" s="7"/>
      <c r="C76" s="7"/>
      <c r="D76" s="7"/>
      <c r="E76" s="7"/>
      <c r="F76" s="7"/>
      <c r="G76" s="7"/>
      <c r="H76" s="7"/>
      <c r="I76" s="7"/>
      <c r="J76" s="7"/>
      <c r="K76" s="7"/>
      <c r="L76" s="7"/>
    </row>
    <row r="77" ht="14.25" customHeight="1">
      <c r="A77" s="7"/>
      <c r="B77" s="7"/>
      <c r="C77" s="7"/>
      <c r="D77" s="7"/>
      <c r="E77" s="7"/>
      <c r="F77" s="7"/>
      <c r="G77" s="7"/>
      <c r="H77" s="7"/>
      <c r="I77" s="7"/>
      <c r="J77" s="7"/>
      <c r="K77" s="7"/>
      <c r="L77" s="7"/>
    </row>
    <row r="78" ht="14.25" customHeight="1">
      <c r="A78" s="7"/>
      <c r="B78" s="7"/>
      <c r="C78" s="7"/>
      <c r="D78" s="7"/>
      <c r="E78" s="7"/>
      <c r="F78" s="7"/>
      <c r="G78" s="7"/>
      <c r="H78" s="7"/>
      <c r="I78" s="7"/>
      <c r="J78" s="7"/>
      <c r="K78" s="7"/>
      <c r="L78" s="7"/>
    </row>
    <row r="79" ht="14.25" customHeight="1">
      <c r="A79" s="7"/>
      <c r="B79" s="7"/>
      <c r="C79" s="7"/>
      <c r="D79" s="7"/>
      <c r="E79" s="7"/>
      <c r="F79" s="7"/>
      <c r="G79" s="7"/>
      <c r="H79" s="7"/>
      <c r="I79" s="7"/>
      <c r="J79" s="7"/>
      <c r="K79" s="7"/>
      <c r="L79" s="7"/>
    </row>
    <row r="80" ht="14.25" customHeight="1">
      <c r="A80" s="7"/>
      <c r="B80" s="7"/>
      <c r="C80" s="7"/>
      <c r="D80" s="7"/>
      <c r="E80" s="7"/>
      <c r="F80" s="7"/>
      <c r="G80" s="7"/>
      <c r="H80" s="7"/>
      <c r="I80" s="7"/>
      <c r="J80" s="7"/>
      <c r="K80" s="7"/>
      <c r="L80" s="7"/>
    </row>
    <row r="81" ht="14.25" customHeight="1">
      <c r="A81" s="7"/>
      <c r="B81" s="7"/>
      <c r="C81" s="7"/>
      <c r="D81" s="7"/>
      <c r="E81" s="7"/>
      <c r="F81" s="7"/>
      <c r="G81" s="7"/>
      <c r="H81" s="7"/>
      <c r="I81" s="7"/>
      <c r="J81" s="7"/>
      <c r="K81" s="7"/>
      <c r="L81" s="7"/>
    </row>
    <row r="82" ht="14.25" customHeight="1">
      <c r="A82" s="7"/>
      <c r="B82" s="7"/>
      <c r="C82" s="7"/>
      <c r="D82" s="7"/>
      <c r="E82" s="7"/>
      <c r="F82" s="7"/>
      <c r="G82" s="7"/>
      <c r="H82" s="7"/>
      <c r="I82" s="7"/>
      <c r="J82" s="7"/>
      <c r="K82" s="7"/>
      <c r="L82" s="7"/>
    </row>
    <row r="83" ht="14.25" customHeight="1">
      <c r="A83" s="7"/>
      <c r="B83" s="7"/>
      <c r="C83" s="7"/>
      <c r="D83" s="7"/>
      <c r="E83" s="7"/>
      <c r="F83" s="7"/>
      <c r="G83" s="7"/>
      <c r="H83" s="7"/>
      <c r="I83" s="7"/>
      <c r="J83" s="7"/>
      <c r="K83" s="7"/>
      <c r="L83" s="7"/>
    </row>
    <row r="84" ht="14.25" customHeight="1">
      <c r="A84" s="7"/>
      <c r="B84" s="7"/>
      <c r="C84" s="7"/>
      <c r="D84" s="7"/>
      <c r="E84" s="7"/>
      <c r="F84" s="7"/>
      <c r="G84" s="7"/>
      <c r="H84" s="7"/>
      <c r="I84" s="7"/>
      <c r="J84" s="7"/>
      <c r="K84" s="7"/>
      <c r="L84" s="7"/>
    </row>
    <row r="85" ht="14.25" customHeight="1">
      <c r="A85" s="7"/>
      <c r="B85" s="7"/>
      <c r="C85" s="7"/>
      <c r="D85" s="7"/>
      <c r="E85" s="7"/>
      <c r="F85" s="7"/>
      <c r="G85" s="7"/>
      <c r="H85" s="7"/>
      <c r="I85" s="7"/>
      <c r="J85" s="7"/>
      <c r="K85" s="7"/>
      <c r="L85" s="7"/>
    </row>
    <row r="86" ht="14.25" customHeight="1">
      <c r="A86" s="7"/>
      <c r="B86" s="7"/>
      <c r="C86" s="7"/>
      <c r="D86" s="7"/>
      <c r="E86" s="7"/>
      <c r="F86" s="7"/>
      <c r="G86" s="7"/>
      <c r="H86" s="7"/>
      <c r="I86" s="7"/>
      <c r="J86" s="7"/>
      <c r="K86" s="7"/>
      <c r="L86" s="7"/>
    </row>
    <row r="87" ht="14.25" customHeight="1">
      <c r="A87" s="7"/>
      <c r="B87" s="7"/>
      <c r="C87" s="7"/>
      <c r="D87" s="7"/>
      <c r="E87" s="7"/>
      <c r="F87" s="7"/>
      <c r="G87" s="7"/>
      <c r="H87" s="7"/>
      <c r="I87" s="7"/>
      <c r="J87" s="7"/>
      <c r="K87" s="7"/>
      <c r="L87" s="7"/>
    </row>
    <row r="88" ht="14.25" customHeight="1">
      <c r="A88" s="7"/>
      <c r="B88" s="7"/>
      <c r="C88" s="7"/>
      <c r="D88" s="7"/>
      <c r="E88" s="7"/>
      <c r="F88" s="7"/>
      <c r="G88" s="7"/>
      <c r="H88" s="7"/>
      <c r="I88" s="7"/>
      <c r="J88" s="7"/>
      <c r="K88" s="7"/>
      <c r="L88" s="7"/>
    </row>
    <row r="89" ht="14.25" customHeight="1">
      <c r="A89" s="7"/>
      <c r="B89" s="7"/>
      <c r="C89" s="7"/>
      <c r="D89" s="7"/>
      <c r="E89" s="7"/>
      <c r="F89" s="7"/>
      <c r="G89" s="7"/>
      <c r="H89" s="7"/>
      <c r="I89" s="7"/>
      <c r="J89" s="7"/>
      <c r="K89" s="7"/>
      <c r="L89" s="7"/>
    </row>
    <row r="90" ht="14.25" customHeight="1">
      <c r="A90" s="7"/>
      <c r="B90" s="7"/>
      <c r="C90" s="7"/>
      <c r="D90" s="7"/>
      <c r="E90" s="7"/>
      <c r="F90" s="7"/>
      <c r="G90" s="7"/>
      <c r="H90" s="7"/>
      <c r="I90" s="7"/>
      <c r="J90" s="7"/>
      <c r="K90" s="7"/>
      <c r="L90" s="7"/>
    </row>
    <row r="91" ht="14.25" customHeight="1">
      <c r="A91" s="7"/>
      <c r="B91" s="7"/>
      <c r="C91" s="7"/>
      <c r="D91" s="7"/>
      <c r="E91" s="7"/>
      <c r="F91" s="7"/>
      <c r="G91" s="7"/>
      <c r="H91" s="7"/>
      <c r="I91" s="7"/>
      <c r="J91" s="7"/>
      <c r="K91" s="7"/>
      <c r="L91" s="7"/>
    </row>
    <row r="92" ht="14.25" customHeight="1">
      <c r="A92" s="7"/>
      <c r="B92" s="7"/>
      <c r="C92" s="7"/>
      <c r="D92" s="7"/>
      <c r="E92" s="7"/>
      <c r="F92" s="7"/>
      <c r="G92" s="7"/>
      <c r="H92" s="7"/>
      <c r="I92" s="7"/>
      <c r="J92" s="7"/>
      <c r="K92" s="7"/>
      <c r="L92" s="7"/>
    </row>
    <row r="93" ht="14.25" customHeight="1">
      <c r="A93" s="7"/>
      <c r="B93" s="7"/>
      <c r="C93" s="7"/>
      <c r="D93" s="7"/>
      <c r="E93" s="7"/>
      <c r="F93" s="7"/>
      <c r="G93" s="7"/>
      <c r="H93" s="7"/>
      <c r="I93" s="7"/>
      <c r="J93" s="7"/>
      <c r="K93" s="7"/>
      <c r="L93" s="7"/>
    </row>
    <row r="94" ht="14.25" customHeight="1">
      <c r="A94" s="7"/>
      <c r="B94" s="7"/>
      <c r="C94" s="7"/>
      <c r="D94" s="7"/>
      <c r="E94" s="7"/>
      <c r="F94" s="7"/>
      <c r="G94" s="7"/>
      <c r="H94" s="7"/>
      <c r="I94" s="7"/>
      <c r="J94" s="7"/>
      <c r="K94" s="7"/>
      <c r="L94" s="7"/>
    </row>
    <row r="95" ht="14.25" customHeight="1">
      <c r="A95" s="7"/>
      <c r="B95" s="7"/>
      <c r="C95" s="7"/>
      <c r="D95" s="7"/>
      <c r="E95" s="7"/>
      <c r="F95" s="7"/>
      <c r="G95" s="7"/>
      <c r="H95" s="7"/>
      <c r="I95" s="7"/>
      <c r="J95" s="7"/>
      <c r="K95" s="7"/>
      <c r="L95" s="7"/>
    </row>
    <row r="96" ht="14.25" customHeight="1">
      <c r="A96" s="7"/>
      <c r="B96" s="7"/>
      <c r="C96" s="7"/>
      <c r="D96" s="7"/>
      <c r="E96" s="7"/>
      <c r="F96" s="7"/>
      <c r="G96" s="7"/>
      <c r="H96" s="7"/>
      <c r="I96" s="7"/>
      <c r="J96" s="7"/>
      <c r="K96" s="7"/>
      <c r="L96" s="7"/>
    </row>
    <row r="97" ht="14.25" customHeight="1">
      <c r="A97" s="7"/>
      <c r="B97" s="7"/>
      <c r="C97" s="7"/>
      <c r="D97" s="7"/>
      <c r="E97" s="7"/>
      <c r="F97" s="7"/>
      <c r="G97" s="7"/>
      <c r="H97" s="7"/>
      <c r="I97" s="7"/>
      <c r="J97" s="7"/>
      <c r="K97" s="7"/>
      <c r="L97" s="7"/>
    </row>
    <row r="98" ht="14.25" customHeight="1">
      <c r="A98" s="7"/>
      <c r="B98" s="7"/>
      <c r="C98" s="7"/>
      <c r="D98" s="7"/>
      <c r="E98" s="7"/>
      <c r="F98" s="7"/>
      <c r="G98" s="7"/>
      <c r="H98" s="7"/>
      <c r="I98" s="7"/>
      <c r="J98" s="7"/>
      <c r="K98" s="7"/>
      <c r="L98" s="7"/>
    </row>
    <row r="99" ht="14.25" customHeight="1">
      <c r="A99" s="7"/>
      <c r="B99" s="7"/>
      <c r="C99" s="7"/>
      <c r="D99" s="7"/>
      <c r="E99" s="7"/>
      <c r="F99" s="7"/>
      <c r="G99" s="7"/>
      <c r="H99" s="7"/>
      <c r="I99" s="7"/>
      <c r="J99" s="7"/>
      <c r="K99" s="7"/>
      <c r="L99" s="7"/>
    </row>
    <row r="100" ht="14.25" customHeight="1">
      <c r="A100" s="7"/>
      <c r="B100" s="7"/>
      <c r="C100" s="7"/>
      <c r="D100" s="7"/>
      <c r="E100" s="7"/>
      <c r="F100" s="7"/>
      <c r="G100" s="7"/>
      <c r="H100" s="7"/>
      <c r="I100" s="7"/>
      <c r="J100" s="7"/>
      <c r="K100" s="7"/>
      <c r="L100" s="7"/>
    </row>
    <row r="101" ht="14.25" customHeight="1">
      <c r="A101" s="7"/>
      <c r="B101" s="7"/>
      <c r="C101" s="7"/>
      <c r="D101" s="7"/>
      <c r="E101" s="7"/>
      <c r="F101" s="7"/>
      <c r="G101" s="7"/>
      <c r="H101" s="7"/>
      <c r="I101" s="7"/>
      <c r="J101" s="7"/>
      <c r="K101" s="7"/>
      <c r="L101" s="7"/>
    </row>
    <row r="102" ht="14.25" customHeight="1">
      <c r="A102" s="7"/>
      <c r="B102" s="7"/>
      <c r="C102" s="7"/>
      <c r="D102" s="7"/>
      <c r="E102" s="7"/>
      <c r="F102" s="7"/>
      <c r="G102" s="7"/>
      <c r="H102" s="7"/>
      <c r="I102" s="7"/>
      <c r="J102" s="7"/>
      <c r="K102" s="7"/>
      <c r="L102" s="7"/>
    </row>
    <row r="103" ht="14.25" customHeight="1">
      <c r="A103" s="7"/>
      <c r="B103" s="7"/>
      <c r="C103" s="7"/>
      <c r="D103" s="7"/>
      <c r="E103" s="7"/>
      <c r="F103" s="7"/>
      <c r="G103" s="7"/>
      <c r="H103" s="7"/>
      <c r="I103" s="7"/>
      <c r="J103" s="7"/>
      <c r="K103" s="7"/>
      <c r="L103" s="7"/>
    </row>
    <row r="104" ht="14.25" customHeight="1">
      <c r="A104" s="7"/>
      <c r="B104" s="7"/>
      <c r="C104" s="7"/>
      <c r="D104" s="7"/>
      <c r="E104" s="7"/>
      <c r="F104" s="7"/>
      <c r="G104" s="7"/>
      <c r="H104" s="7"/>
      <c r="I104" s="7"/>
      <c r="J104" s="7"/>
      <c r="K104" s="7"/>
      <c r="L104" s="7"/>
    </row>
    <row r="105" ht="14.25" customHeight="1">
      <c r="A105" s="7"/>
      <c r="B105" s="7"/>
      <c r="C105" s="7"/>
      <c r="D105" s="7"/>
      <c r="E105" s="7"/>
      <c r="F105" s="7"/>
      <c r="G105" s="7"/>
      <c r="H105" s="7"/>
      <c r="I105" s="7"/>
      <c r="J105" s="7"/>
      <c r="K105" s="7"/>
      <c r="L105" s="7"/>
    </row>
    <row r="106" ht="14.25" customHeight="1">
      <c r="A106" s="7"/>
      <c r="B106" s="7"/>
      <c r="C106" s="7"/>
      <c r="D106" s="7"/>
      <c r="E106" s="7"/>
      <c r="F106" s="7"/>
      <c r="G106" s="7"/>
      <c r="H106" s="7"/>
      <c r="I106" s="7"/>
      <c r="J106" s="7"/>
      <c r="K106" s="7"/>
      <c r="L106" s="7"/>
    </row>
    <row r="107" ht="14.25" customHeight="1">
      <c r="A107" s="7"/>
      <c r="B107" s="7"/>
      <c r="C107" s="7"/>
      <c r="D107" s="7"/>
      <c r="E107" s="7"/>
      <c r="F107" s="7"/>
      <c r="G107" s="7"/>
      <c r="H107" s="7"/>
      <c r="I107" s="7"/>
      <c r="J107" s="7"/>
      <c r="K107" s="7"/>
      <c r="L107" s="7"/>
    </row>
    <row r="108" ht="14.25" customHeight="1">
      <c r="A108" s="7"/>
      <c r="B108" s="7"/>
      <c r="C108" s="7"/>
      <c r="D108" s="7"/>
      <c r="E108" s="7"/>
      <c r="F108" s="7"/>
      <c r="G108" s="7"/>
      <c r="H108" s="7"/>
      <c r="I108" s="7"/>
      <c r="J108" s="7"/>
      <c r="K108" s="7"/>
      <c r="L108" s="7"/>
    </row>
    <row r="109" ht="14.25" customHeight="1">
      <c r="A109" s="7"/>
      <c r="B109" s="7"/>
      <c r="C109" s="7"/>
      <c r="D109" s="7"/>
      <c r="E109" s="7"/>
      <c r="F109" s="7"/>
      <c r="G109" s="7"/>
      <c r="H109" s="7"/>
      <c r="I109" s="7"/>
      <c r="J109" s="7"/>
      <c r="K109" s="7"/>
      <c r="L109" s="7"/>
    </row>
    <row r="110" ht="14.25" customHeight="1">
      <c r="A110" s="7"/>
      <c r="B110" s="7"/>
      <c r="C110" s="7"/>
      <c r="D110" s="7"/>
      <c r="E110" s="7"/>
      <c r="F110" s="7"/>
      <c r="G110" s="7"/>
      <c r="H110" s="7"/>
      <c r="I110" s="7"/>
      <c r="J110" s="7"/>
      <c r="K110" s="7"/>
      <c r="L110" s="7"/>
    </row>
    <row r="111" ht="14.25" customHeight="1">
      <c r="A111" s="7"/>
      <c r="B111" s="7"/>
      <c r="C111" s="7"/>
      <c r="D111" s="7"/>
      <c r="E111" s="7"/>
      <c r="F111" s="7"/>
      <c r="G111" s="7"/>
      <c r="H111" s="7"/>
      <c r="I111" s="7"/>
      <c r="J111" s="7"/>
      <c r="K111" s="7"/>
      <c r="L111" s="7"/>
    </row>
    <row r="112" ht="14.25" customHeight="1">
      <c r="A112" s="7"/>
      <c r="B112" s="7"/>
      <c r="C112" s="7"/>
      <c r="D112" s="7"/>
      <c r="E112" s="7"/>
      <c r="F112" s="7"/>
      <c r="G112" s="7"/>
      <c r="H112" s="7"/>
      <c r="I112" s="7"/>
      <c r="J112" s="7"/>
      <c r="K112" s="7"/>
      <c r="L112" s="7"/>
    </row>
    <row r="113" ht="14.25" customHeight="1">
      <c r="A113" s="7"/>
      <c r="B113" s="7"/>
      <c r="C113" s="7"/>
      <c r="D113" s="7"/>
      <c r="E113" s="7"/>
      <c r="F113" s="7"/>
      <c r="G113" s="7"/>
      <c r="H113" s="7"/>
      <c r="I113" s="7"/>
      <c r="J113" s="7"/>
      <c r="K113" s="7"/>
      <c r="L113" s="7"/>
    </row>
    <row r="114" ht="14.25" customHeight="1">
      <c r="A114" s="7"/>
      <c r="B114" s="7"/>
      <c r="C114" s="7"/>
      <c r="D114" s="7"/>
      <c r="E114" s="7"/>
      <c r="F114" s="7"/>
      <c r="G114" s="7"/>
      <c r="H114" s="7"/>
      <c r="I114" s="7"/>
      <c r="J114" s="7"/>
      <c r="K114" s="7"/>
      <c r="L114" s="7"/>
    </row>
    <row r="115" ht="14.25" customHeight="1">
      <c r="A115" s="7"/>
      <c r="B115" s="7"/>
      <c r="C115" s="7"/>
      <c r="D115" s="7"/>
      <c r="E115" s="7"/>
      <c r="F115" s="7"/>
      <c r="G115" s="7"/>
      <c r="H115" s="7"/>
      <c r="I115" s="7"/>
      <c r="J115" s="7"/>
      <c r="K115" s="7"/>
      <c r="L115" s="7"/>
    </row>
    <row r="116" ht="14.25" customHeight="1">
      <c r="A116" s="7"/>
      <c r="B116" s="7"/>
      <c r="C116" s="7"/>
      <c r="D116" s="7"/>
      <c r="E116" s="7"/>
      <c r="F116" s="7"/>
      <c r="G116" s="7"/>
      <c r="H116" s="7"/>
      <c r="I116" s="7"/>
      <c r="J116" s="7"/>
      <c r="K116" s="7"/>
      <c r="L116" s="7"/>
    </row>
    <row r="117" ht="14.25" customHeight="1">
      <c r="A117" s="7"/>
      <c r="B117" s="7"/>
      <c r="C117" s="7"/>
      <c r="D117" s="7"/>
      <c r="E117" s="7"/>
      <c r="F117" s="7"/>
      <c r="G117" s="7"/>
      <c r="H117" s="7"/>
      <c r="I117" s="7"/>
      <c r="J117" s="7"/>
      <c r="K117" s="7"/>
      <c r="L117" s="7"/>
    </row>
    <row r="118" ht="14.25" customHeight="1">
      <c r="A118" s="7"/>
      <c r="B118" s="7"/>
      <c r="C118" s="7"/>
      <c r="D118" s="7"/>
      <c r="E118" s="7"/>
      <c r="F118" s="7"/>
      <c r="G118" s="7"/>
      <c r="H118" s="7"/>
      <c r="I118" s="7"/>
      <c r="J118" s="7"/>
      <c r="K118" s="7"/>
      <c r="L118" s="7"/>
    </row>
    <row r="119" ht="14.25" customHeight="1">
      <c r="A119" s="7"/>
      <c r="B119" s="7"/>
      <c r="C119" s="7"/>
      <c r="D119" s="7"/>
      <c r="E119" s="7"/>
      <c r="F119" s="7"/>
      <c r="G119" s="7"/>
      <c r="H119" s="7"/>
      <c r="I119" s="7"/>
      <c r="J119" s="7"/>
      <c r="K119" s="7"/>
      <c r="L119" s="7"/>
    </row>
    <row r="120" ht="14.25" customHeight="1">
      <c r="A120" s="7"/>
      <c r="B120" s="7"/>
      <c r="C120" s="7"/>
      <c r="D120" s="7"/>
      <c r="E120" s="7"/>
      <c r="F120" s="7"/>
      <c r="G120" s="7"/>
      <c r="H120" s="7"/>
      <c r="I120" s="7"/>
      <c r="J120" s="7"/>
      <c r="K120" s="7"/>
      <c r="L120" s="7"/>
    </row>
    <row r="121" ht="14.25" customHeight="1">
      <c r="A121" s="7"/>
      <c r="B121" s="7"/>
      <c r="C121" s="7"/>
      <c r="D121" s="7"/>
      <c r="E121" s="7"/>
      <c r="F121" s="7"/>
      <c r="G121" s="7"/>
      <c r="H121" s="7"/>
      <c r="I121" s="7"/>
      <c r="J121" s="7"/>
      <c r="K121" s="7"/>
      <c r="L121" s="7"/>
    </row>
    <row r="122" ht="14.25" customHeight="1">
      <c r="A122" s="7"/>
      <c r="B122" s="7"/>
      <c r="C122" s="7"/>
      <c r="D122" s="7"/>
      <c r="E122" s="7"/>
      <c r="F122" s="7"/>
      <c r="G122" s="7"/>
      <c r="H122" s="7"/>
      <c r="I122" s="7"/>
      <c r="J122" s="7"/>
      <c r="K122" s="7"/>
      <c r="L122" s="7"/>
    </row>
    <row r="123" ht="14.25" customHeight="1">
      <c r="A123" s="7"/>
      <c r="B123" s="7"/>
      <c r="C123" s="7"/>
      <c r="D123" s="7"/>
      <c r="E123" s="7"/>
      <c r="F123" s="7"/>
      <c r="G123" s="7"/>
      <c r="H123" s="7"/>
      <c r="I123" s="7"/>
      <c r="J123" s="7"/>
      <c r="K123" s="7"/>
      <c r="L123" s="7"/>
    </row>
    <row r="124" ht="14.25" customHeight="1">
      <c r="A124" s="7"/>
      <c r="B124" s="7"/>
      <c r="C124" s="7"/>
      <c r="D124" s="7"/>
      <c r="E124" s="7"/>
      <c r="F124" s="7"/>
      <c r="G124" s="7"/>
      <c r="H124" s="7"/>
      <c r="I124" s="7"/>
      <c r="J124" s="7"/>
      <c r="K124" s="7"/>
      <c r="L124" s="7"/>
    </row>
    <row r="125" ht="14.25" customHeight="1">
      <c r="A125" s="7"/>
      <c r="B125" s="7"/>
      <c r="C125" s="7"/>
      <c r="D125" s="7"/>
      <c r="E125" s="7"/>
      <c r="F125" s="7"/>
      <c r="G125" s="7"/>
      <c r="H125" s="7"/>
      <c r="I125" s="7"/>
      <c r="J125" s="7"/>
      <c r="K125" s="7"/>
      <c r="L125" s="7"/>
    </row>
    <row r="126" ht="14.25" customHeight="1">
      <c r="A126" s="7"/>
      <c r="B126" s="7"/>
      <c r="C126" s="7"/>
      <c r="D126" s="7"/>
      <c r="E126" s="7"/>
      <c r="F126" s="7"/>
      <c r="G126" s="7"/>
      <c r="H126" s="7"/>
      <c r="I126" s="7"/>
      <c r="J126" s="7"/>
      <c r="K126" s="7"/>
      <c r="L126" s="7"/>
    </row>
    <row r="127" ht="14.25" customHeight="1">
      <c r="A127" s="7"/>
      <c r="B127" s="7"/>
      <c r="C127" s="7"/>
      <c r="D127" s="7"/>
      <c r="E127" s="7"/>
      <c r="F127" s="7"/>
      <c r="G127" s="7"/>
      <c r="H127" s="7"/>
      <c r="I127" s="7"/>
      <c r="J127" s="7"/>
      <c r="K127" s="7"/>
      <c r="L127" s="7"/>
    </row>
    <row r="128" ht="14.25" customHeight="1">
      <c r="A128" s="7"/>
      <c r="B128" s="7"/>
      <c r="C128" s="7"/>
      <c r="D128" s="7"/>
      <c r="E128" s="7"/>
      <c r="F128" s="7"/>
      <c r="G128" s="7"/>
      <c r="H128" s="7"/>
      <c r="I128" s="7"/>
      <c r="J128" s="7"/>
      <c r="K128" s="7"/>
      <c r="L128" s="7"/>
    </row>
    <row r="129" ht="14.25" customHeight="1">
      <c r="A129" s="7"/>
      <c r="B129" s="7"/>
      <c r="C129" s="7"/>
      <c r="D129" s="7"/>
      <c r="E129" s="7"/>
      <c r="F129" s="7"/>
      <c r="G129" s="7"/>
      <c r="H129" s="7"/>
      <c r="I129" s="7"/>
      <c r="J129" s="7"/>
      <c r="K129" s="7"/>
      <c r="L129" s="7"/>
    </row>
    <row r="130" ht="14.25" customHeight="1">
      <c r="A130" s="7"/>
      <c r="B130" s="7"/>
      <c r="C130" s="7"/>
      <c r="D130" s="7"/>
      <c r="E130" s="7"/>
      <c r="F130" s="7"/>
      <c r="G130" s="7"/>
      <c r="H130" s="7"/>
      <c r="I130" s="7"/>
      <c r="J130" s="7"/>
      <c r="K130" s="7"/>
      <c r="L130" s="7"/>
    </row>
    <row r="131" ht="14.25" customHeight="1">
      <c r="A131" s="7"/>
      <c r="B131" s="7"/>
      <c r="C131" s="7"/>
      <c r="D131" s="7"/>
      <c r="E131" s="7"/>
      <c r="F131" s="7"/>
      <c r="G131" s="7"/>
      <c r="H131" s="7"/>
      <c r="I131" s="7"/>
      <c r="J131" s="7"/>
      <c r="K131" s="7"/>
      <c r="L131" s="7"/>
    </row>
    <row r="132" ht="14.25" customHeight="1">
      <c r="A132" s="7"/>
      <c r="B132" s="7"/>
      <c r="C132" s="7"/>
      <c r="D132" s="7"/>
      <c r="E132" s="7"/>
      <c r="F132" s="7"/>
      <c r="G132" s="7"/>
      <c r="H132" s="7"/>
      <c r="I132" s="7"/>
      <c r="J132" s="7"/>
      <c r="K132" s="7"/>
      <c r="L132" s="7"/>
    </row>
    <row r="133" ht="14.25" customHeight="1">
      <c r="A133" s="7"/>
      <c r="B133" s="7"/>
      <c r="C133" s="7"/>
      <c r="D133" s="7"/>
      <c r="E133" s="7"/>
      <c r="F133" s="7"/>
      <c r="G133" s="7"/>
      <c r="H133" s="7"/>
      <c r="I133" s="7"/>
      <c r="J133" s="7"/>
      <c r="K133" s="7"/>
      <c r="L133" s="7"/>
    </row>
    <row r="134" ht="14.25" customHeight="1">
      <c r="A134" s="7"/>
      <c r="B134" s="7"/>
      <c r="C134" s="7"/>
      <c r="D134" s="7"/>
      <c r="E134" s="7"/>
      <c r="F134" s="7"/>
      <c r="G134" s="7"/>
      <c r="H134" s="7"/>
      <c r="I134" s="7"/>
      <c r="J134" s="7"/>
      <c r="K134" s="7"/>
      <c r="L134" s="7"/>
    </row>
    <row r="135" ht="14.25" customHeight="1">
      <c r="A135" s="7"/>
      <c r="B135" s="7"/>
      <c r="C135" s="7"/>
      <c r="D135" s="7"/>
      <c r="E135" s="7"/>
      <c r="F135" s="7"/>
      <c r="G135" s="7"/>
      <c r="H135" s="7"/>
      <c r="I135" s="7"/>
      <c r="J135" s="7"/>
      <c r="K135" s="7"/>
      <c r="L135" s="7"/>
    </row>
    <row r="136" ht="14.25" customHeight="1">
      <c r="A136" s="7"/>
      <c r="B136" s="7"/>
      <c r="C136" s="7"/>
      <c r="D136" s="7"/>
      <c r="E136" s="7"/>
      <c r="F136" s="7"/>
      <c r="G136" s="7"/>
      <c r="H136" s="7"/>
      <c r="I136" s="7"/>
      <c r="J136" s="7"/>
      <c r="K136" s="7"/>
      <c r="L136" s="7"/>
    </row>
    <row r="137" ht="14.25" customHeight="1">
      <c r="A137" s="7"/>
      <c r="B137" s="7"/>
      <c r="C137" s="7"/>
      <c r="D137" s="7"/>
      <c r="E137" s="7"/>
      <c r="F137" s="7"/>
      <c r="G137" s="7"/>
      <c r="H137" s="7"/>
      <c r="I137" s="7"/>
      <c r="J137" s="7"/>
      <c r="K137" s="7"/>
      <c r="L137" s="7"/>
    </row>
    <row r="138" ht="14.25" customHeight="1">
      <c r="A138" s="7"/>
      <c r="B138" s="7"/>
      <c r="C138" s="7"/>
      <c r="D138" s="7"/>
      <c r="E138" s="7"/>
      <c r="F138" s="7"/>
      <c r="G138" s="7"/>
      <c r="H138" s="7"/>
      <c r="I138" s="7"/>
      <c r="J138" s="7"/>
      <c r="K138" s="7"/>
      <c r="L138" s="7"/>
    </row>
    <row r="139" ht="14.25" customHeight="1">
      <c r="A139" s="7"/>
      <c r="B139" s="7"/>
      <c r="C139" s="7"/>
      <c r="D139" s="7"/>
      <c r="E139" s="7"/>
      <c r="F139" s="7"/>
      <c r="G139" s="7"/>
      <c r="H139" s="7"/>
      <c r="I139" s="7"/>
      <c r="J139" s="7"/>
      <c r="K139" s="7"/>
      <c r="L139" s="7"/>
    </row>
    <row r="140" ht="14.25" customHeight="1">
      <c r="A140" s="7"/>
      <c r="B140" s="7"/>
      <c r="C140" s="7"/>
      <c r="D140" s="7"/>
      <c r="E140" s="7"/>
      <c r="F140" s="7"/>
      <c r="G140" s="7"/>
      <c r="H140" s="7"/>
      <c r="I140" s="7"/>
      <c r="J140" s="7"/>
      <c r="K140" s="7"/>
      <c r="L140" s="7"/>
    </row>
    <row r="141" ht="14.25" customHeight="1">
      <c r="A141" s="7"/>
      <c r="B141" s="7"/>
      <c r="C141" s="7"/>
      <c r="D141" s="7"/>
      <c r="E141" s="7"/>
      <c r="F141" s="7"/>
      <c r="G141" s="7"/>
      <c r="H141" s="7"/>
      <c r="I141" s="7"/>
      <c r="J141" s="7"/>
      <c r="K141" s="7"/>
      <c r="L141" s="7"/>
    </row>
    <row r="142" ht="14.25" customHeight="1">
      <c r="A142" s="7"/>
      <c r="B142" s="7"/>
      <c r="C142" s="7"/>
      <c r="D142" s="7"/>
      <c r="E142" s="7"/>
      <c r="F142" s="7"/>
      <c r="G142" s="7"/>
      <c r="H142" s="7"/>
      <c r="I142" s="7"/>
      <c r="J142" s="7"/>
      <c r="K142" s="7"/>
      <c r="L142" s="7"/>
    </row>
    <row r="143" ht="14.25" customHeight="1">
      <c r="A143" s="7"/>
      <c r="B143" s="7"/>
      <c r="C143" s="7"/>
      <c r="D143" s="7"/>
      <c r="E143" s="7"/>
      <c r="F143" s="7"/>
      <c r="G143" s="7"/>
      <c r="H143" s="7"/>
      <c r="I143" s="7"/>
      <c r="J143" s="7"/>
      <c r="K143" s="7"/>
      <c r="L143" s="7"/>
    </row>
    <row r="144" ht="14.25" customHeight="1">
      <c r="A144" s="7"/>
      <c r="B144" s="7"/>
      <c r="C144" s="7"/>
      <c r="D144" s="7"/>
      <c r="E144" s="7"/>
      <c r="F144" s="7"/>
      <c r="G144" s="7"/>
      <c r="H144" s="7"/>
      <c r="I144" s="7"/>
      <c r="J144" s="7"/>
      <c r="K144" s="7"/>
      <c r="L144" s="7"/>
    </row>
    <row r="145" ht="14.25" customHeight="1">
      <c r="A145" s="7"/>
      <c r="B145" s="7"/>
      <c r="C145" s="7"/>
      <c r="D145" s="7"/>
      <c r="E145" s="7"/>
      <c r="F145" s="7"/>
      <c r="G145" s="7"/>
      <c r="H145" s="7"/>
      <c r="I145" s="7"/>
      <c r="J145" s="7"/>
      <c r="K145" s="7"/>
      <c r="L145" s="7"/>
    </row>
    <row r="146" ht="14.25" customHeight="1">
      <c r="A146" s="7"/>
      <c r="B146" s="7"/>
      <c r="C146" s="7"/>
      <c r="D146" s="7"/>
      <c r="E146" s="7"/>
      <c r="F146" s="7"/>
      <c r="G146" s="7"/>
      <c r="H146" s="7"/>
      <c r="I146" s="7"/>
      <c r="J146" s="7"/>
      <c r="K146" s="7"/>
      <c r="L146" s="7"/>
    </row>
    <row r="147" ht="14.25" customHeight="1">
      <c r="A147" s="7"/>
      <c r="B147" s="7"/>
      <c r="C147" s="7"/>
      <c r="D147" s="7"/>
      <c r="E147" s="7"/>
      <c r="F147" s="7"/>
      <c r="G147" s="7"/>
      <c r="H147" s="7"/>
      <c r="I147" s="7"/>
      <c r="J147" s="7"/>
      <c r="K147" s="7"/>
      <c r="L147" s="7"/>
    </row>
    <row r="148" ht="14.25" customHeight="1">
      <c r="A148" s="7"/>
      <c r="B148" s="7"/>
      <c r="C148" s="7"/>
      <c r="D148" s="7"/>
      <c r="E148" s="7"/>
      <c r="F148" s="7"/>
      <c r="G148" s="7"/>
      <c r="H148" s="7"/>
      <c r="I148" s="7"/>
      <c r="J148" s="7"/>
      <c r="K148" s="7"/>
      <c r="L148" s="7"/>
    </row>
    <row r="149" ht="14.25" customHeight="1">
      <c r="A149" s="7"/>
      <c r="B149" s="7"/>
      <c r="C149" s="7"/>
      <c r="D149" s="7"/>
      <c r="E149" s="7"/>
      <c r="F149" s="7"/>
      <c r="G149" s="7"/>
      <c r="H149" s="7"/>
      <c r="I149" s="7"/>
      <c r="J149" s="7"/>
      <c r="K149" s="7"/>
      <c r="L149" s="7"/>
    </row>
    <row r="150" ht="14.25" customHeight="1">
      <c r="A150" s="7"/>
      <c r="B150" s="7"/>
      <c r="C150" s="7"/>
      <c r="D150" s="7"/>
      <c r="E150" s="7"/>
      <c r="F150" s="7"/>
      <c r="G150" s="7"/>
      <c r="H150" s="7"/>
      <c r="I150" s="7"/>
      <c r="J150" s="7"/>
      <c r="K150" s="7"/>
      <c r="L150" s="7"/>
    </row>
    <row r="151" ht="14.25" customHeight="1">
      <c r="A151" s="7"/>
      <c r="B151" s="7"/>
      <c r="C151" s="7"/>
      <c r="D151" s="7"/>
      <c r="E151" s="7"/>
      <c r="F151" s="7"/>
      <c r="G151" s="7"/>
      <c r="H151" s="7"/>
      <c r="I151" s="7"/>
      <c r="J151" s="7"/>
      <c r="K151" s="7"/>
      <c r="L151" s="7"/>
    </row>
    <row r="152" ht="14.25" customHeight="1">
      <c r="A152" s="7"/>
      <c r="B152" s="7"/>
      <c r="C152" s="7"/>
      <c r="D152" s="7"/>
      <c r="E152" s="7"/>
      <c r="F152" s="7"/>
      <c r="G152" s="7"/>
      <c r="H152" s="7"/>
      <c r="I152" s="7"/>
      <c r="J152" s="7"/>
      <c r="K152" s="7"/>
      <c r="L152" s="7"/>
    </row>
    <row r="153" ht="14.25" customHeight="1">
      <c r="A153" s="7"/>
      <c r="B153" s="7"/>
      <c r="C153" s="7"/>
      <c r="D153" s="7"/>
      <c r="E153" s="7"/>
      <c r="F153" s="7"/>
      <c r="G153" s="7"/>
      <c r="H153" s="7"/>
      <c r="I153" s="7"/>
      <c r="J153" s="7"/>
      <c r="K153" s="7"/>
      <c r="L153" s="7"/>
    </row>
    <row r="154" ht="14.25" customHeight="1">
      <c r="A154" s="7"/>
      <c r="B154" s="7"/>
      <c r="C154" s="7"/>
      <c r="D154" s="7"/>
      <c r="E154" s="7"/>
      <c r="F154" s="7"/>
      <c r="G154" s="7"/>
      <c r="H154" s="7"/>
      <c r="I154" s="7"/>
      <c r="J154" s="7"/>
      <c r="K154" s="7"/>
      <c r="L154" s="7"/>
    </row>
    <row r="155" ht="14.25" customHeight="1">
      <c r="A155" s="7"/>
      <c r="B155" s="7"/>
      <c r="C155" s="7"/>
      <c r="D155" s="7"/>
      <c r="E155" s="7"/>
      <c r="F155" s="7"/>
      <c r="G155" s="7"/>
      <c r="H155" s="7"/>
      <c r="I155" s="7"/>
      <c r="J155" s="7"/>
      <c r="K155" s="7"/>
      <c r="L155" s="7"/>
    </row>
    <row r="156" ht="14.25" customHeight="1">
      <c r="A156" s="7"/>
      <c r="B156" s="7"/>
      <c r="C156" s="7"/>
      <c r="D156" s="7"/>
      <c r="E156" s="7"/>
      <c r="F156" s="7"/>
      <c r="G156" s="7"/>
      <c r="H156" s="7"/>
      <c r="I156" s="7"/>
      <c r="J156" s="7"/>
      <c r="K156" s="7"/>
      <c r="L156" s="7"/>
    </row>
    <row r="157" ht="14.25" customHeight="1">
      <c r="A157" s="7"/>
      <c r="B157" s="7"/>
      <c r="C157" s="7"/>
      <c r="D157" s="7"/>
      <c r="E157" s="7"/>
      <c r="F157" s="7"/>
      <c r="G157" s="7"/>
      <c r="H157" s="7"/>
      <c r="I157" s="7"/>
      <c r="J157" s="7"/>
      <c r="K157" s="7"/>
      <c r="L157" s="7"/>
    </row>
    <row r="158" ht="14.25" customHeight="1">
      <c r="A158" s="7"/>
      <c r="B158" s="7"/>
      <c r="C158" s="7"/>
      <c r="D158" s="7"/>
      <c r="E158" s="7"/>
      <c r="F158" s="7"/>
      <c r="G158" s="7"/>
      <c r="H158" s="7"/>
      <c r="I158" s="7"/>
      <c r="J158" s="7"/>
      <c r="K158" s="7"/>
      <c r="L158" s="7"/>
    </row>
    <row r="159" ht="14.25" customHeight="1">
      <c r="A159" s="7"/>
      <c r="B159" s="7"/>
      <c r="C159" s="7"/>
      <c r="D159" s="7"/>
      <c r="E159" s="7"/>
      <c r="F159" s="7"/>
      <c r="G159" s="7"/>
      <c r="H159" s="7"/>
      <c r="I159" s="7"/>
      <c r="J159" s="7"/>
      <c r="K159" s="7"/>
      <c r="L159" s="7"/>
    </row>
    <row r="160" ht="14.25" customHeight="1">
      <c r="A160" s="7"/>
      <c r="B160" s="7"/>
      <c r="C160" s="7"/>
      <c r="D160" s="7"/>
      <c r="E160" s="7"/>
      <c r="F160" s="7"/>
      <c r="G160" s="7"/>
      <c r="H160" s="7"/>
      <c r="I160" s="7"/>
      <c r="J160" s="7"/>
      <c r="K160" s="7"/>
      <c r="L160" s="7"/>
    </row>
    <row r="161" ht="14.25" customHeight="1">
      <c r="A161" s="7"/>
      <c r="B161" s="7"/>
      <c r="C161" s="7"/>
      <c r="D161" s="7"/>
      <c r="E161" s="7"/>
      <c r="F161" s="7"/>
      <c r="G161" s="7"/>
      <c r="H161" s="7"/>
      <c r="I161" s="7"/>
      <c r="J161" s="7"/>
      <c r="K161" s="7"/>
      <c r="L161" s="7"/>
    </row>
    <row r="162" ht="14.25" customHeight="1">
      <c r="A162" s="7"/>
      <c r="B162" s="7"/>
      <c r="C162" s="7"/>
      <c r="D162" s="7"/>
      <c r="E162" s="7"/>
      <c r="F162" s="7"/>
      <c r="G162" s="7"/>
      <c r="H162" s="7"/>
      <c r="I162" s="7"/>
      <c r="J162" s="7"/>
      <c r="K162" s="7"/>
      <c r="L162" s="7"/>
    </row>
    <row r="163" ht="14.25" customHeight="1">
      <c r="A163" s="7"/>
      <c r="B163" s="7"/>
      <c r="C163" s="7"/>
      <c r="D163" s="7"/>
      <c r="E163" s="7"/>
      <c r="F163" s="7"/>
      <c r="G163" s="7"/>
      <c r="H163" s="7"/>
      <c r="I163" s="7"/>
      <c r="J163" s="7"/>
      <c r="K163" s="7"/>
      <c r="L163" s="7"/>
    </row>
    <row r="164" ht="14.25" customHeight="1">
      <c r="A164" s="7"/>
      <c r="B164" s="7"/>
      <c r="C164" s="7"/>
      <c r="D164" s="7"/>
      <c r="E164" s="7"/>
      <c r="F164" s="7"/>
      <c r="G164" s="7"/>
      <c r="H164" s="7"/>
      <c r="I164" s="7"/>
      <c r="J164" s="7"/>
      <c r="K164" s="7"/>
      <c r="L164" s="7"/>
    </row>
    <row r="165" ht="14.25" customHeight="1">
      <c r="A165" s="7"/>
      <c r="B165" s="7"/>
      <c r="C165" s="7"/>
      <c r="D165" s="7"/>
      <c r="E165" s="7"/>
      <c r="F165" s="7"/>
      <c r="G165" s="7"/>
      <c r="H165" s="7"/>
      <c r="I165" s="7"/>
      <c r="J165" s="7"/>
      <c r="K165" s="7"/>
      <c r="L165" s="7"/>
    </row>
    <row r="166" ht="14.25" customHeight="1">
      <c r="A166" s="7"/>
      <c r="B166" s="7"/>
      <c r="C166" s="7"/>
      <c r="D166" s="7"/>
      <c r="E166" s="7"/>
      <c r="F166" s="7"/>
      <c r="G166" s="7"/>
      <c r="H166" s="7"/>
      <c r="I166" s="7"/>
      <c r="J166" s="7"/>
      <c r="K166" s="7"/>
      <c r="L166" s="7"/>
    </row>
    <row r="167" ht="14.25" customHeight="1">
      <c r="A167" s="7"/>
      <c r="B167" s="7"/>
      <c r="C167" s="7"/>
      <c r="D167" s="7"/>
      <c r="E167" s="7"/>
      <c r="F167" s="7"/>
      <c r="G167" s="7"/>
      <c r="H167" s="7"/>
      <c r="I167" s="7"/>
      <c r="J167" s="7"/>
      <c r="K167" s="7"/>
      <c r="L167" s="7"/>
    </row>
    <row r="168" ht="14.25" customHeight="1">
      <c r="A168" s="7"/>
      <c r="B168" s="7"/>
      <c r="C168" s="7"/>
      <c r="D168" s="7"/>
      <c r="E168" s="7"/>
      <c r="F168" s="7"/>
      <c r="G168" s="7"/>
      <c r="H168" s="7"/>
      <c r="I168" s="7"/>
      <c r="J168" s="7"/>
      <c r="K168" s="7"/>
      <c r="L168" s="7"/>
    </row>
    <row r="169" ht="14.25" customHeight="1">
      <c r="A169" s="7"/>
      <c r="B169" s="7"/>
      <c r="C169" s="7"/>
      <c r="D169" s="7"/>
      <c r="E169" s="7"/>
      <c r="F169" s="7"/>
      <c r="G169" s="7"/>
      <c r="H169" s="7"/>
      <c r="I169" s="7"/>
      <c r="J169" s="7"/>
      <c r="K169" s="7"/>
      <c r="L169" s="7"/>
    </row>
    <row r="170" ht="14.25" customHeight="1">
      <c r="A170" s="7"/>
      <c r="B170" s="7"/>
      <c r="C170" s="7"/>
      <c r="D170" s="7"/>
      <c r="E170" s="7"/>
      <c r="F170" s="7"/>
      <c r="G170" s="7"/>
      <c r="H170" s="7"/>
      <c r="I170" s="7"/>
      <c r="J170" s="7"/>
      <c r="K170" s="7"/>
      <c r="L170" s="7"/>
    </row>
    <row r="171" ht="14.25" customHeight="1">
      <c r="A171" s="7"/>
      <c r="B171" s="7"/>
      <c r="C171" s="7"/>
      <c r="D171" s="7"/>
      <c r="E171" s="7"/>
      <c r="F171" s="7"/>
      <c r="G171" s="7"/>
      <c r="H171" s="7"/>
      <c r="I171" s="7"/>
      <c r="J171" s="7"/>
      <c r="K171" s="7"/>
      <c r="L171" s="7"/>
    </row>
    <row r="172" ht="14.25" customHeight="1">
      <c r="A172" s="7"/>
      <c r="B172" s="7"/>
      <c r="C172" s="7"/>
      <c r="D172" s="7"/>
      <c r="E172" s="7"/>
      <c r="F172" s="7"/>
      <c r="G172" s="7"/>
      <c r="H172" s="7"/>
      <c r="I172" s="7"/>
      <c r="J172" s="7"/>
      <c r="K172" s="7"/>
      <c r="L172" s="7"/>
    </row>
    <row r="173" ht="14.25" customHeight="1">
      <c r="A173" s="7"/>
      <c r="B173" s="7"/>
      <c r="C173" s="7"/>
      <c r="D173" s="7"/>
      <c r="E173" s="7"/>
      <c r="F173" s="7"/>
      <c r="G173" s="7"/>
      <c r="H173" s="7"/>
      <c r="I173" s="7"/>
      <c r="J173" s="7"/>
      <c r="K173" s="7"/>
      <c r="L173" s="7"/>
    </row>
    <row r="174" ht="14.25" customHeight="1">
      <c r="A174" s="7"/>
      <c r="B174" s="7"/>
      <c r="C174" s="7"/>
      <c r="D174" s="7"/>
      <c r="E174" s="7"/>
      <c r="F174" s="7"/>
      <c r="G174" s="7"/>
      <c r="H174" s="7"/>
      <c r="I174" s="7"/>
      <c r="J174" s="7"/>
      <c r="K174" s="7"/>
      <c r="L174" s="7"/>
    </row>
    <row r="175" ht="14.25" customHeight="1">
      <c r="A175" s="7"/>
      <c r="B175" s="7"/>
      <c r="C175" s="7"/>
      <c r="D175" s="7"/>
      <c r="E175" s="7"/>
      <c r="F175" s="7"/>
      <c r="G175" s="7"/>
      <c r="H175" s="7"/>
      <c r="I175" s="7"/>
      <c r="J175" s="7"/>
      <c r="K175" s="7"/>
      <c r="L175" s="7"/>
    </row>
    <row r="176" ht="14.25" customHeight="1">
      <c r="A176" s="7"/>
      <c r="B176" s="7"/>
      <c r="C176" s="7"/>
      <c r="D176" s="7"/>
      <c r="E176" s="7"/>
      <c r="F176" s="7"/>
      <c r="G176" s="7"/>
      <c r="H176" s="7"/>
      <c r="I176" s="7"/>
      <c r="J176" s="7"/>
      <c r="K176" s="7"/>
      <c r="L176" s="7"/>
    </row>
    <row r="177" ht="14.25" customHeight="1">
      <c r="A177" s="7"/>
      <c r="B177" s="7"/>
      <c r="C177" s="7"/>
      <c r="D177" s="7"/>
      <c r="E177" s="7"/>
      <c r="F177" s="7"/>
      <c r="G177" s="7"/>
      <c r="H177" s="7"/>
      <c r="I177" s="7"/>
      <c r="J177" s="7"/>
      <c r="K177" s="7"/>
      <c r="L177" s="7"/>
    </row>
    <row r="178" ht="14.25" customHeight="1">
      <c r="A178" s="7"/>
      <c r="B178" s="7"/>
      <c r="C178" s="7"/>
      <c r="D178" s="7"/>
      <c r="E178" s="7"/>
      <c r="F178" s="7"/>
      <c r="G178" s="7"/>
      <c r="H178" s="7"/>
      <c r="I178" s="7"/>
      <c r="J178" s="7"/>
      <c r="K178" s="7"/>
      <c r="L178" s="7"/>
    </row>
    <row r="179" ht="14.25" customHeight="1">
      <c r="A179" s="7"/>
      <c r="B179" s="7"/>
      <c r="C179" s="7"/>
      <c r="D179" s="7"/>
      <c r="E179" s="7"/>
      <c r="F179" s="7"/>
      <c r="G179" s="7"/>
      <c r="H179" s="7"/>
      <c r="I179" s="7"/>
      <c r="J179" s="7"/>
      <c r="K179" s="7"/>
      <c r="L179" s="7"/>
    </row>
    <row r="180" ht="14.25" customHeight="1">
      <c r="A180" s="7"/>
      <c r="B180" s="7"/>
      <c r="C180" s="7"/>
      <c r="D180" s="7"/>
      <c r="E180" s="7"/>
      <c r="F180" s="7"/>
      <c r="G180" s="7"/>
      <c r="H180" s="7"/>
      <c r="I180" s="7"/>
      <c r="J180" s="7"/>
      <c r="K180" s="7"/>
      <c r="L180" s="7"/>
    </row>
    <row r="181" ht="14.25" customHeight="1">
      <c r="A181" s="7"/>
      <c r="B181" s="7"/>
      <c r="C181" s="7"/>
      <c r="D181" s="7"/>
      <c r="E181" s="7"/>
      <c r="F181" s="7"/>
      <c r="G181" s="7"/>
      <c r="H181" s="7"/>
      <c r="I181" s="7"/>
      <c r="J181" s="7"/>
      <c r="K181" s="7"/>
      <c r="L181" s="7"/>
    </row>
    <row r="182" ht="14.25" customHeight="1">
      <c r="A182" s="7"/>
      <c r="B182" s="7"/>
      <c r="C182" s="7"/>
      <c r="D182" s="7"/>
      <c r="E182" s="7"/>
      <c r="F182" s="7"/>
      <c r="G182" s="7"/>
      <c r="H182" s="7"/>
      <c r="I182" s="7"/>
      <c r="J182" s="7"/>
      <c r="K182" s="7"/>
      <c r="L182" s="7"/>
    </row>
    <row r="183" ht="14.25" customHeight="1">
      <c r="A183" s="7"/>
      <c r="B183" s="7"/>
      <c r="C183" s="7"/>
      <c r="D183" s="7"/>
      <c r="E183" s="7"/>
      <c r="F183" s="7"/>
      <c r="G183" s="7"/>
      <c r="H183" s="7"/>
      <c r="I183" s="7"/>
      <c r="J183" s="7"/>
      <c r="K183" s="7"/>
      <c r="L183" s="7"/>
    </row>
    <row r="184" ht="14.25" customHeight="1">
      <c r="A184" s="7"/>
      <c r="B184" s="7"/>
      <c r="C184" s="7"/>
      <c r="D184" s="7"/>
      <c r="E184" s="7"/>
      <c r="F184" s="7"/>
      <c r="G184" s="7"/>
      <c r="H184" s="7"/>
      <c r="I184" s="7"/>
      <c r="J184" s="7"/>
      <c r="K184" s="7"/>
      <c r="L184" s="7"/>
    </row>
    <row r="185" ht="14.25" customHeight="1">
      <c r="A185" s="7"/>
      <c r="B185" s="7"/>
      <c r="C185" s="7"/>
      <c r="D185" s="7"/>
      <c r="E185" s="7"/>
      <c r="F185" s="7"/>
      <c r="G185" s="7"/>
      <c r="H185" s="7"/>
      <c r="I185" s="7"/>
      <c r="J185" s="7"/>
      <c r="K185" s="7"/>
      <c r="L185" s="7"/>
    </row>
    <row r="186" ht="14.25" customHeight="1">
      <c r="A186" s="7"/>
      <c r="B186" s="7"/>
      <c r="C186" s="7"/>
      <c r="D186" s="7"/>
      <c r="E186" s="7"/>
      <c r="F186" s="7"/>
      <c r="G186" s="7"/>
      <c r="H186" s="7"/>
      <c r="I186" s="7"/>
      <c r="J186" s="7"/>
      <c r="K186" s="7"/>
      <c r="L186" s="7"/>
    </row>
    <row r="187" ht="14.25" customHeight="1">
      <c r="A187" s="7"/>
      <c r="B187" s="7"/>
      <c r="C187" s="7"/>
      <c r="D187" s="7"/>
      <c r="E187" s="7"/>
      <c r="F187" s="7"/>
      <c r="G187" s="7"/>
      <c r="H187" s="7"/>
      <c r="I187" s="7"/>
      <c r="J187" s="7"/>
      <c r="K187" s="7"/>
      <c r="L187" s="7"/>
    </row>
    <row r="188" ht="14.25" customHeight="1">
      <c r="A188" s="7"/>
      <c r="B188" s="7"/>
      <c r="C188" s="7"/>
      <c r="D188" s="7"/>
      <c r="E188" s="7"/>
      <c r="F188" s="7"/>
      <c r="G188" s="7"/>
      <c r="H188" s="7"/>
      <c r="I188" s="7"/>
      <c r="J188" s="7"/>
      <c r="K188" s="7"/>
      <c r="L188" s="7"/>
    </row>
    <row r="189" ht="14.25" customHeight="1">
      <c r="A189" s="7"/>
      <c r="B189" s="7"/>
      <c r="C189" s="7"/>
      <c r="D189" s="7"/>
      <c r="E189" s="7"/>
      <c r="F189" s="7"/>
      <c r="G189" s="7"/>
      <c r="H189" s="7"/>
      <c r="I189" s="7"/>
      <c r="J189" s="7"/>
      <c r="K189" s="7"/>
      <c r="L189" s="7"/>
    </row>
    <row r="190" ht="14.25" customHeight="1">
      <c r="A190" s="7"/>
      <c r="B190" s="7"/>
      <c r="C190" s="7"/>
      <c r="D190" s="7"/>
      <c r="E190" s="7"/>
      <c r="F190" s="7"/>
      <c r="G190" s="7"/>
      <c r="H190" s="7"/>
      <c r="I190" s="7"/>
      <c r="J190" s="7"/>
      <c r="K190" s="7"/>
      <c r="L190" s="7"/>
    </row>
    <row r="191" ht="14.25" customHeight="1">
      <c r="A191" s="7"/>
      <c r="B191" s="7"/>
      <c r="C191" s="7"/>
      <c r="D191" s="7"/>
      <c r="E191" s="7"/>
      <c r="F191" s="7"/>
      <c r="G191" s="7"/>
      <c r="H191" s="7"/>
      <c r="I191" s="7"/>
      <c r="J191" s="7"/>
      <c r="K191" s="7"/>
      <c r="L191" s="7"/>
    </row>
    <row r="192" ht="14.25" customHeight="1">
      <c r="A192" s="7"/>
      <c r="B192" s="7"/>
      <c r="C192" s="7"/>
      <c r="D192" s="7"/>
      <c r="E192" s="7"/>
      <c r="F192" s="7"/>
      <c r="G192" s="7"/>
      <c r="H192" s="7"/>
      <c r="I192" s="7"/>
      <c r="J192" s="7"/>
      <c r="K192" s="7"/>
      <c r="L192" s="7"/>
    </row>
    <row r="193" ht="14.25" customHeight="1">
      <c r="A193" s="7"/>
      <c r="B193" s="7"/>
      <c r="C193" s="7"/>
      <c r="D193" s="7"/>
      <c r="E193" s="7"/>
      <c r="F193" s="7"/>
      <c r="G193" s="7"/>
      <c r="H193" s="7"/>
      <c r="I193" s="7"/>
      <c r="J193" s="7"/>
      <c r="K193" s="7"/>
      <c r="L193" s="7"/>
    </row>
    <row r="194" ht="14.25" customHeight="1">
      <c r="A194" s="7"/>
      <c r="B194" s="7"/>
      <c r="C194" s="7"/>
      <c r="D194" s="7"/>
      <c r="E194" s="7"/>
      <c r="F194" s="7"/>
      <c r="G194" s="7"/>
      <c r="H194" s="7"/>
      <c r="I194" s="7"/>
      <c r="J194" s="7"/>
      <c r="K194" s="7"/>
      <c r="L194" s="7"/>
    </row>
    <row r="195" ht="14.25" customHeight="1">
      <c r="A195" s="7"/>
      <c r="B195" s="7"/>
      <c r="C195" s="7"/>
      <c r="D195" s="7"/>
      <c r="E195" s="7"/>
      <c r="F195" s="7"/>
      <c r="G195" s="7"/>
      <c r="H195" s="7"/>
      <c r="I195" s="7"/>
      <c r="J195" s="7"/>
      <c r="K195" s="7"/>
      <c r="L195" s="7"/>
    </row>
    <row r="196" ht="14.25" customHeight="1">
      <c r="A196" s="7"/>
      <c r="B196" s="7"/>
      <c r="C196" s="7"/>
      <c r="D196" s="7"/>
      <c r="E196" s="7"/>
      <c r="F196" s="7"/>
      <c r="G196" s="7"/>
      <c r="H196" s="7"/>
      <c r="I196" s="7"/>
      <c r="J196" s="7"/>
      <c r="K196" s="7"/>
      <c r="L196" s="7"/>
    </row>
    <row r="197" ht="14.25" customHeight="1">
      <c r="A197" s="7"/>
      <c r="B197" s="7"/>
      <c r="C197" s="7"/>
      <c r="D197" s="7"/>
      <c r="E197" s="7"/>
      <c r="F197" s="7"/>
      <c r="G197" s="7"/>
      <c r="H197" s="7"/>
      <c r="I197" s="7"/>
      <c r="J197" s="7"/>
      <c r="K197" s="7"/>
      <c r="L197" s="7"/>
    </row>
    <row r="198" ht="14.25" customHeight="1">
      <c r="A198" s="7"/>
      <c r="B198" s="7"/>
      <c r="C198" s="7"/>
      <c r="D198" s="7"/>
      <c r="E198" s="7"/>
      <c r="F198" s="7"/>
      <c r="G198" s="7"/>
      <c r="H198" s="7"/>
      <c r="I198" s="7"/>
      <c r="J198" s="7"/>
      <c r="K198" s="7"/>
      <c r="L198" s="7"/>
    </row>
    <row r="199" ht="14.25" customHeight="1">
      <c r="A199" s="7"/>
      <c r="B199" s="7"/>
      <c r="C199" s="7"/>
      <c r="D199" s="7"/>
      <c r="E199" s="7"/>
      <c r="F199" s="7"/>
      <c r="G199" s="7"/>
      <c r="H199" s="7"/>
      <c r="I199" s="7"/>
      <c r="J199" s="7"/>
      <c r="K199" s="7"/>
      <c r="L199" s="7"/>
    </row>
    <row r="200" ht="14.25" customHeight="1">
      <c r="A200" s="7"/>
      <c r="B200" s="7"/>
      <c r="C200" s="7"/>
      <c r="D200" s="7"/>
      <c r="E200" s="7"/>
      <c r="F200" s="7"/>
      <c r="G200" s="7"/>
      <c r="H200" s="7"/>
      <c r="I200" s="7"/>
      <c r="J200" s="7"/>
      <c r="K200" s="7"/>
      <c r="L200" s="7"/>
    </row>
    <row r="201" ht="14.25" customHeight="1">
      <c r="A201" s="7"/>
      <c r="B201" s="7"/>
      <c r="C201" s="7"/>
      <c r="D201" s="7"/>
      <c r="E201" s="7"/>
      <c r="F201" s="7"/>
      <c r="G201" s="7"/>
      <c r="H201" s="7"/>
      <c r="I201" s="7"/>
      <c r="J201" s="7"/>
      <c r="K201" s="7"/>
      <c r="L201" s="7"/>
    </row>
    <row r="202" ht="14.25" customHeight="1">
      <c r="A202" s="7"/>
      <c r="B202" s="7"/>
      <c r="C202" s="7"/>
      <c r="D202" s="7"/>
      <c r="E202" s="7"/>
      <c r="F202" s="7"/>
      <c r="G202" s="7"/>
      <c r="H202" s="7"/>
      <c r="I202" s="7"/>
      <c r="J202" s="7"/>
      <c r="K202" s="7"/>
      <c r="L202" s="7"/>
    </row>
    <row r="203" ht="14.25" customHeight="1">
      <c r="A203" s="7"/>
      <c r="B203" s="7"/>
      <c r="C203" s="7"/>
      <c r="D203" s="7"/>
      <c r="E203" s="7"/>
      <c r="F203" s="7"/>
      <c r="G203" s="7"/>
      <c r="H203" s="7"/>
      <c r="I203" s="7"/>
      <c r="J203" s="7"/>
      <c r="K203" s="7"/>
      <c r="L203" s="7"/>
    </row>
    <row r="204" ht="14.25" customHeight="1">
      <c r="A204" s="7"/>
      <c r="B204" s="7"/>
      <c r="C204" s="7"/>
      <c r="D204" s="7"/>
      <c r="E204" s="7"/>
      <c r="F204" s="7"/>
      <c r="G204" s="7"/>
      <c r="H204" s="7"/>
      <c r="I204" s="7"/>
      <c r="J204" s="7"/>
      <c r="K204" s="7"/>
      <c r="L204" s="7"/>
    </row>
    <row r="205" ht="14.25" customHeight="1">
      <c r="A205" s="7"/>
      <c r="B205" s="7"/>
      <c r="C205" s="7"/>
      <c r="D205" s="7"/>
      <c r="E205" s="7"/>
      <c r="F205" s="7"/>
      <c r="G205" s="7"/>
      <c r="H205" s="7"/>
      <c r="I205" s="7"/>
      <c r="J205" s="7"/>
      <c r="K205" s="7"/>
      <c r="L205" s="7"/>
    </row>
    <row r="206" ht="14.25" customHeight="1">
      <c r="A206" s="7"/>
      <c r="B206" s="7"/>
      <c r="C206" s="7"/>
      <c r="D206" s="7"/>
      <c r="E206" s="7"/>
      <c r="F206" s="7"/>
      <c r="G206" s="7"/>
      <c r="H206" s="7"/>
      <c r="I206" s="7"/>
      <c r="J206" s="7"/>
      <c r="K206" s="7"/>
      <c r="L206" s="7"/>
    </row>
    <row r="207" ht="14.25" customHeight="1">
      <c r="A207" s="7"/>
      <c r="B207" s="7"/>
      <c r="C207" s="7"/>
      <c r="D207" s="7"/>
      <c r="E207" s="7"/>
      <c r="F207" s="7"/>
      <c r="G207" s="7"/>
      <c r="H207" s="7"/>
      <c r="I207" s="7"/>
      <c r="J207" s="7"/>
      <c r="K207" s="7"/>
      <c r="L207" s="7"/>
    </row>
    <row r="208" ht="14.25" customHeight="1">
      <c r="A208" s="7"/>
      <c r="B208" s="7"/>
      <c r="C208" s="7"/>
      <c r="D208" s="7"/>
      <c r="E208" s="7"/>
      <c r="F208" s="7"/>
      <c r="G208" s="7"/>
      <c r="H208" s="7"/>
      <c r="I208" s="7"/>
      <c r="J208" s="7"/>
      <c r="K208" s="7"/>
      <c r="L208" s="7"/>
    </row>
    <row r="209" ht="14.25" customHeight="1">
      <c r="A209" s="7"/>
      <c r="B209" s="7"/>
      <c r="C209" s="7"/>
      <c r="D209" s="7"/>
      <c r="E209" s="7"/>
      <c r="F209" s="7"/>
      <c r="G209" s="7"/>
      <c r="H209" s="7"/>
      <c r="I209" s="7"/>
      <c r="J209" s="7"/>
      <c r="K209" s="7"/>
      <c r="L209" s="7"/>
    </row>
    <row r="210" ht="14.25" customHeight="1">
      <c r="A210" s="7"/>
      <c r="B210" s="7"/>
      <c r="C210" s="7"/>
      <c r="D210" s="7"/>
      <c r="E210" s="7"/>
      <c r="F210" s="7"/>
      <c r="G210" s="7"/>
      <c r="H210" s="7"/>
      <c r="I210" s="7"/>
      <c r="J210" s="7"/>
      <c r="K210" s="7"/>
      <c r="L210" s="7"/>
    </row>
    <row r="211" ht="14.25" customHeight="1">
      <c r="A211" s="7"/>
      <c r="B211" s="7"/>
      <c r="C211" s="7"/>
      <c r="D211" s="7"/>
      <c r="E211" s="7"/>
      <c r="F211" s="7"/>
      <c r="G211" s="7"/>
      <c r="H211" s="7"/>
      <c r="I211" s="7"/>
      <c r="J211" s="7"/>
      <c r="K211" s="7"/>
      <c r="L211" s="7"/>
    </row>
    <row r="212" ht="14.25" customHeight="1">
      <c r="A212" s="7"/>
      <c r="B212" s="7"/>
      <c r="C212" s="7"/>
      <c r="D212" s="7"/>
      <c r="E212" s="7"/>
      <c r="F212" s="7"/>
      <c r="G212" s="7"/>
      <c r="H212" s="7"/>
      <c r="I212" s="7"/>
      <c r="J212" s="7"/>
      <c r="K212" s="7"/>
      <c r="L212" s="7"/>
    </row>
    <row r="213" ht="14.25" customHeight="1">
      <c r="A213" s="7"/>
      <c r="B213" s="7"/>
      <c r="C213" s="7"/>
      <c r="D213" s="7"/>
      <c r="E213" s="7"/>
      <c r="F213" s="7"/>
      <c r="G213" s="7"/>
      <c r="H213" s="7"/>
      <c r="I213" s="7"/>
      <c r="J213" s="7"/>
      <c r="K213" s="7"/>
      <c r="L213" s="7"/>
    </row>
    <row r="214" ht="14.25" customHeight="1">
      <c r="A214" s="7"/>
      <c r="B214" s="7"/>
      <c r="C214" s="7"/>
      <c r="D214" s="7"/>
      <c r="E214" s="7"/>
      <c r="F214" s="7"/>
      <c r="G214" s="7"/>
      <c r="H214" s="7"/>
      <c r="I214" s="7"/>
      <c r="J214" s="7"/>
      <c r="K214" s="7"/>
      <c r="L214" s="7"/>
    </row>
    <row r="215" ht="14.25" customHeight="1">
      <c r="A215" s="7"/>
      <c r="B215" s="7"/>
      <c r="C215" s="7"/>
      <c r="D215" s="7"/>
      <c r="E215" s="7"/>
      <c r="F215" s="7"/>
      <c r="G215" s="7"/>
      <c r="H215" s="7"/>
      <c r="I215" s="7"/>
      <c r="J215" s="7"/>
      <c r="K215" s="7"/>
      <c r="L215" s="7"/>
    </row>
    <row r="216" ht="14.25" customHeight="1">
      <c r="A216" s="7"/>
      <c r="B216" s="7"/>
      <c r="C216" s="7"/>
      <c r="D216" s="7"/>
      <c r="E216" s="7"/>
      <c r="F216" s="7"/>
      <c r="G216" s="7"/>
      <c r="H216" s="7"/>
      <c r="I216" s="7"/>
      <c r="J216" s="7"/>
      <c r="K216" s="7"/>
      <c r="L216" s="7"/>
    </row>
    <row r="217" ht="14.25" customHeight="1">
      <c r="A217" s="7"/>
      <c r="B217" s="7"/>
      <c r="C217" s="7"/>
      <c r="D217" s="7"/>
      <c r="E217" s="7"/>
      <c r="F217" s="7"/>
      <c r="G217" s="7"/>
      <c r="H217" s="7"/>
      <c r="I217" s="7"/>
      <c r="J217" s="7"/>
      <c r="K217" s="7"/>
      <c r="L217" s="7"/>
    </row>
    <row r="218" ht="14.25" customHeight="1">
      <c r="A218" s="7"/>
      <c r="B218" s="7"/>
      <c r="C218" s="7"/>
      <c r="D218" s="7"/>
      <c r="E218" s="7"/>
      <c r="F218" s="7"/>
      <c r="G218" s="7"/>
      <c r="H218" s="7"/>
      <c r="I218" s="7"/>
      <c r="J218" s="7"/>
      <c r="K218" s="7"/>
      <c r="L218" s="7"/>
    </row>
    <row r="219" ht="14.25" customHeight="1">
      <c r="A219" s="7"/>
      <c r="B219" s="7"/>
      <c r="C219" s="7"/>
      <c r="D219" s="7"/>
      <c r="E219" s="7"/>
      <c r="F219" s="7"/>
      <c r="G219" s="7"/>
      <c r="H219" s="7"/>
      <c r="I219" s="7"/>
      <c r="J219" s="7"/>
      <c r="K219" s="7"/>
      <c r="L219" s="7"/>
    </row>
    <row r="220" ht="14.25" customHeight="1">
      <c r="A220" s="7"/>
      <c r="B220" s="7"/>
      <c r="C220" s="7"/>
      <c r="D220" s="7"/>
      <c r="E220" s="7"/>
      <c r="F220" s="7"/>
      <c r="G220" s="7"/>
      <c r="H220" s="7"/>
      <c r="I220" s="7"/>
      <c r="J220" s="7"/>
      <c r="K220" s="7"/>
      <c r="L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0"/>
    <col customWidth="1" min="2" max="2" width="6.0"/>
    <col customWidth="1" min="3" max="3" width="15.38"/>
    <col customWidth="1" min="4" max="5" width="14.38"/>
    <col customWidth="1" min="6" max="6" width="15.38"/>
    <col customWidth="1" min="7" max="14" width="14.38"/>
    <col customWidth="1" min="15" max="15" width="16.5"/>
    <col customWidth="1" min="16" max="26" width="10.63"/>
  </cols>
  <sheetData>
    <row r="1" ht="14.25" customHeight="1">
      <c r="A1" s="724"/>
      <c r="B1" s="724"/>
      <c r="C1" s="724"/>
      <c r="D1" s="724"/>
      <c r="E1" s="724"/>
      <c r="F1" s="724"/>
      <c r="G1" s="724"/>
      <c r="H1" s="724"/>
      <c r="I1" s="724"/>
      <c r="J1" s="724"/>
      <c r="K1" s="724"/>
      <c r="L1" s="724"/>
      <c r="M1" s="724"/>
      <c r="N1" s="724"/>
      <c r="O1" s="724"/>
      <c r="P1" s="724"/>
      <c r="Q1" s="724"/>
      <c r="R1" s="724"/>
      <c r="S1" s="724"/>
      <c r="T1" s="724"/>
      <c r="U1" s="724"/>
      <c r="V1" s="724"/>
      <c r="W1" s="724"/>
      <c r="X1" s="724"/>
      <c r="Y1" s="724"/>
      <c r="Z1" s="724"/>
    </row>
    <row r="2" ht="14.25" customHeight="1">
      <c r="A2" s="724"/>
      <c r="B2" s="724"/>
      <c r="C2" s="1183" t="s">
        <v>1978</v>
      </c>
      <c r="D2" s="1183" t="s">
        <v>1979</v>
      </c>
      <c r="E2" s="1183" t="s">
        <v>1980</v>
      </c>
      <c r="F2" s="1183" t="s">
        <v>1981</v>
      </c>
      <c r="G2" s="1183" t="s">
        <v>1982</v>
      </c>
      <c r="H2" s="1183" t="s">
        <v>1983</v>
      </c>
      <c r="I2" s="1183" t="s">
        <v>1984</v>
      </c>
      <c r="J2" s="1183" t="s">
        <v>1985</v>
      </c>
      <c r="K2" s="1183" t="s">
        <v>1986</v>
      </c>
      <c r="L2" s="1184">
        <v>45931.0</v>
      </c>
      <c r="M2" s="1184">
        <v>45962.0</v>
      </c>
      <c r="N2" s="1184">
        <v>45992.0</v>
      </c>
      <c r="O2" s="1183" t="s">
        <v>1525</v>
      </c>
      <c r="P2" s="724"/>
      <c r="Q2" s="724"/>
      <c r="R2" s="724"/>
      <c r="S2" s="724"/>
      <c r="T2" s="724"/>
      <c r="U2" s="724"/>
      <c r="V2" s="724"/>
      <c r="W2" s="724"/>
      <c r="X2" s="724"/>
      <c r="Y2" s="724"/>
      <c r="Z2" s="724"/>
    </row>
    <row r="3" ht="14.25" customHeight="1">
      <c r="A3" s="1185" t="s">
        <v>1987</v>
      </c>
      <c r="B3" s="724"/>
      <c r="C3" s="1186">
        <v>1813724.0</v>
      </c>
      <c r="D3" s="1186">
        <v>1671217.0</v>
      </c>
      <c r="E3" s="1186">
        <v>2125158.0</v>
      </c>
      <c r="F3" s="1186">
        <v>2116452.0</v>
      </c>
      <c r="G3" s="1186">
        <v>2144363.0</v>
      </c>
      <c r="H3" s="1186">
        <v>2284131.0</v>
      </c>
      <c r="I3" s="1186">
        <v>2417469.0</v>
      </c>
      <c r="J3" s="1186">
        <v>2340806.0</v>
      </c>
      <c r="K3" s="1186">
        <v>2329318.0</v>
      </c>
      <c r="L3" s="1186">
        <f t="shared" ref="L3:N3" si="1">K3</f>
        <v>2329318</v>
      </c>
      <c r="M3" s="1186">
        <f t="shared" si="1"/>
        <v>2329318</v>
      </c>
      <c r="N3" s="1186">
        <f t="shared" si="1"/>
        <v>2329318</v>
      </c>
      <c r="O3" s="1186">
        <f>SUM(C3:N3)</f>
        <v>26230592</v>
      </c>
      <c r="P3" s="724"/>
      <c r="Q3" s="724"/>
      <c r="R3" s="724"/>
      <c r="S3" s="724"/>
      <c r="T3" s="724"/>
      <c r="U3" s="724"/>
      <c r="V3" s="724"/>
      <c r="W3" s="724"/>
      <c r="X3" s="724"/>
      <c r="Y3" s="724"/>
      <c r="Z3" s="724"/>
    </row>
    <row r="4" ht="14.25" customHeight="1">
      <c r="A4" s="724"/>
      <c r="B4" s="724"/>
      <c r="C4" s="1186"/>
      <c r="D4" s="1186"/>
      <c r="E4" s="1186"/>
      <c r="F4" s="1186"/>
      <c r="G4" s="1186"/>
      <c r="H4" s="1186"/>
      <c r="I4" s="1186"/>
      <c r="J4" s="1186"/>
      <c r="K4" s="1186"/>
      <c r="L4" s="1186"/>
      <c r="M4" s="1186"/>
      <c r="N4" s="1186"/>
      <c r="O4" s="1186"/>
      <c r="P4" s="724"/>
      <c r="Q4" s="724"/>
      <c r="R4" s="724"/>
      <c r="S4" s="724"/>
      <c r="T4" s="724"/>
      <c r="U4" s="724"/>
      <c r="V4" s="724"/>
      <c r="W4" s="724"/>
      <c r="X4" s="724"/>
      <c r="Y4" s="724"/>
      <c r="Z4" s="724"/>
    </row>
    <row r="5" ht="14.25" customHeight="1">
      <c r="A5" s="724" t="s">
        <v>1988</v>
      </c>
      <c r="B5" s="724"/>
      <c r="C5" s="1186">
        <f t="shared" ref="C5:N5" si="2">C3/2</f>
        <v>906862</v>
      </c>
      <c r="D5" s="1186">
        <f t="shared" si="2"/>
        <v>835608.5</v>
      </c>
      <c r="E5" s="1186">
        <f t="shared" si="2"/>
        <v>1062579</v>
      </c>
      <c r="F5" s="1186">
        <f t="shared" si="2"/>
        <v>1058226</v>
      </c>
      <c r="G5" s="1186">
        <f t="shared" si="2"/>
        <v>1072181.5</v>
      </c>
      <c r="H5" s="1186">
        <f t="shared" si="2"/>
        <v>1142065.5</v>
      </c>
      <c r="I5" s="1186">
        <f t="shared" si="2"/>
        <v>1208734.5</v>
      </c>
      <c r="J5" s="1186">
        <f t="shared" si="2"/>
        <v>1170403</v>
      </c>
      <c r="K5" s="1186">
        <f t="shared" si="2"/>
        <v>1164659</v>
      </c>
      <c r="L5" s="1186">
        <f t="shared" si="2"/>
        <v>1164659</v>
      </c>
      <c r="M5" s="1186">
        <f t="shared" si="2"/>
        <v>1164659</v>
      </c>
      <c r="N5" s="1186">
        <f t="shared" si="2"/>
        <v>1164659</v>
      </c>
      <c r="O5" s="1186">
        <f t="shared" ref="O5:O6" si="4">SUM(C5:N5)</f>
        <v>13115296</v>
      </c>
      <c r="P5" s="724"/>
      <c r="Q5" s="724"/>
      <c r="R5" s="724"/>
      <c r="S5" s="724"/>
      <c r="T5" s="724"/>
      <c r="U5" s="724"/>
      <c r="V5" s="724"/>
      <c r="W5" s="724"/>
      <c r="X5" s="724"/>
      <c r="Y5" s="724"/>
      <c r="Z5" s="724"/>
    </row>
    <row r="6" ht="14.25" customHeight="1">
      <c r="A6" s="724" t="s">
        <v>1989</v>
      </c>
      <c r="B6" s="724"/>
      <c r="C6" s="1186">
        <f t="shared" ref="C6:N6" si="3">C3/2</f>
        <v>906862</v>
      </c>
      <c r="D6" s="1186">
        <f t="shared" si="3"/>
        <v>835608.5</v>
      </c>
      <c r="E6" s="1186">
        <f t="shared" si="3"/>
        <v>1062579</v>
      </c>
      <c r="F6" s="1186">
        <f t="shared" si="3"/>
        <v>1058226</v>
      </c>
      <c r="G6" s="1186">
        <f t="shared" si="3"/>
        <v>1072181.5</v>
      </c>
      <c r="H6" s="1186">
        <f t="shared" si="3"/>
        <v>1142065.5</v>
      </c>
      <c r="I6" s="1186">
        <f t="shared" si="3"/>
        <v>1208734.5</v>
      </c>
      <c r="J6" s="1186">
        <f t="shared" si="3"/>
        <v>1170403</v>
      </c>
      <c r="K6" s="1186">
        <f t="shared" si="3"/>
        <v>1164659</v>
      </c>
      <c r="L6" s="1186">
        <f t="shared" si="3"/>
        <v>1164659</v>
      </c>
      <c r="M6" s="1186">
        <f t="shared" si="3"/>
        <v>1164659</v>
      </c>
      <c r="N6" s="1186">
        <f t="shared" si="3"/>
        <v>1164659</v>
      </c>
      <c r="O6" s="1186">
        <f t="shared" si="4"/>
        <v>13115296</v>
      </c>
      <c r="P6" s="724"/>
      <c r="Q6" s="724"/>
      <c r="R6" s="724"/>
      <c r="S6" s="724"/>
      <c r="T6" s="724"/>
      <c r="U6" s="724"/>
      <c r="V6" s="724"/>
      <c r="W6" s="724"/>
      <c r="X6" s="724"/>
      <c r="Y6" s="724"/>
      <c r="Z6" s="724"/>
    </row>
    <row r="7" ht="14.25" customHeight="1">
      <c r="A7" s="724"/>
      <c r="B7" s="724"/>
      <c r="C7" s="1186"/>
      <c r="D7" s="1186"/>
      <c r="E7" s="1186"/>
      <c r="F7" s="1186"/>
      <c r="G7" s="1186"/>
      <c r="H7" s="1186"/>
      <c r="I7" s="1186"/>
      <c r="J7" s="1186"/>
      <c r="K7" s="1186"/>
      <c r="L7" s="1186"/>
      <c r="M7" s="1186"/>
      <c r="N7" s="1186"/>
      <c r="O7" s="1186"/>
      <c r="P7" s="724"/>
      <c r="Q7" s="724"/>
      <c r="R7" s="724"/>
      <c r="S7" s="724"/>
      <c r="T7" s="724"/>
      <c r="U7" s="724"/>
      <c r="V7" s="724"/>
      <c r="W7" s="724"/>
      <c r="X7" s="724"/>
      <c r="Y7" s="724"/>
      <c r="Z7" s="724"/>
    </row>
    <row r="8" ht="14.25" customHeight="1">
      <c r="A8" s="1187" t="s">
        <v>1990</v>
      </c>
      <c r="B8" s="1188"/>
      <c r="C8" s="1189"/>
      <c r="D8" s="1189"/>
      <c r="E8" s="1189"/>
      <c r="F8" s="1189"/>
      <c r="G8" s="1189"/>
      <c r="H8" s="1189"/>
      <c r="I8" s="1189"/>
      <c r="J8" s="1189"/>
      <c r="K8" s="1189"/>
      <c r="L8" s="1189"/>
      <c r="M8" s="1189"/>
      <c r="N8" s="1189"/>
      <c r="O8" s="1189"/>
      <c r="P8" s="724"/>
      <c r="Q8" s="724"/>
      <c r="R8" s="724"/>
      <c r="S8" s="724"/>
      <c r="T8" s="724"/>
      <c r="U8" s="724"/>
      <c r="V8" s="724"/>
      <c r="W8" s="724"/>
      <c r="X8" s="724"/>
      <c r="Y8" s="724"/>
      <c r="Z8" s="724"/>
    </row>
    <row r="9" ht="14.25" customHeight="1">
      <c r="A9" s="724"/>
      <c r="B9" s="724"/>
      <c r="C9" s="724"/>
      <c r="D9" s="724"/>
      <c r="E9" s="724"/>
      <c r="F9" s="724"/>
      <c r="G9" s="724"/>
      <c r="H9" s="724"/>
      <c r="I9" s="724"/>
      <c r="J9" s="724"/>
      <c r="K9" s="724"/>
      <c r="L9" s="724"/>
      <c r="M9" s="724"/>
      <c r="N9" s="724"/>
      <c r="O9" s="724"/>
      <c r="P9" s="724"/>
      <c r="Q9" s="724"/>
      <c r="R9" s="724"/>
      <c r="S9" s="724"/>
      <c r="T9" s="724"/>
      <c r="U9" s="724"/>
      <c r="V9" s="724"/>
      <c r="W9" s="724"/>
      <c r="X9" s="724"/>
      <c r="Y9" s="724"/>
      <c r="Z9" s="724"/>
    </row>
    <row r="10" ht="14.25" customHeight="1">
      <c r="A10" s="724" t="s">
        <v>1991</v>
      </c>
      <c r="B10" s="1190">
        <v>4.081</v>
      </c>
      <c r="C10" s="736">
        <f t="shared" ref="C10:N10" si="5">C5*0.7*$B$10</f>
        <v>2590632.675</v>
      </c>
      <c r="D10" s="736">
        <f t="shared" si="5"/>
        <v>2387082.802</v>
      </c>
      <c r="E10" s="736">
        <f t="shared" si="5"/>
        <v>3035469.429</v>
      </c>
      <c r="F10" s="736">
        <f t="shared" si="5"/>
        <v>3023034.214</v>
      </c>
      <c r="G10" s="736">
        <f t="shared" si="5"/>
        <v>3062900.891</v>
      </c>
      <c r="H10" s="736">
        <f t="shared" si="5"/>
        <v>3262538.514</v>
      </c>
      <c r="I10" s="736">
        <f t="shared" si="5"/>
        <v>3452991.846</v>
      </c>
      <c r="J10" s="736">
        <f t="shared" si="5"/>
        <v>3343490.25</v>
      </c>
      <c r="K10" s="736">
        <f t="shared" si="5"/>
        <v>3327081.365</v>
      </c>
      <c r="L10" s="736">
        <f t="shared" si="5"/>
        <v>3327081.365</v>
      </c>
      <c r="M10" s="736">
        <f t="shared" si="5"/>
        <v>3327081.365</v>
      </c>
      <c r="N10" s="736">
        <f t="shared" si="5"/>
        <v>3327081.365</v>
      </c>
      <c r="O10" s="736">
        <f t="shared" ref="O10:O12" si="7">SUM(B10:N10)</f>
        <v>37466470.16</v>
      </c>
      <c r="P10" s="724"/>
      <c r="Q10" s="724"/>
      <c r="R10" s="724"/>
      <c r="S10" s="724"/>
      <c r="T10" s="724"/>
      <c r="U10" s="724"/>
      <c r="V10" s="724"/>
      <c r="W10" s="724"/>
      <c r="X10" s="724"/>
      <c r="Y10" s="724"/>
      <c r="Z10" s="724"/>
    </row>
    <row r="11" ht="14.25" customHeight="1">
      <c r="A11" s="724" t="s">
        <v>1992</v>
      </c>
      <c r="B11" s="1190">
        <v>5.703</v>
      </c>
      <c r="C11" s="736">
        <f t="shared" ref="C11:N11" si="6">C5*0.3*$B$11</f>
        <v>1551550.196</v>
      </c>
      <c r="D11" s="736">
        <f t="shared" si="6"/>
        <v>1429642.583</v>
      </c>
      <c r="E11" s="736">
        <f t="shared" si="6"/>
        <v>1817966.411</v>
      </c>
      <c r="F11" s="736">
        <f t="shared" si="6"/>
        <v>1810518.863</v>
      </c>
      <c r="G11" s="736">
        <f t="shared" si="6"/>
        <v>1834395.328</v>
      </c>
      <c r="H11" s="736">
        <f t="shared" si="6"/>
        <v>1953959.864</v>
      </c>
      <c r="I11" s="736">
        <f t="shared" si="6"/>
        <v>2068023.856</v>
      </c>
      <c r="J11" s="736">
        <f t="shared" si="6"/>
        <v>2002442.493</v>
      </c>
      <c r="K11" s="736">
        <f t="shared" si="6"/>
        <v>1992615.083</v>
      </c>
      <c r="L11" s="736">
        <f t="shared" si="6"/>
        <v>1992615.083</v>
      </c>
      <c r="M11" s="736">
        <f t="shared" si="6"/>
        <v>1992615.083</v>
      </c>
      <c r="N11" s="736">
        <f t="shared" si="6"/>
        <v>1992615.083</v>
      </c>
      <c r="O11" s="736">
        <f t="shared" si="7"/>
        <v>22438965.63</v>
      </c>
      <c r="P11" s="724"/>
      <c r="Q11" s="724"/>
      <c r="R11" s="724"/>
      <c r="S11" s="724"/>
      <c r="T11" s="724"/>
      <c r="U11" s="724"/>
      <c r="V11" s="724"/>
      <c r="W11" s="724"/>
      <c r="X11" s="724"/>
      <c r="Y11" s="724"/>
      <c r="Z11" s="724"/>
    </row>
    <row r="12" ht="14.25" customHeight="1">
      <c r="A12" s="724"/>
      <c r="B12" s="724"/>
      <c r="C12" s="1191">
        <f t="shared" ref="C12:N12" si="8">SUM(C10:C11)</f>
        <v>4142182.871</v>
      </c>
      <c r="D12" s="1191">
        <f t="shared" si="8"/>
        <v>3816725.385</v>
      </c>
      <c r="E12" s="1191">
        <f t="shared" si="8"/>
        <v>4853435.84</v>
      </c>
      <c r="F12" s="1191">
        <f t="shared" si="8"/>
        <v>4833553.078</v>
      </c>
      <c r="G12" s="1191">
        <f t="shared" si="8"/>
        <v>4897296.219</v>
      </c>
      <c r="H12" s="1191">
        <f t="shared" si="8"/>
        <v>5216498.378</v>
      </c>
      <c r="I12" s="1191">
        <f t="shared" si="8"/>
        <v>5521015.702</v>
      </c>
      <c r="J12" s="1191">
        <f t="shared" si="8"/>
        <v>5345932.743</v>
      </c>
      <c r="K12" s="1191">
        <f t="shared" si="8"/>
        <v>5319696.448</v>
      </c>
      <c r="L12" s="1191">
        <f t="shared" si="8"/>
        <v>5319696.448</v>
      </c>
      <c r="M12" s="1191">
        <f t="shared" si="8"/>
        <v>5319696.448</v>
      </c>
      <c r="N12" s="1191">
        <f t="shared" si="8"/>
        <v>5319696.448</v>
      </c>
      <c r="O12" s="1191">
        <f t="shared" si="7"/>
        <v>59905426.01</v>
      </c>
      <c r="P12" s="724"/>
      <c r="Q12" s="724"/>
      <c r="R12" s="724"/>
      <c r="S12" s="724"/>
      <c r="T12" s="724"/>
      <c r="U12" s="724"/>
      <c r="V12" s="724"/>
      <c r="W12" s="724"/>
      <c r="X12" s="724"/>
      <c r="Y12" s="724"/>
      <c r="Z12" s="724"/>
    </row>
    <row r="13" ht="14.25" customHeight="1">
      <c r="A13" s="724"/>
      <c r="B13" s="724"/>
      <c r="C13" s="736"/>
      <c r="D13" s="736"/>
      <c r="E13" s="736"/>
      <c r="F13" s="736"/>
      <c r="G13" s="736"/>
      <c r="H13" s="736"/>
      <c r="I13" s="736"/>
      <c r="J13" s="736"/>
      <c r="K13" s="736"/>
      <c r="L13" s="736"/>
      <c r="M13" s="736"/>
      <c r="N13" s="736"/>
      <c r="O13" s="736"/>
      <c r="P13" s="724"/>
      <c r="Q13" s="724"/>
      <c r="R13" s="724"/>
      <c r="S13" s="724"/>
      <c r="T13" s="724"/>
      <c r="U13" s="724"/>
      <c r="V13" s="724"/>
      <c r="W13" s="724"/>
      <c r="X13" s="724"/>
      <c r="Y13" s="724"/>
      <c r="Z13" s="724"/>
    </row>
    <row r="14" ht="14.25" customHeight="1">
      <c r="A14" s="724" t="s">
        <v>1993</v>
      </c>
      <c r="B14" s="1190">
        <v>5.101</v>
      </c>
      <c r="C14" s="736">
        <f t="shared" ref="C14:N14" si="9">C6*0.7*$B$14</f>
        <v>3238132.143</v>
      </c>
      <c r="D14" s="736">
        <f t="shared" si="9"/>
        <v>2983707.271</v>
      </c>
      <c r="E14" s="736">
        <f t="shared" si="9"/>
        <v>3794150.835</v>
      </c>
      <c r="F14" s="736">
        <f t="shared" si="9"/>
        <v>3778607.578</v>
      </c>
      <c r="G14" s="736">
        <f t="shared" si="9"/>
        <v>3828438.482</v>
      </c>
      <c r="H14" s="736">
        <f t="shared" si="9"/>
        <v>4077973.281</v>
      </c>
      <c r="I14" s="736">
        <f t="shared" si="9"/>
        <v>4316028.279</v>
      </c>
      <c r="J14" s="736">
        <f t="shared" si="9"/>
        <v>4179157.992</v>
      </c>
      <c r="K14" s="736">
        <f t="shared" si="9"/>
        <v>4158647.891</v>
      </c>
      <c r="L14" s="736">
        <f t="shared" si="9"/>
        <v>4158647.891</v>
      </c>
      <c r="M14" s="736">
        <f t="shared" si="9"/>
        <v>4158647.891</v>
      </c>
      <c r="N14" s="736">
        <f t="shared" si="9"/>
        <v>4158647.891</v>
      </c>
      <c r="O14" s="736">
        <f t="shared" ref="O14:O16" si="11">SUM(B14:N14)</f>
        <v>46830792.53</v>
      </c>
      <c r="P14" s="724"/>
      <c r="Q14" s="724"/>
      <c r="R14" s="724"/>
      <c r="S14" s="724"/>
      <c r="T14" s="724"/>
      <c r="U14" s="724"/>
      <c r="V14" s="724"/>
      <c r="W14" s="724"/>
      <c r="X14" s="724"/>
      <c r="Y14" s="724"/>
      <c r="Z14" s="724"/>
    </row>
    <row r="15" ht="14.25" customHeight="1">
      <c r="A15" s="724" t="s">
        <v>1994</v>
      </c>
      <c r="B15" s="1190">
        <v>7.185</v>
      </c>
      <c r="C15" s="736">
        <f t="shared" ref="C15:N15" si="10">C6*0.3*$B$15</f>
        <v>1954741.041</v>
      </c>
      <c r="D15" s="736">
        <f t="shared" si="10"/>
        <v>1801154.122</v>
      </c>
      <c r="E15" s="736">
        <f t="shared" si="10"/>
        <v>2290389.035</v>
      </c>
      <c r="F15" s="736">
        <f t="shared" si="10"/>
        <v>2281006.143</v>
      </c>
      <c r="G15" s="736">
        <f t="shared" si="10"/>
        <v>2311087.223</v>
      </c>
      <c r="H15" s="736">
        <f t="shared" si="10"/>
        <v>2461722.185</v>
      </c>
      <c r="I15" s="736">
        <f t="shared" si="10"/>
        <v>2605427.215</v>
      </c>
      <c r="J15" s="736">
        <f t="shared" si="10"/>
        <v>2522803.667</v>
      </c>
      <c r="K15" s="736">
        <f t="shared" si="10"/>
        <v>2510422.475</v>
      </c>
      <c r="L15" s="736">
        <f t="shared" si="10"/>
        <v>2510422.475</v>
      </c>
      <c r="M15" s="736">
        <f t="shared" si="10"/>
        <v>2510422.475</v>
      </c>
      <c r="N15" s="736">
        <f t="shared" si="10"/>
        <v>2510422.475</v>
      </c>
      <c r="O15" s="736">
        <f t="shared" si="11"/>
        <v>28270027.71</v>
      </c>
      <c r="P15" s="724"/>
      <c r="Q15" s="724"/>
      <c r="R15" s="724"/>
      <c r="S15" s="724"/>
      <c r="T15" s="724"/>
      <c r="U15" s="724"/>
      <c r="V15" s="724"/>
      <c r="W15" s="724"/>
      <c r="X15" s="724"/>
      <c r="Y15" s="724"/>
      <c r="Z15" s="724"/>
    </row>
    <row r="16" ht="14.25" customHeight="1">
      <c r="A16" s="724"/>
      <c r="B16" s="724"/>
      <c r="C16" s="1191">
        <f t="shared" ref="C16:N16" si="12">SUM(C14:C15)</f>
        <v>5192873.184</v>
      </c>
      <c r="D16" s="1191">
        <f t="shared" si="12"/>
        <v>4784861.393</v>
      </c>
      <c r="E16" s="1191">
        <f t="shared" si="12"/>
        <v>6084539.87</v>
      </c>
      <c r="F16" s="1191">
        <f t="shared" si="12"/>
        <v>6059613.721</v>
      </c>
      <c r="G16" s="1191">
        <f t="shared" si="12"/>
        <v>6139525.705</v>
      </c>
      <c r="H16" s="1191">
        <f t="shared" si="12"/>
        <v>6539695.466</v>
      </c>
      <c r="I16" s="1191">
        <f t="shared" si="12"/>
        <v>6921455.494</v>
      </c>
      <c r="J16" s="1191">
        <f t="shared" si="12"/>
        <v>6701961.659</v>
      </c>
      <c r="K16" s="1191">
        <f t="shared" si="12"/>
        <v>6669070.366</v>
      </c>
      <c r="L16" s="1191">
        <f t="shared" si="12"/>
        <v>6669070.366</v>
      </c>
      <c r="M16" s="1191">
        <f t="shared" si="12"/>
        <v>6669070.366</v>
      </c>
      <c r="N16" s="1191">
        <f t="shared" si="12"/>
        <v>6669070.366</v>
      </c>
      <c r="O16" s="1191">
        <f t="shared" si="11"/>
        <v>75100807.96</v>
      </c>
      <c r="P16" s="724"/>
      <c r="Q16" s="724"/>
      <c r="R16" s="724"/>
      <c r="S16" s="724"/>
      <c r="T16" s="724"/>
      <c r="U16" s="724"/>
      <c r="V16" s="724"/>
      <c r="W16" s="724"/>
      <c r="X16" s="724"/>
      <c r="Y16" s="724"/>
      <c r="Z16" s="724"/>
    </row>
    <row r="17" ht="14.25" customHeight="1">
      <c r="A17" s="724"/>
      <c r="B17" s="724"/>
      <c r="C17" s="736"/>
      <c r="D17" s="736"/>
      <c r="E17" s="736"/>
      <c r="F17" s="736"/>
      <c r="G17" s="736"/>
      <c r="H17" s="736"/>
      <c r="I17" s="736"/>
      <c r="J17" s="736"/>
      <c r="K17" s="736"/>
      <c r="L17" s="736"/>
      <c r="M17" s="736"/>
      <c r="N17" s="736"/>
      <c r="O17" s="736"/>
      <c r="P17" s="724"/>
      <c r="Q17" s="724"/>
      <c r="R17" s="724"/>
      <c r="S17" s="724"/>
      <c r="T17" s="724"/>
      <c r="U17" s="724"/>
      <c r="V17" s="724"/>
      <c r="W17" s="724"/>
      <c r="X17" s="724"/>
      <c r="Y17" s="724"/>
      <c r="Z17" s="724"/>
    </row>
    <row r="18" ht="14.25" customHeight="1">
      <c r="A18" s="724"/>
      <c r="B18" s="724"/>
      <c r="C18" s="736"/>
      <c r="D18" s="736"/>
      <c r="E18" s="736"/>
      <c r="F18" s="736"/>
      <c r="G18" s="736"/>
      <c r="H18" s="736"/>
      <c r="I18" s="736"/>
      <c r="J18" s="736"/>
      <c r="K18" s="736"/>
      <c r="L18" s="736"/>
      <c r="M18" s="736"/>
      <c r="N18" s="736"/>
      <c r="O18" s="736"/>
      <c r="P18" s="724"/>
      <c r="Q18" s="724"/>
      <c r="R18" s="724"/>
      <c r="S18" s="724"/>
      <c r="T18" s="724"/>
      <c r="U18" s="724"/>
      <c r="V18" s="724"/>
      <c r="W18" s="724"/>
      <c r="X18" s="724"/>
      <c r="Y18" s="724"/>
      <c r="Z18" s="724"/>
    </row>
    <row r="19" ht="14.25" customHeight="1">
      <c r="A19" s="724"/>
      <c r="B19" s="724"/>
      <c r="C19" s="736"/>
      <c r="D19" s="736"/>
      <c r="E19" s="736"/>
      <c r="F19" s="736"/>
      <c r="G19" s="736"/>
      <c r="H19" s="736"/>
      <c r="I19" s="736"/>
      <c r="J19" s="736"/>
      <c r="K19" s="736"/>
      <c r="L19" s="736"/>
      <c r="M19" s="736"/>
      <c r="N19" s="736"/>
      <c r="O19" s="1191">
        <f>O16+O12</f>
        <v>135006234</v>
      </c>
      <c r="P19" s="724"/>
      <c r="Q19" s="724"/>
      <c r="R19" s="724"/>
      <c r="S19" s="724"/>
      <c r="T19" s="724"/>
      <c r="U19" s="724"/>
      <c r="V19" s="724"/>
      <c r="W19" s="724"/>
      <c r="X19" s="724"/>
      <c r="Y19" s="724"/>
      <c r="Z19" s="724"/>
    </row>
    <row r="20" ht="14.25" customHeight="1">
      <c r="A20" s="724" t="s">
        <v>1995</v>
      </c>
      <c r="B20" s="724">
        <v>12.0</v>
      </c>
      <c r="C20" s="1192">
        <v>4044535.75</v>
      </c>
      <c r="D20" s="736"/>
      <c r="E20" s="736"/>
      <c r="F20" s="736"/>
      <c r="G20" s="736"/>
      <c r="H20" s="736"/>
      <c r="I20" s="736"/>
      <c r="J20" s="736"/>
      <c r="K20" s="736"/>
      <c r="L20" s="736"/>
      <c r="M20" s="736"/>
      <c r="N20" s="736"/>
      <c r="O20" s="736">
        <f>C20*B20</f>
        <v>48534429</v>
      </c>
      <c r="P20" s="724"/>
      <c r="Q20" s="724"/>
      <c r="R20" s="724"/>
      <c r="S20" s="724"/>
      <c r="T20" s="724"/>
      <c r="U20" s="724"/>
      <c r="V20" s="724"/>
      <c r="W20" s="724"/>
      <c r="X20" s="724"/>
      <c r="Y20" s="724"/>
      <c r="Z20" s="724"/>
    </row>
    <row r="21" ht="14.25" customHeight="1">
      <c r="A21" s="724" t="s">
        <v>1996</v>
      </c>
      <c r="B21" s="724"/>
      <c r="C21" s="1192">
        <v>23835.29</v>
      </c>
      <c r="D21" s="736"/>
      <c r="E21" s="736"/>
      <c r="F21" s="736"/>
      <c r="G21" s="736"/>
      <c r="H21" s="736"/>
      <c r="I21" s="736"/>
      <c r="J21" s="736"/>
      <c r="K21" s="736"/>
      <c r="L21" s="736"/>
      <c r="M21" s="736"/>
      <c r="N21" s="736"/>
      <c r="O21" s="736"/>
      <c r="P21" s="724"/>
      <c r="Q21" s="724"/>
      <c r="R21" s="724"/>
      <c r="S21" s="724"/>
      <c r="T21" s="724"/>
      <c r="U21" s="724"/>
      <c r="V21" s="724"/>
      <c r="W21" s="724"/>
      <c r="X21" s="724"/>
      <c r="Y21" s="724"/>
      <c r="Z21" s="724"/>
    </row>
    <row r="22" ht="14.25" customHeight="1">
      <c r="A22" s="724"/>
      <c r="B22" s="724"/>
      <c r="C22" s="736"/>
      <c r="D22" s="736"/>
      <c r="E22" s="736"/>
      <c r="F22" s="736"/>
      <c r="G22" s="736"/>
      <c r="H22" s="736"/>
      <c r="I22" s="736"/>
      <c r="J22" s="736"/>
      <c r="K22" s="736"/>
      <c r="L22" s="736"/>
      <c r="M22" s="736"/>
      <c r="N22" s="736"/>
      <c r="O22" s="1191">
        <f>SUM(O19:O21)</f>
        <v>183540663</v>
      </c>
      <c r="P22" s="724"/>
      <c r="Q22" s="724"/>
      <c r="R22" s="724"/>
      <c r="S22" s="724"/>
      <c r="T22" s="724"/>
      <c r="U22" s="724"/>
      <c r="V22" s="724"/>
      <c r="W22" s="724"/>
      <c r="X22" s="724"/>
      <c r="Y22" s="724"/>
      <c r="Z22" s="724"/>
    </row>
    <row r="23" ht="14.25" customHeight="1">
      <c r="A23" s="724"/>
      <c r="B23" s="724"/>
      <c r="C23" s="724"/>
      <c r="D23" s="724"/>
      <c r="E23" s="724"/>
      <c r="F23" s="724"/>
      <c r="G23" s="724"/>
      <c r="H23" s="724"/>
      <c r="I23" s="724"/>
      <c r="J23" s="724"/>
      <c r="K23" s="724"/>
      <c r="L23" s="724"/>
      <c r="M23" s="724"/>
      <c r="N23" s="724"/>
      <c r="O23" s="724"/>
      <c r="P23" s="724"/>
      <c r="Q23" s="724"/>
      <c r="R23" s="724"/>
      <c r="S23" s="724"/>
      <c r="T23" s="724"/>
      <c r="U23" s="724"/>
      <c r="V23" s="724"/>
      <c r="W23" s="724"/>
      <c r="X23" s="724"/>
      <c r="Y23" s="724"/>
      <c r="Z23" s="724"/>
    </row>
    <row r="24" ht="14.25" customHeight="1">
      <c r="A24" s="755" t="s">
        <v>1997</v>
      </c>
      <c r="B24" s="1188"/>
      <c r="C24" s="1188"/>
      <c r="D24" s="1188"/>
      <c r="E24" s="1188"/>
      <c r="F24" s="1188"/>
      <c r="G24" s="1188"/>
      <c r="H24" s="1188"/>
      <c r="I24" s="1188"/>
      <c r="J24" s="1188"/>
      <c r="K24" s="1188"/>
      <c r="L24" s="1188"/>
      <c r="M24" s="1188"/>
      <c r="N24" s="1188"/>
      <c r="O24" s="1188"/>
      <c r="P24" s="724"/>
      <c r="Q24" s="724"/>
      <c r="R24" s="724"/>
      <c r="S24" s="724"/>
      <c r="T24" s="724"/>
      <c r="U24" s="724"/>
      <c r="V24" s="724"/>
      <c r="W24" s="724"/>
      <c r="X24" s="724"/>
      <c r="Y24" s="724"/>
      <c r="Z24" s="724"/>
    </row>
    <row r="25" ht="14.25" customHeight="1">
      <c r="A25" s="724"/>
      <c r="B25" s="724"/>
      <c r="C25" s="724"/>
      <c r="D25" s="724"/>
      <c r="E25" s="724"/>
      <c r="F25" s="724"/>
      <c r="G25" s="724"/>
      <c r="H25" s="724"/>
      <c r="I25" s="724"/>
      <c r="J25" s="724"/>
      <c r="K25" s="724"/>
      <c r="L25" s="724"/>
      <c r="M25" s="724"/>
      <c r="N25" s="724"/>
      <c r="O25" s="724"/>
      <c r="P25" s="724"/>
      <c r="Q25" s="724"/>
      <c r="R25" s="724"/>
      <c r="S25" s="724"/>
      <c r="T25" s="724"/>
      <c r="U25" s="724"/>
      <c r="V25" s="724"/>
      <c r="W25" s="724"/>
      <c r="X25" s="724"/>
      <c r="Y25" s="724"/>
      <c r="Z25" s="724"/>
    </row>
    <row r="26" ht="14.25" customHeight="1">
      <c r="A26" s="724" t="s">
        <v>1726</v>
      </c>
      <c r="B26" s="724">
        <v>1.0</v>
      </c>
      <c r="C26" s="736">
        <f t="shared" ref="C26:N26" si="13">C3</f>
        <v>1813724</v>
      </c>
      <c r="D26" s="736">
        <f t="shared" si="13"/>
        <v>1671217</v>
      </c>
      <c r="E26" s="736">
        <f t="shared" si="13"/>
        <v>2125158</v>
      </c>
      <c r="F26" s="736">
        <f t="shared" si="13"/>
        <v>2116452</v>
      </c>
      <c r="G26" s="736">
        <f t="shared" si="13"/>
        <v>2144363</v>
      </c>
      <c r="H26" s="736">
        <f t="shared" si="13"/>
        <v>2284131</v>
      </c>
      <c r="I26" s="736">
        <f t="shared" si="13"/>
        <v>2417469</v>
      </c>
      <c r="J26" s="736">
        <f t="shared" si="13"/>
        <v>2340806</v>
      </c>
      <c r="K26" s="736">
        <f t="shared" si="13"/>
        <v>2329318</v>
      </c>
      <c r="L26" s="736">
        <f t="shared" si="13"/>
        <v>2329318</v>
      </c>
      <c r="M26" s="736">
        <f t="shared" si="13"/>
        <v>2329318</v>
      </c>
      <c r="N26" s="736">
        <f t="shared" si="13"/>
        <v>2329318</v>
      </c>
      <c r="O26" s="736">
        <f t="shared" ref="O26:O27" si="14">SUM(B26:N26)</f>
        <v>26230593</v>
      </c>
      <c r="P26" s="724"/>
      <c r="Q26" s="724"/>
      <c r="R26" s="724"/>
      <c r="S26" s="724"/>
      <c r="T26" s="724"/>
      <c r="U26" s="724"/>
      <c r="V26" s="724"/>
      <c r="W26" s="724"/>
      <c r="X26" s="724"/>
      <c r="Y26" s="724"/>
      <c r="Z26" s="724"/>
    </row>
    <row r="27" ht="14.25" customHeight="1">
      <c r="A27" s="724" t="s">
        <v>9</v>
      </c>
      <c r="B27" s="724">
        <v>1.0</v>
      </c>
      <c r="C27" s="736">
        <v>649317.0</v>
      </c>
      <c r="D27" s="736">
        <v>580580.0</v>
      </c>
      <c r="E27" s="736">
        <v>715129.0</v>
      </c>
      <c r="F27" s="736">
        <v>703296.0</v>
      </c>
      <c r="G27" s="736">
        <v>721649.0</v>
      </c>
      <c r="H27" s="736">
        <v>815405.0</v>
      </c>
      <c r="I27" s="736">
        <v>843356.0</v>
      </c>
      <c r="J27" s="736">
        <v>825122.0</v>
      </c>
      <c r="K27" s="736">
        <v>706480.0</v>
      </c>
      <c r="L27" s="736">
        <v>706480.0</v>
      </c>
      <c r="M27" s="736">
        <v>706480.0</v>
      </c>
      <c r="N27" s="736">
        <v>706480.0</v>
      </c>
      <c r="O27" s="1193">
        <f t="shared" si="14"/>
        <v>8679775</v>
      </c>
      <c r="P27" s="724"/>
      <c r="Q27" s="724"/>
      <c r="R27" s="724"/>
      <c r="S27" s="724"/>
      <c r="T27" s="724"/>
      <c r="U27" s="724"/>
      <c r="V27" s="724"/>
      <c r="W27" s="724"/>
      <c r="X27" s="724"/>
      <c r="Y27" s="724"/>
      <c r="Z27" s="724"/>
    </row>
    <row r="28" ht="14.25" customHeight="1">
      <c r="A28" s="756" t="s">
        <v>1998</v>
      </c>
      <c r="B28" s="724"/>
      <c r="C28" s="1194">
        <f t="shared" ref="C28:O28" si="15">SUM(C26:C27)</f>
        <v>2463041</v>
      </c>
      <c r="D28" s="1194">
        <f t="shared" si="15"/>
        <v>2251797</v>
      </c>
      <c r="E28" s="1194">
        <f t="shared" si="15"/>
        <v>2840287</v>
      </c>
      <c r="F28" s="1194">
        <f t="shared" si="15"/>
        <v>2819748</v>
      </c>
      <c r="G28" s="1194">
        <f t="shared" si="15"/>
        <v>2866012</v>
      </c>
      <c r="H28" s="1194">
        <f t="shared" si="15"/>
        <v>3099536</v>
      </c>
      <c r="I28" s="1194">
        <f t="shared" si="15"/>
        <v>3260825</v>
      </c>
      <c r="J28" s="1194">
        <f t="shared" si="15"/>
        <v>3165928</v>
      </c>
      <c r="K28" s="1194">
        <f t="shared" si="15"/>
        <v>3035798</v>
      </c>
      <c r="L28" s="1194">
        <f t="shared" si="15"/>
        <v>3035798</v>
      </c>
      <c r="M28" s="1194">
        <f t="shared" si="15"/>
        <v>3035798</v>
      </c>
      <c r="N28" s="1194">
        <f t="shared" si="15"/>
        <v>3035798</v>
      </c>
      <c r="O28" s="1194">
        <f t="shared" si="15"/>
        <v>34910368</v>
      </c>
      <c r="P28" s="724"/>
      <c r="Q28" s="724"/>
      <c r="R28" s="724"/>
      <c r="S28" s="724"/>
      <c r="T28" s="724"/>
      <c r="U28" s="724"/>
      <c r="V28" s="724"/>
      <c r="W28" s="724"/>
      <c r="X28" s="724"/>
      <c r="Y28" s="724"/>
      <c r="Z28" s="724"/>
    </row>
    <row r="29" ht="14.25" customHeight="1">
      <c r="A29" s="724"/>
      <c r="B29" s="724"/>
      <c r="C29" s="724"/>
      <c r="D29" s="724"/>
      <c r="E29" s="724"/>
      <c r="F29" s="724"/>
      <c r="G29" s="724"/>
      <c r="H29" s="724"/>
      <c r="I29" s="724"/>
      <c r="J29" s="724"/>
      <c r="K29" s="724"/>
      <c r="L29" s="724"/>
      <c r="M29" s="724"/>
      <c r="N29" s="724"/>
      <c r="O29" s="724"/>
      <c r="P29" s="724"/>
      <c r="Q29" s="724"/>
      <c r="R29" s="724"/>
      <c r="S29" s="724"/>
      <c r="T29" s="724"/>
      <c r="U29" s="724"/>
      <c r="V29" s="724"/>
      <c r="W29" s="724"/>
      <c r="X29" s="724"/>
      <c r="Y29" s="724"/>
      <c r="Z29" s="724"/>
    </row>
    <row r="30" ht="14.25" customHeight="1">
      <c r="A30" s="724"/>
      <c r="B30" s="724"/>
      <c r="C30" s="724"/>
      <c r="D30" s="724"/>
      <c r="E30" s="724"/>
      <c r="F30" s="724"/>
      <c r="G30" s="724"/>
      <c r="H30" s="724"/>
      <c r="I30" s="724"/>
      <c r="J30" s="724"/>
      <c r="K30" s="724"/>
      <c r="L30" s="724"/>
      <c r="M30" s="724"/>
      <c r="N30" s="724"/>
      <c r="O30" s="724"/>
      <c r="P30" s="724"/>
      <c r="Q30" s="724"/>
      <c r="R30" s="724"/>
      <c r="S30" s="724"/>
      <c r="T30" s="724"/>
      <c r="U30" s="724"/>
      <c r="V30" s="724"/>
      <c r="W30" s="724"/>
      <c r="X30" s="724"/>
      <c r="Y30" s="724"/>
      <c r="Z30" s="724"/>
    </row>
    <row r="31" ht="14.25" customHeight="1">
      <c r="A31" s="724"/>
      <c r="B31" s="724"/>
      <c r="C31" s="724"/>
      <c r="D31" s="724"/>
      <c r="E31" s="724"/>
      <c r="F31" s="724"/>
      <c r="G31" s="724"/>
      <c r="H31" s="724"/>
      <c r="I31" s="724"/>
      <c r="J31" s="724"/>
      <c r="K31" s="724"/>
      <c r="L31" s="724"/>
      <c r="M31" s="724"/>
      <c r="N31" s="724"/>
      <c r="O31" s="724"/>
      <c r="P31" s="724"/>
      <c r="Q31" s="724"/>
      <c r="R31" s="724"/>
      <c r="S31" s="724"/>
      <c r="T31" s="724"/>
      <c r="U31" s="724"/>
      <c r="V31" s="724"/>
      <c r="W31" s="724"/>
      <c r="X31" s="724"/>
      <c r="Y31" s="724"/>
      <c r="Z31" s="724"/>
    </row>
    <row r="32" ht="14.25" customHeight="1">
      <c r="A32" s="724"/>
      <c r="B32" s="724"/>
      <c r="C32" s="724"/>
      <c r="D32" s="724"/>
      <c r="E32" s="724"/>
      <c r="F32" s="724"/>
      <c r="G32" s="724"/>
      <c r="H32" s="724"/>
      <c r="I32" s="724"/>
      <c r="J32" s="724"/>
      <c r="K32" s="724"/>
      <c r="L32" s="724"/>
      <c r="M32" s="724"/>
      <c r="N32" s="724"/>
      <c r="O32" s="724"/>
      <c r="P32" s="724"/>
      <c r="Q32" s="724"/>
      <c r="R32" s="724"/>
      <c r="S32" s="724"/>
      <c r="T32" s="724"/>
      <c r="U32" s="724"/>
      <c r="V32" s="724"/>
      <c r="W32" s="724"/>
      <c r="X32" s="724"/>
      <c r="Y32" s="724"/>
      <c r="Z32" s="724"/>
    </row>
    <row r="33" ht="14.25" customHeight="1">
      <c r="A33" s="724"/>
      <c r="B33" s="724"/>
      <c r="C33" s="724"/>
      <c r="D33" s="724"/>
      <c r="E33" s="724"/>
      <c r="F33" s="724"/>
      <c r="G33" s="724"/>
      <c r="H33" s="724"/>
      <c r="I33" s="724"/>
      <c r="J33" s="724"/>
      <c r="K33" s="724"/>
      <c r="L33" s="724"/>
      <c r="M33" s="724"/>
      <c r="N33" s="724"/>
      <c r="O33" s="724"/>
      <c r="P33" s="724"/>
      <c r="Q33" s="724"/>
      <c r="R33" s="724"/>
      <c r="S33" s="724"/>
      <c r="T33" s="724"/>
      <c r="U33" s="724"/>
      <c r="V33" s="724"/>
      <c r="W33" s="724"/>
      <c r="X33" s="724"/>
      <c r="Y33" s="724"/>
      <c r="Z33" s="724"/>
    </row>
    <row r="34" ht="14.25" customHeight="1">
      <c r="A34" s="724"/>
      <c r="B34" s="724"/>
      <c r="C34" s="724"/>
      <c r="D34" s="724"/>
      <c r="E34" s="724"/>
      <c r="F34" s="724"/>
      <c r="G34" s="724"/>
      <c r="H34" s="724"/>
      <c r="I34" s="724"/>
      <c r="J34" s="724"/>
      <c r="K34" s="724"/>
      <c r="L34" s="724"/>
      <c r="M34" s="724"/>
      <c r="N34" s="724"/>
      <c r="O34" s="724"/>
      <c r="P34" s="724"/>
      <c r="Q34" s="724"/>
      <c r="R34" s="724"/>
      <c r="S34" s="724"/>
      <c r="T34" s="724"/>
      <c r="U34" s="724"/>
      <c r="V34" s="724"/>
      <c r="W34" s="724"/>
      <c r="X34" s="724"/>
      <c r="Y34" s="724"/>
      <c r="Z34" s="724"/>
    </row>
    <row r="35" ht="14.25" customHeight="1">
      <c r="A35" s="724"/>
      <c r="B35" s="724"/>
      <c r="C35" s="724"/>
      <c r="D35" s="724"/>
      <c r="E35" s="724"/>
      <c r="F35" s="724"/>
      <c r="G35" s="724"/>
      <c r="H35" s="724"/>
      <c r="I35" s="724"/>
      <c r="J35" s="724"/>
      <c r="K35" s="724"/>
      <c r="L35" s="724"/>
      <c r="M35" s="724"/>
      <c r="N35" s="724"/>
      <c r="O35" s="724"/>
      <c r="P35" s="724"/>
      <c r="Q35" s="724"/>
      <c r="R35" s="724"/>
      <c r="S35" s="724"/>
      <c r="T35" s="724"/>
      <c r="U35" s="724"/>
      <c r="V35" s="724"/>
      <c r="W35" s="724"/>
      <c r="X35" s="724"/>
      <c r="Y35" s="724"/>
      <c r="Z35" s="724"/>
    </row>
    <row r="36" ht="14.25" customHeight="1">
      <c r="A36" s="724"/>
      <c r="B36" s="724"/>
      <c r="C36" s="724"/>
      <c r="D36" s="724"/>
      <c r="E36" s="724"/>
      <c r="F36" s="724"/>
      <c r="G36" s="724"/>
      <c r="H36" s="724"/>
      <c r="I36" s="724"/>
      <c r="J36" s="724"/>
      <c r="K36" s="724"/>
      <c r="L36" s="724"/>
      <c r="M36" s="724"/>
      <c r="N36" s="724"/>
      <c r="O36" s="724"/>
      <c r="P36" s="724"/>
      <c r="Q36" s="724"/>
      <c r="R36" s="724"/>
      <c r="S36" s="724"/>
      <c r="T36" s="724"/>
      <c r="U36" s="724"/>
      <c r="V36" s="724"/>
      <c r="W36" s="724"/>
      <c r="X36" s="724"/>
      <c r="Y36" s="724"/>
      <c r="Z36" s="724"/>
    </row>
    <row r="37" ht="14.25" customHeight="1">
      <c r="A37" s="724"/>
      <c r="B37" s="724"/>
      <c r="C37" s="724"/>
      <c r="D37" s="724"/>
      <c r="E37" s="724"/>
      <c r="F37" s="724"/>
      <c r="G37" s="724"/>
      <c r="H37" s="724"/>
      <c r="I37" s="724"/>
      <c r="J37" s="724"/>
      <c r="K37" s="724"/>
      <c r="L37" s="724"/>
      <c r="M37" s="724"/>
      <c r="N37" s="724"/>
      <c r="O37" s="724"/>
      <c r="P37" s="724"/>
      <c r="Q37" s="724"/>
      <c r="R37" s="724"/>
      <c r="S37" s="724"/>
      <c r="T37" s="724"/>
      <c r="U37" s="724"/>
      <c r="V37" s="724"/>
      <c r="W37" s="724"/>
      <c r="X37" s="724"/>
      <c r="Y37" s="724"/>
      <c r="Z37" s="724"/>
    </row>
    <row r="38" ht="14.25" customHeight="1">
      <c r="A38" s="724"/>
      <c r="B38" s="724"/>
      <c r="C38" s="724"/>
      <c r="D38" s="724"/>
      <c r="E38" s="724"/>
      <c r="F38" s="724"/>
      <c r="G38" s="724"/>
      <c r="H38" s="724"/>
      <c r="I38" s="724"/>
      <c r="J38" s="724"/>
      <c r="K38" s="724"/>
      <c r="L38" s="724"/>
      <c r="M38" s="724"/>
      <c r="N38" s="724"/>
      <c r="O38" s="724"/>
      <c r="P38" s="724"/>
      <c r="Q38" s="724"/>
      <c r="R38" s="724"/>
      <c r="S38" s="724"/>
      <c r="T38" s="724"/>
      <c r="U38" s="724"/>
      <c r="V38" s="724"/>
      <c r="W38" s="724"/>
      <c r="X38" s="724"/>
      <c r="Y38" s="724"/>
      <c r="Z38" s="724"/>
    </row>
    <row r="39" ht="14.25" customHeight="1">
      <c r="A39" s="724"/>
      <c r="B39" s="724"/>
      <c r="C39" s="724"/>
      <c r="D39" s="724"/>
      <c r="E39" s="724"/>
      <c r="F39" s="724"/>
      <c r="G39" s="724"/>
      <c r="H39" s="724"/>
      <c r="I39" s="724"/>
      <c r="J39" s="724"/>
      <c r="K39" s="724"/>
      <c r="L39" s="724"/>
      <c r="M39" s="724"/>
      <c r="N39" s="724"/>
      <c r="O39" s="724"/>
      <c r="P39" s="724"/>
      <c r="Q39" s="724"/>
      <c r="R39" s="724"/>
      <c r="S39" s="724"/>
      <c r="T39" s="724"/>
      <c r="U39" s="724"/>
      <c r="V39" s="724"/>
      <c r="W39" s="724"/>
      <c r="X39" s="724"/>
      <c r="Y39" s="724"/>
      <c r="Z39" s="724"/>
    </row>
    <row r="40" ht="14.25" customHeight="1">
      <c r="A40" s="724"/>
      <c r="B40" s="724"/>
      <c r="C40" s="724"/>
      <c r="D40" s="724"/>
      <c r="E40" s="724"/>
      <c r="F40" s="724"/>
      <c r="G40" s="724"/>
      <c r="H40" s="724"/>
      <c r="I40" s="724"/>
      <c r="J40" s="724"/>
      <c r="K40" s="724"/>
      <c r="L40" s="724"/>
      <c r="M40" s="724"/>
      <c r="N40" s="724"/>
      <c r="O40" s="724"/>
      <c r="P40" s="724"/>
      <c r="Q40" s="724"/>
      <c r="R40" s="724"/>
      <c r="S40" s="724"/>
      <c r="T40" s="724"/>
      <c r="U40" s="724"/>
      <c r="V40" s="724"/>
      <c r="W40" s="724"/>
      <c r="X40" s="724"/>
      <c r="Y40" s="724"/>
      <c r="Z40" s="724"/>
    </row>
    <row r="41" ht="14.25" customHeight="1">
      <c r="A41" s="724"/>
      <c r="B41" s="724"/>
      <c r="C41" s="724"/>
      <c r="D41" s="724"/>
      <c r="E41" s="724"/>
      <c r="F41" s="724"/>
      <c r="G41" s="724"/>
      <c r="H41" s="724"/>
      <c r="I41" s="724"/>
      <c r="J41" s="724"/>
      <c r="K41" s="724"/>
      <c r="L41" s="724"/>
      <c r="M41" s="724"/>
      <c r="N41" s="724"/>
      <c r="O41" s="724"/>
      <c r="P41" s="724"/>
      <c r="Q41" s="724"/>
      <c r="R41" s="724"/>
      <c r="S41" s="724"/>
      <c r="T41" s="724"/>
      <c r="U41" s="724"/>
      <c r="V41" s="724"/>
      <c r="W41" s="724"/>
      <c r="X41" s="724"/>
      <c r="Y41" s="724"/>
      <c r="Z41" s="724"/>
    </row>
    <row r="42" ht="14.25" customHeight="1">
      <c r="A42" s="724"/>
      <c r="B42" s="724"/>
      <c r="C42" s="724"/>
      <c r="D42" s="724"/>
      <c r="E42" s="724"/>
      <c r="F42" s="724"/>
      <c r="G42" s="724"/>
      <c r="H42" s="724"/>
      <c r="I42" s="724"/>
      <c r="J42" s="724"/>
      <c r="K42" s="724"/>
      <c r="L42" s="724"/>
      <c r="M42" s="724"/>
      <c r="N42" s="724"/>
      <c r="O42" s="724"/>
      <c r="P42" s="724"/>
      <c r="Q42" s="724"/>
      <c r="R42" s="724"/>
      <c r="S42" s="724"/>
      <c r="T42" s="724"/>
      <c r="U42" s="724"/>
      <c r="V42" s="724"/>
      <c r="W42" s="724"/>
      <c r="X42" s="724"/>
      <c r="Y42" s="724"/>
      <c r="Z42" s="724"/>
    </row>
    <row r="43" ht="14.25" customHeight="1">
      <c r="A43" s="724"/>
      <c r="B43" s="724"/>
      <c r="C43" s="724"/>
      <c r="D43" s="724"/>
      <c r="E43" s="724"/>
      <c r="F43" s="724"/>
      <c r="G43" s="724"/>
      <c r="H43" s="724"/>
      <c r="I43" s="724"/>
      <c r="J43" s="724"/>
      <c r="K43" s="724"/>
      <c r="L43" s="724"/>
      <c r="M43" s="724"/>
      <c r="N43" s="724"/>
      <c r="O43" s="724"/>
      <c r="P43" s="724"/>
      <c r="Q43" s="724"/>
      <c r="R43" s="724"/>
      <c r="S43" s="724"/>
      <c r="T43" s="724"/>
      <c r="U43" s="724"/>
      <c r="V43" s="724"/>
      <c r="W43" s="724"/>
      <c r="X43" s="724"/>
      <c r="Y43" s="724"/>
      <c r="Z43" s="724"/>
    </row>
    <row r="44" ht="14.25" customHeight="1">
      <c r="A44" s="724"/>
      <c r="B44" s="724"/>
      <c r="C44" s="724"/>
      <c r="D44" s="724"/>
      <c r="E44" s="724"/>
      <c r="F44" s="724"/>
      <c r="G44" s="724"/>
      <c r="H44" s="724"/>
      <c r="I44" s="724"/>
      <c r="J44" s="724"/>
      <c r="K44" s="724"/>
      <c r="L44" s="724"/>
      <c r="M44" s="724"/>
      <c r="N44" s="724"/>
      <c r="O44" s="724"/>
      <c r="P44" s="724"/>
      <c r="Q44" s="724"/>
      <c r="R44" s="724"/>
      <c r="S44" s="724"/>
      <c r="T44" s="724"/>
      <c r="U44" s="724"/>
      <c r="V44" s="724"/>
      <c r="W44" s="724"/>
      <c r="X44" s="724"/>
      <c r="Y44" s="724"/>
      <c r="Z44" s="724"/>
    </row>
    <row r="45" ht="14.25" customHeight="1">
      <c r="A45" s="724"/>
      <c r="B45" s="724"/>
      <c r="C45" s="724"/>
      <c r="D45" s="724"/>
      <c r="E45" s="724"/>
      <c r="F45" s="724"/>
      <c r="G45" s="724"/>
      <c r="H45" s="724"/>
      <c r="I45" s="724"/>
      <c r="J45" s="724"/>
      <c r="K45" s="724"/>
      <c r="L45" s="724"/>
      <c r="M45" s="724"/>
      <c r="N45" s="724"/>
      <c r="O45" s="724"/>
      <c r="P45" s="724"/>
      <c r="Q45" s="724"/>
      <c r="R45" s="724"/>
      <c r="S45" s="724"/>
      <c r="T45" s="724"/>
      <c r="U45" s="724"/>
      <c r="V45" s="724"/>
      <c r="W45" s="724"/>
      <c r="X45" s="724"/>
      <c r="Y45" s="724"/>
      <c r="Z45" s="724"/>
    </row>
    <row r="46" ht="14.25" customHeight="1">
      <c r="A46" s="724"/>
      <c r="B46" s="724"/>
      <c r="C46" s="724"/>
      <c r="D46" s="724"/>
      <c r="E46" s="724"/>
      <c r="F46" s="724"/>
      <c r="G46" s="724"/>
      <c r="H46" s="724"/>
      <c r="I46" s="724"/>
      <c r="J46" s="724"/>
      <c r="K46" s="724"/>
      <c r="L46" s="724"/>
      <c r="M46" s="724"/>
      <c r="N46" s="724"/>
      <c r="O46" s="724"/>
      <c r="P46" s="724"/>
      <c r="Q46" s="724"/>
      <c r="R46" s="724"/>
      <c r="S46" s="724"/>
      <c r="T46" s="724"/>
      <c r="U46" s="724"/>
      <c r="V46" s="724"/>
      <c r="W46" s="724"/>
      <c r="X46" s="724"/>
      <c r="Y46" s="724"/>
      <c r="Z46" s="724"/>
    </row>
    <row r="47" ht="14.25" customHeight="1">
      <c r="A47" s="724"/>
      <c r="B47" s="724"/>
      <c r="C47" s="724"/>
      <c r="D47" s="724"/>
      <c r="E47" s="724"/>
      <c r="F47" s="724"/>
      <c r="G47" s="724"/>
      <c r="H47" s="724"/>
      <c r="I47" s="724"/>
      <c r="J47" s="724"/>
      <c r="K47" s="724"/>
      <c r="L47" s="724"/>
      <c r="M47" s="724"/>
      <c r="N47" s="724"/>
      <c r="O47" s="724"/>
      <c r="P47" s="724"/>
      <c r="Q47" s="724"/>
      <c r="R47" s="724"/>
      <c r="S47" s="724"/>
      <c r="T47" s="724"/>
      <c r="U47" s="724"/>
      <c r="V47" s="724"/>
      <c r="W47" s="724"/>
      <c r="X47" s="724"/>
      <c r="Y47" s="724"/>
      <c r="Z47" s="724"/>
    </row>
    <row r="48" ht="14.25" customHeight="1">
      <c r="A48" s="724"/>
      <c r="B48" s="724"/>
      <c r="C48" s="724"/>
      <c r="D48" s="724"/>
      <c r="E48" s="724"/>
      <c r="F48" s="724"/>
      <c r="G48" s="724"/>
      <c r="H48" s="724"/>
      <c r="I48" s="724"/>
      <c r="J48" s="724"/>
      <c r="K48" s="724"/>
      <c r="L48" s="724"/>
      <c r="M48" s="724"/>
      <c r="N48" s="724"/>
      <c r="O48" s="724"/>
      <c r="P48" s="724"/>
      <c r="Q48" s="724"/>
      <c r="R48" s="724"/>
      <c r="S48" s="724"/>
      <c r="T48" s="724"/>
      <c r="U48" s="724"/>
      <c r="V48" s="724"/>
      <c r="W48" s="724"/>
      <c r="X48" s="724"/>
      <c r="Y48" s="724"/>
      <c r="Z48" s="724"/>
    </row>
    <row r="49" ht="14.25" customHeight="1">
      <c r="A49" s="724"/>
      <c r="B49" s="724"/>
      <c r="C49" s="724"/>
      <c r="D49" s="724"/>
      <c r="E49" s="724"/>
      <c r="F49" s="724"/>
      <c r="G49" s="724"/>
      <c r="H49" s="724"/>
      <c r="I49" s="724"/>
      <c r="J49" s="724"/>
      <c r="K49" s="724"/>
      <c r="L49" s="724"/>
      <c r="M49" s="724"/>
      <c r="N49" s="724"/>
      <c r="O49" s="724"/>
      <c r="P49" s="724"/>
      <c r="Q49" s="724"/>
      <c r="R49" s="724"/>
      <c r="S49" s="724"/>
      <c r="T49" s="724"/>
      <c r="U49" s="724"/>
      <c r="V49" s="724"/>
      <c r="W49" s="724"/>
      <c r="X49" s="724"/>
      <c r="Y49" s="724"/>
      <c r="Z49" s="724"/>
    </row>
    <row r="50" ht="14.25" customHeight="1">
      <c r="A50" s="724"/>
      <c r="B50" s="724"/>
      <c r="C50" s="724"/>
      <c r="D50" s="724"/>
      <c r="E50" s="724"/>
      <c r="F50" s="724"/>
      <c r="G50" s="724"/>
      <c r="H50" s="724"/>
      <c r="I50" s="724"/>
      <c r="J50" s="724"/>
      <c r="K50" s="724"/>
      <c r="L50" s="724"/>
      <c r="M50" s="724"/>
      <c r="N50" s="724"/>
      <c r="O50" s="724"/>
      <c r="P50" s="724"/>
      <c r="Q50" s="724"/>
      <c r="R50" s="724"/>
      <c r="S50" s="724"/>
      <c r="T50" s="724"/>
      <c r="U50" s="724"/>
      <c r="V50" s="724"/>
      <c r="W50" s="724"/>
      <c r="X50" s="724"/>
      <c r="Y50" s="724"/>
      <c r="Z50" s="724"/>
    </row>
    <row r="51" ht="14.25" customHeight="1">
      <c r="A51" s="724"/>
      <c r="B51" s="724"/>
      <c r="C51" s="724"/>
      <c r="D51" s="724"/>
      <c r="E51" s="724"/>
      <c r="F51" s="724"/>
      <c r="G51" s="724"/>
      <c r="H51" s="724"/>
      <c r="I51" s="724"/>
      <c r="J51" s="724"/>
      <c r="K51" s="724"/>
      <c r="L51" s="724"/>
      <c r="M51" s="724"/>
      <c r="N51" s="724"/>
      <c r="O51" s="724"/>
      <c r="P51" s="724"/>
      <c r="Q51" s="724"/>
      <c r="R51" s="724"/>
      <c r="S51" s="724"/>
      <c r="T51" s="724"/>
      <c r="U51" s="724"/>
      <c r="V51" s="724"/>
      <c r="W51" s="724"/>
      <c r="X51" s="724"/>
      <c r="Y51" s="724"/>
      <c r="Z51" s="724"/>
    </row>
    <row r="52" ht="14.25" customHeight="1">
      <c r="A52" s="724"/>
      <c r="B52" s="724"/>
      <c r="C52" s="724"/>
      <c r="D52" s="724"/>
      <c r="E52" s="724"/>
      <c r="F52" s="724"/>
      <c r="G52" s="724"/>
      <c r="H52" s="724"/>
      <c r="I52" s="724"/>
      <c r="J52" s="724"/>
      <c r="K52" s="724"/>
      <c r="L52" s="724"/>
      <c r="M52" s="724"/>
      <c r="N52" s="724"/>
      <c r="O52" s="724"/>
      <c r="P52" s="724"/>
      <c r="Q52" s="724"/>
      <c r="R52" s="724"/>
      <c r="S52" s="724"/>
      <c r="T52" s="724"/>
      <c r="U52" s="724"/>
      <c r="V52" s="724"/>
      <c r="W52" s="724"/>
      <c r="X52" s="724"/>
      <c r="Y52" s="724"/>
      <c r="Z52" s="724"/>
    </row>
    <row r="53" ht="14.25" customHeight="1">
      <c r="A53" s="724"/>
      <c r="B53" s="724"/>
      <c r="C53" s="724"/>
      <c r="D53" s="724"/>
      <c r="E53" s="724"/>
      <c r="F53" s="724"/>
      <c r="G53" s="724"/>
      <c r="H53" s="724"/>
      <c r="I53" s="724"/>
      <c r="J53" s="724"/>
      <c r="K53" s="724"/>
      <c r="L53" s="724"/>
      <c r="M53" s="724"/>
      <c r="N53" s="724"/>
      <c r="O53" s="724"/>
      <c r="P53" s="724"/>
      <c r="Q53" s="724"/>
      <c r="R53" s="724"/>
      <c r="S53" s="724"/>
      <c r="T53" s="724"/>
      <c r="U53" s="724"/>
      <c r="V53" s="724"/>
      <c r="W53" s="724"/>
      <c r="X53" s="724"/>
      <c r="Y53" s="724"/>
      <c r="Z53" s="724"/>
    </row>
    <row r="54" ht="14.25" customHeight="1">
      <c r="A54" s="724"/>
      <c r="B54" s="724"/>
      <c r="C54" s="724"/>
      <c r="D54" s="724"/>
      <c r="E54" s="724"/>
      <c r="F54" s="724"/>
      <c r="G54" s="724"/>
      <c r="H54" s="724"/>
      <c r="I54" s="724"/>
      <c r="J54" s="724"/>
      <c r="K54" s="724"/>
      <c r="L54" s="724"/>
      <c r="M54" s="724"/>
      <c r="N54" s="724"/>
      <c r="O54" s="724"/>
      <c r="P54" s="724"/>
      <c r="Q54" s="724"/>
      <c r="R54" s="724"/>
      <c r="S54" s="724"/>
      <c r="T54" s="724"/>
      <c r="U54" s="724"/>
      <c r="V54" s="724"/>
      <c r="W54" s="724"/>
      <c r="X54" s="724"/>
      <c r="Y54" s="724"/>
      <c r="Z54" s="724"/>
    </row>
    <row r="55" ht="14.25" customHeight="1">
      <c r="A55" s="724"/>
      <c r="B55" s="724"/>
      <c r="C55" s="724"/>
      <c r="D55" s="724"/>
      <c r="E55" s="724"/>
      <c r="F55" s="724"/>
      <c r="G55" s="724"/>
      <c r="H55" s="724"/>
      <c r="I55" s="724"/>
      <c r="J55" s="724"/>
      <c r="K55" s="724"/>
      <c r="L55" s="724"/>
      <c r="M55" s="724"/>
      <c r="N55" s="724"/>
      <c r="O55" s="724"/>
      <c r="P55" s="724"/>
      <c r="Q55" s="724"/>
      <c r="R55" s="724"/>
      <c r="S55" s="724"/>
      <c r="T55" s="724"/>
      <c r="U55" s="724"/>
      <c r="V55" s="724"/>
      <c r="W55" s="724"/>
      <c r="X55" s="724"/>
      <c r="Y55" s="724"/>
      <c r="Z55" s="724"/>
    </row>
    <row r="56" ht="14.25" customHeight="1">
      <c r="A56" s="724"/>
      <c r="B56" s="724"/>
      <c r="C56" s="724"/>
      <c r="D56" s="724"/>
      <c r="E56" s="724"/>
      <c r="F56" s="724"/>
      <c r="G56" s="724"/>
      <c r="H56" s="724"/>
      <c r="I56" s="724"/>
      <c r="J56" s="724"/>
      <c r="K56" s="724"/>
      <c r="L56" s="724"/>
      <c r="M56" s="724"/>
      <c r="N56" s="724"/>
      <c r="O56" s="724"/>
      <c r="P56" s="724"/>
      <c r="Q56" s="724"/>
      <c r="R56" s="724"/>
      <c r="S56" s="724"/>
      <c r="T56" s="724"/>
      <c r="U56" s="724"/>
      <c r="V56" s="724"/>
      <c r="W56" s="724"/>
      <c r="X56" s="724"/>
      <c r="Y56" s="724"/>
      <c r="Z56" s="724"/>
    </row>
    <row r="57" ht="14.25" customHeight="1">
      <c r="A57" s="724"/>
      <c r="B57" s="724"/>
      <c r="C57" s="724"/>
      <c r="D57" s="724"/>
      <c r="E57" s="724"/>
      <c r="F57" s="724"/>
      <c r="G57" s="724"/>
      <c r="H57" s="724"/>
      <c r="I57" s="724"/>
      <c r="J57" s="724"/>
      <c r="K57" s="724"/>
      <c r="L57" s="724"/>
      <c r="M57" s="724"/>
      <c r="N57" s="724"/>
      <c r="O57" s="724"/>
      <c r="P57" s="724"/>
      <c r="Q57" s="724"/>
      <c r="R57" s="724"/>
      <c r="S57" s="724"/>
      <c r="T57" s="724"/>
      <c r="U57" s="724"/>
      <c r="V57" s="724"/>
      <c r="W57" s="724"/>
      <c r="X57" s="724"/>
      <c r="Y57" s="724"/>
      <c r="Z57" s="724"/>
    </row>
    <row r="58" ht="14.25" customHeight="1">
      <c r="A58" s="724"/>
      <c r="B58" s="724"/>
      <c r="C58" s="724"/>
      <c r="D58" s="724"/>
      <c r="E58" s="724"/>
      <c r="F58" s="724"/>
      <c r="G58" s="724"/>
      <c r="H58" s="724"/>
      <c r="I58" s="724"/>
      <c r="J58" s="724"/>
      <c r="K58" s="724"/>
      <c r="L58" s="724"/>
      <c r="M58" s="724"/>
      <c r="N58" s="724"/>
      <c r="O58" s="724"/>
      <c r="P58" s="724"/>
      <c r="Q58" s="724"/>
      <c r="R58" s="724"/>
      <c r="S58" s="724"/>
      <c r="T58" s="724"/>
      <c r="U58" s="724"/>
      <c r="V58" s="724"/>
      <c r="W58" s="724"/>
      <c r="X58" s="724"/>
      <c r="Y58" s="724"/>
      <c r="Z58" s="724"/>
    </row>
    <row r="59" ht="14.25" customHeight="1">
      <c r="A59" s="724"/>
      <c r="B59" s="724"/>
      <c r="C59" s="724"/>
      <c r="D59" s="724"/>
      <c r="E59" s="724"/>
      <c r="F59" s="724"/>
      <c r="G59" s="724"/>
      <c r="H59" s="724"/>
      <c r="I59" s="724"/>
      <c r="J59" s="724"/>
      <c r="K59" s="724"/>
      <c r="L59" s="724"/>
      <c r="M59" s="724"/>
      <c r="N59" s="724"/>
      <c r="O59" s="724"/>
      <c r="P59" s="724"/>
      <c r="Q59" s="724"/>
      <c r="R59" s="724"/>
      <c r="S59" s="724"/>
      <c r="T59" s="724"/>
      <c r="U59" s="724"/>
      <c r="V59" s="724"/>
      <c r="W59" s="724"/>
      <c r="X59" s="724"/>
      <c r="Y59" s="724"/>
      <c r="Z59" s="724"/>
    </row>
    <row r="60" ht="14.25" customHeight="1">
      <c r="A60" s="724"/>
      <c r="B60" s="724"/>
      <c r="C60" s="724"/>
      <c r="D60" s="724"/>
      <c r="E60" s="724"/>
      <c r="F60" s="724"/>
      <c r="G60" s="724"/>
      <c r="H60" s="724"/>
      <c r="I60" s="724"/>
      <c r="J60" s="724"/>
      <c r="K60" s="724"/>
      <c r="L60" s="724"/>
      <c r="M60" s="724"/>
      <c r="N60" s="724"/>
      <c r="O60" s="724"/>
      <c r="P60" s="724"/>
      <c r="Q60" s="724"/>
      <c r="R60" s="724"/>
      <c r="S60" s="724"/>
      <c r="T60" s="724"/>
      <c r="U60" s="724"/>
      <c r="V60" s="724"/>
      <c r="W60" s="724"/>
      <c r="X60" s="724"/>
      <c r="Y60" s="724"/>
      <c r="Z60" s="724"/>
    </row>
    <row r="61" ht="14.25" customHeight="1">
      <c r="A61" s="724"/>
      <c r="B61" s="724"/>
      <c r="C61" s="724"/>
      <c r="D61" s="724"/>
      <c r="E61" s="724"/>
      <c r="F61" s="724"/>
      <c r="G61" s="724"/>
      <c r="H61" s="724"/>
      <c r="I61" s="724"/>
      <c r="J61" s="724"/>
      <c r="K61" s="724"/>
      <c r="L61" s="724"/>
      <c r="M61" s="724"/>
      <c r="N61" s="724"/>
      <c r="O61" s="724"/>
      <c r="P61" s="724"/>
      <c r="Q61" s="724"/>
      <c r="R61" s="724"/>
      <c r="S61" s="724"/>
      <c r="T61" s="724"/>
      <c r="U61" s="724"/>
      <c r="V61" s="724"/>
      <c r="W61" s="724"/>
      <c r="X61" s="724"/>
      <c r="Y61" s="724"/>
      <c r="Z61" s="724"/>
    </row>
    <row r="62" ht="14.25" customHeight="1">
      <c r="A62" s="724"/>
      <c r="B62" s="724"/>
      <c r="C62" s="724"/>
      <c r="D62" s="724"/>
      <c r="E62" s="724"/>
      <c r="F62" s="724"/>
      <c r="G62" s="724"/>
      <c r="H62" s="724"/>
      <c r="I62" s="724"/>
      <c r="J62" s="724"/>
      <c r="K62" s="724"/>
      <c r="L62" s="724"/>
      <c r="M62" s="724"/>
      <c r="N62" s="724"/>
      <c r="O62" s="724"/>
      <c r="P62" s="724"/>
      <c r="Q62" s="724"/>
      <c r="R62" s="724"/>
      <c r="S62" s="724"/>
      <c r="T62" s="724"/>
      <c r="U62" s="724"/>
      <c r="V62" s="724"/>
      <c r="W62" s="724"/>
      <c r="X62" s="724"/>
      <c r="Y62" s="724"/>
      <c r="Z62" s="724"/>
    </row>
    <row r="63" ht="14.25" customHeight="1">
      <c r="A63" s="724"/>
      <c r="B63" s="724"/>
      <c r="C63" s="724"/>
      <c r="D63" s="724"/>
      <c r="E63" s="724"/>
      <c r="F63" s="724"/>
      <c r="G63" s="724"/>
      <c r="H63" s="724"/>
      <c r="I63" s="724"/>
      <c r="J63" s="724"/>
      <c r="K63" s="724"/>
      <c r="L63" s="724"/>
      <c r="M63" s="724"/>
      <c r="N63" s="724"/>
      <c r="O63" s="724"/>
      <c r="P63" s="724"/>
      <c r="Q63" s="724"/>
      <c r="R63" s="724"/>
      <c r="S63" s="724"/>
      <c r="T63" s="724"/>
      <c r="U63" s="724"/>
      <c r="V63" s="724"/>
      <c r="W63" s="724"/>
      <c r="X63" s="724"/>
      <c r="Y63" s="724"/>
      <c r="Z63" s="724"/>
    </row>
    <row r="64" ht="14.25" customHeight="1">
      <c r="A64" s="724"/>
      <c r="B64" s="724"/>
      <c r="C64" s="724"/>
      <c r="D64" s="724"/>
      <c r="E64" s="724"/>
      <c r="F64" s="724"/>
      <c r="G64" s="724"/>
      <c r="H64" s="724"/>
      <c r="I64" s="724"/>
      <c r="J64" s="724"/>
      <c r="K64" s="724"/>
      <c r="L64" s="724"/>
      <c r="M64" s="724"/>
      <c r="N64" s="724"/>
      <c r="O64" s="724"/>
      <c r="P64" s="724"/>
      <c r="Q64" s="724"/>
      <c r="R64" s="724"/>
      <c r="S64" s="724"/>
      <c r="T64" s="724"/>
      <c r="U64" s="724"/>
      <c r="V64" s="724"/>
      <c r="W64" s="724"/>
      <c r="X64" s="724"/>
      <c r="Y64" s="724"/>
      <c r="Z64" s="724"/>
    </row>
    <row r="65" ht="14.25" customHeight="1">
      <c r="A65" s="724"/>
      <c r="B65" s="724"/>
      <c r="C65" s="724"/>
      <c r="D65" s="724"/>
      <c r="E65" s="724"/>
      <c r="F65" s="724"/>
      <c r="G65" s="724"/>
      <c r="H65" s="724"/>
      <c r="I65" s="724"/>
      <c r="J65" s="724"/>
      <c r="K65" s="724"/>
      <c r="L65" s="724"/>
      <c r="M65" s="724"/>
      <c r="N65" s="724"/>
      <c r="O65" s="724"/>
      <c r="P65" s="724"/>
      <c r="Q65" s="724"/>
      <c r="R65" s="724"/>
      <c r="S65" s="724"/>
      <c r="T65" s="724"/>
      <c r="U65" s="724"/>
      <c r="V65" s="724"/>
      <c r="W65" s="724"/>
      <c r="X65" s="724"/>
      <c r="Y65" s="724"/>
      <c r="Z65" s="724"/>
    </row>
    <row r="66" ht="14.25" customHeight="1">
      <c r="A66" s="724"/>
      <c r="B66" s="724"/>
      <c r="C66" s="724"/>
      <c r="D66" s="724"/>
      <c r="E66" s="724"/>
      <c r="F66" s="724"/>
      <c r="G66" s="724"/>
      <c r="H66" s="724"/>
      <c r="I66" s="724"/>
      <c r="J66" s="724"/>
      <c r="K66" s="724"/>
      <c r="L66" s="724"/>
      <c r="M66" s="724"/>
      <c r="N66" s="724"/>
      <c r="O66" s="724"/>
      <c r="P66" s="724"/>
      <c r="Q66" s="724"/>
      <c r="R66" s="724"/>
      <c r="S66" s="724"/>
      <c r="T66" s="724"/>
      <c r="U66" s="724"/>
      <c r="V66" s="724"/>
      <c r="W66" s="724"/>
      <c r="X66" s="724"/>
      <c r="Y66" s="724"/>
      <c r="Z66" s="724"/>
    </row>
    <row r="67" ht="14.25" customHeight="1">
      <c r="A67" s="724"/>
      <c r="B67" s="724"/>
      <c r="C67" s="724"/>
      <c r="D67" s="724"/>
      <c r="E67" s="724"/>
      <c r="F67" s="724"/>
      <c r="G67" s="724"/>
      <c r="H67" s="724"/>
      <c r="I67" s="724"/>
      <c r="J67" s="724"/>
      <c r="K67" s="724"/>
      <c r="L67" s="724"/>
      <c r="M67" s="724"/>
      <c r="N67" s="724"/>
      <c r="O67" s="724"/>
      <c r="P67" s="724"/>
      <c r="Q67" s="724"/>
      <c r="R67" s="724"/>
      <c r="S67" s="724"/>
      <c r="T67" s="724"/>
      <c r="U67" s="724"/>
      <c r="V67" s="724"/>
      <c r="W67" s="724"/>
      <c r="X67" s="724"/>
      <c r="Y67" s="724"/>
      <c r="Z67" s="724"/>
    </row>
    <row r="68" ht="14.25" customHeight="1">
      <c r="A68" s="724"/>
      <c r="B68" s="724"/>
      <c r="C68" s="724"/>
      <c r="D68" s="724"/>
      <c r="E68" s="724"/>
      <c r="F68" s="724"/>
      <c r="G68" s="724"/>
      <c r="H68" s="724"/>
      <c r="I68" s="724"/>
      <c r="J68" s="724"/>
      <c r="K68" s="724"/>
      <c r="L68" s="724"/>
      <c r="M68" s="724"/>
      <c r="N68" s="724"/>
      <c r="O68" s="724"/>
      <c r="P68" s="724"/>
      <c r="Q68" s="724"/>
      <c r="R68" s="724"/>
      <c r="S68" s="724"/>
      <c r="T68" s="724"/>
      <c r="U68" s="724"/>
      <c r="V68" s="724"/>
      <c r="W68" s="724"/>
      <c r="X68" s="724"/>
      <c r="Y68" s="724"/>
      <c r="Z68" s="724"/>
    </row>
    <row r="69" ht="14.25" customHeight="1">
      <c r="A69" s="724"/>
      <c r="B69" s="724"/>
      <c r="C69" s="724"/>
      <c r="D69" s="724"/>
      <c r="E69" s="724"/>
      <c r="F69" s="724"/>
      <c r="G69" s="724"/>
      <c r="H69" s="724"/>
      <c r="I69" s="724"/>
      <c r="J69" s="724"/>
      <c r="K69" s="724"/>
      <c r="L69" s="724"/>
      <c r="M69" s="724"/>
      <c r="N69" s="724"/>
      <c r="O69" s="724"/>
      <c r="P69" s="724"/>
      <c r="Q69" s="724"/>
      <c r="R69" s="724"/>
      <c r="S69" s="724"/>
      <c r="T69" s="724"/>
      <c r="U69" s="724"/>
      <c r="V69" s="724"/>
      <c r="W69" s="724"/>
      <c r="X69" s="724"/>
      <c r="Y69" s="724"/>
      <c r="Z69" s="724"/>
    </row>
    <row r="70" ht="14.25" customHeight="1">
      <c r="A70" s="724"/>
      <c r="B70" s="724"/>
      <c r="C70" s="724"/>
      <c r="D70" s="724"/>
      <c r="E70" s="724"/>
      <c r="F70" s="724"/>
      <c r="G70" s="724"/>
      <c r="H70" s="724"/>
      <c r="I70" s="724"/>
      <c r="J70" s="724"/>
      <c r="K70" s="724"/>
      <c r="L70" s="724"/>
      <c r="M70" s="724"/>
      <c r="N70" s="724"/>
      <c r="O70" s="724"/>
      <c r="P70" s="724"/>
      <c r="Q70" s="724"/>
      <c r="R70" s="724"/>
      <c r="S70" s="724"/>
      <c r="T70" s="724"/>
      <c r="U70" s="724"/>
      <c r="V70" s="724"/>
      <c r="W70" s="724"/>
      <c r="X70" s="724"/>
      <c r="Y70" s="724"/>
      <c r="Z70" s="724"/>
    </row>
    <row r="71" ht="14.25" customHeight="1">
      <c r="A71" s="724"/>
      <c r="B71" s="724"/>
      <c r="C71" s="724"/>
      <c r="D71" s="724"/>
      <c r="E71" s="724"/>
      <c r="F71" s="724"/>
      <c r="G71" s="724"/>
      <c r="H71" s="724"/>
      <c r="I71" s="724"/>
      <c r="J71" s="724"/>
      <c r="K71" s="724"/>
      <c r="L71" s="724"/>
      <c r="M71" s="724"/>
      <c r="N71" s="724"/>
      <c r="O71" s="724"/>
      <c r="P71" s="724"/>
      <c r="Q71" s="724"/>
      <c r="R71" s="724"/>
      <c r="S71" s="724"/>
      <c r="T71" s="724"/>
      <c r="U71" s="724"/>
      <c r="V71" s="724"/>
      <c r="W71" s="724"/>
      <c r="X71" s="724"/>
      <c r="Y71" s="724"/>
      <c r="Z71" s="724"/>
    </row>
    <row r="72" ht="14.25" customHeight="1">
      <c r="A72" s="724"/>
      <c r="B72" s="724"/>
      <c r="C72" s="724"/>
      <c r="D72" s="724"/>
      <c r="E72" s="724"/>
      <c r="F72" s="724"/>
      <c r="G72" s="724"/>
      <c r="H72" s="724"/>
      <c r="I72" s="724"/>
      <c r="J72" s="724"/>
      <c r="K72" s="724"/>
      <c r="L72" s="724"/>
      <c r="M72" s="724"/>
      <c r="N72" s="724"/>
      <c r="O72" s="724"/>
      <c r="P72" s="724"/>
      <c r="Q72" s="724"/>
      <c r="R72" s="724"/>
      <c r="S72" s="724"/>
      <c r="T72" s="724"/>
      <c r="U72" s="724"/>
      <c r="V72" s="724"/>
      <c r="W72" s="724"/>
      <c r="X72" s="724"/>
      <c r="Y72" s="724"/>
      <c r="Z72" s="724"/>
    </row>
    <row r="73" ht="14.25" customHeight="1">
      <c r="A73" s="724"/>
      <c r="B73" s="724"/>
      <c r="C73" s="724"/>
      <c r="D73" s="724"/>
      <c r="E73" s="724"/>
      <c r="F73" s="724"/>
      <c r="G73" s="724"/>
      <c r="H73" s="724"/>
      <c r="I73" s="724"/>
      <c r="J73" s="724"/>
      <c r="K73" s="724"/>
      <c r="L73" s="724"/>
      <c r="M73" s="724"/>
      <c r="N73" s="724"/>
      <c r="O73" s="724"/>
      <c r="P73" s="724"/>
      <c r="Q73" s="724"/>
      <c r="R73" s="724"/>
      <c r="S73" s="724"/>
      <c r="T73" s="724"/>
      <c r="U73" s="724"/>
      <c r="V73" s="724"/>
      <c r="W73" s="724"/>
      <c r="X73" s="724"/>
      <c r="Y73" s="724"/>
      <c r="Z73" s="724"/>
    </row>
    <row r="74" ht="14.25" customHeight="1">
      <c r="A74" s="724"/>
      <c r="B74" s="724"/>
      <c r="C74" s="724"/>
      <c r="D74" s="724"/>
      <c r="E74" s="724"/>
      <c r="F74" s="724"/>
      <c r="G74" s="724"/>
      <c r="H74" s="724"/>
      <c r="I74" s="724"/>
      <c r="J74" s="724"/>
      <c r="K74" s="724"/>
      <c r="L74" s="724"/>
      <c r="M74" s="724"/>
      <c r="N74" s="724"/>
      <c r="O74" s="724"/>
      <c r="P74" s="724"/>
      <c r="Q74" s="724"/>
      <c r="R74" s="724"/>
      <c r="S74" s="724"/>
      <c r="T74" s="724"/>
      <c r="U74" s="724"/>
      <c r="V74" s="724"/>
      <c r="W74" s="724"/>
      <c r="X74" s="724"/>
      <c r="Y74" s="724"/>
      <c r="Z74" s="724"/>
    </row>
    <row r="75" ht="14.25" customHeight="1">
      <c r="A75" s="724"/>
      <c r="B75" s="724"/>
      <c r="C75" s="724"/>
      <c r="D75" s="724"/>
      <c r="E75" s="724"/>
      <c r="F75" s="724"/>
      <c r="G75" s="724"/>
      <c r="H75" s="724"/>
      <c r="I75" s="724"/>
      <c r="J75" s="724"/>
      <c r="K75" s="724"/>
      <c r="L75" s="724"/>
      <c r="M75" s="724"/>
      <c r="N75" s="724"/>
      <c r="O75" s="724"/>
      <c r="P75" s="724"/>
      <c r="Q75" s="724"/>
      <c r="R75" s="724"/>
      <c r="S75" s="724"/>
      <c r="T75" s="724"/>
      <c r="U75" s="724"/>
      <c r="V75" s="724"/>
      <c r="W75" s="724"/>
      <c r="X75" s="724"/>
      <c r="Y75" s="724"/>
      <c r="Z75" s="724"/>
    </row>
    <row r="76" ht="14.25" customHeight="1">
      <c r="A76" s="724"/>
      <c r="B76" s="724"/>
      <c r="C76" s="724"/>
      <c r="D76" s="724"/>
      <c r="E76" s="724"/>
      <c r="F76" s="724"/>
      <c r="G76" s="724"/>
      <c r="H76" s="724"/>
      <c r="I76" s="724"/>
      <c r="J76" s="724"/>
      <c r="K76" s="724"/>
      <c r="L76" s="724"/>
      <c r="M76" s="724"/>
      <c r="N76" s="724"/>
      <c r="O76" s="724"/>
      <c r="P76" s="724"/>
      <c r="Q76" s="724"/>
      <c r="R76" s="724"/>
      <c r="S76" s="724"/>
      <c r="T76" s="724"/>
      <c r="U76" s="724"/>
      <c r="V76" s="724"/>
      <c r="W76" s="724"/>
      <c r="X76" s="724"/>
      <c r="Y76" s="724"/>
      <c r="Z76" s="724"/>
    </row>
    <row r="77" ht="14.25" customHeight="1">
      <c r="A77" s="724"/>
      <c r="B77" s="724"/>
      <c r="C77" s="724"/>
      <c r="D77" s="724"/>
      <c r="E77" s="724"/>
      <c r="F77" s="724"/>
      <c r="G77" s="724"/>
      <c r="H77" s="724"/>
      <c r="I77" s="724"/>
      <c r="J77" s="724"/>
      <c r="K77" s="724"/>
      <c r="L77" s="724"/>
      <c r="M77" s="724"/>
      <c r="N77" s="724"/>
      <c r="O77" s="724"/>
      <c r="P77" s="724"/>
      <c r="Q77" s="724"/>
      <c r="R77" s="724"/>
      <c r="S77" s="724"/>
      <c r="T77" s="724"/>
      <c r="U77" s="724"/>
      <c r="V77" s="724"/>
      <c r="W77" s="724"/>
      <c r="X77" s="724"/>
      <c r="Y77" s="724"/>
      <c r="Z77" s="724"/>
    </row>
    <row r="78" ht="14.25" customHeight="1">
      <c r="A78" s="724"/>
      <c r="B78" s="724"/>
      <c r="C78" s="724"/>
      <c r="D78" s="724"/>
      <c r="E78" s="724"/>
      <c r="F78" s="724"/>
      <c r="G78" s="724"/>
      <c r="H78" s="724"/>
      <c r="I78" s="724"/>
      <c r="J78" s="724"/>
      <c r="K78" s="724"/>
      <c r="L78" s="724"/>
      <c r="M78" s="724"/>
      <c r="N78" s="724"/>
      <c r="O78" s="724"/>
      <c r="P78" s="724"/>
      <c r="Q78" s="724"/>
      <c r="R78" s="724"/>
      <c r="S78" s="724"/>
      <c r="T78" s="724"/>
      <c r="U78" s="724"/>
      <c r="V78" s="724"/>
      <c r="W78" s="724"/>
      <c r="X78" s="724"/>
      <c r="Y78" s="724"/>
      <c r="Z78" s="724"/>
    </row>
    <row r="79" ht="14.25" customHeight="1">
      <c r="A79" s="724"/>
      <c r="B79" s="724"/>
      <c r="C79" s="724"/>
      <c r="D79" s="724"/>
      <c r="E79" s="724"/>
      <c r="F79" s="724"/>
      <c r="G79" s="724"/>
      <c r="H79" s="724"/>
      <c r="I79" s="724"/>
      <c r="J79" s="724"/>
      <c r="K79" s="724"/>
      <c r="L79" s="724"/>
      <c r="M79" s="724"/>
      <c r="N79" s="724"/>
      <c r="O79" s="724"/>
      <c r="P79" s="724"/>
      <c r="Q79" s="724"/>
      <c r="R79" s="724"/>
      <c r="S79" s="724"/>
      <c r="T79" s="724"/>
      <c r="U79" s="724"/>
      <c r="V79" s="724"/>
      <c r="W79" s="724"/>
      <c r="X79" s="724"/>
      <c r="Y79" s="724"/>
      <c r="Z79" s="724"/>
    </row>
    <row r="80" ht="14.25" customHeight="1">
      <c r="A80" s="724"/>
      <c r="B80" s="724"/>
      <c r="C80" s="724"/>
      <c r="D80" s="724"/>
      <c r="E80" s="724"/>
      <c r="F80" s="724"/>
      <c r="G80" s="724"/>
      <c r="H80" s="724"/>
      <c r="I80" s="724"/>
      <c r="J80" s="724"/>
      <c r="K80" s="724"/>
      <c r="L80" s="724"/>
      <c r="M80" s="724"/>
      <c r="N80" s="724"/>
      <c r="O80" s="724"/>
      <c r="P80" s="724"/>
      <c r="Q80" s="724"/>
      <c r="R80" s="724"/>
      <c r="S80" s="724"/>
      <c r="T80" s="724"/>
      <c r="U80" s="724"/>
      <c r="V80" s="724"/>
      <c r="W80" s="724"/>
      <c r="X80" s="724"/>
      <c r="Y80" s="724"/>
      <c r="Z80" s="724"/>
    </row>
    <row r="81" ht="14.25" customHeight="1">
      <c r="A81" s="724"/>
      <c r="B81" s="724"/>
      <c r="C81" s="724"/>
      <c r="D81" s="724"/>
      <c r="E81" s="724"/>
      <c r="F81" s="724"/>
      <c r="G81" s="724"/>
      <c r="H81" s="724"/>
      <c r="I81" s="724"/>
      <c r="J81" s="724"/>
      <c r="K81" s="724"/>
      <c r="L81" s="724"/>
      <c r="M81" s="724"/>
      <c r="N81" s="724"/>
      <c r="O81" s="724"/>
      <c r="P81" s="724"/>
      <c r="Q81" s="724"/>
      <c r="R81" s="724"/>
      <c r="S81" s="724"/>
      <c r="T81" s="724"/>
      <c r="U81" s="724"/>
      <c r="V81" s="724"/>
      <c r="W81" s="724"/>
      <c r="X81" s="724"/>
      <c r="Y81" s="724"/>
      <c r="Z81" s="724"/>
    </row>
    <row r="82" ht="14.25" customHeight="1">
      <c r="A82" s="724"/>
      <c r="B82" s="724"/>
      <c r="C82" s="724"/>
      <c r="D82" s="724"/>
      <c r="E82" s="724"/>
      <c r="F82" s="724"/>
      <c r="G82" s="724"/>
      <c r="H82" s="724"/>
      <c r="I82" s="724"/>
      <c r="J82" s="724"/>
      <c r="K82" s="724"/>
      <c r="L82" s="724"/>
      <c r="M82" s="724"/>
      <c r="N82" s="724"/>
      <c r="O82" s="724"/>
      <c r="P82" s="724"/>
      <c r="Q82" s="724"/>
      <c r="R82" s="724"/>
      <c r="S82" s="724"/>
      <c r="T82" s="724"/>
      <c r="U82" s="724"/>
      <c r="V82" s="724"/>
      <c r="W82" s="724"/>
      <c r="X82" s="724"/>
      <c r="Y82" s="724"/>
      <c r="Z82" s="724"/>
    </row>
    <row r="83" ht="14.25" customHeight="1">
      <c r="A83" s="724"/>
      <c r="B83" s="724"/>
      <c r="C83" s="724"/>
      <c r="D83" s="724"/>
      <c r="E83" s="724"/>
      <c r="F83" s="724"/>
      <c r="G83" s="724"/>
      <c r="H83" s="724"/>
      <c r="I83" s="724"/>
      <c r="J83" s="724"/>
      <c r="K83" s="724"/>
      <c r="L83" s="724"/>
      <c r="M83" s="724"/>
      <c r="N83" s="724"/>
      <c r="O83" s="724"/>
      <c r="P83" s="724"/>
      <c r="Q83" s="724"/>
      <c r="R83" s="724"/>
      <c r="S83" s="724"/>
      <c r="T83" s="724"/>
      <c r="U83" s="724"/>
      <c r="V83" s="724"/>
      <c r="W83" s="724"/>
      <c r="X83" s="724"/>
      <c r="Y83" s="724"/>
      <c r="Z83" s="724"/>
    </row>
    <row r="84" ht="14.25" customHeight="1">
      <c r="A84" s="724"/>
      <c r="B84" s="724"/>
      <c r="C84" s="724"/>
      <c r="D84" s="724"/>
      <c r="E84" s="724"/>
      <c r="F84" s="724"/>
      <c r="G84" s="724"/>
      <c r="H84" s="724"/>
      <c r="I84" s="724"/>
      <c r="J84" s="724"/>
      <c r="K84" s="724"/>
      <c r="L84" s="724"/>
      <c r="M84" s="724"/>
      <c r="N84" s="724"/>
      <c r="O84" s="724"/>
      <c r="P84" s="724"/>
      <c r="Q84" s="724"/>
      <c r="R84" s="724"/>
      <c r="S84" s="724"/>
      <c r="T84" s="724"/>
      <c r="U84" s="724"/>
      <c r="V84" s="724"/>
      <c r="W84" s="724"/>
      <c r="X84" s="724"/>
      <c r="Y84" s="724"/>
      <c r="Z84" s="724"/>
    </row>
    <row r="85" ht="14.25" customHeight="1">
      <c r="A85" s="724"/>
      <c r="B85" s="724"/>
      <c r="C85" s="724"/>
      <c r="D85" s="724"/>
      <c r="E85" s="724"/>
      <c r="F85" s="724"/>
      <c r="G85" s="724"/>
      <c r="H85" s="724"/>
      <c r="I85" s="724"/>
      <c r="J85" s="724"/>
      <c r="K85" s="724"/>
      <c r="L85" s="724"/>
      <c r="M85" s="724"/>
      <c r="N85" s="724"/>
      <c r="O85" s="724"/>
      <c r="P85" s="724"/>
      <c r="Q85" s="724"/>
      <c r="R85" s="724"/>
      <c r="S85" s="724"/>
      <c r="T85" s="724"/>
      <c r="U85" s="724"/>
      <c r="V85" s="724"/>
      <c r="W85" s="724"/>
      <c r="X85" s="724"/>
      <c r="Y85" s="724"/>
      <c r="Z85" s="724"/>
    </row>
    <row r="86" ht="14.25" customHeight="1">
      <c r="A86" s="724"/>
      <c r="B86" s="724"/>
      <c r="C86" s="724"/>
      <c r="D86" s="724"/>
      <c r="E86" s="724"/>
      <c r="F86" s="724"/>
      <c r="G86" s="724"/>
      <c r="H86" s="724"/>
      <c r="I86" s="724"/>
      <c r="J86" s="724"/>
      <c r="K86" s="724"/>
      <c r="L86" s="724"/>
      <c r="M86" s="724"/>
      <c r="N86" s="724"/>
      <c r="O86" s="724"/>
      <c r="P86" s="724"/>
      <c r="Q86" s="724"/>
      <c r="R86" s="724"/>
      <c r="S86" s="724"/>
      <c r="T86" s="724"/>
      <c r="U86" s="724"/>
      <c r="V86" s="724"/>
      <c r="W86" s="724"/>
      <c r="X86" s="724"/>
      <c r="Y86" s="724"/>
      <c r="Z86" s="724"/>
    </row>
    <row r="87" ht="14.25" customHeight="1">
      <c r="A87" s="724"/>
      <c r="B87" s="724"/>
      <c r="C87" s="724"/>
      <c r="D87" s="724"/>
      <c r="E87" s="724"/>
      <c r="F87" s="724"/>
      <c r="G87" s="724"/>
      <c r="H87" s="724"/>
      <c r="I87" s="724"/>
      <c r="J87" s="724"/>
      <c r="K87" s="724"/>
      <c r="L87" s="724"/>
      <c r="M87" s="724"/>
      <c r="N87" s="724"/>
      <c r="O87" s="724"/>
      <c r="P87" s="724"/>
      <c r="Q87" s="724"/>
      <c r="R87" s="724"/>
      <c r="S87" s="724"/>
      <c r="T87" s="724"/>
      <c r="U87" s="724"/>
      <c r="V87" s="724"/>
      <c r="W87" s="724"/>
      <c r="X87" s="724"/>
      <c r="Y87" s="724"/>
      <c r="Z87" s="724"/>
    </row>
    <row r="88" ht="14.25" customHeight="1">
      <c r="A88" s="724"/>
      <c r="B88" s="724"/>
      <c r="C88" s="724"/>
      <c r="D88" s="724"/>
      <c r="E88" s="724"/>
      <c r="F88" s="724"/>
      <c r="G88" s="724"/>
      <c r="H88" s="724"/>
      <c r="I88" s="724"/>
      <c r="J88" s="724"/>
      <c r="K88" s="724"/>
      <c r="L88" s="724"/>
      <c r="M88" s="724"/>
      <c r="N88" s="724"/>
      <c r="O88" s="724"/>
      <c r="P88" s="724"/>
      <c r="Q88" s="724"/>
      <c r="R88" s="724"/>
      <c r="S88" s="724"/>
      <c r="T88" s="724"/>
      <c r="U88" s="724"/>
      <c r="V88" s="724"/>
      <c r="W88" s="724"/>
      <c r="X88" s="724"/>
      <c r="Y88" s="724"/>
      <c r="Z88" s="724"/>
    </row>
    <row r="89" ht="14.25" customHeight="1">
      <c r="A89" s="724"/>
      <c r="B89" s="724"/>
      <c r="C89" s="724"/>
      <c r="D89" s="724"/>
      <c r="E89" s="724"/>
      <c r="F89" s="724"/>
      <c r="G89" s="724"/>
      <c r="H89" s="724"/>
      <c r="I89" s="724"/>
      <c r="J89" s="724"/>
      <c r="K89" s="724"/>
      <c r="L89" s="724"/>
      <c r="M89" s="724"/>
      <c r="N89" s="724"/>
      <c r="O89" s="724"/>
      <c r="P89" s="724"/>
      <c r="Q89" s="724"/>
      <c r="R89" s="724"/>
      <c r="S89" s="724"/>
      <c r="T89" s="724"/>
      <c r="U89" s="724"/>
      <c r="V89" s="724"/>
      <c r="W89" s="724"/>
      <c r="X89" s="724"/>
      <c r="Y89" s="724"/>
      <c r="Z89" s="724"/>
    </row>
    <row r="90" ht="14.25" customHeight="1">
      <c r="A90" s="724"/>
      <c r="B90" s="724"/>
      <c r="C90" s="724"/>
      <c r="D90" s="724"/>
      <c r="E90" s="724"/>
      <c r="F90" s="724"/>
      <c r="G90" s="724"/>
      <c r="H90" s="724"/>
      <c r="I90" s="724"/>
      <c r="J90" s="724"/>
      <c r="K90" s="724"/>
      <c r="L90" s="724"/>
      <c r="M90" s="724"/>
      <c r="N90" s="724"/>
      <c r="O90" s="724"/>
      <c r="P90" s="724"/>
      <c r="Q90" s="724"/>
      <c r="R90" s="724"/>
      <c r="S90" s="724"/>
      <c r="T90" s="724"/>
      <c r="U90" s="724"/>
      <c r="V90" s="724"/>
      <c r="W90" s="724"/>
      <c r="X90" s="724"/>
      <c r="Y90" s="724"/>
      <c r="Z90" s="724"/>
    </row>
    <row r="91" ht="14.25" customHeight="1">
      <c r="A91" s="724"/>
      <c r="B91" s="724"/>
      <c r="C91" s="724"/>
      <c r="D91" s="724"/>
      <c r="E91" s="724"/>
      <c r="F91" s="724"/>
      <c r="G91" s="724"/>
      <c r="H91" s="724"/>
      <c r="I91" s="724"/>
      <c r="J91" s="724"/>
      <c r="K91" s="724"/>
      <c r="L91" s="724"/>
      <c r="M91" s="724"/>
      <c r="N91" s="724"/>
      <c r="O91" s="724"/>
      <c r="P91" s="724"/>
      <c r="Q91" s="724"/>
      <c r="R91" s="724"/>
      <c r="S91" s="724"/>
      <c r="T91" s="724"/>
      <c r="U91" s="724"/>
      <c r="V91" s="724"/>
      <c r="W91" s="724"/>
      <c r="X91" s="724"/>
      <c r="Y91" s="724"/>
      <c r="Z91" s="724"/>
    </row>
    <row r="92" ht="14.25" customHeight="1">
      <c r="A92" s="724"/>
      <c r="B92" s="724"/>
      <c r="C92" s="724"/>
      <c r="D92" s="724"/>
      <c r="E92" s="724"/>
      <c r="F92" s="724"/>
      <c r="G92" s="724"/>
      <c r="H92" s="724"/>
      <c r="I92" s="724"/>
      <c r="J92" s="724"/>
      <c r="K92" s="724"/>
      <c r="L92" s="724"/>
      <c r="M92" s="724"/>
      <c r="N92" s="724"/>
      <c r="O92" s="724"/>
      <c r="P92" s="724"/>
      <c r="Q92" s="724"/>
      <c r="R92" s="724"/>
      <c r="S92" s="724"/>
      <c r="T92" s="724"/>
      <c r="U92" s="724"/>
      <c r="V92" s="724"/>
      <c r="W92" s="724"/>
      <c r="X92" s="724"/>
      <c r="Y92" s="724"/>
      <c r="Z92" s="724"/>
    </row>
    <row r="93" ht="14.25" customHeight="1">
      <c r="A93" s="724"/>
      <c r="B93" s="724"/>
      <c r="C93" s="724"/>
      <c r="D93" s="724"/>
      <c r="E93" s="724"/>
      <c r="F93" s="724"/>
      <c r="G93" s="724"/>
      <c r="H93" s="724"/>
      <c r="I93" s="724"/>
      <c r="J93" s="724"/>
      <c r="K93" s="724"/>
      <c r="L93" s="724"/>
      <c r="M93" s="724"/>
      <c r="N93" s="724"/>
      <c r="O93" s="724"/>
      <c r="P93" s="724"/>
      <c r="Q93" s="724"/>
      <c r="R93" s="724"/>
      <c r="S93" s="724"/>
      <c r="T93" s="724"/>
      <c r="U93" s="724"/>
      <c r="V93" s="724"/>
      <c r="W93" s="724"/>
      <c r="X93" s="724"/>
      <c r="Y93" s="724"/>
      <c r="Z93" s="724"/>
    </row>
    <row r="94" ht="14.25" customHeight="1">
      <c r="A94" s="724"/>
      <c r="B94" s="724"/>
      <c r="C94" s="724"/>
      <c r="D94" s="724"/>
      <c r="E94" s="724"/>
      <c r="F94" s="724"/>
      <c r="G94" s="724"/>
      <c r="H94" s="724"/>
      <c r="I94" s="724"/>
      <c r="J94" s="724"/>
      <c r="K94" s="724"/>
      <c r="L94" s="724"/>
      <c r="M94" s="724"/>
      <c r="N94" s="724"/>
      <c r="O94" s="724"/>
      <c r="P94" s="724"/>
      <c r="Q94" s="724"/>
      <c r="R94" s="724"/>
      <c r="S94" s="724"/>
      <c r="T94" s="724"/>
      <c r="U94" s="724"/>
      <c r="V94" s="724"/>
      <c r="W94" s="724"/>
      <c r="X94" s="724"/>
      <c r="Y94" s="724"/>
      <c r="Z94" s="724"/>
    </row>
    <row r="95" ht="14.25" customHeight="1">
      <c r="A95" s="724"/>
      <c r="B95" s="724"/>
      <c r="C95" s="724"/>
      <c r="D95" s="724"/>
      <c r="E95" s="724"/>
      <c r="F95" s="724"/>
      <c r="G95" s="724"/>
      <c r="H95" s="724"/>
      <c r="I95" s="724"/>
      <c r="J95" s="724"/>
      <c r="K95" s="724"/>
      <c r="L95" s="724"/>
      <c r="M95" s="724"/>
      <c r="N95" s="724"/>
      <c r="O95" s="724"/>
      <c r="P95" s="724"/>
      <c r="Q95" s="724"/>
      <c r="R95" s="724"/>
      <c r="S95" s="724"/>
      <c r="T95" s="724"/>
      <c r="U95" s="724"/>
      <c r="V95" s="724"/>
      <c r="W95" s="724"/>
      <c r="X95" s="724"/>
      <c r="Y95" s="724"/>
      <c r="Z95" s="724"/>
    </row>
    <row r="96" ht="14.25" customHeight="1">
      <c r="A96" s="724"/>
      <c r="B96" s="724"/>
      <c r="C96" s="724"/>
      <c r="D96" s="724"/>
      <c r="E96" s="724"/>
      <c r="F96" s="724"/>
      <c r="G96" s="724"/>
      <c r="H96" s="724"/>
      <c r="I96" s="724"/>
      <c r="J96" s="724"/>
      <c r="K96" s="724"/>
      <c r="L96" s="724"/>
      <c r="M96" s="724"/>
      <c r="N96" s="724"/>
      <c r="O96" s="724"/>
      <c r="P96" s="724"/>
      <c r="Q96" s="724"/>
      <c r="R96" s="724"/>
      <c r="S96" s="724"/>
      <c r="T96" s="724"/>
      <c r="U96" s="724"/>
      <c r="V96" s="724"/>
      <c r="W96" s="724"/>
      <c r="X96" s="724"/>
      <c r="Y96" s="724"/>
      <c r="Z96" s="724"/>
    </row>
    <row r="97" ht="14.25" customHeight="1">
      <c r="A97" s="724"/>
      <c r="B97" s="724"/>
      <c r="C97" s="724"/>
      <c r="D97" s="724"/>
      <c r="E97" s="724"/>
      <c r="F97" s="724"/>
      <c r="G97" s="724"/>
      <c r="H97" s="724"/>
      <c r="I97" s="724"/>
      <c r="J97" s="724"/>
      <c r="K97" s="724"/>
      <c r="L97" s="724"/>
      <c r="M97" s="724"/>
      <c r="N97" s="724"/>
      <c r="O97" s="724"/>
      <c r="P97" s="724"/>
      <c r="Q97" s="724"/>
      <c r="R97" s="724"/>
      <c r="S97" s="724"/>
      <c r="T97" s="724"/>
      <c r="U97" s="724"/>
      <c r="V97" s="724"/>
      <c r="W97" s="724"/>
      <c r="X97" s="724"/>
      <c r="Y97" s="724"/>
      <c r="Z97" s="724"/>
    </row>
    <row r="98" ht="14.25" customHeight="1">
      <c r="A98" s="724"/>
      <c r="B98" s="724"/>
      <c r="C98" s="724"/>
      <c r="D98" s="724"/>
      <c r="E98" s="724"/>
      <c r="F98" s="724"/>
      <c r="G98" s="724"/>
      <c r="H98" s="724"/>
      <c r="I98" s="724"/>
      <c r="J98" s="724"/>
      <c r="K98" s="724"/>
      <c r="L98" s="724"/>
      <c r="M98" s="724"/>
      <c r="N98" s="724"/>
      <c r="O98" s="724"/>
      <c r="P98" s="724"/>
      <c r="Q98" s="724"/>
      <c r="R98" s="724"/>
      <c r="S98" s="724"/>
      <c r="T98" s="724"/>
      <c r="U98" s="724"/>
      <c r="V98" s="724"/>
      <c r="W98" s="724"/>
      <c r="X98" s="724"/>
      <c r="Y98" s="724"/>
      <c r="Z98" s="724"/>
    </row>
    <row r="99" ht="14.25" customHeight="1">
      <c r="A99" s="724"/>
      <c r="B99" s="724"/>
      <c r="C99" s="724"/>
      <c r="D99" s="724"/>
      <c r="E99" s="724"/>
      <c r="F99" s="724"/>
      <c r="G99" s="724"/>
      <c r="H99" s="724"/>
      <c r="I99" s="724"/>
      <c r="J99" s="724"/>
      <c r="K99" s="724"/>
      <c r="L99" s="724"/>
      <c r="M99" s="724"/>
      <c r="N99" s="724"/>
      <c r="O99" s="724"/>
      <c r="P99" s="724"/>
      <c r="Q99" s="724"/>
      <c r="R99" s="724"/>
      <c r="S99" s="724"/>
      <c r="T99" s="724"/>
      <c r="U99" s="724"/>
      <c r="V99" s="724"/>
      <c r="W99" s="724"/>
      <c r="X99" s="724"/>
      <c r="Y99" s="724"/>
      <c r="Z99" s="724"/>
    </row>
    <row r="100" ht="14.25" customHeight="1">
      <c r="A100" s="724"/>
      <c r="B100" s="724"/>
      <c r="C100" s="724"/>
      <c r="D100" s="724"/>
      <c r="E100" s="724"/>
      <c r="F100" s="724"/>
      <c r="G100" s="724"/>
      <c r="H100" s="724"/>
      <c r="I100" s="724"/>
      <c r="J100" s="724"/>
      <c r="K100" s="724"/>
      <c r="L100" s="724"/>
      <c r="M100" s="724"/>
      <c r="N100" s="724"/>
      <c r="O100" s="724"/>
      <c r="P100" s="724"/>
      <c r="Q100" s="724"/>
      <c r="R100" s="724"/>
      <c r="S100" s="724"/>
      <c r="T100" s="724"/>
      <c r="U100" s="724"/>
      <c r="V100" s="724"/>
      <c r="W100" s="724"/>
      <c r="X100" s="724"/>
      <c r="Y100" s="724"/>
      <c r="Z100" s="724"/>
    </row>
    <row r="101" ht="14.25" customHeight="1">
      <c r="A101" s="724"/>
      <c r="B101" s="724"/>
      <c r="C101" s="724"/>
      <c r="D101" s="724"/>
      <c r="E101" s="724"/>
      <c r="F101" s="724"/>
      <c r="G101" s="724"/>
      <c r="H101" s="724"/>
      <c r="I101" s="724"/>
      <c r="J101" s="724"/>
      <c r="K101" s="724"/>
      <c r="L101" s="724"/>
      <c r="M101" s="724"/>
      <c r="N101" s="724"/>
      <c r="O101" s="724"/>
      <c r="P101" s="724"/>
      <c r="Q101" s="724"/>
      <c r="R101" s="724"/>
      <c r="S101" s="724"/>
      <c r="T101" s="724"/>
      <c r="U101" s="724"/>
      <c r="V101" s="724"/>
      <c r="W101" s="724"/>
      <c r="X101" s="724"/>
      <c r="Y101" s="724"/>
      <c r="Z101" s="724"/>
    </row>
    <row r="102" ht="14.25" customHeight="1">
      <c r="A102" s="724"/>
      <c r="B102" s="724"/>
      <c r="C102" s="724"/>
      <c r="D102" s="724"/>
      <c r="E102" s="724"/>
      <c r="F102" s="724"/>
      <c r="G102" s="724"/>
      <c r="H102" s="724"/>
      <c r="I102" s="724"/>
      <c r="J102" s="724"/>
      <c r="K102" s="724"/>
      <c r="L102" s="724"/>
      <c r="M102" s="724"/>
      <c r="N102" s="724"/>
      <c r="O102" s="724"/>
      <c r="P102" s="724"/>
      <c r="Q102" s="724"/>
      <c r="R102" s="724"/>
      <c r="S102" s="724"/>
      <c r="T102" s="724"/>
      <c r="U102" s="724"/>
      <c r="V102" s="724"/>
      <c r="W102" s="724"/>
      <c r="X102" s="724"/>
      <c r="Y102" s="724"/>
      <c r="Z102" s="724"/>
    </row>
    <row r="103" ht="14.25" customHeight="1">
      <c r="A103" s="724"/>
      <c r="B103" s="724"/>
      <c r="C103" s="724"/>
      <c r="D103" s="724"/>
      <c r="E103" s="724"/>
      <c r="F103" s="724"/>
      <c r="G103" s="724"/>
      <c r="H103" s="724"/>
      <c r="I103" s="724"/>
      <c r="J103" s="724"/>
      <c r="K103" s="724"/>
      <c r="L103" s="724"/>
      <c r="M103" s="724"/>
      <c r="N103" s="724"/>
      <c r="O103" s="724"/>
      <c r="P103" s="724"/>
      <c r="Q103" s="724"/>
      <c r="R103" s="724"/>
      <c r="S103" s="724"/>
      <c r="T103" s="724"/>
      <c r="U103" s="724"/>
      <c r="V103" s="724"/>
      <c r="W103" s="724"/>
      <c r="X103" s="724"/>
      <c r="Y103" s="724"/>
      <c r="Z103" s="724"/>
    </row>
    <row r="104" ht="14.25" customHeight="1">
      <c r="A104" s="724"/>
      <c r="B104" s="724"/>
      <c r="C104" s="724"/>
      <c r="D104" s="724"/>
      <c r="E104" s="724"/>
      <c r="F104" s="724"/>
      <c r="G104" s="724"/>
      <c r="H104" s="724"/>
      <c r="I104" s="724"/>
      <c r="J104" s="724"/>
      <c r="K104" s="724"/>
      <c r="L104" s="724"/>
      <c r="M104" s="724"/>
      <c r="N104" s="724"/>
      <c r="O104" s="724"/>
      <c r="P104" s="724"/>
      <c r="Q104" s="724"/>
      <c r="R104" s="724"/>
      <c r="S104" s="724"/>
      <c r="T104" s="724"/>
      <c r="U104" s="724"/>
      <c r="V104" s="724"/>
      <c r="W104" s="724"/>
      <c r="X104" s="724"/>
      <c r="Y104" s="724"/>
      <c r="Z104" s="724"/>
    </row>
    <row r="105" ht="14.25" customHeight="1">
      <c r="A105" s="724"/>
      <c r="B105" s="724"/>
      <c r="C105" s="724"/>
      <c r="D105" s="724"/>
      <c r="E105" s="724"/>
      <c r="F105" s="724"/>
      <c r="G105" s="724"/>
      <c r="H105" s="724"/>
      <c r="I105" s="724"/>
      <c r="J105" s="724"/>
      <c r="K105" s="724"/>
      <c r="L105" s="724"/>
      <c r="M105" s="724"/>
      <c r="N105" s="724"/>
      <c r="O105" s="724"/>
      <c r="P105" s="724"/>
      <c r="Q105" s="724"/>
      <c r="R105" s="724"/>
      <c r="S105" s="724"/>
      <c r="T105" s="724"/>
      <c r="U105" s="724"/>
      <c r="V105" s="724"/>
      <c r="W105" s="724"/>
      <c r="X105" s="724"/>
      <c r="Y105" s="724"/>
      <c r="Z105" s="724"/>
    </row>
    <row r="106" ht="14.25" customHeight="1">
      <c r="A106" s="724"/>
      <c r="B106" s="724"/>
      <c r="C106" s="724"/>
      <c r="D106" s="724"/>
      <c r="E106" s="724"/>
      <c r="F106" s="724"/>
      <c r="G106" s="724"/>
      <c r="H106" s="724"/>
      <c r="I106" s="724"/>
      <c r="J106" s="724"/>
      <c r="K106" s="724"/>
      <c r="L106" s="724"/>
      <c r="M106" s="724"/>
      <c r="N106" s="724"/>
      <c r="O106" s="724"/>
      <c r="P106" s="724"/>
      <c r="Q106" s="724"/>
      <c r="R106" s="724"/>
      <c r="S106" s="724"/>
      <c r="T106" s="724"/>
      <c r="U106" s="724"/>
      <c r="V106" s="724"/>
      <c r="W106" s="724"/>
      <c r="X106" s="724"/>
      <c r="Y106" s="724"/>
      <c r="Z106" s="724"/>
    </row>
    <row r="107" ht="14.25" customHeight="1">
      <c r="A107" s="724"/>
      <c r="B107" s="724"/>
      <c r="C107" s="724"/>
      <c r="D107" s="724"/>
      <c r="E107" s="724"/>
      <c r="F107" s="724"/>
      <c r="G107" s="724"/>
      <c r="H107" s="724"/>
      <c r="I107" s="724"/>
      <c r="J107" s="724"/>
      <c r="K107" s="724"/>
      <c r="L107" s="724"/>
      <c r="M107" s="724"/>
      <c r="N107" s="724"/>
      <c r="O107" s="724"/>
      <c r="P107" s="724"/>
      <c r="Q107" s="724"/>
      <c r="R107" s="724"/>
      <c r="S107" s="724"/>
      <c r="T107" s="724"/>
      <c r="U107" s="724"/>
      <c r="V107" s="724"/>
      <c r="W107" s="724"/>
      <c r="X107" s="724"/>
      <c r="Y107" s="724"/>
      <c r="Z107" s="724"/>
    </row>
    <row r="108" ht="14.25" customHeight="1">
      <c r="A108" s="724"/>
      <c r="B108" s="724"/>
      <c r="C108" s="724"/>
      <c r="D108" s="724"/>
      <c r="E108" s="724"/>
      <c r="F108" s="724"/>
      <c r="G108" s="724"/>
      <c r="H108" s="724"/>
      <c r="I108" s="724"/>
      <c r="J108" s="724"/>
      <c r="K108" s="724"/>
      <c r="L108" s="724"/>
      <c r="M108" s="724"/>
      <c r="N108" s="724"/>
      <c r="O108" s="724"/>
      <c r="P108" s="724"/>
      <c r="Q108" s="724"/>
      <c r="R108" s="724"/>
      <c r="S108" s="724"/>
      <c r="T108" s="724"/>
      <c r="U108" s="724"/>
      <c r="V108" s="724"/>
      <c r="W108" s="724"/>
      <c r="X108" s="724"/>
      <c r="Y108" s="724"/>
      <c r="Z108" s="724"/>
    </row>
    <row r="109" ht="14.25" customHeight="1">
      <c r="A109" s="724"/>
      <c r="B109" s="724"/>
      <c r="C109" s="724"/>
      <c r="D109" s="724"/>
      <c r="E109" s="724"/>
      <c r="F109" s="724"/>
      <c r="G109" s="724"/>
      <c r="H109" s="724"/>
      <c r="I109" s="724"/>
      <c r="J109" s="724"/>
      <c r="K109" s="724"/>
      <c r="L109" s="724"/>
      <c r="M109" s="724"/>
      <c r="N109" s="724"/>
      <c r="O109" s="724"/>
      <c r="P109" s="724"/>
      <c r="Q109" s="724"/>
      <c r="R109" s="724"/>
      <c r="S109" s="724"/>
      <c r="T109" s="724"/>
      <c r="U109" s="724"/>
      <c r="V109" s="724"/>
      <c r="W109" s="724"/>
      <c r="X109" s="724"/>
      <c r="Y109" s="724"/>
      <c r="Z109" s="724"/>
    </row>
    <row r="110" ht="14.25" customHeight="1">
      <c r="A110" s="724"/>
      <c r="B110" s="724"/>
      <c r="C110" s="724"/>
      <c r="D110" s="724"/>
      <c r="E110" s="724"/>
      <c r="F110" s="724"/>
      <c r="G110" s="724"/>
      <c r="H110" s="724"/>
      <c r="I110" s="724"/>
      <c r="J110" s="724"/>
      <c r="K110" s="724"/>
      <c r="L110" s="724"/>
      <c r="M110" s="724"/>
      <c r="N110" s="724"/>
      <c r="O110" s="724"/>
      <c r="P110" s="724"/>
      <c r="Q110" s="724"/>
      <c r="R110" s="724"/>
      <c r="S110" s="724"/>
      <c r="T110" s="724"/>
      <c r="U110" s="724"/>
      <c r="V110" s="724"/>
      <c r="W110" s="724"/>
      <c r="X110" s="724"/>
      <c r="Y110" s="724"/>
      <c r="Z110" s="724"/>
    </row>
    <row r="111" ht="14.25" customHeight="1">
      <c r="A111" s="724"/>
      <c r="B111" s="724"/>
      <c r="C111" s="724"/>
      <c r="D111" s="724"/>
      <c r="E111" s="724"/>
      <c r="F111" s="724"/>
      <c r="G111" s="724"/>
      <c r="H111" s="724"/>
      <c r="I111" s="724"/>
      <c r="J111" s="724"/>
      <c r="K111" s="724"/>
      <c r="L111" s="724"/>
      <c r="M111" s="724"/>
      <c r="N111" s="724"/>
      <c r="O111" s="724"/>
      <c r="P111" s="724"/>
      <c r="Q111" s="724"/>
      <c r="R111" s="724"/>
      <c r="S111" s="724"/>
      <c r="T111" s="724"/>
      <c r="U111" s="724"/>
      <c r="V111" s="724"/>
      <c r="W111" s="724"/>
      <c r="X111" s="724"/>
      <c r="Y111" s="724"/>
      <c r="Z111" s="724"/>
    </row>
    <row r="112" ht="14.25" customHeight="1">
      <c r="A112" s="724"/>
      <c r="B112" s="724"/>
      <c r="C112" s="724"/>
      <c r="D112" s="724"/>
      <c r="E112" s="724"/>
      <c r="F112" s="724"/>
      <c r="G112" s="724"/>
      <c r="H112" s="724"/>
      <c r="I112" s="724"/>
      <c r="J112" s="724"/>
      <c r="K112" s="724"/>
      <c r="L112" s="724"/>
      <c r="M112" s="724"/>
      <c r="N112" s="724"/>
      <c r="O112" s="724"/>
      <c r="P112" s="724"/>
      <c r="Q112" s="724"/>
      <c r="R112" s="724"/>
      <c r="S112" s="724"/>
      <c r="T112" s="724"/>
      <c r="U112" s="724"/>
      <c r="V112" s="724"/>
      <c r="W112" s="724"/>
      <c r="X112" s="724"/>
      <c r="Y112" s="724"/>
      <c r="Z112" s="724"/>
    </row>
    <row r="113" ht="14.25" customHeight="1">
      <c r="A113" s="724"/>
      <c r="B113" s="724"/>
      <c r="C113" s="724"/>
      <c r="D113" s="724"/>
      <c r="E113" s="724"/>
      <c r="F113" s="724"/>
      <c r="G113" s="724"/>
      <c r="H113" s="724"/>
      <c r="I113" s="724"/>
      <c r="J113" s="724"/>
      <c r="K113" s="724"/>
      <c r="L113" s="724"/>
      <c r="M113" s="724"/>
      <c r="N113" s="724"/>
      <c r="O113" s="724"/>
      <c r="P113" s="724"/>
      <c r="Q113" s="724"/>
      <c r="R113" s="724"/>
      <c r="S113" s="724"/>
      <c r="T113" s="724"/>
      <c r="U113" s="724"/>
      <c r="V113" s="724"/>
      <c r="W113" s="724"/>
      <c r="X113" s="724"/>
      <c r="Y113" s="724"/>
      <c r="Z113" s="724"/>
    </row>
    <row r="114" ht="14.25" customHeight="1">
      <c r="A114" s="724"/>
      <c r="B114" s="724"/>
      <c r="C114" s="724"/>
      <c r="D114" s="724"/>
      <c r="E114" s="724"/>
      <c r="F114" s="724"/>
      <c r="G114" s="724"/>
      <c r="H114" s="724"/>
      <c r="I114" s="724"/>
      <c r="J114" s="724"/>
      <c r="K114" s="724"/>
      <c r="L114" s="724"/>
      <c r="M114" s="724"/>
      <c r="N114" s="724"/>
      <c r="O114" s="724"/>
      <c r="P114" s="724"/>
      <c r="Q114" s="724"/>
      <c r="R114" s="724"/>
      <c r="S114" s="724"/>
      <c r="T114" s="724"/>
      <c r="U114" s="724"/>
      <c r="V114" s="724"/>
      <c r="W114" s="724"/>
      <c r="X114" s="724"/>
      <c r="Y114" s="724"/>
      <c r="Z114" s="724"/>
    </row>
    <row r="115" ht="14.25" customHeight="1">
      <c r="A115" s="724"/>
      <c r="B115" s="724"/>
      <c r="C115" s="724"/>
      <c r="D115" s="724"/>
      <c r="E115" s="724"/>
      <c r="F115" s="724"/>
      <c r="G115" s="724"/>
      <c r="H115" s="724"/>
      <c r="I115" s="724"/>
      <c r="J115" s="724"/>
      <c r="K115" s="724"/>
      <c r="L115" s="724"/>
      <c r="M115" s="724"/>
      <c r="N115" s="724"/>
      <c r="O115" s="724"/>
      <c r="P115" s="724"/>
      <c r="Q115" s="724"/>
      <c r="R115" s="724"/>
      <c r="S115" s="724"/>
      <c r="T115" s="724"/>
      <c r="U115" s="724"/>
      <c r="V115" s="724"/>
      <c r="W115" s="724"/>
      <c r="X115" s="724"/>
      <c r="Y115" s="724"/>
      <c r="Z115" s="724"/>
    </row>
    <row r="116" ht="14.25" customHeight="1">
      <c r="A116" s="724"/>
      <c r="B116" s="724"/>
      <c r="C116" s="724"/>
      <c r="D116" s="724"/>
      <c r="E116" s="724"/>
      <c r="F116" s="724"/>
      <c r="G116" s="724"/>
      <c r="H116" s="724"/>
      <c r="I116" s="724"/>
      <c r="J116" s="724"/>
      <c r="K116" s="724"/>
      <c r="L116" s="724"/>
      <c r="M116" s="724"/>
      <c r="N116" s="724"/>
      <c r="O116" s="724"/>
      <c r="P116" s="724"/>
      <c r="Q116" s="724"/>
      <c r="R116" s="724"/>
      <c r="S116" s="724"/>
      <c r="T116" s="724"/>
      <c r="U116" s="724"/>
      <c r="V116" s="724"/>
      <c r="W116" s="724"/>
      <c r="X116" s="724"/>
      <c r="Y116" s="724"/>
      <c r="Z116" s="724"/>
    </row>
    <row r="117" ht="14.25" customHeight="1">
      <c r="A117" s="724"/>
      <c r="B117" s="724"/>
      <c r="C117" s="724"/>
      <c r="D117" s="724"/>
      <c r="E117" s="724"/>
      <c r="F117" s="724"/>
      <c r="G117" s="724"/>
      <c r="H117" s="724"/>
      <c r="I117" s="724"/>
      <c r="J117" s="724"/>
      <c r="K117" s="724"/>
      <c r="L117" s="724"/>
      <c r="M117" s="724"/>
      <c r="N117" s="724"/>
      <c r="O117" s="724"/>
      <c r="P117" s="724"/>
      <c r="Q117" s="724"/>
      <c r="R117" s="724"/>
      <c r="S117" s="724"/>
      <c r="T117" s="724"/>
      <c r="U117" s="724"/>
      <c r="V117" s="724"/>
      <c r="W117" s="724"/>
      <c r="X117" s="724"/>
      <c r="Y117" s="724"/>
      <c r="Z117" s="724"/>
    </row>
    <row r="118" ht="14.25" customHeight="1">
      <c r="A118" s="724"/>
      <c r="B118" s="724"/>
      <c r="C118" s="724"/>
      <c r="D118" s="724"/>
      <c r="E118" s="724"/>
      <c r="F118" s="724"/>
      <c r="G118" s="724"/>
      <c r="H118" s="724"/>
      <c r="I118" s="724"/>
      <c r="J118" s="724"/>
      <c r="K118" s="724"/>
      <c r="L118" s="724"/>
      <c r="M118" s="724"/>
      <c r="N118" s="724"/>
      <c r="O118" s="724"/>
      <c r="P118" s="724"/>
      <c r="Q118" s="724"/>
      <c r="R118" s="724"/>
      <c r="S118" s="724"/>
      <c r="T118" s="724"/>
      <c r="U118" s="724"/>
      <c r="V118" s="724"/>
      <c r="W118" s="724"/>
      <c r="X118" s="724"/>
      <c r="Y118" s="724"/>
      <c r="Z118" s="724"/>
    </row>
    <row r="119" ht="14.25" customHeight="1">
      <c r="A119" s="724"/>
      <c r="B119" s="724"/>
      <c r="C119" s="724"/>
      <c r="D119" s="724"/>
      <c r="E119" s="724"/>
      <c r="F119" s="724"/>
      <c r="G119" s="724"/>
      <c r="H119" s="724"/>
      <c r="I119" s="724"/>
      <c r="J119" s="724"/>
      <c r="K119" s="724"/>
      <c r="L119" s="724"/>
      <c r="M119" s="724"/>
      <c r="N119" s="724"/>
      <c r="O119" s="724"/>
      <c r="P119" s="724"/>
      <c r="Q119" s="724"/>
      <c r="R119" s="724"/>
      <c r="S119" s="724"/>
      <c r="T119" s="724"/>
      <c r="U119" s="724"/>
      <c r="V119" s="724"/>
      <c r="W119" s="724"/>
      <c r="X119" s="724"/>
      <c r="Y119" s="724"/>
      <c r="Z119" s="724"/>
    </row>
    <row r="120" ht="14.25" customHeight="1">
      <c r="A120" s="724"/>
      <c r="B120" s="724"/>
      <c r="C120" s="724"/>
      <c r="D120" s="724"/>
      <c r="E120" s="724"/>
      <c r="F120" s="724"/>
      <c r="G120" s="724"/>
      <c r="H120" s="724"/>
      <c r="I120" s="724"/>
      <c r="J120" s="724"/>
      <c r="K120" s="724"/>
      <c r="L120" s="724"/>
      <c r="M120" s="724"/>
      <c r="N120" s="724"/>
      <c r="O120" s="724"/>
      <c r="P120" s="724"/>
      <c r="Q120" s="724"/>
      <c r="R120" s="724"/>
      <c r="S120" s="724"/>
      <c r="T120" s="724"/>
      <c r="U120" s="724"/>
      <c r="V120" s="724"/>
      <c r="W120" s="724"/>
      <c r="X120" s="724"/>
      <c r="Y120" s="724"/>
      <c r="Z120" s="724"/>
    </row>
    <row r="121" ht="14.25" customHeight="1">
      <c r="A121" s="724"/>
      <c r="B121" s="724"/>
      <c r="C121" s="724"/>
      <c r="D121" s="724"/>
      <c r="E121" s="724"/>
      <c r="F121" s="724"/>
      <c r="G121" s="724"/>
      <c r="H121" s="724"/>
      <c r="I121" s="724"/>
      <c r="J121" s="724"/>
      <c r="K121" s="724"/>
      <c r="L121" s="724"/>
      <c r="M121" s="724"/>
      <c r="N121" s="724"/>
      <c r="O121" s="724"/>
      <c r="P121" s="724"/>
      <c r="Q121" s="724"/>
      <c r="R121" s="724"/>
      <c r="S121" s="724"/>
      <c r="T121" s="724"/>
      <c r="U121" s="724"/>
      <c r="V121" s="724"/>
      <c r="W121" s="724"/>
      <c r="X121" s="724"/>
      <c r="Y121" s="724"/>
      <c r="Z121" s="724"/>
    </row>
    <row r="122" ht="14.25" customHeight="1">
      <c r="A122" s="724"/>
      <c r="B122" s="724"/>
      <c r="C122" s="724"/>
      <c r="D122" s="724"/>
      <c r="E122" s="724"/>
      <c r="F122" s="724"/>
      <c r="G122" s="724"/>
      <c r="H122" s="724"/>
      <c r="I122" s="724"/>
      <c r="J122" s="724"/>
      <c r="K122" s="724"/>
      <c r="L122" s="724"/>
      <c r="M122" s="724"/>
      <c r="N122" s="724"/>
      <c r="O122" s="724"/>
      <c r="P122" s="724"/>
      <c r="Q122" s="724"/>
      <c r="R122" s="724"/>
      <c r="S122" s="724"/>
      <c r="T122" s="724"/>
      <c r="U122" s="724"/>
      <c r="V122" s="724"/>
      <c r="W122" s="724"/>
      <c r="X122" s="724"/>
      <c r="Y122" s="724"/>
      <c r="Z122" s="724"/>
    </row>
    <row r="123" ht="14.25" customHeight="1">
      <c r="A123" s="724"/>
      <c r="B123" s="724"/>
      <c r="C123" s="724"/>
      <c r="D123" s="724"/>
      <c r="E123" s="724"/>
      <c r="F123" s="724"/>
      <c r="G123" s="724"/>
      <c r="H123" s="724"/>
      <c r="I123" s="724"/>
      <c r="J123" s="724"/>
      <c r="K123" s="724"/>
      <c r="L123" s="724"/>
      <c r="M123" s="724"/>
      <c r="N123" s="724"/>
      <c r="O123" s="724"/>
      <c r="P123" s="724"/>
      <c r="Q123" s="724"/>
      <c r="R123" s="724"/>
      <c r="S123" s="724"/>
      <c r="T123" s="724"/>
      <c r="U123" s="724"/>
      <c r="V123" s="724"/>
      <c r="W123" s="724"/>
      <c r="X123" s="724"/>
      <c r="Y123" s="724"/>
      <c r="Z123" s="724"/>
    </row>
    <row r="124" ht="14.25" customHeight="1">
      <c r="A124" s="724"/>
      <c r="B124" s="724"/>
      <c r="C124" s="724"/>
      <c r="D124" s="724"/>
      <c r="E124" s="724"/>
      <c r="F124" s="724"/>
      <c r="G124" s="724"/>
      <c r="H124" s="724"/>
      <c r="I124" s="724"/>
      <c r="J124" s="724"/>
      <c r="K124" s="724"/>
      <c r="L124" s="724"/>
      <c r="M124" s="724"/>
      <c r="N124" s="724"/>
      <c r="O124" s="724"/>
      <c r="P124" s="724"/>
      <c r="Q124" s="724"/>
      <c r="R124" s="724"/>
      <c r="S124" s="724"/>
      <c r="T124" s="724"/>
      <c r="U124" s="724"/>
      <c r="V124" s="724"/>
      <c r="W124" s="724"/>
      <c r="X124" s="724"/>
      <c r="Y124" s="724"/>
      <c r="Z124" s="724"/>
    </row>
    <row r="125" ht="14.25" customHeight="1">
      <c r="A125" s="724"/>
      <c r="B125" s="724"/>
      <c r="C125" s="724"/>
      <c r="D125" s="724"/>
      <c r="E125" s="724"/>
      <c r="F125" s="724"/>
      <c r="G125" s="724"/>
      <c r="H125" s="724"/>
      <c r="I125" s="724"/>
      <c r="J125" s="724"/>
      <c r="K125" s="724"/>
      <c r="L125" s="724"/>
      <c r="M125" s="724"/>
      <c r="N125" s="724"/>
      <c r="O125" s="724"/>
      <c r="P125" s="724"/>
      <c r="Q125" s="724"/>
      <c r="R125" s="724"/>
      <c r="S125" s="724"/>
      <c r="T125" s="724"/>
      <c r="U125" s="724"/>
      <c r="V125" s="724"/>
      <c r="W125" s="724"/>
      <c r="X125" s="724"/>
      <c r="Y125" s="724"/>
      <c r="Z125" s="724"/>
    </row>
    <row r="126" ht="14.25" customHeight="1">
      <c r="A126" s="724"/>
      <c r="B126" s="724"/>
      <c r="C126" s="724"/>
      <c r="D126" s="724"/>
      <c r="E126" s="724"/>
      <c r="F126" s="724"/>
      <c r="G126" s="724"/>
      <c r="H126" s="724"/>
      <c r="I126" s="724"/>
      <c r="J126" s="724"/>
      <c r="K126" s="724"/>
      <c r="L126" s="724"/>
      <c r="M126" s="724"/>
      <c r="N126" s="724"/>
      <c r="O126" s="724"/>
      <c r="P126" s="724"/>
      <c r="Q126" s="724"/>
      <c r="R126" s="724"/>
      <c r="S126" s="724"/>
      <c r="T126" s="724"/>
      <c r="U126" s="724"/>
      <c r="V126" s="724"/>
      <c r="W126" s="724"/>
      <c r="X126" s="724"/>
      <c r="Y126" s="724"/>
      <c r="Z126" s="724"/>
    </row>
    <row r="127" ht="14.25" customHeight="1">
      <c r="A127" s="724"/>
      <c r="B127" s="724"/>
      <c r="C127" s="724"/>
      <c r="D127" s="724"/>
      <c r="E127" s="724"/>
      <c r="F127" s="724"/>
      <c r="G127" s="724"/>
      <c r="H127" s="724"/>
      <c r="I127" s="724"/>
      <c r="J127" s="724"/>
      <c r="K127" s="724"/>
      <c r="L127" s="724"/>
      <c r="M127" s="724"/>
      <c r="N127" s="724"/>
      <c r="O127" s="724"/>
      <c r="P127" s="724"/>
      <c r="Q127" s="724"/>
      <c r="R127" s="724"/>
      <c r="S127" s="724"/>
      <c r="T127" s="724"/>
      <c r="U127" s="724"/>
      <c r="V127" s="724"/>
      <c r="W127" s="724"/>
      <c r="X127" s="724"/>
      <c r="Y127" s="724"/>
      <c r="Z127" s="724"/>
    </row>
    <row r="128" ht="14.25" customHeight="1">
      <c r="A128" s="724"/>
      <c r="B128" s="724"/>
      <c r="C128" s="724"/>
      <c r="D128" s="724"/>
      <c r="E128" s="724"/>
      <c r="F128" s="724"/>
      <c r="G128" s="724"/>
      <c r="H128" s="724"/>
      <c r="I128" s="724"/>
      <c r="J128" s="724"/>
      <c r="K128" s="724"/>
      <c r="L128" s="724"/>
      <c r="M128" s="724"/>
      <c r="N128" s="724"/>
      <c r="O128" s="724"/>
      <c r="P128" s="724"/>
      <c r="Q128" s="724"/>
      <c r="R128" s="724"/>
      <c r="S128" s="724"/>
      <c r="T128" s="724"/>
      <c r="U128" s="724"/>
      <c r="V128" s="724"/>
      <c r="W128" s="724"/>
      <c r="X128" s="724"/>
      <c r="Y128" s="724"/>
      <c r="Z128" s="724"/>
    </row>
    <row r="129" ht="14.25" customHeight="1">
      <c r="A129" s="724"/>
      <c r="B129" s="724"/>
      <c r="C129" s="724"/>
      <c r="D129" s="724"/>
      <c r="E129" s="724"/>
      <c r="F129" s="724"/>
      <c r="G129" s="724"/>
      <c r="H129" s="724"/>
      <c r="I129" s="724"/>
      <c r="J129" s="724"/>
      <c r="K129" s="724"/>
      <c r="L129" s="724"/>
      <c r="M129" s="724"/>
      <c r="N129" s="724"/>
      <c r="O129" s="724"/>
      <c r="P129" s="724"/>
      <c r="Q129" s="724"/>
      <c r="R129" s="724"/>
      <c r="S129" s="724"/>
      <c r="T129" s="724"/>
      <c r="U129" s="724"/>
      <c r="V129" s="724"/>
      <c r="W129" s="724"/>
      <c r="X129" s="724"/>
      <c r="Y129" s="724"/>
      <c r="Z129" s="724"/>
    </row>
    <row r="130" ht="14.25" customHeight="1">
      <c r="A130" s="724"/>
      <c r="B130" s="724"/>
      <c r="C130" s="724"/>
      <c r="D130" s="724"/>
      <c r="E130" s="724"/>
      <c r="F130" s="724"/>
      <c r="G130" s="724"/>
      <c r="H130" s="724"/>
      <c r="I130" s="724"/>
      <c r="J130" s="724"/>
      <c r="K130" s="724"/>
      <c r="L130" s="724"/>
      <c r="M130" s="724"/>
      <c r="N130" s="724"/>
      <c r="O130" s="724"/>
      <c r="P130" s="724"/>
      <c r="Q130" s="724"/>
      <c r="R130" s="724"/>
      <c r="S130" s="724"/>
      <c r="T130" s="724"/>
      <c r="U130" s="724"/>
      <c r="V130" s="724"/>
      <c r="W130" s="724"/>
      <c r="X130" s="724"/>
      <c r="Y130" s="724"/>
      <c r="Z130" s="724"/>
    </row>
    <row r="131" ht="14.25" customHeight="1">
      <c r="A131" s="724"/>
      <c r="B131" s="724"/>
      <c r="C131" s="724"/>
      <c r="D131" s="724"/>
      <c r="E131" s="724"/>
      <c r="F131" s="724"/>
      <c r="G131" s="724"/>
      <c r="H131" s="724"/>
      <c r="I131" s="724"/>
      <c r="J131" s="724"/>
      <c r="K131" s="724"/>
      <c r="L131" s="724"/>
      <c r="M131" s="724"/>
      <c r="N131" s="724"/>
      <c r="O131" s="724"/>
      <c r="P131" s="724"/>
      <c r="Q131" s="724"/>
      <c r="R131" s="724"/>
      <c r="S131" s="724"/>
      <c r="T131" s="724"/>
      <c r="U131" s="724"/>
      <c r="V131" s="724"/>
      <c r="W131" s="724"/>
      <c r="X131" s="724"/>
      <c r="Y131" s="724"/>
      <c r="Z131" s="724"/>
    </row>
    <row r="132" ht="14.25" customHeight="1">
      <c r="A132" s="724"/>
      <c r="B132" s="724"/>
      <c r="C132" s="724"/>
      <c r="D132" s="724"/>
      <c r="E132" s="724"/>
      <c r="F132" s="724"/>
      <c r="G132" s="724"/>
      <c r="H132" s="724"/>
      <c r="I132" s="724"/>
      <c r="J132" s="724"/>
      <c r="K132" s="724"/>
      <c r="L132" s="724"/>
      <c r="M132" s="724"/>
      <c r="N132" s="724"/>
      <c r="O132" s="724"/>
      <c r="P132" s="724"/>
      <c r="Q132" s="724"/>
      <c r="R132" s="724"/>
      <c r="S132" s="724"/>
      <c r="T132" s="724"/>
      <c r="U132" s="724"/>
      <c r="V132" s="724"/>
      <c r="W132" s="724"/>
      <c r="X132" s="724"/>
      <c r="Y132" s="724"/>
      <c r="Z132" s="724"/>
    </row>
    <row r="133" ht="14.25" customHeight="1">
      <c r="A133" s="724"/>
      <c r="B133" s="724"/>
      <c r="C133" s="724"/>
      <c r="D133" s="724"/>
      <c r="E133" s="724"/>
      <c r="F133" s="724"/>
      <c r="G133" s="724"/>
      <c r="H133" s="724"/>
      <c r="I133" s="724"/>
      <c r="J133" s="724"/>
      <c r="K133" s="724"/>
      <c r="L133" s="724"/>
      <c r="M133" s="724"/>
      <c r="N133" s="724"/>
      <c r="O133" s="724"/>
      <c r="P133" s="724"/>
      <c r="Q133" s="724"/>
      <c r="R133" s="724"/>
      <c r="S133" s="724"/>
      <c r="T133" s="724"/>
      <c r="U133" s="724"/>
      <c r="V133" s="724"/>
      <c r="W133" s="724"/>
      <c r="X133" s="724"/>
      <c r="Y133" s="724"/>
      <c r="Z133" s="724"/>
    </row>
    <row r="134" ht="14.25" customHeight="1">
      <c r="A134" s="724"/>
      <c r="B134" s="724"/>
      <c r="C134" s="724"/>
      <c r="D134" s="724"/>
      <c r="E134" s="724"/>
      <c r="F134" s="724"/>
      <c r="G134" s="724"/>
      <c r="H134" s="724"/>
      <c r="I134" s="724"/>
      <c r="J134" s="724"/>
      <c r="K134" s="724"/>
      <c r="L134" s="724"/>
      <c r="M134" s="724"/>
      <c r="N134" s="724"/>
      <c r="O134" s="724"/>
      <c r="P134" s="724"/>
      <c r="Q134" s="724"/>
      <c r="R134" s="724"/>
      <c r="S134" s="724"/>
      <c r="T134" s="724"/>
      <c r="U134" s="724"/>
      <c r="V134" s="724"/>
      <c r="W134" s="724"/>
      <c r="X134" s="724"/>
      <c r="Y134" s="724"/>
      <c r="Z134" s="724"/>
    </row>
    <row r="135" ht="14.25" customHeight="1">
      <c r="A135" s="724"/>
      <c r="B135" s="724"/>
      <c r="C135" s="724"/>
      <c r="D135" s="724"/>
      <c r="E135" s="724"/>
      <c r="F135" s="724"/>
      <c r="G135" s="724"/>
      <c r="H135" s="724"/>
      <c r="I135" s="724"/>
      <c r="J135" s="724"/>
      <c r="K135" s="724"/>
      <c r="L135" s="724"/>
      <c r="M135" s="724"/>
      <c r="N135" s="724"/>
      <c r="O135" s="724"/>
      <c r="P135" s="724"/>
      <c r="Q135" s="724"/>
      <c r="R135" s="724"/>
      <c r="S135" s="724"/>
      <c r="T135" s="724"/>
      <c r="U135" s="724"/>
      <c r="V135" s="724"/>
      <c r="W135" s="724"/>
      <c r="X135" s="724"/>
      <c r="Y135" s="724"/>
      <c r="Z135" s="724"/>
    </row>
    <row r="136" ht="14.25" customHeight="1">
      <c r="A136" s="724"/>
      <c r="B136" s="724"/>
      <c r="C136" s="724"/>
      <c r="D136" s="724"/>
      <c r="E136" s="724"/>
      <c r="F136" s="724"/>
      <c r="G136" s="724"/>
      <c r="H136" s="724"/>
      <c r="I136" s="724"/>
      <c r="J136" s="724"/>
      <c r="K136" s="724"/>
      <c r="L136" s="724"/>
      <c r="M136" s="724"/>
      <c r="N136" s="724"/>
      <c r="O136" s="724"/>
      <c r="P136" s="724"/>
      <c r="Q136" s="724"/>
      <c r="R136" s="724"/>
      <c r="S136" s="724"/>
      <c r="T136" s="724"/>
      <c r="U136" s="724"/>
      <c r="V136" s="724"/>
      <c r="W136" s="724"/>
      <c r="X136" s="724"/>
      <c r="Y136" s="724"/>
      <c r="Z136" s="724"/>
    </row>
    <row r="137" ht="14.25" customHeight="1">
      <c r="A137" s="724"/>
      <c r="B137" s="724"/>
      <c r="C137" s="724"/>
      <c r="D137" s="724"/>
      <c r="E137" s="724"/>
      <c r="F137" s="724"/>
      <c r="G137" s="724"/>
      <c r="H137" s="724"/>
      <c r="I137" s="724"/>
      <c r="J137" s="724"/>
      <c r="K137" s="724"/>
      <c r="L137" s="724"/>
      <c r="M137" s="724"/>
      <c r="N137" s="724"/>
      <c r="O137" s="724"/>
      <c r="P137" s="724"/>
      <c r="Q137" s="724"/>
      <c r="R137" s="724"/>
      <c r="S137" s="724"/>
      <c r="T137" s="724"/>
      <c r="U137" s="724"/>
      <c r="V137" s="724"/>
      <c r="W137" s="724"/>
      <c r="X137" s="724"/>
      <c r="Y137" s="724"/>
      <c r="Z137" s="724"/>
    </row>
    <row r="138" ht="14.25" customHeight="1">
      <c r="A138" s="724"/>
      <c r="B138" s="724"/>
      <c r="C138" s="724"/>
      <c r="D138" s="724"/>
      <c r="E138" s="724"/>
      <c r="F138" s="724"/>
      <c r="G138" s="724"/>
      <c r="H138" s="724"/>
      <c r="I138" s="724"/>
      <c r="J138" s="724"/>
      <c r="K138" s="724"/>
      <c r="L138" s="724"/>
      <c r="M138" s="724"/>
      <c r="N138" s="724"/>
      <c r="O138" s="724"/>
      <c r="P138" s="724"/>
      <c r="Q138" s="724"/>
      <c r="R138" s="724"/>
      <c r="S138" s="724"/>
      <c r="T138" s="724"/>
      <c r="U138" s="724"/>
      <c r="V138" s="724"/>
      <c r="W138" s="724"/>
      <c r="X138" s="724"/>
      <c r="Y138" s="724"/>
      <c r="Z138" s="724"/>
    </row>
    <row r="139" ht="14.25" customHeight="1">
      <c r="A139" s="724"/>
      <c r="B139" s="724"/>
      <c r="C139" s="724"/>
      <c r="D139" s="724"/>
      <c r="E139" s="724"/>
      <c r="F139" s="724"/>
      <c r="G139" s="724"/>
      <c r="H139" s="724"/>
      <c r="I139" s="724"/>
      <c r="J139" s="724"/>
      <c r="K139" s="724"/>
      <c r="L139" s="724"/>
      <c r="M139" s="724"/>
      <c r="N139" s="724"/>
      <c r="O139" s="724"/>
      <c r="P139" s="724"/>
      <c r="Q139" s="724"/>
      <c r="R139" s="724"/>
      <c r="S139" s="724"/>
      <c r="T139" s="724"/>
      <c r="U139" s="724"/>
      <c r="V139" s="724"/>
      <c r="W139" s="724"/>
      <c r="X139" s="724"/>
      <c r="Y139" s="724"/>
      <c r="Z139" s="724"/>
    </row>
    <row r="140" ht="14.25" customHeight="1">
      <c r="A140" s="724"/>
      <c r="B140" s="724"/>
      <c r="C140" s="724"/>
      <c r="D140" s="724"/>
      <c r="E140" s="724"/>
      <c r="F140" s="724"/>
      <c r="G140" s="724"/>
      <c r="H140" s="724"/>
      <c r="I140" s="724"/>
      <c r="J140" s="724"/>
      <c r="K140" s="724"/>
      <c r="L140" s="724"/>
      <c r="M140" s="724"/>
      <c r="N140" s="724"/>
      <c r="O140" s="724"/>
      <c r="P140" s="724"/>
      <c r="Q140" s="724"/>
      <c r="R140" s="724"/>
      <c r="S140" s="724"/>
      <c r="T140" s="724"/>
      <c r="U140" s="724"/>
      <c r="V140" s="724"/>
      <c r="W140" s="724"/>
      <c r="X140" s="724"/>
      <c r="Y140" s="724"/>
      <c r="Z140" s="724"/>
    </row>
    <row r="141" ht="14.25" customHeight="1">
      <c r="A141" s="724"/>
      <c r="B141" s="724"/>
      <c r="C141" s="724"/>
      <c r="D141" s="724"/>
      <c r="E141" s="724"/>
      <c r="F141" s="724"/>
      <c r="G141" s="724"/>
      <c r="H141" s="724"/>
      <c r="I141" s="724"/>
      <c r="J141" s="724"/>
      <c r="K141" s="724"/>
      <c r="L141" s="724"/>
      <c r="M141" s="724"/>
      <c r="N141" s="724"/>
      <c r="O141" s="724"/>
      <c r="P141" s="724"/>
      <c r="Q141" s="724"/>
      <c r="R141" s="724"/>
      <c r="S141" s="724"/>
      <c r="T141" s="724"/>
      <c r="U141" s="724"/>
      <c r="V141" s="724"/>
      <c r="W141" s="724"/>
      <c r="X141" s="724"/>
      <c r="Y141" s="724"/>
      <c r="Z141" s="724"/>
    </row>
    <row r="142" ht="14.25" customHeight="1">
      <c r="A142" s="724"/>
      <c r="B142" s="724"/>
      <c r="C142" s="724"/>
      <c r="D142" s="724"/>
      <c r="E142" s="724"/>
      <c r="F142" s="724"/>
      <c r="G142" s="724"/>
      <c r="H142" s="724"/>
      <c r="I142" s="724"/>
      <c r="J142" s="724"/>
      <c r="K142" s="724"/>
      <c r="L142" s="724"/>
      <c r="M142" s="724"/>
      <c r="N142" s="724"/>
      <c r="O142" s="724"/>
      <c r="P142" s="724"/>
      <c r="Q142" s="724"/>
      <c r="R142" s="724"/>
      <c r="S142" s="724"/>
      <c r="T142" s="724"/>
      <c r="U142" s="724"/>
      <c r="V142" s="724"/>
      <c r="W142" s="724"/>
      <c r="X142" s="724"/>
      <c r="Y142" s="724"/>
      <c r="Z142" s="724"/>
    </row>
    <row r="143" ht="14.25" customHeight="1">
      <c r="A143" s="724"/>
      <c r="B143" s="724"/>
      <c r="C143" s="724"/>
      <c r="D143" s="724"/>
      <c r="E143" s="724"/>
      <c r="F143" s="724"/>
      <c r="G143" s="724"/>
      <c r="H143" s="724"/>
      <c r="I143" s="724"/>
      <c r="J143" s="724"/>
      <c r="K143" s="724"/>
      <c r="L143" s="724"/>
      <c r="M143" s="724"/>
      <c r="N143" s="724"/>
      <c r="O143" s="724"/>
      <c r="P143" s="724"/>
      <c r="Q143" s="724"/>
      <c r="R143" s="724"/>
      <c r="S143" s="724"/>
      <c r="T143" s="724"/>
      <c r="U143" s="724"/>
      <c r="V143" s="724"/>
      <c r="W143" s="724"/>
      <c r="X143" s="724"/>
      <c r="Y143" s="724"/>
      <c r="Z143" s="724"/>
    </row>
    <row r="144" ht="14.25" customHeight="1">
      <c r="A144" s="724"/>
      <c r="B144" s="724"/>
      <c r="C144" s="724"/>
      <c r="D144" s="724"/>
      <c r="E144" s="724"/>
      <c r="F144" s="724"/>
      <c r="G144" s="724"/>
      <c r="H144" s="724"/>
      <c r="I144" s="724"/>
      <c r="J144" s="724"/>
      <c r="K144" s="724"/>
      <c r="L144" s="724"/>
      <c r="M144" s="724"/>
      <c r="N144" s="724"/>
      <c r="O144" s="724"/>
      <c r="P144" s="724"/>
      <c r="Q144" s="724"/>
      <c r="R144" s="724"/>
      <c r="S144" s="724"/>
      <c r="T144" s="724"/>
      <c r="U144" s="724"/>
      <c r="V144" s="724"/>
      <c r="W144" s="724"/>
      <c r="X144" s="724"/>
      <c r="Y144" s="724"/>
      <c r="Z144" s="724"/>
    </row>
    <row r="145" ht="14.25" customHeight="1">
      <c r="A145" s="724"/>
      <c r="B145" s="724"/>
      <c r="C145" s="724"/>
      <c r="D145" s="724"/>
      <c r="E145" s="724"/>
      <c r="F145" s="724"/>
      <c r="G145" s="724"/>
      <c r="H145" s="724"/>
      <c r="I145" s="724"/>
      <c r="J145" s="724"/>
      <c r="K145" s="724"/>
      <c r="L145" s="724"/>
      <c r="M145" s="724"/>
      <c r="N145" s="724"/>
      <c r="O145" s="724"/>
      <c r="P145" s="724"/>
      <c r="Q145" s="724"/>
      <c r="R145" s="724"/>
      <c r="S145" s="724"/>
      <c r="T145" s="724"/>
      <c r="U145" s="724"/>
      <c r="V145" s="724"/>
      <c r="W145" s="724"/>
      <c r="X145" s="724"/>
      <c r="Y145" s="724"/>
      <c r="Z145" s="724"/>
    </row>
    <row r="146" ht="14.25" customHeight="1">
      <c r="A146" s="724"/>
      <c r="B146" s="724"/>
      <c r="C146" s="724"/>
      <c r="D146" s="724"/>
      <c r="E146" s="724"/>
      <c r="F146" s="724"/>
      <c r="G146" s="724"/>
      <c r="H146" s="724"/>
      <c r="I146" s="724"/>
      <c r="J146" s="724"/>
      <c r="K146" s="724"/>
      <c r="L146" s="724"/>
      <c r="M146" s="724"/>
      <c r="N146" s="724"/>
      <c r="O146" s="724"/>
      <c r="P146" s="724"/>
      <c r="Q146" s="724"/>
      <c r="R146" s="724"/>
      <c r="S146" s="724"/>
      <c r="T146" s="724"/>
      <c r="U146" s="724"/>
      <c r="V146" s="724"/>
      <c r="W146" s="724"/>
      <c r="X146" s="724"/>
      <c r="Y146" s="724"/>
      <c r="Z146" s="724"/>
    </row>
    <row r="147" ht="14.25" customHeight="1">
      <c r="A147" s="724"/>
      <c r="B147" s="724"/>
      <c r="C147" s="724"/>
      <c r="D147" s="724"/>
      <c r="E147" s="724"/>
      <c r="F147" s="724"/>
      <c r="G147" s="724"/>
      <c r="H147" s="724"/>
      <c r="I147" s="724"/>
      <c r="J147" s="724"/>
      <c r="K147" s="724"/>
      <c r="L147" s="724"/>
      <c r="M147" s="724"/>
      <c r="N147" s="724"/>
      <c r="O147" s="724"/>
      <c r="P147" s="724"/>
      <c r="Q147" s="724"/>
      <c r="R147" s="724"/>
      <c r="S147" s="724"/>
      <c r="T147" s="724"/>
      <c r="U147" s="724"/>
      <c r="V147" s="724"/>
      <c r="W147" s="724"/>
      <c r="X147" s="724"/>
      <c r="Y147" s="724"/>
      <c r="Z147" s="724"/>
    </row>
    <row r="148" ht="14.25" customHeight="1">
      <c r="A148" s="724"/>
      <c r="B148" s="724"/>
      <c r="C148" s="724"/>
      <c r="D148" s="724"/>
      <c r="E148" s="724"/>
      <c r="F148" s="724"/>
      <c r="G148" s="724"/>
      <c r="H148" s="724"/>
      <c r="I148" s="724"/>
      <c r="J148" s="724"/>
      <c r="K148" s="724"/>
      <c r="L148" s="724"/>
      <c r="M148" s="724"/>
      <c r="N148" s="724"/>
      <c r="O148" s="724"/>
      <c r="P148" s="724"/>
      <c r="Q148" s="724"/>
      <c r="R148" s="724"/>
      <c r="S148" s="724"/>
      <c r="T148" s="724"/>
      <c r="U148" s="724"/>
      <c r="V148" s="724"/>
      <c r="W148" s="724"/>
      <c r="X148" s="724"/>
      <c r="Y148" s="724"/>
      <c r="Z148" s="724"/>
    </row>
    <row r="149" ht="14.25" customHeight="1">
      <c r="A149" s="724"/>
      <c r="B149" s="724"/>
      <c r="C149" s="724"/>
      <c r="D149" s="724"/>
      <c r="E149" s="724"/>
      <c r="F149" s="724"/>
      <c r="G149" s="724"/>
      <c r="H149" s="724"/>
      <c r="I149" s="724"/>
      <c r="J149" s="724"/>
      <c r="K149" s="724"/>
      <c r="L149" s="724"/>
      <c r="M149" s="724"/>
      <c r="N149" s="724"/>
      <c r="O149" s="724"/>
      <c r="P149" s="724"/>
      <c r="Q149" s="724"/>
      <c r="R149" s="724"/>
      <c r="S149" s="724"/>
      <c r="T149" s="724"/>
      <c r="U149" s="724"/>
      <c r="V149" s="724"/>
      <c r="W149" s="724"/>
      <c r="X149" s="724"/>
      <c r="Y149" s="724"/>
      <c r="Z149" s="724"/>
    </row>
    <row r="150" ht="14.25" customHeight="1">
      <c r="A150" s="724"/>
      <c r="B150" s="724"/>
      <c r="C150" s="724"/>
      <c r="D150" s="724"/>
      <c r="E150" s="724"/>
      <c r="F150" s="724"/>
      <c r="G150" s="724"/>
      <c r="H150" s="724"/>
      <c r="I150" s="724"/>
      <c r="J150" s="724"/>
      <c r="K150" s="724"/>
      <c r="L150" s="724"/>
      <c r="M150" s="724"/>
      <c r="N150" s="724"/>
      <c r="O150" s="724"/>
      <c r="P150" s="724"/>
      <c r="Q150" s="724"/>
      <c r="R150" s="724"/>
      <c r="S150" s="724"/>
      <c r="T150" s="724"/>
      <c r="U150" s="724"/>
      <c r="V150" s="724"/>
      <c r="W150" s="724"/>
      <c r="X150" s="724"/>
      <c r="Y150" s="724"/>
      <c r="Z150" s="724"/>
    </row>
    <row r="151" ht="14.25" customHeight="1">
      <c r="A151" s="724"/>
      <c r="B151" s="724"/>
      <c r="C151" s="724"/>
      <c r="D151" s="724"/>
      <c r="E151" s="724"/>
      <c r="F151" s="724"/>
      <c r="G151" s="724"/>
      <c r="H151" s="724"/>
      <c r="I151" s="724"/>
      <c r="J151" s="724"/>
      <c r="K151" s="724"/>
      <c r="L151" s="724"/>
      <c r="M151" s="724"/>
      <c r="N151" s="724"/>
      <c r="O151" s="724"/>
      <c r="P151" s="724"/>
      <c r="Q151" s="724"/>
      <c r="R151" s="724"/>
      <c r="S151" s="724"/>
      <c r="T151" s="724"/>
      <c r="U151" s="724"/>
      <c r="V151" s="724"/>
      <c r="W151" s="724"/>
      <c r="X151" s="724"/>
      <c r="Y151" s="724"/>
      <c r="Z151" s="724"/>
    </row>
    <row r="152" ht="14.25" customHeight="1">
      <c r="A152" s="724"/>
      <c r="B152" s="724"/>
      <c r="C152" s="724"/>
      <c r="D152" s="724"/>
      <c r="E152" s="724"/>
      <c r="F152" s="724"/>
      <c r="G152" s="724"/>
      <c r="H152" s="724"/>
      <c r="I152" s="724"/>
      <c r="J152" s="724"/>
      <c r="K152" s="724"/>
      <c r="L152" s="724"/>
      <c r="M152" s="724"/>
      <c r="N152" s="724"/>
      <c r="O152" s="724"/>
      <c r="P152" s="724"/>
      <c r="Q152" s="724"/>
      <c r="R152" s="724"/>
      <c r="S152" s="724"/>
      <c r="T152" s="724"/>
      <c r="U152" s="724"/>
      <c r="V152" s="724"/>
      <c r="W152" s="724"/>
      <c r="X152" s="724"/>
      <c r="Y152" s="724"/>
      <c r="Z152" s="724"/>
    </row>
    <row r="153" ht="14.25" customHeight="1">
      <c r="A153" s="724"/>
      <c r="B153" s="724"/>
      <c r="C153" s="724"/>
      <c r="D153" s="724"/>
      <c r="E153" s="724"/>
      <c r="F153" s="724"/>
      <c r="G153" s="724"/>
      <c r="H153" s="724"/>
      <c r="I153" s="724"/>
      <c r="J153" s="724"/>
      <c r="K153" s="724"/>
      <c r="L153" s="724"/>
      <c r="M153" s="724"/>
      <c r="N153" s="724"/>
      <c r="O153" s="724"/>
      <c r="P153" s="724"/>
      <c r="Q153" s="724"/>
      <c r="R153" s="724"/>
      <c r="S153" s="724"/>
      <c r="T153" s="724"/>
      <c r="U153" s="724"/>
      <c r="V153" s="724"/>
      <c r="W153" s="724"/>
      <c r="X153" s="724"/>
      <c r="Y153" s="724"/>
      <c r="Z153" s="724"/>
    </row>
    <row r="154" ht="14.25" customHeight="1">
      <c r="A154" s="724"/>
      <c r="B154" s="724"/>
      <c r="C154" s="724"/>
      <c r="D154" s="724"/>
      <c r="E154" s="724"/>
      <c r="F154" s="724"/>
      <c r="G154" s="724"/>
      <c r="H154" s="724"/>
      <c r="I154" s="724"/>
      <c r="J154" s="724"/>
      <c r="K154" s="724"/>
      <c r="L154" s="724"/>
      <c r="M154" s="724"/>
      <c r="N154" s="724"/>
      <c r="O154" s="724"/>
      <c r="P154" s="724"/>
      <c r="Q154" s="724"/>
      <c r="R154" s="724"/>
      <c r="S154" s="724"/>
      <c r="T154" s="724"/>
      <c r="U154" s="724"/>
      <c r="V154" s="724"/>
      <c r="W154" s="724"/>
      <c r="X154" s="724"/>
      <c r="Y154" s="724"/>
      <c r="Z154" s="724"/>
    </row>
    <row r="155" ht="14.25" customHeight="1">
      <c r="A155" s="724"/>
      <c r="B155" s="724"/>
      <c r="C155" s="724"/>
      <c r="D155" s="724"/>
      <c r="E155" s="724"/>
      <c r="F155" s="724"/>
      <c r="G155" s="724"/>
      <c r="H155" s="724"/>
      <c r="I155" s="724"/>
      <c r="J155" s="724"/>
      <c r="K155" s="724"/>
      <c r="L155" s="724"/>
      <c r="M155" s="724"/>
      <c r="N155" s="724"/>
      <c r="O155" s="724"/>
      <c r="P155" s="724"/>
      <c r="Q155" s="724"/>
      <c r="R155" s="724"/>
      <c r="S155" s="724"/>
      <c r="T155" s="724"/>
      <c r="U155" s="724"/>
      <c r="V155" s="724"/>
      <c r="W155" s="724"/>
      <c r="X155" s="724"/>
      <c r="Y155" s="724"/>
      <c r="Z155" s="724"/>
    </row>
    <row r="156" ht="14.25" customHeight="1">
      <c r="A156" s="724"/>
      <c r="B156" s="724"/>
      <c r="C156" s="724"/>
      <c r="D156" s="724"/>
      <c r="E156" s="724"/>
      <c r="F156" s="724"/>
      <c r="G156" s="724"/>
      <c r="H156" s="724"/>
      <c r="I156" s="724"/>
      <c r="J156" s="724"/>
      <c r="K156" s="724"/>
      <c r="L156" s="724"/>
      <c r="M156" s="724"/>
      <c r="N156" s="724"/>
      <c r="O156" s="724"/>
      <c r="P156" s="724"/>
      <c r="Q156" s="724"/>
      <c r="R156" s="724"/>
      <c r="S156" s="724"/>
      <c r="T156" s="724"/>
      <c r="U156" s="724"/>
      <c r="V156" s="724"/>
      <c r="W156" s="724"/>
      <c r="X156" s="724"/>
      <c r="Y156" s="724"/>
      <c r="Z156" s="724"/>
    </row>
    <row r="157" ht="14.25" customHeight="1">
      <c r="A157" s="724"/>
      <c r="B157" s="724"/>
      <c r="C157" s="724"/>
      <c r="D157" s="724"/>
      <c r="E157" s="724"/>
      <c r="F157" s="724"/>
      <c r="G157" s="724"/>
      <c r="H157" s="724"/>
      <c r="I157" s="724"/>
      <c r="J157" s="724"/>
      <c r="K157" s="724"/>
      <c r="L157" s="724"/>
      <c r="M157" s="724"/>
      <c r="N157" s="724"/>
      <c r="O157" s="724"/>
      <c r="P157" s="724"/>
      <c r="Q157" s="724"/>
      <c r="R157" s="724"/>
      <c r="S157" s="724"/>
      <c r="T157" s="724"/>
      <c r="U157" s="724"/>
      <c r="V157" s="724"/>
      <c r="W157" s="724"/>
      <c r="X157" s="724"/>
      <c r="Y157" s="724"/>
      <c r="Z157" s="724"/>
    </row>
    <row r="158" ht="14.25" customHeight="1">
      <c r="A158" s="724"/>
      <c r="B158" s="724"/>
      <c r="C158" s="724"/>
      <c r="D158" s="724"/>
      <c r="E158" s="724"/>
      <c r="F158" s="724"/>
      <c r="G158" s="724"/>
      <c r="H158" s="724"/>
      <c r="I158" s="724"/>
      <c r="J158" s="724"/>
      <c r="K158" s="724"/>
      <c r="L158" s="724"/>
      <c r="M158" s="724"/>
      <c r="N158" s="724"/>
      <c r="O158" s="724"/>
      <c r="P158" s="724"/>
      <c r="Q158" s="724"/>
      <c r="R158" s="724"/>
      <c r="S158" s="724"/>
      <c r="T158" s="724"/>
      <c r="U158" s="724"/>
      <c r="V158" s="724"/>
      <c r="W158" s="724"/>
      <c r="X158" s="724"/>
      <c r="Y158" s="724"/>
      <c r="Z158" s="724"/>
    </row>
    <row r="159" ht="14.25" customHeight="1">
      <c r="A159" s="724"/>
      <c r="B159" s="724"/>
      <c r="C159" s="724"/>
      <c r="D159" s="724"/>
      <c r="E159" s="724"/>
      <c r="F159" s="724"/>
      <c r="G159" s="724"/>
      <c r="H159" s="724"/>
      <c r="I159" s="724"/>
      <c r="J159" s="724"/>
      <c r="K159" s="724"/>
      <c r="L159" s="724"/>
      <c r="M159" s="724"/>
      <c r="N159" s="724"/>
      <c r="O159" s="724"/>
      <c r="P159" s="724"/>
      <c r="Q159" s="724"/>
      <c r="R159" s="724"/>
      <c r="S159" s="724"/>
      <c r="T159" s="724"/>
      <c r="U159" s="724"/>
      <c r="V159" s="724"/>
      <c r="W159" s="724"/>
      <c r="X159" s="724"/>
      <c r="Y159" s="724"/>
      <c r="Z159" s="724"/>
    </row>
    <row r="160" ht="14.25" customHeight="1">
      <c r="A160" s="724"/>
      <c r="B160" s="724"/>
      <c r="C160" s="724"/>
      <c r="D160" s="724"/>
      <c r="E160" s="724"/>
      <c r="F160" s="724"/>
      <c r="G160" s="724"/>
      <c r="H160" s="724"/>
      <c r="I160" s="724"/>
      <c r="J160" s="724"/>
      <c r="K160" s="724"/>
      <c r="L160" s="724"/>
      <c r="M160" s="724"/>
      <c r="N160" s="724"/>
      <c r="O160" s="724"/>
      <c r="P160" s="724"/>
      <c r="Q160" s="724"/>
      <c r="R160" s="724"/>
      <c r="S160" s="724"/>
      <c r="T160" s="724"/>
      <c r="U160" s="724"/>
      <c r="V160" s="724"/>
      <c r="W160" s="724"/>
      <c r="X160" s="724"/>
      <c r="Y160" s="724"/>
      <c r="Z160" s="724"/>
    </row>
    <row r="161" ht="14.25" customHeight="1">
      <c r="A161" s="724"/>
      <c r="B161" s="724"/>
      <c r="C161" s="724"/>
      <c r="D161" s="724"/>
      <c r="E161" s="724"/>
      <c r="F161" s="724"/>
      <c r="G161" s="724"/>
      <c r="H161" s="724"/>
      <c r="I161" s="724"/>
      <c r="J161" s="724"/>
      <c r="K161" s="724"/>
      <c r="L161" s="724"/>
      <c r="M161" s="724"/>
      <c r="N161" s="724"/>
      <c r="O161" s="724"/>
      <c r="P161" s="724"/>
      <c r="Q161" s="724"/>
      <c r="R161" s="724"/>
      <c r="S161" s="724"/>
      <c r="T161" s="724"/>
      <c r="U161" s="724"/>
      <c r="V161" s="724"/>
      <c r="W161" s="724"/>
      <c r="X161" s="724"/>
      <c r="Y161" s="724"/>
      <c r="Z161" s="724"/>
    </row>
    <row r="162" ht="14.25" customHeight="1">
      <c r="A162" s="724"/>
      <c r="B162" s="724"/>
      <c r="C162" s="724"/>
      <c r="D162" s="724"/>
      <c r="E162" s="724"/>
      <c r="F162" s="724"/>
      <c r="G162" s="724"/>
      <c r="H162" s="724"/>
      <c r="I162" s="724"/>
      <c r="J162" s="724"/>
      <c r="K162" s="724"/>
      <c r="L162" s="724"/>
      <c r="M162" s="724"/>
      <c r="N162" s="724"/>
      <c r="O162" s="724"/>
      <c r="P162" s="724"/>
      <c r="Q162" s="724"/>
      <c r="R162" s="724"/>
      <c r="S162" s="724"/>
      <c r="T162" s="724"/>
      <c r="U162" s="724"/>
      <c r="V162" s="724"/>
      <c r="W162" s="724"/>
      <c r="X162" s="724"/>
      <c r="Y162" s="724"/>
      <c r="Z162" s="724"/>
    </row>
    <row r="163" ht="14.25" customHeight="1">
      <c r="A163" s="724"/>
      <c r="B163" s="724"/>
      <c r="C163" s="724"/>
      <c r="D163" s="724"/>
      <c r="E163" s="724"/>
      <c r="F163" s="724"/>
      <c r="G163" s="724"/>
      <c r="H163" s="724"/>
      <c r="I163" s="724"/>
      <c r="J163" s="724"/>
      <c r="K163" s="724"/>
      <c r="L163" s="724"/>
      <c r="M163" s="724"/>
      <c r="N163" s="724"/>
      <c r="O163" s="724"/>
      <c r="P163" s="724"/>
      <c r="Q163" s="724"/>
      <c r="R163" s="724"/>
      <c r="S163" s="724"/>
      <c r="T163" s="724"/>
      <c r="U163" s="724"/>
      <c r="V163" s="724"/>
      <c r="W163" s="724"/>
      <c r="X163" s="724"/>
      <c r="Y163" s="724"/>
      <c r="Z163" s="724"/>
    </row>
    <row r="164" ht="14.25" customHeight="1">
      <c r="A164" s="724"/>
      <c r="B164" s="724"/>
      <c r="C164" s="724"/>
      <c r="D164" s="724"/>
      <c r="E164" s="724"/>
      <c r="F164" s="724"/>
      <c r="G164" s="724"/>
      <c r="H164" s="724"/>
      <c r="I164" s="724"/>
      <c r="J164" s="724"/>
      <c r="K164" s="724"/>
      <c r="L164" s="724"/>
      <c r="M164" s="724"/>
      <c r="N164" s="724"/>
      <c r="O164" s="724"/>
      <c r="P164" s="724"/>
      <c r="Q164" s="724"/>
      <c r="R164" s="724"/>
      <c r="S164" s="724"/>
      <c r="T164" s="724"/>
      <c r="U164" s="724"/>
      <c r="V164" s="724"/>
      <c r="W164" s="724"/>
      <c r="X164" s="724"/>
      <c r="Y164" s="724"/>
      <c r="Z164" s="724"/>
    </row>
    <row r="165" ht="14.25" customHeight="1">
      <c r="A165" s="724"/>
      <c r="B165" s="724"/>
      <c r="C165" s="724"/>
      <c r="D165" s="724"/>
      <c r="E165" s="724"/>
      <c r="F165" s="724"/>
      <c r="G165" s="724"/>
      <c r="H165" s="724"/>
      <c r="I165" s="724"/>
      <c r="J165" s="724"/>
      <c r="K165" s="724"/>
      <c r="L165" s="724"/>
      <c r="M165" s="724"/>
      <c r="N165" s="724"/>
      <c r="O165" s="724"/>
      <c r="P165" s="724"/>
      <c r="Q165" s="724"/>
      <c r="R165" s="724"/>
      <c r="S165" s="724"/>
      <c r="T165" s="724"/>
      <c r="U165" s="724"/>
      <c r="V165" s="724"/>
      <c r="W165" s="724"/>
      <c r="X165" s="724"/>
      <c r="Y165" s="724"/>
      <c r="Z165" s="724"/>
    </row>
    <row r="166" ht="14.25" customHeight="1">
      <c r="A166" s="724"/>
      <c r="B166" s="724"/>
      <c r="C166" s="724"/>
      <c r="D166" s="724"/>
      <c r="E166" s="724"/>
      <c r="F166" s="724"/>
      <c r="G166" s="724"/>
      <c r="H166" s="724"/>
      <c r="I166" s="724"/>
      <c r="J166" s="724"/>
      <c r="K166" s="724"/>
      <c r="L166" s="724"/>
      <c r="M166" s="724"/>
      <c r="N166" s="724"/>
      <c r="O166" s="724"/>
      <c r="P166" s="724"/>
      <c r="Q166" s="724"/>
      <c r="R166" s="724"/>
      <c r="S166" s="724"/>
      <c r="T166" s="724"/>
      <c r="U166" s="724"/>
      <c r="V166" s="724"/>
      <c r="W166" s="724"/>
      <c r="X166" s="724"/>
      <c r="Y166" s="724"/>
      <c r="Z166" s="724"/>
    </row>
    <row r="167" ht="14.25" customHeight="1">
      <c r="A167" s="724"/>
      <c r="B167" s="724"/>
      <c r="C167" s="724"/>
      <c r="D167" s="724"/>
      <c r="E167" s="724"/>
      <c r="F167" s="724"/>
      <c r="G167" s="724"/>
      <c r="H167" s="724"/>
      <c r="I167" s="724"/>
      <c r="J167" s="724"/>
      <c r="K167" s="724"/>
      <c r="L167" s="724"/>
      <c r="M167" s="724"/>
      <c r="N167" s="724"/>
      <c r="O167" s="724"/>
      <c r="P167" s="724"/>
      <c r="Q167" s="724"/>
      <c r="R167" s="724"/>
      <c r="S167" s="724"/>
      <c r="T167" s="724"/>
      <c r="U167" s="724"/>
      <c r="V167" s="724"/>
      <c r="W167" s="724"/>
      <c r="X167" s="724"/>
      <c r="Y167" s="724"/>
      <c r="Z167" s="724"/>
    </row>
    <row r="168" ht="14.25" customHeight="1">
      <c r="A168" s="724"/>
      <c r="B168" s="724"/>
      <c r="C168" s="724"/>
      <c r="D168" s="724"/>
      <c r="E168" s="724"/>
      <c r="F168" s="724"/>
      <c r="G168" s="724"/>
      <c r="H168" s="724"/>
      <c r="I168" s="724"/>
      <c r="J168" s="724"/>
      <c r="K168" s="724"/>
      <c r="L168" s="724"/>
      <c r="M168" s="724"/>
      <c r="N168" s="724"/>
      <c r="O168" s="724"/>
      <c r="P168" s="724"/>
      <c r="Q168" s="724"/>
      <c r="R168" s="724"/>
      <c r="S168" s="724"/>
      <c r="T168" s="724"/>
      <c r="U168" s="724"/>
      <c r="V168" s="724"/>
      <c r="W168" s="724"/>
      <c r="X168" s="724"/>
      <c r="Y168" s="724"/>
      <c r="Z168" s="724"/>
    </row>
    <row r="169" ht="14.25" customHeight="1">
      <c r="A169" s="724"/>
      <c r="B169" s="724"/>
      <c r="C169" s="724"/>
      <c r="D169" s="724"/>
      <c r="E169" s="724"/>
      <c r="F169" s="724"/>
      <c r="G169" s="724"/>
      <c r="H169" s="724"/>
      <c r="I169" s="724"/>
      <c r="J169" s="724"/>
      <c r="K169" s="724"/>
      <c r="L169" s="724"/>
      <c r="M169" s="724"/>
      <c r="N169" s="724"/>
      <c r="O169" s="724"/>
      <c r="P169" s="724"/>
      <c r="Q169" s="724"/>
      <c r="R169" s="724"/>
      <c r="S169" s="724"/>
      <c r="T169" s="724"/>
      <c r="U169" s="724"/>
      <c r="V169" s="724"/>
      <c r="W169" s="724"/>
      <c r="X169" s="724"/>
      <c r="Y169" s="724"/>
      <c r="Z169" s="724"/>
    </row>
    <row r="170" ht="14.25" customHeight="1">
      <c r="A170" s="724"/>
      <c r="B170" s="724"/>
      <c r="C170" s="724"/>
      <c r="D170" s="724"/>
      <c r="E170" s="724"/>
      <c r="F170" s="724"/>
      <c r="G170" s="724"/>
      <c r="H170" s="724"/>
      <c r="I170" s="724"/>
      <c r="J170" s="724"/>
      <c r="K170" s="724"/>
      <c r="L170" s="724"/>
      <c r="M170" s="724"/>
      <c r="N170" s="724"/>
      <c r="O170" s="724"/>
      <c r="P170" s="724"/>
      <c r="Q170" s="724"/>
      <c r="R170" s="724"/>
      <c r="S170" s="724"/>
      <c r="T170" s="724"/>
      <c r="U170" s="724"/>
      <c r="V170" s="724"/>
      <c r="W170" s="724"/>
      <c r="X170" s="724"/>
      <c r="Y170" s="724"/>
      <c r="Z170" s="724"/>
    </row>
    <row r="171" ht="14.25" customHeight="1">
      <c r="A171" s="724"/>
      <c r="B171" s="724"/>
      <c r="C171" s="724"/>
      <c r="D171" s="724"/>
      <c r="E171" s="724"/>
      <c r="F171" s="724"/>
      <c r="G171" s="724"/>
      <c r="H171" s="724"/>
      <c r="I171" s="724"/>
      <c r="J171" s="724"/>
      <c r="K171" s="724"/>
      <c r="L171" s="724"/>
      <c r="M171" s="724"/>
      <c r="N171" s="724"/>
      <c r="O171" s="724"/>
      <c r="P171" s="724"/>
      <c r="Q171" s="724"/>
      <c r="R171" s="724"/>
      <c r="S171" s="724"/>
      <c r="T171" s="724"/>
      <c r="U171" s="724"/>
      <c r="V171" s="724"/>
      <c r="W171" s="724"/>
      <c r="X171" s="724"/>
      <c r="Y171" s="724"/>
      <c r="Z171" s="724"/>
    </row>
    <row r="172" ht="14.25" customHeight="1">
      <c r="A172" s="724"/>
      <c r="B172" s="724"/>
      <c r="C172" s="724"/>
      <c r="D172" s="724"/>
      <c r="E172" s="724"/>
      <c r="F172" s="724"/>
      <c r="G172" s="724"/>
      <c r="H172" s="724"/>
      <c r="I172" s="724"/>
      <c r="J172" s="724"/>
      <c r="K172" s="724"/>
      <c r="L172" s="724"/>
      <c r="M172" s="724"/>
      <c r="N172" s="724"/>
      <c r="O172" s="724"/>
      <c r="P172" s="724"/>
      <c r="Q172" s="724"/>
      <c r="R172" s="724"/>
      <c r="S172" s="724"/>
      <c r="T172" s="724"/>
      <c r="U172" s="724"/>
      <c r="V172" s="724"/>
      <c r="W172" s="724"/>
      <c r="X172" s="724"/>
      <c r="Y172" s="724"/>
      <c r="Z172" s="724"/>
    </row>
    <row r="173" ht="14.25" customHeight="1">
      <c r="A173" s="724"/>
      <c r="B173" s="724"/>
      <c r="C173" s="724"/>
      <c r="D173" s="724"/>
      <c r="E173" s="724"/>
      <c r="F173" s="724"/>
      <c r="G173" s="724"/>
      <c r="H173" s="724"/>
      <c r="I173" s="724"/>
      <c r="J173" s="724"/>
      <c r="K173" s="724"/>
      <c r="L173" s="724"/>
      <c r="M173" s="724"/>
      <c r="N173" s="724"/>
      <c r="O173" s="724"/>
      <c r="P173" s="724"/>
      <c r="Q173" s="724"/>
      <c r="R173" s="724"/>
      <c r="S173" s="724"/>
      <c r="T173" s="724"/>
      <c r="U173" s="724"/>
      <c r="V173" s="724"/>
      <c r="W173" s="724"/>
      <c r="X173" s="724"/>
      <c r="Y173" s="724"/>
      <c r="Z173" s="724"/>
    </row>
    <row r="174" ht="14.25" customHeight="1">
      <c r="A174" s="724"/>
      <c r="B174" s="724"/>
      <c r="C174" s="724"/>
      <c r="D174" s="724"/>
      <c r="E174" s="724"/>
      <c r="F174" s="724"/>
      <c r="G174" s="724"/>
      <c r="H174" s="724"/>
      <c r="I174" s="724"/>
      <c r="J174" s="724"/>
      <c r="K174" s="724"/>
      <c r="L174" s="724"/>
      <c r="M174" s="724"/>
      <c r="N174" s="724"/>
      <c r="O174" s="724"/>
      <c r="P174" s="724"/>
      <c r="Q174" s="724"/>
      <c r="R174" s="724"/>
      <c r="S174" s="724"/>
      <c r="T174" s="724"/>
      <c r="U174" s="724"/>
      <c r="V174" s="724"/>
      <c r="W174" s="724"/>
      <c r="X174" s="724"/>
      <c r="Y174" s="724"/>
      <c r="Z174" s="724"/>
    </row>
    <row r="175" ht="14.25" customHeight="1">
      <c r="A175" s="724"/>
      <c r="B175" s="724"/>
      <c r="C175" s="724"/>
      <c r="D175" s="724"/>
      <c r="E175" s="724"/>
      <c r="F175" s="724"/>
      <c r="G175" s="724"/>
      <c r="H175" s="724"/>
      <c r="I175" s="724"/>
      <c r="J175" s="724"/>
      <c r="K175" s="724"/>
      <c r="L175" s="724"/>
      <c r="M175" s="724"/>
      <c r="N175" s="724"/>
      <c r="O175" s="724"/>
      <c r="P175" s="724"/>
      <c r="Q175" s="724"/>
      <c r="R175" s="724"/>
      <c r="S175" s="724"/>
      <c r="T175" s="724"/>
      <c r="U175" s="724"/>
      <c r="V175" s="724"/>
      <c r="W175" s="724"/>
      <c r="X175" s="724"/>
      <c r="Y175" s="724"/>
      <c r="Z175" s="724"/>
    </row>
    <row r="176" ht="14.25" customHeight="1">
      <c r="A176" s="724"/>
      <c r="B176" s="724"/>
      <c r="C176" s="724"/>
      <c r="D176" s="724"/>
      <c r="E176" s="724"/>
      <c r="F176" s="724"/>
      <c r="G176" s="724"/>
      <c r="H176" s="724"/>
      <c r="I176" s="724"/>
      <c r="J176" s="724"/>
      <c r="K176" s="724"/>
      <c r="L176" s="724"/>
      <c r="M176" s="724"/>
      <c r="N176" s="724"/>
      <c r="O176" s="724"/>
      <c r="P176" s="724"/>
      <c r="Q176" s="724"/>
      <c r="R176" s="724"/>
      <c r="S176" s="724"/>
      <c r="T176" s="724"/>
      <c r="U176" s="724"/>
      <c r="V176" s="724"/>
      <c r="W176" s="724"/>
      <c r="X176" s="724"/>
      <c r="Y176" s="724"/>
      <c r="Z176" s="724"/>
    </row>
    <row r="177" ht="14.25" customHeight="1">
      <c r="A177" s="724"/>
      <c r="B177" s="724"/>
      <c r="C177" s="724"/>
      <c r="D177" s="724"/>
      <c r="E177" s="724"/>
      <c r="F177" s="724"/>
      <c r="G177" s="724"/>
      <c r="H177" s="724"/>
      <c r="I177" s="724"/>
      <c r="J177" s="724"/>
      <c r="K177" s="724"/>
      <c r="L177" s="724"/>
      <c r="M177" s="724"/>
      <c r="N177" s="724"/>
      <c r="O177" s="724"/>
      <c r="P177" s="724"/>
      <c r="Q177" s="724"/>
      <c r="R177" s="724"/>
      <c r="S177" s="724"/>
      <c r="T177" s="724"/>
      <c r="U177" s="724"/>
      <c r="V177" s="724"/>
      <c r="W177" s="724"/>
      <c r="X177" s="724"/>
      <c r="Y177" s="724"/>
      <c r="Z177" s="724"/>
    </row>
    <row r="178" ht="14.25" customHeight="1">
      <c r="A178" s="724"/>
      <c r="B178" s="724"/>
      <c r="C178" s="724"/>
      <c r="D178" s="724"/>
      <c r="E178" s="724"/>
      <c r="F178" s="724"/>
      <c r="G178" s="724"/>
      <c r="H178" s="724"/>
      <c r="I178" s="724"/>
      <c r="J178" s="724"/>
      <c r="K178" s="724"/>
      <c r="L178" s="724"/>
      <c r="M178" s="724"/>
      <c r="N178" s="724"/>
      <c r="O178" s="724"/>
      <c r="P178" s="724"/>
      <c r="Q178" s="724"/>
      <c r="R178" s="724"/>
      <c r="S178" s="724"/>
      <c r="T178" s="724"/>
      <c r="U178" s="724"/>
      <c r="V178" s="724"/>
      <c r="W178" s="724"/>
      <c r="X178" s="724"/>
      <c r="Y178" s="724"/>
      <c r="Z178" s="724"/>
    </row>
    <row r="179" ht="14.25" customHeight="1">
      <c r="A179" s="724"/>
      <c r="B179" s="724"/>
      <c r="C179" s="724"/>
      <c r="D179" s="724"/>
      <c r="E179" s="724"/>
      <c r="F179" s="724"/>
      <c r="G179" s="724"/>
      <c r="H179" s="724"/>
      <c r="I179" s="724"/>
      <c r="J179" s="724"/>
      <c r="K179" s="724"/>
      <c r="L179" s="724"/>
      <c r="M179" s="724"/>
      <c r="N179" s="724"/>
      <c r="O179" s="724"/>
      <c r="P179" s="724"/>
      <c r="Q179" s="724"/>
      <c r="R179" s="724"/>
      <c r="S179" s="724"/>
      <c r="T179" s="724"/>
      <c r="U179" s="724"/>
      <c r="V179" s="724"/>
      <c r="W179" s="724"/>
      <c r="X179" s="724"/>
      <c r="Y179" s="724"/>
      <c r="Z179" s="724"/>
    </row>
    <row r="180" ht="14.25" customHeight="1">
      <c r="A180" s="724"/>
      <c r="B180" s="724"/>
      <c r="C180" s="724"/>
      <c r="D180" s="724"/>
      <c r="E180" s="724"/>
      <c r="F180" s="724"/>
      <c r="G180" s="724"/>
      <c r="H180" s="724"/>
      <c r="I180" s="724"/>
      <c r="J180" s="724"/>
      <c r="K180" s="724"/>
      <c r="L180" s="724"/>
      <c r="M180" s="724"/>
      <c r="N180" s="724"/>
      <c r="O180" s="724"/>
      <c r="P180" s="724"/>
      <c r="Q180" s="724"/>
      <c r="R180" s="724"/>
      <c r="S180" s="724"/>
      <c r="T180" s="724"/>
      <c r="U180" s="724"/>
      <c r="V180" s="724"/>
      <c r="W180" s="724"/>
      <c r="X180" s="724"/>
      <c r="Y180" s="724"/>
      <c r="Z180" s="724"/>
    </row>
    <row r="181" ht="14.25" customHeight="1">
      <c r="A181" s="724"/>
      <c r="B181" s="724"/>
      <c r="C181" s="724"/>
      <c r="D181" s="724"/>
      <c r="E181" s="724"/>
      <c r="F181" s="724"/>
      <c r="G181" s="724"/>
      <c r="H181" s="724"/>
      <c r="I181" s="724"/>
      <c r="J181" s="724"/>
      <c r="K181" s="724"/>
      <c r="L181" s="724"/>
      <c r="M181" s="724"/>
      <c r="N181" s="724"/>
      <c r="O181" s="724"/>
      <c r="P181" s="724"/>
      <c r="Q181" s="724"/>
      <c r="R181" s="724"/>
      <c r="S181" s="724"/>
      <c r="T181" s="724"/>
      <c r="U181" s="724"/>
      <c r="V181" s="724"/>
      <c r="W181" s="724"/>
      <c r="X181" s="724"/>
      <c r="Y181" s="724"/>
      <c r="Z181" s="724"/>
    </row>
    <row r="182" ht="14.25" customHeight="1">
      <c r="A182" s="724"/>
      <c r="B182" s="724"/>
      <c r="C182" s="724"/>
      <c r="D182" s="724"/>
      <c r="E182" s="724"/>
      <c r="F182" s="724"/>
      <c r="G182" s="724"/>
      <c r="H182" s="724"/>
      <c r="I182" s="724"/>
      <c r="J182" s="724"/>
      <c r="K182" s="724"/>
      <c r="L182" s="724"/>
      <c r="M182" s="724"/>
      <c r="N182" s="724"/>
      <c r="O182" s="724"/>
      <c r="P182" s="724"/>
      <c r="Q182" s="724"/>
      <c r="R182" s="724"/>
      <c r="S182" s="724"/>
      <c r="T182" s="724"/>
      <c r="U182" s="724"/>
      <c r="V182" s="724"/>
      <c r="W182" s="724"/>
      <c r="X182" s="724"/>
      <c r="Y182" s="724"/>
      <c r="Z182" s="724"/>
    </row>
    <row r="183" ht="14.25" customHeight="1">
      <c r="A183" s="724"/>
      <c r="B183" s="724"/>
      <c r="C183" s="724"/>
      <c r="D183" s="724"/>
      <c r="E183" s="724"/>
      <c r="F183" s="724"/>
      <c r="G183" s="724"/>
      <c r="H183" s="724"/>
      <c r="I183" s="724"/>
      <c r="J183" s="724"/>
      <c r="K183" s="724"/>
      <c r="L183" s="724"/>
      <c r="M183" s="724"/>
      <c r="N183" s="724"/>
      <c r="O183" s="724"/>
      <c r="P183" s="724"/>
      <c r="Q183" s="724"/>
      <c r="R183" s="724"/>
      <c r="S183" s="724"/>
      <c r="T183" s="724"/>
      <c r="U183" s="724"/>
      <c r="V183" s="724"/>
      <c r="W183" s="724"/>
      <c r="X183" s="724"/>
      <c r="Y183" s="724"/>
      <c r="Z183" s="724"/>
    </row>
    <row r="184" ht="14.25" customHeight="1">
      <c r="A184" s="724"/>
      <c r="B184" s="724"/>
      <c r="C184" s="724"/>
      <c r="D184" s="724"/>
      <c r="E184" s="724"/>
      <c r="F184" s="724"/>
      <c r="G184" s="724"/>
      <c r="H184" s="724"/>
      <c r="I184" s="724"/>
      <c r="J184" s="724"/>
      <c r="K184" s="724"/>
      <c r="L184" s="724"/>
      <c r="M184" s="724"/>
      <c r="N184" s="724"/>
      <c r="O184" s="724"/>
      <c r="P184" s="724"/>
      <c r="Q184" s="724"/>
      <c r="R184" s="724"/>
      <c r="S184" s="724"/>
      <c r="T184" s="724"/>
      <c r="U184" s="724"/>
      <c r="V184" s="724"/>
      <c r="W184" s="724"/>
      <c r="X184" s="724"/>
      <c r="Y184" s="724"/>
      <c r="Z184" s="724"/>
    </row>
    <row r="185" ht="14.25" customHeight="1">
      <c r="A185" s="724"/>
      <c r="B185" s="724"/>
      <c r="C185" s="724"/>
      <c r="D185" s="724"/>
      <c r="E185" s="724"/>
      <c r="F185" s="724"/>
      <c r="G185" s="724"/>
      <c r="H185" s="724"/>
      <c r="I185" s="724"/>
      <c r="J185" s="724"/>
      <c r="K185" s="724"/>
      <c r="L185" s="724"/>
      <c r="M185" s="724"/>
      <c r="N185" s="724"/>
      <c r="O185" s="724"/>
      <c r="P185" s="724"/>
      <c r="Q185" s="724"/>
      <c r="R185" s="724"/>
      <c r="S185" s="724"/>
      <c r="T185" s="724"/>
      <c r="U185" s="724"/>
      <c r="V185" s="724"/>
      <c r="W185" s="724"/>
      <c r="X185" s="724"/>
      <c r="Y185" s="724"/>
      <c r="Z185" s="724"/>
    </row>
    <row r="186" ht="14.25" customHeight="1">
      <c r="A186" s="724"/>
      <c r="B186" s="724"/>
      <c r="C186" s="724"/>
      <c r="D186" s="724"/>
      <c r="E186" s="724"/>
      <c r="F186" s="724"/>
      <c r="G186" s="724"/>
      <c r="H186" s="724"/>
      <c r="I186" s="724"/>
      <c r="J186" s="724"/>
      <c r="K186" s="724"/>
      <c r="L186" s="724"/>
      <c r="M186" s="724"/>
      <c r="N186" s="724"/>
      <c r="O186" s="724"/>
      <c r="P186" s="724"/>
      <c r="Q186" s="724"/>
      <c r="R186" s="724"/>
      <c r="S186" s="724"/>
      <c r="T186" s="724"/>
      <c r="U186" s="724"/>
      <c r="V186" s="724"/>
      <c r="W186" s="724"/>
      <c r="X186" s="724"/>
      <c r="Y186" s="724"/>
      <c r="Z186" s="724"/>
    </row>
    <row r="187" ht="14.25" customHeight="1">
      <c r="A187" s="724"/>
      <c r="B187" s="724"/>
      <c r="C187" s="724"/>
      <c r="D187" s="724"/>
      <c r="E187" s="724"/>
      <c r="F187" s="724"/>
      <c r="G187" s="724"/>
      <c r="H187" s="724"/>
      <c r="I187" s="724"/>
      <c r="J187" s="724"/>
      <c r="K187" s="724"/>
      <c r="L187" s="724"/>
      <c r="M187" s="724"/>
      <c r="N187" s="724"/>
      <c r="O187" s="724"/>
      <c r="P187" s="724"/>
      <c r="Q187" s="724"/>
      <c r="R187" s="724"/>
      <c r="S187" s="724"/>
      <c r="T187" s="724"/>
      <c r="U187" s="724"/>
      <c r="V187" s="724"/>
      <c r="W187" s="724"/>
      <c r="X187" s="724"/>
      <c r="Y187" s="724"/>
      <c r="Z187" s="724"/>
    </row>
    <row r="188" ht="14.25" customHeight="1">
      <c r="A188" s="724"/>
      <c r="B188" s="724"/>
      <c r="C188" s="724"/>
      <c r="D188" s="724"/>
      <c r="E188" s="724"/>
      <c r="F188" s="724"/>
      <c r="G188" s="724"/>
      <c r="H188" s="724"/>
      <c r="I188" s="724"/>
      <c r="J188" s="724"/>
      <c r="K188" s="724"/>
      <c r="L188" s="724"/>
      <c r="M188" s="724"/>
      <c r="N188" s="724"/>
      <c r="O188" s="724"/>
      <c r="P188" s="724"/>
      <c r="Q188" s="724"/>
      <c r="R188" s="724"/>
      <c r="S188" s="724"/>
      <c r="T188" s="724"/>
      <c r="U188" s="724"/>
      <c r="V188" s="724"/>
      <c r="W188" s="724"/>
      <c r="X188" s="724"/>
      <c r="Y188" s="724"/>
      <c r="Z188" s="724"/>
    </row>
    <row r="189" ht="14.25" customHeight="1">
      <c r="A189" s="724"/>
      <c r="B189" s="724"/>
      <c r="C189" s="724"/>
      <c r="D189" s="724"/>
      <c r="E189" s="724"/>
      <c r="F189" s="724"/>
      <c r="G189" s="724"/>
      <c r="H189" s="724"/>
      <c r="I189" s="724"/>
      <c r="J189" s="724"/>
      <c r="K189" s="724"/>
      <c r="L189" s="724"/>
      <c r="M189" s="724"/>
      <c r="N189" s="724"/>
      <c r="O189" s="724"/>
      <c r="P189" s="724"/>
      <c r="Q189" s="724"/>
      <c r="R189" s="724"/>
      <c r="S189" s="724"/>
      <c r="T189" s="724"/>
      <c r="U189" s="724"/>
      <c r="V189" s="724"/>
      <c r="W189" s="724"/>
      <c r="X189" s="724"/>
      <c r="Y189" s="724"/>
      <c r="Z189" s="724"/>
    </row>
    <row r="190" ht="14.25" customHeight="1">
      <c r="A190" s="724"/>
      <c r="B190" s="724"/>
      <c r="C190" s="724"/>
      <c r="D190" s="724"/>
      <c r="E190" s="724"/>
      <c r="F190" s="724"/>
      <c r="G190" s="724"/>
      <c r="H190" s="724"/>
      <c r="I190" s="724"/>
      <c r="J190" s="724"/>
      <c r="K190" s="724"/>
      <c r="L190" s="724"/>
      <c r="M190" s="724"/>
      <c r="N190" s="724"/>
      <c r="O190" s="724"/>
      <c r="P190" s="724"/>
      <c r="Q190" s="724"/>
      <c r="R190" s="724"/>
      <c r="S190" s="724"/>
      <c r="T190" s="724"/>
      <c r="U190" s="724"/>
      <c r="V190" s="724"/>
      <c r="W190" s="724"/>
      <c r="X190" s="724"/>
      <c r="Y190" s="724"/>
      <c r="Z190" s="724"/>
    </row>
    <row r="191" ht="14.25" customHeight="1">
      <c r="A191" s="724"/>
      <c r="B191" s="724"/>
      <c r="C191" s="724"/>
      <c r="D191" s="724"/>
      <c r="E191" s="724"/>
      <c r="F191" s="724"/>
      <c r="G191" s="724"/>
      <c r="H191" s="724"/>
      <c r="I191" s="724"/>
      <c r="J191" s="724"/>
      <c r="K191" s="724"/>
      <c r="L191" s="724"/>
      <c r="M191" s="724"/>
      <c r="N191" s="724"/>
      <c r="O191" s="724"/>
      <c r="P191" s="724"/>
      <c r="Q191" s="724"/>
      <c r="R191" s="724"/>
      <c r="S191" s="724"/>
      <c r="T191" s="724"/>
      <c r="U191" s="724"/>
      <c r="V191" s="724"/>
      <c r="W191" s="724"/>
      <c r="X191" s="724"/>
      <c r="Y191" s="724"/>
      <c r="Z191" s="724"/>
    </row>
    <row r="192" ht="14.25" customHeight="1">
      <c r="A192" s="724"/>
      <c r="B192" s="724"/>
      <c r="C192" s="724"/>
      <c r="D192" s="724"/>
      <c r="E192" s="724"/>
      <c r="F192" s="724"/>
      <c r="G192" s="724"/>
      <c r="H192" s="724"/>
      <c r="I192" s="724"/>
      <c r="J192" s="724"/>
      <c r="K192" s="724"/>
      <c r="L192" s="724"/>
      <c r="M192" s="724"/>
      <c r="N192" s="724"/>
      <c r="O192" s="724"/>
      <c r="P192" s="724"/>
      <c r="Q192" s="724"/>
      <c r="R192" s="724"/>
      <c r="S192" s="724"/>
      <c r="T192" s="724"/>
      <c r="U192" s="724"/>
      <c r="V192" s="724"/>
      <c r="W192" s="724"/>
      <c r="X192" s="724"/>
      <c r="Y192" s="724"/>
      <c r="Z192" s="724"/>
    </row>
    <row r="193" ht="14.25" customHeight="1">
      <c r="A193" s="724"/>
      <c r="B193" s="724"/>
      <c r="C193" s="724"/>
      <c r="D193" s="724"/>
      <c r="E193" s="724"/>
      <c r="F193" s="724"/>
      <c r="G193" s="724"/>
      <c r="H193" s="724"/>
      <c r="I193" s="724"/>
      <c r="J193" s="724"/>
      <c r="K193" s="724"/>
      <c r="L193" s="724"/>
      <c r="M193" s="724"/>
      <c r="N193" s="724"/>
      <c r="O193" s="724"/>
      <c r="P193" s="724"/>
      <c r="Q193" s="724"/>
      <c r="R193" s="724"/>
      <c r="S193" s="724"/>
      <c r="T193" s="724"/>
      <c r="U193" s="724"/>
      <c r="V193" s="724"/>
      <c r="W193" s="724"/>
      <c r="X193" s="724"/>
      <c r="Y193" s="724"/>
      <c r="Z193" s="724"/>
    </row>
    <row r="194" ht="14.25" customHeight="1">
      <c r="A194" s="724"/>
      <c r="B194" s="724"/>
      <c r="C194" s="724"/>
      <c r="D194" s="724"/>
      <c r="E194" s="724"/>
      <c r="F194" s="724"/>
      <c r="G194" s="724"/>
      <c r="H194" s="724"/>
      <c r="I194" s="724"/>
      <c r="J194" s="724"/>
      <c r="K194" s="724"/>
      <c r="L194" s="724"/>
      <c r="M194" s="724"/>
      <c r="N194" s="724"/>
      <c r="O194" s="724"/>
      <c r="P194" s="724"/>
      <c r="Q194" s="724"/>
      <c r="R194" s="724"/>
      <c r="S194" s="724"/>
      <c r="T194" s="724"/>
      <c r="U194" s="724"/>
      <c r="V194" s="724"/>
      <c r="W194" s="724"/>
      <c r="X194" s="724"/>
      <c r="Y194" s="724"/>
      <c r="Z194" s="724"/>
    </row>
    <row r="195" ht="14.25" customHeight="1">
      <c r="A195" s="724"/>
      <c r="B195" s="724"/>
      <c r="C195" s="724"/>
      <c r="D195" s="724"/>
      <c r="E195" s="724"/>
      <c r="F195" s="724"/>
      <c r="G195" s="724"/>
      <c r="H195" s="724"/>
      <c r="I195" s="724"/>
      <c r="J195" s="724"/>
      <c r="K195" s="724"/>
      <c r="L195" s="724"/>
      <c r="M195" s="724"/>
      <c r="N195" s="724"/>
      <c r="O195" s="724"/>
      <c r="P195" s="724"/>
      <c r="Q195" s="724"/>
      <c r="R195" s="724"/>
      <c r="S195" s="724"/>
      <c r="T195" s="724"/>
      <c r="U195" s="724"/>
      <c r="V195" s="724"/>
      <c r="W195" s="724"/>
      <c r="X195" s="724"/>
      <c r="Y195" s="724"/>
      <c r="Z195" s="724"/>
    </row>
    <row r="196" ht="14.25" customHeight="1">
      <c r="A196" s="724"/>
      <c r="B196" s="724"/>
      <c r="C196" s="724"/>
      <c r="D196" s="724"/>
      <c r="E196" s="724"/>
      <c r="F196" s="724"/>
      <c r="G196" s="724"/>
      <c r="H196" s="724"/>
      <c r="I196" s="724"/>
      <c r="J196" s="724"/>
      <c r="K196" s="724"/>
      <c r="L196" s="724"/>
      <c r="M196" s="724"/>
      <c r="N196" s="724"/>
      <c r="O196" s="724"/>
      <c r="P196" s="724"/>
      <c r="Q196" s="724"/>
      <c r="R196" s="724"/>
      <c r="S196" s="724"/>
      <c r="T196" s="724"/>
      <c r="U196" s="724"/>
      <c r="V196" s="724"/>
      <c r="W196" s="724"/>
      <c r="X196" s="724"/>
      <c r="Y196" s="724"/>
      <c r="Z196" s="724"/>
    </row>
    <row r="197" ht="14.25" customHeight="1">
      <c r="A197" s="724"/>
      <c r="B197" s="724"/>
      <c r="C197" s="724"/>
      <c r="D197" s="724"/>
      <c r="E197" s="724"/>
      <c r="F197" s="724"/>
      <c r="G197" s="724"/>
      <c r="H197" s="724"/>
      <c r="I197" s="724"/>
      <c r="J197" s="724"/>
      <c r="K197" s="724"/>
      <c r="L197" s="724"/>
      <c r="M197" s="724"/>
      <c r="N197" s="724"/>
      <c r="O197" s="724"/>
      <c r="P197" s="724"/>
      <c r="Q197" s="724"/>
      <c r="R197" s="724"/>
      <c r="S197" s="724"/>
      <c r="T197" s="724"/>
      <c r="U197" s="724"/>
      <c r="V197" s="724"/>
      <c r="W197" s="724"/>
      <c r="X197" s="724"/>
      <c r="Y197" s="724"/>
      <c r="Z197" s="724"/>
    </row>
    <row r="198" ht="14.25" customHeight="1">
      <c r="A198" s="724"/>
      <c r="B198" s="724"/>
      <c r="C198" s="724"/>
      <c r="D198" s="724"/>
      <c r="E198" s="724"/>
      <c r="F198" s="724"/>
      <c r="G198" s="724"/>
      <c r="H198" s="724"/>
      <c r="I198" s="724"/>
      <c r="J198" s="724"/>
      <c r="K198" s="724"/>
      <c r="L198" s="724"/>
      <c r="M198" s="724"/>
      <c r="N198" s="724"/>
      <c r="O198" s="724"/>
      <c r="P198" s="724"/>
      <c r="Q198" s="724"/>
      <c r="R198" s="724"/>
      <c r="S198" s="724"/>
      <c r="T198" s="724"/>
      <c r="U198" s="724"/>
      <c r="V198" s="724"/>
      <c r="W198" s="724"/>
      <c r="X198" s="724"/>
      <c r="Y198" s="724"/>
      <c r="Z198" s="724"/>
    </row>
    <row r="199" ht="14.25" customHeight="1">
      <c r="A199" s="724"/>
      <c r="B199" s="724"/>
      <c r="C199" s="724"/>
      <c r="D199" s="724"/>
      <c r="E199" s="724"/>
      <c r="F199" s="724"/>
      <c r="G199" s="724"/>
      <c r="H199" s="724"/>
      <c r="I199" s="724"/>
      <c r="J199" s="724"/>
      <c r="K199" s="724"/>
      <c r="L199" s="724"/>
      <c r="M199" s="724"/>
      <c r="N199" s="724"/>
      <c r="O199" s="724"/>
      <c r="P199" s="724"/>
      <c r="Q199" s="724"/>
      <c r="R199" s="724"/>
      <c r="S199" s="724"/>
      <c r="T199" s="724"/>
      <c r="U199" s="724"/>
      <c r="V199" s="724"/>
      <c r="W199" s="724"/>
      <c r="X199" s="724"/>
      <c r="Y199" s="724"/>
      <c r="Z199" s="724"/>
    </row>
    <row r="200" ht="14.25" customHeight="1">
      <c r="A200" s="724"/>
      <c r="B200" s="724"/>
      <c r="C200" s="724"/>
      <c r="D200" s="724"/>
      <c r="E200" s="724"/>
      <c r="F200" s="724"/>
      <c r="G200" s="724"/>
      <c r="H200" s="724"/>
      <c r="I200" s="724"/>
      <c r="J200" s="724"/>
      <c r="K200" s="724"/>
      <c r="L200" s="724"/>
      <c r="M200" s="724"/>
      <c r="N200" s="724"/>
      <c r="O200" s="724"/>
      <c r="P200" s="724"/>
      <c r="Q200" s="724"/>
      <c r="R200" s="724"/>
      <c r="S200" s="724"/>
      <c r="T200" s="724"/>
      <c r="U200" s="724"/>
      <c r="V200" s="724"/>
      <c r="W200" s="724"/>
      <c r="X200" s="724"/>
      <c r="Y200" s="724"/>
      <c r="Z200" s="724"/>
    </row>
    <row r="201" ht="14.25" customHeight="1">
      <c r="A201" s="724"/>
      <c r="B201" s="724"/>
      <c r="C201" s="724"/>
      <c r="D201" s="724"/>
      <c r="E201" s="724"/>
      <c r="F201" s="724"/>
      <c r="G201" s="724"/>
      <c r="H201" s="724"/>
      <c r="I201" s="724"/>
      <c r="J201" s="724"/>
      <c r="K201" s="724"/>
      <c r="L201" s="724"/>
      <c r="M201" s="724"/>
      <c r="N201" s="724"/>
      <c r="O201" s="724"/>
      <c r="P201" s="724"/>
      <c r="Q201" s="724"/>
      <c r="R201" s="724"/>
      <c r="S201" s="724"/>
      <c r="T201" s="724"/>
      <c r="U201" s="724"/>
      <c r="V201" s="724"/>
      <c r="W201" s="724"/>
      <c r="X201" s="724"/>
      <c r="Y201" s="724"/>
      <c r="Z201" s="724"/>
    </row>
    <row r="202" ht="14.25" customHeight="1">
      <c r="A202" s="724"/>
      <c r="B202" s="724"/>
      <c r="C202" s="724"/>
      <c r="D202" s="724"/>
      <c r="E202" s="724"/>
      <c r="F202" s="724"/>
      <c r="G202" s="724"/>
      <c r="H202" s="724"/>
      <c r="I202" s="724"/>
      <c r="J202" s="724"/>
      <c r="K202" s="724"/>
      <c r="L202" s="724"/>
      <c r="M202" s="724"/>
      <c r="N202" s="724"/>
      <c r="O202" s="724"/>
      <c r="P202" s="724"/>
      <c r="Q202" s="724"/>
      <c r="R202" s="724"/>
      <c r="S202" s="724"/>
      <c r="T202" s="724"/>
      <c r="U202" s="724"/>
      <c r="V202" s="724"/>
      <c r="W202" s="724"/>
      <c r="X202" s="724"/>
      <c r="Y202" s="724"/>
      <c r="Z202" s="724"/>
    </row>
    <row r="203" ht="14.25" customHeight="1">
      <c r="A203" s="724"/>
      <c r="B203" s="724"/>
      <c r="C203" s="724"/>
      <c r="D203" s="724"/>
      <c r="E203" s="724"/>
      <c r="F203" s="724"/>
      <c r="G203" s="724"/>
      <c r="H203" s="724"/>
      <c r="I203" s="724"/>
      <c r="J203" s="724"/>
      <c r="K203" s="724"/>
      <c r="L203" s="724"/>
      <c r="M203" s="724"/>
      <c r="N203" s="724"/>
      <c r="O203" s="724"/>
      <c r="P203" s="724"/>
      <c r="Q203" s="724"/>
      <c r="R203" s="724"/>
      <c r="S203" s="724"/>
      <c r="T203" s="724"/>
      <c r="U203" s="724"/>
      <c r="V203" s="724"/>
      <c r="W203" s="724"/>
      <c r="X203" s="724"/>
      <c r="Y203" s="724"/>
      <c r="Z203" s="724"/>
    </row>
    <row r="204" ht="14.25" customHeight="1">
      <c r="A204" s="724"/>
      <c r="B204" s="724"/>
      <c r="C204" s="724"/>
      <c r="D204" s="724"/>
      <c r="E204" s="724"/>
      <c r="F204" s="724"/>
      <c r="G204" s="724"/>
      <c r="H204" s="724"/>
      <c r="I204" s="724"/>
      <c r="J204" s="724"/>
      <c r="K204" s="724"/>
      <c r="L204" s="724"/>
      <c r="M204" s="724"/>
      <c r="N204" s="724"/>
      <c r="O204" s="724"/>
      <c r="P204" s="724"/>
      <c r="Q204" s="724"/>
      <c r="R204" s="724"/>
      <c r="S204" s="724"/>
      <c r="T204" s="724"/>
      <c r="U204" s="724"/>
      <c r="V204" s="724"/>
      <c r="W204" s="724"/>
      <c r="X204" s="724"/>
      <c r="Y204" s="724"/>
      <c r="Z204" s="724"/>
    </row>
    <row r="205" ht="14.25" customHeight="1">
      <c r="A205" s="724"/>
      <c r="B205" s="724"/>
      <c r="C205" s="724"/>
      <c r="D205" s="724"/>
      <c r="E205" s="724"/>
      <c r="F205" s="724"/>
      <c r="G205" s="724"/>
      <c r="H205" s="724"/>
      <c r="I205" s="724"/>
      <c r="J205" s="724"/>
      <c r="K205" s="724"/>
      <c r="L205" s="724"/>
      <c r="M205" s="724"/>
      <c r="N205" s="724"/>
      <c r="O205" s="724"/>
      <c r="P205" s="724"/>
      <c r="Q205" s="724"/>
      <c r="R205" s="724"/>
      <c r="S205" s="724"/>
      <c r="T205" s="724"/>
      <c r="U205" s="724"/>
      <c r="V205" s="724"/>
      <c r="W205" s="724"/>
      <c r="X205" s="724"/>
      <c r="Y205" s="724"/>
      <c r="Z205" s="724"/>
    </row>
    <row r="206" ht="14.25" customHeight="1">
      <c r="A206" s="724"/>
      <c r="B206" s="724"/>
      <c r="C206" s="724"/>
      <c r="D206" s="724"/>
      <c r="E206" s="724"/>
      <c r="F206" s="724"/>
      <c r="G206" s="724"/>
      <c r="H206" s="724"/>
      <c r="I206" s="724"/>
      <c r="J206" s="724"/>
      <c r="K206" s="724"/>
      <c r="L206" s="724"/>
      <c r="M206" s="724"/>
      <c r="N206" s="724"/>
      <c r="O206" s="724"/>
      <c r="P206" s="724"/>
      <c r="Q206" s="724"/>
      <c r="R206" s="724"/>
      <c r="S206" s="724"/>
      <c r="T206" s="724"/>
      <c r="U206" s="724"/>
      <c r="V206" s="724"/>
      <c r="W206" s="724"/>
      <c r="X206" s="724"/>
      <c r="Y206" s="724"/>
      <c r="Z206" s="724"/>
    </row>
    <row r="207" ht="14.25" customHeight="1">
      <c r="A207" s="724"/>
      <c r="B207" s="724"/>
      <c r="C207" s="724"/>
      <c r="D207" s="724"/>
      <c r="E207" s="724"/>
      <c r="F207" s="724"/>
      <c r="G207" s="724"/>
      <c r="H207" s="724"/>
      <c r="I207" s="724"/>
      <c r="J207" s="724"/>
      <c r="K207" s="724"/>
      <c r="L207" s="724"/>
      <c r="M207" s="724"/>
      <c r="N207" s="724"/>
      <c r="O207" s="724"/>
      <c r="P207" s="724"/>
      <c r="Q207" s="724"/>
      <c r="R207" s="724"/>
      <c r="S207" s="724"/>
      <c r="T207" s="724"/>
      <c r="U207" s="724"/>
      <c r="V207" s="724"/>
      <c r="W207" s="724"/>
      <c r="X207" s="724"/>
      <c r="Y207" s="724"/>
      <c r="Z207" s="724"/>
    </row>
    <row r="208" ht="14.25" customHeight="1">
      <c r="A208" s="724"/>
      <c r="B208" s="724"/>
      <c r="C208" s="724"/>
      <c r="D208" s="724"/>
      <c r="E208" s="724"/>
      <c r="F208" s="724"/>
      <c r="G208" s="724"/>
      <c r="H208" s="724"/>
      <c r="I208" s="724"/>
      <c r="J208" s="724"/>
      <c r="K208" s="724"/>
      <c r="L208" s="724"/>
      <c r="M208" s="724"/>
      <c r="N208" s="724"/>
      <c r="O208" s="724"/>
      <c r="P208" s="724"/>
      <c r="Q208" s="724"/>
      <c r="R208" s="724"/>
      <c r="S208" s="724"/>
      <c r="T208" s="724"/>
      <c r="U208" s="724"/>
      <c r="V208" s="724"/>
      <c r="W208" s="724"/>
      <c r="X208" s="724"/>
      <c r="Y208" s="724"/>
      <c r="Z208" s="724"/>
    </row>
    <row r="209" ht="14.25" customHeight="1">
      <c r="A209" s="724"/>
      <c r="B209" s="724"/>
      <c r="C209" s="724"/>
      <c r="D209" s="724"/>
      <c r="E209" s="724"/>
      <c r="F209" s="724"/>
      <c r="G209" s="724"/>
      <c r="H209" s="724"/>
      <c r="I209" s="724"/>
      <c r="J209" s="724"/>
      <c r="K209" s="724"/>
      <c r="L209" s="724"/>
      <c r="M209" s="724"/>
      <c r="N209" s="724"/>
      <c r="O209" s="724"/>
      <c r="P209" s="724"/>
      <c r="Q209" s="724"/>
      <c r="R209" s="724"/>
      <c r="S209" s="724"/>
      <c r="T209" s="724"/>
      <c r="U209" s="724"/>
      <c r="V209" s="724"/>
      <c r="W209" s="724"/>
      <c r="X209" s="724"/>
      <c r="Y209" s="724"/>
      <c r="Z209" s="724"/>
    </row>
    <row r="210" ht="14.25" customHeight="1">
      <c r="A210" s="724"/>
      <c r="B210" s="724"/>
      <c r="C210" s="724"/>
      <c r="D210" s="724"/>
      <c r="E210" s="724"/>
      <c r="F210" s="724"/>
      <c r="G210" s="724"/>
      <c r="H210" s="724"/>
      <c r="I210" s="724"/>
      <c r="J210" s="724"/>
      <c r="K210" s="724"/>
      <c r="L210" s="724"/>
      <c r="M210" s="724"/>
      <c r="N210" s="724"/>
      <c r="O210" s="724"/>
      <c r="P210" s="724"/>
      <c r="Q210" s="724"/>
      <c r="R210" s="724"/>
      <c r="S210" s="724"/>
      <c r="T210" s="724"/>
      <c r="U210" s="724"/>
      <c r="V210" s="724"/>
      <c r="W210" s="724"/>
      <c r="X210" s="724"/>
      <c r="Y210" s="724"/>
      <c r="Z210" s="724"/>
    </row>
    <row r="211" ht="14.25" customHeight="1">
      <c r="A211" s="724"/>
      <c r="B211" s="724"/>
      <c r="C211" s="724"/>
      <c r="D211" s="724"/>
      <c r="E211" s="724"/>
      <c r="F211" s="724"/>
      <c r="G211" s="724"/>
      <c r="H211" s="724"/>
      <c r="I211" s="724"/>
      <c r="J211" s="724"/>
      <c r="K211" s="724"/>
      <c r="L211" s="724"/>
      <c r="M211" s="724"/>
      <c r="N211" s="724"/>
      <c r="O211" s="724"/>
      <c r="P211" s="724"/>
      <c r="Q211" s="724"/>
      <c r="R211" s="724"/>
      <c r="S211" s="724"/>
      <c r="T211" s="724"/>
      <c r="U211" s="724"/>
      <c r="V211" s="724"/>
      <c r="W211" s="724"/>
      <c r="X211" s="724"/>
      <c r="Y211" s="724"/>
      <c r="Z211" s="724"/>
    </row>
    <row r="212" ht="14.25" customHeight="1">
      <c r="A212" s="724"/>
      <c r="B212" s="724"/>
      <c r="C212" s="724"/>
      <c r="D212" s="724"/>
      <c r="E212" s="724"/>
      <c r="F212" s="724"/>
      <c r="G212" s="724"/>
      <c r="H212" s="724"/>
      <c r="I212" s="724"/>
      <c r="J212" s="724"/>
      <c r="K212" s="724"/>
      <c r="L212" s="724"/>
      <c r="M212" s="724"/>
      <c r="N212" s="724"/>
      <c r="O212" s="724"/>
      <c r="P212" s="724"/>
      <c r="Q212" s="724"/>
      <c r="R212" s="724"/>
      <c r="S212" s="724"/>
      <c r="T212" s="724"/>
      <c r="U212" s="724"/>
      <c r="V212" s="724"/>
      <c r="W212" s="724"/>
      <c r="X212" s="724"/>
      <c r="Y212" s="724"/>
      <c r="Z212" s="724"/>
    </row>
    <row r="213" ht="14.25" customHeight="1">
      <c r="A213" s="724"/>
      <c r="B213" s="724"/>
      <c r="C213" s="724"/>
      <c r="D213" s="724"/>
      <c r="E213" s="724"/>
      <c r="F213" s="724"/>
      <c r="G213" s="724"/>
      <c r="H213" s="724"/>
      <c r="I213" s="724"/>
      <c r="J213" s="724"/>
      <c r="K213" s="724"/>
      <c r="L213" s="724"/>
      <c r="M213" s="724"/>
      <c r="N213" s="724"/>
      <c r="O213" s="724"/>
      <c r="P213" s="724"/>
      <c r="Q213" s="724"/>
      <c r="R213" s="724"/>
      <c r="S213" s="724"/>
      <c r="T213" s="724"/>
      <c r="U213" s="724"/>
      <c r="V213" s="724"/>
      <c r="W213" s="724"/>
      <c r="X213" s="724"/>
      <c r="Y213" s="724"/>
      <c r="Z213" s="724"/>
    </row>
    <row r="214" ht="14.25" customHeight="1">
      <c r="A214" s="724"/>
      <c r="B214" s="724"/>
      <c r="C214" s="724"/>
      <c r="D214" s="724"/>
      <c r="E214" s="724"/>
      <c r="F214" s="724"/>
      <c r="G214" s="724"/>
      <c r="H214" s="724"/>
      <c r="I214" s="724"/>
      <c r="J214" s="724"/>
      <c r="K214" s="724"/>
      <c r="L214" s="724"/>
      <c r="M214" s="724"/>
      <c r="N214" s="724"/>
      <c r="O214" s="724"/>
      <c r="P214" s="724"/>
      <c r="Q214" s="724"/>
      <c r="R214" s="724"/>
      <c r="S214" s="724"/>
      <c r="T214" s="724"/>
      <c r="U214" s="724"/>
      <c r="V214" s="724"/>
      <c r="W214" s="724"/>
      <c r="X214" s="724"/>
      <c r="Y214" s="724"/>
      <c r="Z214" s="724"/>
    </row>
    <row r="215" ht="14.25" customHeight="1">
      <c r="A215" s="724"/>
      <c r="B215" s="724"/>
      <c r="C215" s="724"/>
      <c r="D215" s="724"/>
      <c r="E215" s="724"/>
      <c r="F215" s="724"/>
      <c r="G215" s="724"/>
      <c r="H215" s="724"/>
      <c r="I215" s="724"/>
      <c r="J215" s="724"/>
      <c r="K215" s="724"/>
      <c r="L215" s="724"/>
      <c r="M215" s="724"/>
      <c r="N215" s="724"/>
      <c r="O215" s="724"/>
      <c r="P215" s="724"/>
      <c r="Q215" s="724"/>
      <c r="R215" s="724"/>
      <c r="S215" s="724"/>
      <c r="T215" s="724"/>
      <c r="U215" s="724"/>
      <c r="V215" s="724"/>
      <c r="W215" s="724"/>
      <c r="X215" s="724"/>
      <c r="Y215" s="724"/>
      <c r="Z215" s="724"/>
    </row>
    <row r="216" ht="14.25" customHeight="1">
      <c r="A216" s="724"/>
      <c r="B216" s="724"/>
      <c r="C216" s="724"/>
      <c r="D216" s="724"/>
      <c r="E216" s="724"/>
      <c r="F216" s="724"/>
      <c r="G216" s="724"/>
      <c r="H216" s="724"/>
      <c r="I216" s="724"/>
      <c r="J216" s="724"/>
      <c r="K216" s="724"/>
      <c r="L216" s="724"/>
      <c r="M216" s="724"/>
      <c r="N216" s="724"/>
      <c r="O216" s="724"/>
      <c r="P216" s="724"/>
      <c r="Q216" s="724"/>
      <c r="R216" s="724"/>
      <c r="S216" s="724"/>
      <c r="T216" s="724"/>
      <c r="U216" s="724"/>
      <c r="V216" s="724"/>
      <c r="W216" s="724"/>
      <c r="X216" s="724"/>
      <c r="Y216" s="724"/>
      <c r="Z216" s="724"/>
    </row>
    <row r="217" ht="14.25" customHeight="1">
      <c r="A217" s="724"/>
      <c r="B217" s="724"/>
      <c r="C217" s="724"/>
      <c r="D217" s="724"/>
      <c r="E217" s="724"/>
      <c r="F217" s="724"/>
      <c r="G217" s="724"/>
      <c r="H217" s="724"/>
      <c r="I217" s="724"/>
      <c r="J217" s="724"/>
      <c r="K217" s="724"/>
      <c r="L217" s="724"/>
      <c r="M217" s="724"/>
      <c r="N217" s="724"/>
      <c r="O217" s="724"/>
      <c r="P217" s="724"/>
      <c r="Q217" s="724"/>
      <c r="R217" s="724"/>
      <c r="S217" s="724"/>
      <c r="T217" s="724"/>
      <c r="U217" s="724"/>
      <c r="V217" s="724"/>
      <c r="W217" s="724"/>
      <c r="X217" s="724"/>
      <c r="Y217" s="724"/>
      <c r="Z217" s="724"/>
    </row>
    <row r="218" ht="14.25" customHeight="1">
      <c r="A218" s="724"/>
      <c r="B218" s="724"/>
      <c r="C218" s="724"/>
      <c r="D218" s="724"/>
      <c r="E218" s="724"/>
      <c r="F218" s="724"/>
      <c r="G218" s="724"/>
      <c r="H218" s="724"/>
      <c r="I218" s="724"/>
      <c r="J218" s="724"/>
      <c r="K218" s="724"/>
      <c r="L218" s="724"/>
      <c r="M218" s="724"/>
      <c r="N218" s="724"/>
      <c r="O218" s="724"/>
      <c r="P218" s="724"/>
      <c r="Q218" s="724"/>
      <c r="R218" s="724"/>
      <c r="S218" s="724"/>
      <c r="T218" s="724"/>
      <c r="U218" s="724"/>
      <c r="V218" s="724"/>
      <c r="W218" s="724"/>
      <c r="X218" s="724"/>
      <c r="Y218" s="724"/>
      <c r="Z218" s="724"/>
    </row>
    <row r="219" ht="14.25" customHeight="1">
      <c r="A219" s="724"/>
      <c r="B219" s="724"/>
      <c r="C219" s="724"/>
      <c r="D219" s="724"/>
      <c r="E219" s="724"/>
      <c r="F219" s="724"/>
      <c r="G219" s="724"/>
      <c r="H219" s="724"/>
      <c r="I219" s="724"/>
      <c r="J219" s="724"/>
      <c r="K219" s="724"/>
      <c r="L219" s="724"/>
      <c r="M219" s="724"/>
      <c r="N219" s="724"/>
      <c r="O219" s="724"/>
      <c r="P219" s="724"/>
      <c r="Q219" s="724"/>
      <c r="R219" s="724"/>
      <c r="S219" s="724"/>
      <c r="T219" s="724"/>
      <c r="U219" s="724"/>
      <c r="V219" s="724"/>
      <c r="W219" s="724"/>
      <c r="X219" s="724"/>
      <c r="Y219" s="724"/>
      <c r="Z219" s="724"/>
    </row>
    <row r="220" ht="14.25" customHeight="1">
      <c r="A220" s="724"/>
      <c r="B220" s="724"/>
      <c r="C220" s="724"/>
      <c r="D220" s="724"/>
      <c r="E220" s="724"/>
      <c r="F220" s="724"/>
      <c r="G220" s="724"/>
      <c r="H220" s="724"/>
      <c r="I220" s="724"/>
      <c r="J220" s="724"/>
      <c r="K220" s="724"/>
      <c r="L220" s="724"/>
      <c r="M220" s="724"/>
      <c r="N220" s="724"/>
      <c r="O220" s="724"/>
      <c r="P220" s="724"/>
      <c r="Q220" s="724"/>
      <c r="R220" s="724"/>
      <c r="S220" s="724"/>
      <c r="T220" s="724"/>
      <c r="U220" s="724"/>
      <c r="V220" s="724"/>
      <c r="W220" s="724"/>
      <c r="X220" s="724"/>
      <c r="Y220" s="724"/>
      <c r="Z220" s="724"/>
    </row>
    <row r="221" ht="14.25" customHeight="1">
      <c r="A221" s="724"/>
      <c r="B221" s="724"/>
      <c r="C221" s="724"/>
      <c r="D221" s="724"/>
      <c r="E221" s="724"/>
      <c r="F221" s="724"/>
      <c r="G221" s="724"/>
      <c r="H221" s="724"/>
      <c r="I221" s="724"/>
      <c r="J221" s="724"/>
      <c r="K221" s="724"/>
      <c r="L221" s="724"/>
      <c r="M221" s="724"/>
      <c r="N221" s="724"/>
      <c r="O221" s="724"/>
      <c r="P221" s="724"/>
      <c r="Q221" s="724"/>
      <c r="R221" s="724"/>
      <c r="S221" s="724"/>
      <c r="T221" s="724"/>
      <c r="U221" s="724"/>
      <c r="V221" s="724"/>
      <c r="W221" s="724"/>
      <c r="X221" s="724"/>
      <c r="Y221" s="724"/>
      <c r="Z221" s="724"/>
    </row>
    <row r="222" ht="14.25" customHeight="1">
      <c r="A222" s="724"/>
      <c r="B222" s="724"/>
      <c r="C222" s="724"/>
      <c r="D222" s="724"/>
      <c r="E222" s="724"/>
      <c r="F222" s="724"/>
      <c r="G222" s="724"/>
      <c r="H222" s="724"/>
      <c r="I222" s="724"/>
      <c r="J222" s="724"/>
      <c r="K222" s="724"/>
      <c r="L222" s="724"/>
      <c r="M222" s="724"/>
      <c r="N222" s="724"/>
      <c r="O222" s="724"/>
      <c r="P222" s="724"/>
      <c r="Q222" s="724"/>
      <c r="R222" s="724"/>
      <c r="S222" s="724"/>
      <c r="T222" s="724"/>
      <c r="U222" s="724"/>
      <c r="V222" s="724"/>
      <c r="W222" s="724"/>
      <c r="X222" s="724"/>
      <c r="Y222" s="724"/>
      <c r="Z222" s="724"/>
    </row>
    <row r="223" ht="14.25" customHeight="1">
      <c r="A223" s="724"/>
      <c r="B223" s="724"/>
      <c r="C223" s="724"/>
      <c r="D223" s="724"/>
      <c r="E223" s="724"/>
      <c r="F223" s="724"/>
      <c r="G223" s="724"/>
      <c r="H223" s="724"/>
      <c r="I223" s="724"/>
      <c r="J223" s="724"/>
      <c r="K223" s="724"/>
      <c r="L223" s="724"/>
      <c r="M223" s="724"/>
      <c r="N223" s="724"/>
      <c r="O223" s="724"/>
      <c r="P223" s="724"/>
      <c r="Q223" s="724"/>
      <c r="R223" s="724"/>
      <c r="S223" s="724"/>
      <c r="T223" s="724"/>
      <c r="U223" s="724"/>
      <c r="V223" s="724"/>
      <c r="W223" s="724"/>
      <c r="X223" s="724"/>
      <c r="Y223" s="724"/>
      <c r="Z223" s="724"/>
    </row>
    <row r="224" ht="14.25" customHeight="1">
      <c r="A224" s="724"/>
      <c r="B224" s="724"/>
      <c r="C224" s="724"/>
      <c r="D224" s="724"/>
      <c r="E224" s="724"/>
      <c r="F224" s="724"/>
      <c r="G224" s="724"/>
      <c r="H224" s="724"/>
      <c r="I224" s="724"/>
      <c r="J224" s="724"/>
      <c r="K224" s="724"/>
      <c r="L224" s="724"/>
      <c r="M224" s="724"/>
      <c r="N224" s="724"/>
      <c r="O224" s="724"/>
      <c r="P224" s="724"/>
      <c r="Q224" s="724"/>
      <c r="R224" s="724"/>
      <c r="S224" s="724"/>
      <c r="T224" s="724"/>
      <c r="U224" s="724"/>
      <c r="V224" s="724"/>
      <c r="W224" s="724"/>
      <c r="X224" s="724"/>
      <c r="Y224" s="724"/>
      <c r="Z224" s="724"/>
    </row>
    <row r="225" ht="14.25" customHeight="1">
      <c r="A225" s="724"/>
      <c r="B225" s="724"/>
      <c r="C225" s="724"/>
      <c r="D225" s="724"/>
      <c r="E225" s="724"/>
      <c r="F225" s="724"/>
      <c r="G225" s="724"/>
      <c r="H225" s="724"/>
      <c r="I225" s="724"/>
      <c r="J225" s="724"/>
      <c r="K225" s="724"/>
      <c r="L225" s="724"/>
      <c r="M225" s="724"/>
      <c r="N225" s="724"/>
      <c r="O225" s="724"/>
      <c r="P225" s="724"/>
      <c r="Q225" s="724"/>
      <c r="R225" s="724"/>
      <c r="S225" s="724"/>
      <c r="T225" s="724"/>
      <c r="U225" s="724"/>
      <c r="V225" s="724"/>
      <c r="W225" s="724"/>
      <c r="X225" s="724"/>
      <c r="Y225" s="724"/>
      <c r="Z225" s="724"/>
    </row>
    <row r="226" ht="14.25" customHeight="1">
      <c r="A226" s="724"/>
      <c r="B226" s="724"/>
      <c r="C226" s="724"/>
      <c r="D226" s="724"/>
      <c r="E226" s="724"/>
      <c r="F226" s="724"/>
      <c r="G226" s="724"/>
      <c r="H226" s="724"/>
      <c r="I226" s="724"/>
      <c r="J226" s="724"/>
      <c r="K226" s="724"/>
      <c r="L226" s="724"/>
      <c r="M226" s="724"/>
      <c r="N226" s="724"/>
      <c r="O226" s="724"/>
      <c r="P226" s="724"/>
      <c r="Q226" s="724"/>
      <c r="R226" s="724"/>
      <c r="S226" s="724"/>
      <c r="T226" s="724"/>
      <c r="U226" s="724"/>
      <c r="V226" s="724"/>
      <c r="W226" s="724"/>
      <c r="X226" s="724"/>
      <c r="Y226" s="724"/>
      <c r="Z226" s="724"/>
    </row>
    <row r="227" ht="14.25" customHeight="1">
      <c r="A227" s="724"/>
      <c r="B227" s="724"/>
      <c r="C227" s="724"/>
      <c r="D227" s="724"/>
      <c r="E227" s="724"/>
      <c r="F227" s="724"/>
      <c r="G227" s="724"/>
      <c r="H227" s="724"/>
      <c r="I227" s="724"/>
      <c r="J227" s="724"/>
      <c r="K227" s="724"/>
      <c r="L227" s="724"/>
      <c r="M227" s="724"/>
      <c r="N227" s="724"/>
      <c r="O227" s="724"/>
      <c r="P227" s="724"/>
      <c r="Q227" s="724"/>
      <c r="R227" s="724"/>
      <c r="S227" s="724"/>
      <c r="T227" s="724"/>
      <c r="U227" s="724"/>
      <c r="V227" s="724"/>
      <c r="W227" s="724"/>
      <c r="X227" s="724"/>
      <c r="Y227" s="724"/>
      <c r="Z227" s="724"/>
    </row>
    <row r="228" ht="14.25" customHeight="1">
      <c r="A228" s="724"/>
      <c r="B228" s="724"/>
      <c r="C228" s="724"/>
      <c r="D228" s="724"/>
      <c r="E228" s="724"/>
      <c r="F228" s="724"/>
      <c r="G228" s="724"/>
      <c r="H228" s="724"/>
      <c r="I228" s="724"/>
      <c r="J228" s="724"/>
      <c r="K228" s="724"/>
      <c r="L228" s="724"/>
      <c r="M228" s="724"/>
      <c r="N228" s="724"/>
      <c r="O228" s="724"/>
      <c r="P228" s="724"/>
      <c r="Q228" s="724"/>
      <c r="R228" s="724"/>
      <c r="S228" s="724"/>
      <c r="T228" s="724"/>
      <c r="U228" s="724"/>
      <c r="V228" s="724"/>
      <c r="W228" s="724"/>
      <c r="X228" s="724"/>
      <c r="Y228" s="724"/>
      <c r="Z228" s="724"/>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000000000000001" right="0.7000000000000001"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0.38"/>
    <col customWidth="1" min="2" max="3" width="13.13"/>
    <col customWidth="1" min="4" max="6" width="8.0"/>
  </cols>
  <sheetData>
    <row r="1" ht="14.25" customHeight="1">
      <c r="A1" s="332"/>
      <c r="B1" s="15" t="s">
        <v>1999</v>
      </c>
      <c r="C1" s="15" t="s">
        <v>2000</v>
      </c>
      <c r="D1" s="7"/>
      <c r="E1" s="7"/>
      <c r="F1" s="7"/>
    </row>
    <row r="2" ht="14.25" customHeight="1">
      <c r="A2" s="332"/>
      <c r="B2" s="19" t="s">
        <v>2001</v>
      </c>
      <c r="C2" s="19" t="s">
        <v>2001</v>
      </c>
      <c r="D2" s="7"/>
      <c r="E2" s="7"/>
      <c r="F2" s="7"/>
    </row>
    <row r="3" ht="14.25" customHeight="1">
      <c r="A3" s="332" t="s">
        <v>9</v>
      </c>
      <c r="B3" s="1152">
        <v>1.334472683325107E9</v>
      </c>
      <c r="C3" s="1152">
        <v>1.388099652089303E9</v>
      </c>
      <c r="D3" s="7"/>
      <c r="E3" s="7"/>
      <c r="F3" s="7"/>
    </row>
    <row r="4" ht="14.25" customHeight="1">
      <c r="A4" s="332" t="s">
        <v>20</v>
      </c>
      <c r="B4" s="1152">
        <v>2.5026815121E8</v>
      </c>
      <c r="C4" s="1152">
        <v>2.294368201482E8</v>
      </c>
      <c r="D4" s="7"/>
      <c r="E4" s="7"/>
      <c r="F4" s="7"/>
    </row>
    <row r="5" ht="14.25" customHeight="1">
      <c r="A5" s="332" t="s">
        <v>38</v>
      </c>
      <c r="B5" s="1152">
        <v>8472292.37</v>
      </c>
      <c r="C5" s="1152">
        <v>9530481.2708</v>
      </c>
      <c r="D5" s="7"/>
      <c r="E5" s="7"/>
      <c r="F5" s="7"/>
    </row>
    <row r="6" ht="14.25" customHeight="1">
      <c r="A6" s="1195" t="s">
        <v>2002</v>
      </c>
      <c r="B6" s="1196">
        <f t="shared" ref="B6:C6" si="1">SUM(B3:B5)</f>
        <v>1593213127</v>
      </c>
      <c r="C6" s="1197">
        <f t="shared" si="1"/>
        <v>1627066954</v>
      </c>
      <c r="D6" s="7"/>
      <c r="E6" s="7"/>
      <c r="F6" s="7"/>
    </row>
    <row r="7" ht="14.25" customHeight="1">
      <c r="A7" s="332"/>
      <c r="B7" s="15" t="s">
        <v>1999</v>
      </c>
      <c r="C7" s="15" t="s">
        <v>2000</v>
      </c>
      <c r="D7" s="7"/>
      <c r="E7" s="7"/>
      <c r="F7" s="7"/>
    </row>
    <row r="8" ht="14.25" customHeight="1">
      <c r="A8" s="332"/>
      <c r="B8" s="19" t="s">
        <v>2001</v>
      </c>
      <c r="C8" s="19" t="s">
        <v>2001</v>
      </c>
      <c r="D8" s="7"/>
      <c r="E8" s="7"/>
      <c r="F8" s="7"/>
    </row>
    <row r="9" ht="14.25" customHeight="1">
      <c r="A9" s="332" t="s">
        <v>49</v>
      </c>
      <c r="B9" s="1152">
        <v>3.2817543E7</v>
      </c>
      <c r="C9" s="1152">
        <v>3.662658141760001E7</v>
      </c>
      <c r="D9" s="7"/>
      <c r="E9" s="7"/>
      <c r="F9" s="7"/>
    </row>
    <row r="10" ht="14.25" customHeight="1">
      <c r="A10" s="332" t="s">
        <v>65</v>
      </c>
      <c r="B10" s="1152">
        <v>7407384.955</v>
      </c>
      <c r="C10" s="1152">
        <v>3554580.0</v>
      </c>
      <c r="D10" s="7"/>
      <c r="E10" s="7"/>
      <c r="F10" s="7"/>
    </row>
    <row r="11" ht="14.25" customHeight="1">
      <c r="A11" s="332" t="s">
        <v>95</v>
      </c>
      <c r="B11" s="1152">
        <v>1.513404248E7</v>
      </c>
      <c r="C11" s="1152">
        <v>1.2982526976E7</v>
      </c>
      <c r="D11" s="7"/>
      <c r="E11" s="7"/>
      <c r="F11" s="7"/>
    </row>
    <row r="12" ht="14.25" customHeight="1">
      <c r="A12" s="332" t="s">
        <v>103</v>
      </c>
      <c r="B12" s="1152">
        <v>2.123662613E7</v>
      </c>
      <c r="C12" s="1152">
        <v>2.09362562367488E7</v>
      </c>
      <c r="D12" s="7"/>
      <c r="E12" s="7"/>
      <c r="F12" s="7"/>
    </row>
    <row r="13" ht="14.25" customHeight="1">
      <c r="A13" s="332" t="s">
        <v>118</v>
      </c>
      <c r="B13" s="1152">
        <v>8.676928447909091E7</v>
      </c>
      <c r="C13" s="1152">
        <v>1.15033815E8</v>
      </c>
      <c r="D13" s="7"/>
      <c r="E13" s="7"/>
      <c r="F13" s="7"/>
    </row>
    <row r="14" ht="14.25" customHeight="1">
      <c r="A14" s="332" t="s">
        <v>2003</v>
      </c>
      <c r="B14" s="1152">
        <v>3.50811E7</v>
      </c>
      <c r="C14" s="1152">
        <v>3.9936E7</v>
      </c>
      <c r="D14" s="7"/>
      <c r="E14" s="7"/>
      <c r="F14" s="7"/>
    </row>
    <row r="15" ht="14.25" customHeight="1">
      <c r="A15" s="332" t="s">
        <v>125</v>
      </c>
      <c r="B15" s="1152">
        <v>5759455.0</v>
      </c>
      <c r="C15" s="1152">
        <v>5133600.0</v>
      </c>
      <c r="D15" s="7"/>
      <c r="E15" s="7"/>
      <c r="F15" s="7"/>
    </row>
    <row r="16" ht="14.25" customHeight="1">
      <c r="A16" s="332" t="s">
        <v>148</v>
      </c>
      <c r="B16" s="1152">
        <v>9.260479915E7</v>
      </c>
      <c r="C16" s="1152">
        <v>1.055466707407183E8</v>
      </c>
      <c r="D16" s="7"/>
      <c r="E16" s="7"/>
      <c r="F16" s="7"/>
    </row>
    <row r="17" ht="14.25" customHeight="1">
      <c r="A17" s="332" t="s">
        <v>182</v>
      </c>
      <c r="B17" s="1152">
        <v>2968012.416666667</v>
      </c>
      <c r="C17" s="1152">
        <v>5329640.0</v>
      </c>
      <c r="D17" s="7"/>
      <c r="E17" s="7"/>
      <c r="F17" s="7"/>
    </row>
    <row r="18" ht="14.25" customHeight="1">
      <c r="A18" s="332" t="s">
        <v>227</v>
      </c>
      <c r="B18" s="1152">
        <v>1.5380085E7</v>
      </c>
      <c r="C18" s="1152">
        <v>1.952480344209964E7</v>
      </c>
      <c r="D18" s="7"/>
      <c r="E18" s="7"/>
      <c r="F18" s="7"/>
    </row>
    <row r="19" ht="14.25" customHeight="1">
      <c r="A19" s="332" t="s">
        <v>1364</v>
      </c>
      <c r="B19" s="1152">
        <v>2.563504167298704E8</v>
      </c>
      <c r="C19" s="1152">
        <v>2.7E8</v>
      </c>
      <c r="D19" s="7"/>
      <c r="E19" s="7"/>
      <c r="F19" s="7"/>
    </row>
    <row r="20" ht="14.25" customHeight="1">
      <c r="A20" s="1195" t="s">
        <v>2004</v>
      </c>
      <c r="B20" s="1196">
        <v>5.71508749340628E8</v>
      </c>
      <c r="C20" s="1197">
        <v>6.346044738131669E8</v>
      </c>
      <c r="D20" s="7"/>
      <c r="E20" s="7"/>
      <c r="F20" s="7"/>
    </row>
    <row r="21" ht="14.25" customHeight="1">
      <c r="A21" s="332"/>
      <c r="B21" s="332"/>
      <c r="C21" s="332"/>
      <c r="D21" s="7"/>
      <c r="E21" s="7"/>
      <c r="F21" s="7"/>
    </row>
    <row r="22" ht="14.25" customHeight="1">
      <c r="A22" s="7"/>
      <c r="B22" s="7"/>
      <c r="C22" s="7"/>
      <c r="D22" s="7"/>
      <c r="E22" s="7"/>
      <c r="F22" s="7"/>
    </row>
    <row r="23" ht="14.25" customHeight="1">
      <c r="A23" s="7"/>
      <c r="B23" s="7"/>
      <c r="C23" s="7"/>
      <c r="D23" s="7"/>
      <c r="E23" s="7"/>
      <c r="F23" s="7"/>
    </row>
    <row r="24" ht="14.25" customHeight="1">
      <c r="A24" s="7"/>
      <c r="B24" s="7"/>
      <c r="C24" s="7"/>
      <c r="D24" s="7"/>
      <c r="E24" s="7"/>
      <c r="F24" s="7"/>
    </row>
    <row r="25" ht="14.25" customHeight="1">
      <c r="A25" s="7"/>
      <c r="B25" s="7"/>
      <c r="C25" s="7"/>
      <c r="D25" s="7"/>
      <c r="E25" s="7"/>
      <c r="F25" s="7"/>
    </row>
    <row r="26" ht="14.25" customHeight="1">
      <c r="A26" s="7"/>
      <c r="B26" s="7"/>
      <c r="C26" s="7"/>
      <c r="D26" s="7"/>
      <c r="E26" s="7"/>
      <c r="F26" s="7"/>
    </row>
    <row r="27" ht="14.25" customHeight="1">
      <c r="A27" s="7"/>
      <c r="B27" s="7"/>
      <c r="C27" s="7"/>
      <c r="D27" s="7"/>
      <c r="E27" s="7"/>
      <c r="F27" s="7"/>
    </row>
    <row r="28" ht="14.25" customHeight="1">
      <c r="A28" s="7"/>
      <c r="B28" s="7"/>
      <c r="C28" s="7"/>
      <c r="D28" s="7"/>
      <c r="E28" s="7"/>
      <c r="F28" s="7"/>
    </row>
    <row r="29" ht="14.25" customHeight="1">
      <c r="A29" s="7"/>
      <c r="B29" s="7"/>
      <c r="C29" s="7"/>
      <c r="D29" s="7"/>
      <c r="E29" s="7"/>
      <c r="F29" s="7"/>
    </row>
    <row r="30" ht="14.25" customHeight="1">
      <c r="A30" s="7"/>
      <c r="B30" s="7"/>
      <c r="C30" s="7"/>
      <c r="D30" s="7"/>
      <c r="E30" s="7"/>
      <c r="F30" s="7"/>
    </row>
    <row r="31" ht="14.25" customHeight="1">
      <c r="A31" s="7"/>
      <c r="B31" s="7"/>
      <c r="C31" s="7"/>
      <c r="D31" s="7"/>
      <c r="E31" s="7"/>
      <c r="F31" s="7"/>
    </row>
    <row r="32" ht="14.25" customHeight="1">
      <c r="A32" s="7"/>
      <c r="B32" s="7"/>
      <c r="C32" s="7"/>
      <c r="D32" s="7"/>
      <c r="E32" s="7"/>
      <c r="F32" s="7"/>
    </row>
    <row r="33" ht="14.25" customHeight="1">
      <c r="A33" s="7"/>
      <c r="B33" s="7"/>
      <c r="C33" s="7"/>
      <c r="D33" s="7"/>
      <c r="E33" s="7"/>
      <c r="F33" s="7"/>
    </row>
    <row r="34" ht="14.25" customHeight="1">
      <c r="A34" s="7"/>
      <c r="B34" s="7"/>
      <c r="C34" s="7"/>
      <c r="D34" s="7"/>
      <c r="E34" s="7"/>
      <c r="F34" s="7"/>
    </row>
    <row r="35" ht="14.25" customHeight="1">
      <c r="A35" s="7"/>
      <c r="B35" s="7"/>
      <c r="C35" s="7"/>
      <c r="D35" s="7"/>
      <c r="E35" s="7"/>
      <c r="F35" s="7"/>
    </row>
    <row r="36" ht="14.25" customHeight="1">
      <c r="A36" s="7"/>
      <c r="B36" s="7"/>
      <c r="C36" s="7"/>
      <c r="D36" s="7"/>
      <c r="E36" s="7"/>
      <c r="F36" s="7"/>
    </row>
    <row r="37" ht="14.25" customHeight="1">
      <c r="A37" s="7"/>
      <c r="B37" s="7"/>
      <c r="C37" s="7"/>
      <c r="D37" s="7"/>
      <c r="E37" s="7"/>
      <c r="F37" s="7"/>
    </row>
    <row r="38" ht="14.25" customHeight="1">
      <c r="A38" s="7"/>
      <c r="B38" s="7"/>
      <c r="C38" s="7"/>
      <c r="D38" s="7"/>
      <c r="E38" s="7"/>
      <c r="F38" s="7"/>
    </row>
    <row r="39" ht="14.25" customHeight="1">
      <c r="A39" s="7"/>
      <c r="B39" s="7"/>
      <c r="C39" s="7"/>
      <c r="D39" s="7"/>
      <c r="E39" s="7"/>
      <c r="F39" s="7"/>
    </row>
    <row r="40" ht="14.25" customHeight="1">
      <c r="A40" s="7"/>
      <c r="B40" s="7"/>
      <c r="C40" s="7"/>
      <c r="D40" s="7"/>
      <c r="E40" s="7"/>
      <c r="F40" s="7"/>
    </row>
    <row r="41" ht="14.25" customHeight="1">
      <c r="A41" s="7"/>
      <c r="B41" s="7"/>
      <c r="C41" s="7"/>
      <c r="D41" s="7"/>
      <c r="E41" s="7"/>
      <c r="F41" s="7"/>
    </row>
    <row r="42" ht="14.25" customHeight="1">
      <c r="A42" s="7"/>
      <c r="B42" s="7"/>
      <c r="C42" s="7"/>
      <c r="D42" s="7"/>
      <c r="E42" s="7"/>
      <c r="F42" s="7"/>
    </row>
    <row r="43" ht="14.25" customHeight="1">
      <c r="A43" s="7"/>
      <c r="B43" s="7"/>
      <c r="C43" s="7"/>
      <c r="D43" s="7"/>
      <c r="E43" s="7"/>
      <c r="F43" s="7"/>
    </row>
    <row r="44" ht="14.25" customHeight="1">
      <c r="A44" s="7"/>
      <c r="B44" s="7"/>
      <c r="C44" s="7"/>
      <c r="D44" s="7"/>
      <c r="E44" s="7"/>
      <c r="F44" s="7"/>
    </row>
    <row r="45" ht="14.25" customHeight="1">
      <c r="A45" s="7"/>
      <c r="B45" s="7"/>
      <c r="C45" s="7"/>
      <c r="D45" s="7"/>
      <c r="E45" s="7"/>
      <c r="F45" s="7"/>
    </row>
    <row r="46" ht="14.25" customHeight="1">
      <c r="A46" s="7"/>
      <c r="B46" s="7"/>
      <c r="C46" s="7"/>
      <c r="D46" s="7"/>
      <c r="E46" s="7"/>
      <c r="F46" s="7"/>
    </row>
    <row r="47" ht="14.25" customHeight="1">
      <c r="A47" s="7"/>
      <c r="B47" s="7"/>
      <c r="C47" s="7"/>
      <c r="D47" s="7"/>
      <c r="E47" s="7"/>
      <c r="F47" s="7"/>
    </row>
    <row r="48" ht="14.25" customHeight="1">
      <c r="A48" s="7"/>
      <c r="B48" s="7"/>
      <c r="C48" s="7"/>
      <c r="D48" s="7"/>
      <c r="E48" s="7"/>
      <c r="F48" s="7"/>
    </row>
    <row r="49" ht="14.25" customHeight="1">
      <c r="A49" s="7"/>
      <c r="B49" s="7"/>
      <c r="C49" s="7"/>
      <c r="D49" s="7"/>
      <c r="E49" s="7"/>
      <c r="F49" s="7"/>
    </row>
    <row r="50" ht="14.25" customHeight="1">
      <c r="A50" s="7"/>
      <c r="B50" s="7"/>
      <c r="C50" s="7"/>
      <c r="D50" s="7"/>
      <c r="E50" s="7"/>
      <c r="F50" s="7"/>
    </row>
    <row r="51" ht="14.25" customHeight="1">
      <c r="A51" s="7"/>
      <c r="B51" s="7"/>
      <c r="C51" s="7"/>
      <c r="D51" s="7"/>
      <c r="E51" s="7"/>
      <c r="F51" s="7"/>
    </row>
    <row r="52" ht="14.25" customHeight="1">
      <c r="A52" s="7"/>
      <c r="B52" s="7"/>
      <c r="C52" s="7"/>
      <c r="D52" s="7"/>
      <c r="E52" s="7"/>
      <c r="F52" s="7"/>
    </row>
    <row r="53" ht="14.25" customHeight="1">
      <c r="A53" s="7"/>
      <c r="B53" s="7"/>
      <c r="C53" s="7"/>
      <c r="D53" s="7"/>
      <c r="E53" s="7"/>
      <c r="F53" s="7"/>
    </row>
    <row r="54" ht="14.25" customHeight="1">
      <c r="A54" s="7"/>
      <c r="B54" s="7"/>
      <c r="C54" s="7"/>
      <c r="D54" s="7"/>
      <c r="E54" s="7"/>
      <c r="F54" s="7"/>
    </row>
    <row r="55" ht="14.25" customHeight="1">
      <c r="A55" s="7"/>
      <c r="B55" s="7"/>
      <c r="C55" s="7"/>
      <c r="D55" s="7"/>
      <c r="E55" s="7"/>
      <c r="F55" s="7"/>
    </row>
    <row r="56" ht="14.25" customHeight="1">
      <c r="A56" s="7"/>
      <c r="B56" s="7"/>
      <c r="C56" s="7"/>
      <c r="D56" s="7"/>
      <c r="E56" s="7"/>
      <c r="F56" s="7"/>
    </row>
    <row r="57" ht="14.25" customHeight="1">
      <c r="A57" s="7"/>
      <c r="B57" s="7"/>
      <c r="C57" s="7"/>
      <c r="D57" s="7"/>
      <c r="E57" s="7"/>
      <c r="F57" s="7"/>
    </row>
    <row r="58" ht="14.25" customHeight="1">
      <c r="A58" s="7"/>
      <c r="B58" s="7"/>
      <c r="C58" s="7"/>
      <c r="D58" s="7"/>
      <c r="E58" s="7"/>
      <c r="F58" s="7"/>
    </row>
    <row r="59" ht="14.25" customHeight="1">
      <c r="A59" s="7"/>
      <c r="B59" s="7"/>
      <c r="C59" s="7"/>
      <c r="D59" s="7"/>
      <c r="E59" s="7"/>
      <c r="F59" s="7"/>
    </row>
    <row r="60" ht="14.25" customHeight="1">
      <c r="A60" s="7"/>
      <c r="B60" s="7"/>
      <c r="C60" s="7"/>
      <c r="D60" s="7"/>
      <c r="E60" s="7"/>
      <c r="F60" s="7"/>
    </row>
    <row r="61" ht="14.25" customHeight="1">
      <c r="A61" s="7"/>
      <c r="B61" s="7"/>
      <c r="C61" s="7"/>
      <c r="D61" s="7"/>
      <c r="E61" s="7"/>
      <c r="F61" s="7"/>
    </row>
    <row r="62" ht="14.25" customHeight="1">
      <c r="A62" s="7"/>
      <c r="B62" s="7"/>
      <c r="C62" s="7"/>
      <c r="D62" s="7"/>
      <c r="E62" s="7"/>
      <c r="F62" s="7"/>
    </row>
    <row r="63" ht="14.25" customHeight="1">
      <c r="A63" s="7"/>
      <c r="B63" s="7"/>
      <c r="C63" s="7"/>
      <c r="D63" s="7"/>
      <c r="E63" s="7"/>
      <c r="F63" s="7"/>
    </row>
    <row r="64" ht="14.25" customHeight="1">
      <c r="A64" s="7"/>
      <c r="B64" s="7"/>
      <c r="C64" s="7"/>
      <c r="D64" s="7"/>
      <c r="E64" s="7"/>
      <c r="F64" s="7"/>
    </row>
    <row r="65" ht="14.25" customHeight="1">
      <c r="A65" s="7"/>
      <c r="B65" s="7"/>
      <c r="C65" s="7"/>
      <c r="D65" s="7"/>
      <c r="E65" s="7"/>
      <c r="F65" s="7"/>
    </row>
    <row r="66" ht="14.25" customHeight="1">
      <c r="A66" s="7"/>
      <c r="B66" s="7"/>
      <c r="C66" s="7"/>
      <c r="D66" s="7"/>
      <c r="E66" s="7"/>
      <c r="F66" s="7"/>
    </row>
    <row r="67" ht="14.25" customHeight="1">
      <c r="A67" s="7"/>
      <c r="B67" s="7"/>
      <c r="C67" s="7"/>
      <c r="D67" s="7"/>
      <c r="E67" s="7"/>
      <c r="F67" s="7"/>
    </row>
    <row r="68" ht="14.25" customHeight="1">
      <c r="A68" s="7"/>
      <c r="B68" s="7"/>
      <c r="C68" s="7"/>
      <c r="D68" s="7"/>
      <c r="E68" s="7"/>
      <c r="F68" s="7"/>
    </row>
    <row r="69" ht="14.25" customHeight="1">
      <c r="A69" s="7"/>
      <c r="B69" s="7"/>
      <c r="C69" s="7"/>
      <c r="D69" s="7"/>
      <c r="E69" s="7"/>
      <c r="F69" s="7"/>
    </row>
    <row r="70" ht="14.25" customHeight="1">
      <c r="A70" s="7"/>
      <c r="B70" s="7"/>
      <c r="C70" s="7"/>
      <c r="D70" s="7"/>
      <c r="E70" s="7"/>
      <c r="F70" s="7"/>
    </row>
    <row r="71" ht="14.25" customHeight="1">
      <c r="A71" s="7"/>
      <c r="B71" s="7"/>
      <c r="C71" s="7"/>
      <c r="D71" s="7"/>
      <c r="E71" s="7"/>
      <c r="F71" s="7"/>
    </row>
    <row r="72" ht="14.25" customHeight="1">
      <c r="A72" s="7"/>
      <c r="B72" s="7"/>
      <c r="C72" s="7"/>
      <c r="D72" s="7"/>
      <c r="E72" s="7"/>
      <c r="F72" s="7"/>
    </row>
    <row r="73" ht="14.25" customHeight="1">
      <c r="A73" s="7"/>
      <c r="B73" s="7"/>
      <c r="C73" s="7"/>
      <c r="D73" s="7"/>
      <c r="E73" s="7"/>
      <c r="F73" s="7"/>
    </row>
    <row r="74" ht="14.25" customHeight="1">
      <c r="A74" s="7"/>
      <c r="B74" s="7"/>
      <c r="C74" s="7"/>
      <c r="D74" s="7"/>
      <c r="E74" s="7"/>
      <c r="F74" s="7"/>
    </row>
    <row r="75" ht="14.25" customHeight="1">
      <c r="A75" s="7"/>
      <c r="B75" s="7"/>
      <c r="C75" s="7"/>
      <c r="D75" s="7"/>
      <c r="E75" s="7"/>
      <c r="F75" s="7"/>
    </row>
    <row r="76" ht="14.25" customHeight="1">
      <c r="A76" s="7"/>
      <c r="B76" s="7"/>
      <c r="C76" s="7"/>
      <c r="D76" s="7"/>
      <c r="E76" s="7"/>
      <c r="F76" s="7"/>
    </row>
    <row r="77" ht="14.25" customHeight="1">
      <c r="A77" s="7"/>
      <c r="B77" s="7"/>
      <c r="C77" s="7"/>
      <c r="D77" s="7"/>
      <c r="E77" s="7"/>
      <c r="F77" s="7"/>
    </row>
    <row r="78" ht="14.25" customHeight="1">
      <c r="A78" s="7"/>
      <c r="B78" s="7"/>
      <c r="C78" s="7"/>
      <c r="D78" s="7"/>
      <c r="E78" s="7"/>
      <c r="F78" s="7"/>
    </row>
    <row r="79" ht="14.25" customHeight="1">
      <c r="A79" s="7"/>
      <c r="B79" s="7"/>
      <c r="C79" s="7"/>
      <c r="D79" s="7"/>
      <c r="E79" s="7"/>
      <c r="F79" s="7"/>
    </row>
    <row r="80" ht="14.25" customHeight="1">
      <c r="A80" s="7"/>
      <c r="B80" s="7"/>
      <c r="C80" s="7"/>
      <c r="D80" s="7"/>
      <c r="E80" s="7"/>
      <c r="F80" s="7"/>
    </row>
    <row r="81" ht="14.25" customHeight="1">
      <c r="A81" s="7"/>
      <c r="B81" s="7"/>
      <c r="C81" s="7"/>
      <c r="D81" s="7"/>
      <c r="E81" s="7"/>
      <c r="F81" s="7"/>
    </row>
    <row r="82" ht="14.25" customHeight="1">
      <c r="A82" s="7"/>
      <c r="B82" s="7"/>
      <c r="C82" s="7"/>
      <c r="D82" s="7"/>
      <c r="E82" s="7"/>
      <c r="F82" s="7"/>
    </row>
    <row r="83" ht="14.25" customHeight="1">
      <c r="A83" s="7"/>
      <c r="B83" s="7"/>
      <c r="C83" s="7"/>
      <c r="D83" s="7"/>
      <c r="E83" s="7"/>
      <c r="F83" s="7"/>
    </row>
    <row r="84" ht="14.25" customHeight="1">
      <c r="A84" s="7"/>
      <c r="B84" s="7"/>
      <c r="C84" s="7"/>
      <c r="D84" s="7"/>
      <c r="E84" s="7"/>
      <c r="F84" s="7"/>
    </row>
    <row r="85" ht="14.25" customHeight="1">
      <c r="A85" s="7"/>
      <c r="B85" s="7"/>
      <c r="C85" s="7"/>
      <c r="D85" s="7"/>
      <c r="E85" s="7"/>
      <c r="F85" s="7"/>
    </row>
    <row r="86" ht="14.25" customHeight="1">
      <c r="A86" s="7"/>
      <c r="B86" s="7"/>
      <c r="C86" s="7"/>
      <c r="D86" s="7"/>
      <c r="E86" s="7"/>
      <c r="F86" s="7"/>
    </row>
    <row r="87" ht="14.25" customHeight="1">
      <c r="A87" s="7"/>
      <c r="B87" s="7"/>
      <c r="C87" s="7"/>
      <c r="D87" s="7"/>
      <c r="E87" s="7"/>
      <c r="F87" s="7"/>
    </row>
    <row r="88" ht="14.25" customHeight="1">
      <c r="A88" s="7"/>
      <c r="B88" s="7"/>
      <c r="C88" s="7"/>
      <c r="D88" s="7"/>
      <c r="E88" s="7"/>
      <c r="F88" s="7"/>
    </row>
    <row r="89" ht="14.25" customHeight="1">
      <c r="A89" s="7"/>
      <c r="B89" s="7"/>
      <c r="C89" s="7"/>
      <c r="D89" s="7"/>
      <c r="E89" s="7"/>
      <c r="F89" s="7"/>
    </row>
    <row r="90" ht="14.25" customHeight="1">
      <c r="A90" s="7"/>
      <c r="B90" s="7"/>
      <c r="C90" s="7"/>
      <c r="D90" s="7"/>
      <c r="E90" s="7"/>
      <c r="F90" s="7"/>
    </row>
    <row r="91" ht="14.25" customHeight="1">
      <c r="A91" s="7"/>
      <c r="B91" s="7"/>
      <c r="C91" s="7"/>
      <c r="D91" s="7"/>
      <c r="E91" s="7"/>
      <c r="F91" s="7"/>
    </row>
    <row r="92" ht="14.25" customHeight="1">
      <c r="A92" s="7"/>
      <c r="B92" s="7"/>
      <c r="C92" s="7"/>
      <c r="D92" s="7"/>
      <c r="E92" s="7"/>
      <c r="F92" s="7"/>
    </row>
    <row r="93" ht="14.25" customHeight="1">
      <c r="A93" s="7"/>
      <c r="B93" s="7"/>
      <c r="C93" s="7"/>
      <c r="D93" s="7"/>
      <c r="E93" s="7"/>
      <c r="F93" s="7"/>
    </row>
    <row r="94" ht="14.25" customHeight="1">
      <c r="A94" s="7"/>
      <c r="B94" s="7"/>
      <c r="C94" s="7"/>
      <c r="D94" s="7"/>
      <c r="E94" s="7"/>
      <c r="F94" s="7"/>
    </row>
    <row r="95" ht="14.25" customHeight="1">
      <c r="A95" s="7"/>
      <c r="B95" s="7"/>
      <c r="C95" s="7"/>
      <c r="D95" s="7"/>
      <c r="E95" s="7"/>
      <c r="F95" s="7"/>
    </row>
    <row r="96" ht="14.25" customHeight="1">
      <c r="A96" s="7"/>
      <c r="B96" s="7"/>
      <c r="C96" s="7"/>
      <c r="D96" s="7"/>
      <c r="E96" s="7"/>
      <c r="F96" s="7"/>
    </row>
    <row r="97" ht="14.25" customHeight="1">
      <c r="A97" s="7"/>
      <c r="B97" s="7"/>
      <c r="C97" s="7"/>
      <c r="D97" s="7"/>
      <c r="E97" s="7"/>
      <c r="F97" s="7"/>
    </row>
    <row r="98" ht="14.25" customHeight="1">
      <c r="A98" s="7"/>
      <c r="B98" s="7"/>
      <c r="C98" s="7"/>
      <c r="D98" s="7"/>
      <c r="E98" s="7"/>
      <c r="F98" s="7"/>
    </row>
    <row r="99" ht="14.25" customHeight="1">
      <c r="A99" s="7"/>
      <c r="B99" s="7"/>
      <c r="C99" s="7"/>
      <c r="D99" s="7"/>
      <c r="E99" s="7"/>
      <c r="F99" s="7"/>
    </row>
    <row r="100" ht="14.25" customHeight="1">
      <c r="A100" s="7"/>
      <c r="B100" s="7"/>
      <c r="C100" s="7"/>
      <c r="D100" s="7"/>
      <c r="E100" s="7"/>
      <c r="F100" s="7"/>
    </row>
    <row r="101" ht="14.25" customHeight="1">
      <c r="A101" s="7"/>
      <c r="B101" s="7"/>
      <c r="C101" s="7"/>
      <c r="D101" s="7"/>
      <c r="E101" s="7"/>
      <c r="F101" s="7"/>
    </row>
    <row r="102" ht="14.25" customHeight="1">
      <c r="A102" s="7"/>
      <c r="B102" s="7"/>
      <c r="C102" s="7"/>
      <c r="D102" s="7"/>
      <c r="E102" s="7"/>
      <c r="F102" s="7"/>
    </row>
    <row r="103" ht="14.25" customHeight="1">
      <c r="A103" s="7"/>
      <c r="B103" s="7"/>
      <c r="C103" s="7"/>
      <c r="D103" s="7"/>
      <c r="E103" s="7"/>
      <c r="F103" s="7"/>
    </row>
    <row r="104" ht="14.25" customHeight="1">
      <c r="A104" s="7"/>
      <c r="B104" s="7"/>
      <c r="C104" s="7"/>
      <c r="D104" s="7"/>
      <c r="E104" s="7"/>
      <c r="F104" s="7"/>
    </row>
    <row r="105" ht="14.25" customHeight="1">
      <c r="A105" s="7"/>
      <c r="B105" s="7"/>
      <c r="C105" s="7"/>
      <c r="D105" s="7"/>
      <c r="E105" s="7"/>
      <c r="F105" s="7"/>
    </row>
    <row r="106" ht="14.25" customHeight="1">
      <c r="A106" s="7"/>
      <c r="B106" s="7"/>
      <c r="C106" s="7"/>
      <c r="D106" s="7"/>
      <c r="E106" s="7"/>
      <c r="F106" s="7"/>
    </row>
    <row r="107" ht="14.25" customHeight="1">
      <c r="A107" s="7"/>
      <c r="B107" s="7"/>
      <c r="C107" s="7"/>
      <c r="D107" s="7"/>
      <c r="E107" s="7"/>
      <c r="F107" s="7"/>
    </row>
    <row r="108" ht="14.25" customHeight="1">
      <c r="A108" s="7"/>
      <c r="B108" s="7"/>
      <c r="C108" s="7"/>
      <c r="D108" s="7"/>
      <c r="E108" s="7"/>
      <c r="F108" s="7"/>
    </row>
    <row r="109" ht="14.25" customHeight="1">
      <c r="A109" s="7"/>
      <c r="B109" s="7"/>
      <c r="C109" s="7"/>
      <c r="D109" s="7"/>
      <c r="E109" s="7"/>
      <c r="F109" s="7"/>
    </row>
    <row r="110" ht="14.25" customHeight="1">
      <c r="A110" s="7"/>
      <c r="B110" s="7"/>
      <c r="C110" s="7"/>
      <c r="D110" s="7"/>
      <c r="E110" s="7"/>
      <c r="F110" s="7"/>
    </row>
    <row r="111" ht="14.25" customHeight="1">
      <c r="A111" s="7"/>
      <c r="B111" s="7"/>
      <c r="C111" s="7"/>
      <c r="D111" s="7"/>
      <c r="E111" s="7"/>
      <c r="F111" s="7"/>
    </row>
    <row r="112" ht="14.25" customHeight="1">
      <c r="A112" s="7"/>
      <c r="B112" s="7"/>
      <c r="C112" s="7"/>
      <c r="D112" s="7"/>
      <c r="E112" s="7"/>
      <c r="F112" s="7"/>
    </row>
    <row r="113" ht="14.25" customHeight="1">
      <c r="A113" s="7"/>
      <c r="B113" s="7"/>
      <c r="C113" s="7"/>
      <c r="D113" s="7"/>
      <c r="E113" s="7"/>
      <c r="F113" s="7"/>
    </row>
    <row r="114" ht="14.25" customHeight="1">
      <c r="A114" s="7"/>
      <c r="B114" s="7"/>
      <c r="C114" s="7"/>
      <c r="D114" s="7"/>
      <c r="E114" s="7"/>
      <c r="F114" s="7"/>
    </row>
    <row r="115" ht="14.25" customHeight="1">
      <c r="A115" s="7"/>
      <c r="B115" s="7"/>
      <c r="C115" s="7"/>
      <c r="D115" s="7"/>
      <c r="E115" s="7"/>
      <c r="F115" s="7"/>
    </row>
    <row r="116" ht="14.25" customHeight="1">
      <c r="A116" s="7"/>
      <c r="B116" s="7"/>
      <c r="C116" s="7"/>
      <c r="D116" s="7"/>
      <c r="E116" s="7"/>
      <c r="F116" s="7"/>
    </row>
    <row r="117" ht="14.25" customHeight="1">
      <c r="A117" s="7"/>
      <c r="B117" s="7"/>
      <c r="C117" s="7"/>
      <c r="D117" s="7"/>
      <c r="E117" s="7"/>
      <c r="F117" s="7"/>
    </row>
    <row r="118" ht="14.25" customHeight="1">
      <c r="A118" s="7"/>
      <c r="B118" s="7"/>
      <c r="C118" s="7"/>
      <c r="D118" s="7"/>
      <c r="E118" s="7"/>
      <c r="F118" s="7"/>
    </row>
    <row r="119" ht="14.25" customHeight="1">
      <c r="A119" s="7"/>
      <c r="B119" s="7"/>
      <c r="C119" s="7"/>
      <c r="D119" s="7"/>
      <c r="E119" s="7"/>
      <c r="F119" s="7"/>
    </row>
    <row r="120" ht="14.25" customHeight="1">
      <c r="A120" s="7"/>
      <c r="B120" s="7"/>
      <c r="C120" s="7"/>
      <c r="D120" s="7"/>
      <c r="E120" s="7"/>
      <c r="F120" s="7"/>
    </row>
    <row r="121" ht="14.25" customHeight="1">
      <c r="A121" s="7"/>
      <c r="B121" s="7"/>
      <c r="C121" s="7"/>
      <c r="D121" s="7"/>
      <c r="E121" s="7"/>
      <c r="F121" s="7"/>
    </row>
    <row r="122" ht="14.25" customHeight="1">
      <c r="A122" s="7"/>
      <c r="B122" s="7"/>
      <c r="C122" s="7"/>
      <c r="D122" s="7"/>
      <c r="E122" s="7"/>
      <c r="F122" s="7"/>
    </row>
    <row r="123" ht="14.25" customHeight="1">
      <c r="A123" s="7"/>
      <c r="B123" s="7"/>
      <c r="C123" s="7"/>
      <c r="D123" s="7"/>
      <c r="E123" s="7"/>
      <c r="F123" s="7"/>
    </row>
    <row r="124" ht="14.25" customHeight="1">
      <c r="A124" s="7"/>
      <c r="B124" s="7"/>
      <c r="C124" s="7"/>
      <c r="D124" s="7"/>
      <c r="E124" s="7"/>
      <c r="F124" s="7"/>
    </row>
    <row r="125" ht="14.25" customHeight="1">
      <c r="A125" s="7"/>
      <c r="B125" s="7"/>
      <c r="C125" s="7"/>
      <c r="D125" s="7"/>
      <c r="E125" s="7"/>
      <c r="F125" s="7"/>
    </row>
    <row r="126" ht="14.25" customHeight="1">
      <c r="A126" s="7"/>
      <c r="B126" s="7"/>
      <c r="C126" s="7"/>
      <c r="D126" s="7"/>
      <c r="E126" s="7"/>
      <c r="F126" s="7"/>
    </row>
    <row r="127" ht="14.25" customHeight="1">
      <c r="A127" s="7"/>
      <c r="B127" s="7"/>
      <c r="C127" s="7"/>
      <c r="D127" s="7"/>
      <c r="E127" s="7"/>
      <c r="F127" s="7"/>
    </row>
    <row r="128" ht="14.25" customHeight="1">
      <c r="A128" s="7"/>
      <c r="B128" s="7"/>
      <c r="C128" s="7"/>
      <c r="D128" s="7"/>
      <c r="E128" s="7"/>
      <c r="F128" s="7"/>
    </row>
    <row r="129" ht="14.25" customHeight="1">
      <c r="A129" s="7"/>
      <c r="B129" s="7"/>
      <c r="C129" s="7"/>
      <c r="D129" s="7"/>
      <c r="E129" s="7"/>
      <c r="F129" s="7"/>
    </row>
    <row r="130" ht="14.25" customHeight="1">
      <c r="A130" s="7"/>
      <c r="B130" s="7"/>
      <c r="C130" s="7"/>
      <c r="D130" s="7"/>
      <c r="E130" s="7"/>
      <c r="F130" s="7"/>
    </row>
    <row r="131" ht="14.25" customHeight="1">
      <c r="A131" s="7"/>
      <c r="B131" s="7"/>
      <c r="C131" s="7"/>
      <c r="D131" s="7"/>
      <c r="E131" s="7"/>
      <c r="F131" s="7"/>
    </row>
    <row r="132" ht="14.25" customHeight="1">
      <c r="A132" s="7"/>
      <c r="B132" s="7"/>
      <c r="C132" s="7"/>
      <c r="D132" s="7"/>
      <c r="E132" s="7"/>
      <c r="F132" s="7"/>
    </row>
    <row r="133" ht="14.25" customHeight="1">
      <c r="A133" s="7"/>
      <c r="B133" s="7"/>
      <c r="C133" s="7"/>
      <c r="D133" s="7"/>
      <c r="E133" s="7"/>
      <c r="F133" s="7"/>
    </row>
    <row r="134" ht="14.25" customHeight="1">
      <c r="A134" s="7"/>
      <c r="B134" s="7"/>
      <c r="C134" s="7"/>
      <c r="D134" s="7"/>
      <c r="E134" s="7"/>
      <c r="F134" s="7"/>
    </row>
    <row r="135" ht="14.25" customHeight="1">
      <c r="A135" s="7"/>
      <c r="B135" s="7"/>
      <c r="C135" s="7"/>
      <c r="D135" s="7"/>
      <c r="E135" s="7"/>
      <c r="F135" s="7"/>
    </row>
    <row r="136" ht="14.25" customHeight="1">
      <c r="A136" s="7"/>
      <c r="B136" s="7"/>
      <c r="C136" s="7"/>
      <c r="D136" s="7"/>
      <c r="E136" s="7"/>
      <c r="F136" s="7"/>
    </row>
    <row r="137" ht="14.25" customHeight="1">
      <c r="A137" s="7"/>
      <c r="B137" s="7"/>
      <c r="C137" s="7"/>
      <c r="D137" s="7"/>
      <c r="E137" s="7"/>
      <c r="F137" s="7"/>
    </row>
    <row r="138" ht="14.25" customHeight="1">
      <c r="A138" s="7"/>
      <c r="B138" s="7"/>
      <c r="C138" s="7"/>
      <c r="D138" s="7"/>
      <c r="E138" s="7"/>
      <c r="F138" s="7"/>
    </row>
    <row r="139" ht="14.25" customHeight="1">
      <c r="A139" s="7"/>
      <c r="B139" s="7"/>
      <c r="C139" s="7"/>
      <c r="D139" s="7"/>
      <c r="E139" s="7"/>
      <c r="F139" s="7"/>
    </row>
    <row r="140" ht="14.25" customHeight="1">
      <c r="A140" s="7"/>
      <c r="B140" s="7"/>
      <c r="C140" s="7"/>
      <c r="D140" s="7"/>
      <c r="E140" s="7"/>
      <c r="F140" s="7"/>
    </row>
    <row r="141" ht="14.25" customHeight="1">
      <c r="A141" s="7"/>
      <c r="B141" s="7"/>
      <c r="C141" s="7"/>
      <c r="D141" s="7"/>
      <c r="E141" s="7"/>
      <c r="F141" s="7"/>
    </row>
    <row r="142" ht="14.25" customHeight="1">
      <c r="A142" s="7"/>
      <c r="B142" s="7"/>
      <c r="C142" s="7"/>
      <c r="D142" s="7"/>
      <c r="E142" s="7"/>
      <c r="F142" s="7"/>
    </row>
    <row r="143" ht="14.25" customHeight="1">
      <c r="A143" s="7"/>
      <c r="B143" s="7"/>
      <c r="C143" s="7"/>
      <c r="D143" s="7"/>
      <c r="E143" s="7"/>
      <c r="F143" s="7"/>
    </row>
    <row r="144" ht="14.25" customHeight="1">
      <c r="A144" s="7"/>
      <c r="B144" s="7"/>
      <c r="C144" s="7"/>
      <c r="D144" s="7"/>
      <c r="E144" s="7"/>
      <c r="F144" s="7"/>
    </row>
    <row r="145" ht="14.25" customHeight="1">
      <c r="A145" s="7"/>
      <c r="B145" s="7"/>
      <c r="C145" s="7"/>
      <c r="D145" s="7"/>
      <c r="E145" s="7"/>
      <c r="F145" s="7"/>
    </row>
    <row r="146" ht="14.25" customHeight="1">
      <c r="A146" s="7"/>
      <c r="B146" s="7"/>
      <c r="C146" s="7"/>
      <c r="D146" s="7"/>
      <c r="E146" s="7"/>
      <c r="F146" s="7"/>
    </row>
    <row r="147" ht="14.25" customHeight="1">
      <c r="A147" s="7"/>
      <c r="B147" s="7"/>
      <c r="C147" s="7"/>
      <c r="D147" s="7"/>
      <c r="E147" s="7"/>
      <c r="F147" s="7"/>
    </row>
    <row r="148" ht="14.25" customHeight="1">
      <c r="A148" s="7"/>
      <c r="B148" s="7"/>
      <c r="C148" s="7"/>
      <c r="D148" s="7"/>
      <c r="E148" s="7"/>
      <c r="F148" s="7"/>
    </row>
    <row r="149" ht="14.25" customHeight="1">
      <c r="A149" s="7"/>
      <c r="B149" s="7"/>
      <c r="C149" s="7"/>
      <c r="D149" s="7"/>
      <c r="E149" s="7"/>
      <c r="F149" s="7"/>
    </row>
    <row r="150" ht="14.25" customHeight="1">
      <c r="A150" s="7"/>
      <c r="B150" s="7"/>
      <c r="C150" s="7"/>
      <c r="D150" s="7"/>
      <c r="E150" s="7"/>
      <c r="F150" s="7"/>
    </row>
    <row r="151" ht="14.25" customHeight="1">
      <c r="A151" s="7"/>
      <c r="B151" s="7"/>
      <c r="C151" s="7"/>
      <c r="D151" s="7"/>
      <c r="E151" s="7"/>
      <c r="F151" s="7"/>
    </row>
    <row r="152" ht="14.25" customHeight="1">
      <c r="A152" s="7"/>
      <c r="B152" s="7"/>
      <c r="C152" s="7"/>
      <c r="D152" s="7"/>
      <c r="E152" s="7"/>
      <c r="F152" s="7"/>
    </row>
    <row r="153" ht="14.25" customHeight="1">
      <c r="A153" s="7"/>
      <c r="B153" s="7"/>
      <c r="C153" s="7"/>
      <c r="D153" s="7"/>
      <c r="E153" s="7"/>
      <c r="F153" s="7"/>
    </row>
    <row r="154" ht="14.25" customHeight="1">
      <c r="A154" s="7"/>
      <c r="B154" s="7"/>
      <c r="C154" s="7"/>
      <c r="D154" s="7"/>
      <c r="E154" s="7"/>
      <c r="F154" s="7"/>
    </row>
    <row r="155" ht="14.25" customHeight="1">
      <c r="A155" s="7"/>
      <c r="B155" s="7"/>
      <c r="C155" s="7"/>
      <c r="D155" s="7"/>
      <c r="E155" s="7"/>
      <c r="F155" s="7"/>
    </row>
    <row r="156" ht="14.25" customHeight="1">
      <c r="A156" s="7"/>
      <c r="B156" s="7"/>
      <c r="C156" s="7"/>
      <c r="D156" s="7"/>
      <c r="E156" s="7"/>
      <c r="F156" s="7"/>
    </row>
    <row r="157" ht="14.25" customHeight="1">
      <c r="A157" s="7"/>
      <c r="B157" s="7"/>
      <c r="C157" s="7"/>
      <c r="D157" s="7"/>
      <c r="E157" s="7"/>
      <c r="F157" s="7"/>
    </row>
    <row r="158" ht="14.25" customHeight="1">
      <c r="A158" s="7"/>
      <c r="B158" s="7"/>
      <c r="C158" s="7"/>
      <c r="D158" s="7"/>
      <c r="E158" s="7"/>
      <c r="F158" s="7"/>
    </row>
    <row r="159" ht="14.25" customHeight="1">
      <c r="A159" s="7"/>
      <c r="B159" s="7"/>
      <c r="C159" s="7"/>
      <c r="D159" s="7"/>
      <c r="E159" s="7"/>
      <c r="F159" s="7"/>
    </row>
    <row r="160" ht="14.25" customHeight="1">
      <c r="A160" s="7"/>
      <c r="B160" s="7"/>
      <c r="C160" s="7"/>
      <c r="D160" s="7"/>
      <c r="E160" s="7"/>
      <c r="F160" s="7"/>
    </row>
    <row r="161" ht="14.25" customHeight="1">
      <c r="A161" s="7"/>
      <c r="B161" s="7"/>
      <c r="C161" s="7"/>
      <c r="D161" s="7"/>
      <c r="E161" s="7"/>
      <c r="F161" s="7"/>
    </row>
    <row r="162" ht="14.25" customHeight="1">
      <c r="A162" s="7"/>
      <c r="B162" s="7"/>
      <c r="C162" s="7"/>
      <c r="D162" s="7"/>
      <c r="E162" s="7"/>
      <c r="F162" s="7"/>
    </row>
    <row r="163" ht="14.25" customHeight="1">
      <c r="A163" s="7"/>
      <c r="B163" s="7"/>
      <c r="C163" s="7"/>
      <c r="D163" s="7"/>
      <c r="E163" s="7"/>
      <c r="F163" s="7"/>
    </row>
    <row r="164" ht="14.25" customHeight="1">
      <c r="A164" s="7"/>
      <c r="B164" s="7"/>
      <c r="C164" s="7"/>
      <c r="D164" s="7"/>
      <c r="E164" s="7"/>
      <c r="F164" s="7"/>
    </row>
    <row r="165" ht="14.25" customHeight="1">
      <c r="A165" s="7"/>
      <c r="B165" s="7"/>
      <c r="C165" s="7"/>
      <c r="D165" s="7"/>
      <c r="E165" s="7"/>
      <c r="F165" s="7"/>
    </row>
    <row r="166" ht="14.25" customHeight="1">
      <c r="A166" s="7"/>
      <c r="B166" s="7"/>
      <c r="C166" s="7"/>
      <c r="D166" s="7"/>
      <c r="E166" s="7"/>
      <c r="F166" s="7"/>
    </row>
    <row r="167" ht="14.25" customHeight="1">
      <c r="A167" s="7"/>
      <c r="B167" s="7"/>
      <c r="C167" s="7"/>
      <c r="D167" s="7"/>
      <c r="E167" s="7"/>
      <c r="F167" s="7"/>
    </row>
    <row r="168" ht="14.25" customHeight="1">
      <c r="A168" s="7"/>
      <c r="B168" s="7"/>
      <c r="C168" s="7"/>
      <c r="D168" s="7"/>
      <c r="E168" s="7"/>
      <c r="F168" s="7"/>
    </row>
    <row r="169" ht="14.25" customHeight="1">
      <c r="A169" s="7"/>
      <c r="B169" s="7"/>
      <c r="C169" s="7"/>
      <c r="D169" s="7"/>
      <c r="E169" s="7"/>
      <c r="F169" s="7"/>
    </row>
    <row r="170" ht="14.25" customHeight="1">
      <c r="A170" s="7"/>
      <c r="B170" s="7"/>
      <c r="C170" s="7"/>
      <c r="D170" s="7"/>
      <c r="E170" s="7"/>
      <c r="F170" s="7"/>
    </row>
    <row r="171" ht="14.25" customHeight="1">
      <c r="A171" s="7"/>
      <c r="B171" s="7"/>
      <c r="C171" s="7"/>
      <c r="D171" s="7"/>
      <c r="E171" s="7"/>
      <c r="F171" s="7"/>
    </row>
    <row r="172" ht="14.25" customHeight="1">
      <c r="A172" s="7"/>
      <c r="B172" s="7"/>
      <c r="C172" s="7"/>
      <c r="D172" s="7"/>
      <c r="E172" s="7"/>
      <c r="F172" s="7"/>
    </row>
    <row r="173" ht="14.25" customHeight="1">
      <c r="A173" s="7"/>
      <c r="B173" s="7"/>
      <c r="C173" s="7"/>
      <c r="D173" s="7"/>
      <c r="E173" s="7"/>
      <c r="F173" s="7"/>
    </row>
    <row r="174" ht="14.25" customHeight="1">
      <c r="A174" s="7"/>
      <c r="B174" s="7"/>
      <c r="C174" s="7"/>
      <c r="D174" s="7"/>
      <c r="E174" s="7"/>
      <c r="F174" s="7"/>
    </row>
    <row r="175" ht="14.25" customHeight="1">
      <c r="A175" s="7"/>
      <c r="B175" s="7"/>
      <c r="C175" s="7"/>
      <c r="D175" s="7"/>
      <c r="E175" s="7"/>
      <c r="F175" s="7"/>
    </row>
    <row r="176" ht="14.25" customHeight="1">
      <c r="A176" s="7"/>
      <c r="B176" s="7"/>
      <c r="C176" s="7"/>
      <c r="D176" s="7"/>
      <c r="E176" s="7"/>
      <c r="F176" s="7"/>
    </row>
    <row r="177" ht="14.25" customHeight="1">
      <c r="A177" s="7"/>
      <c r="B177" s="7"/>
      <c r="C177" s="7"/>
      <c r="D177" s="7"/>
      <c r="E177" s="7"/>
      <c r="F177" s="7"/>
    </row>
    <row r="178" ht="14.25" customHeight="1">
      <c r="A178" s="7"/>
      <c r="B178" s="7"/>
      <c r="C178" s="7"/>
      <c r="D178" s="7"/>
      <c r="E178" s="7"/>
      <c r="F178" s="7"/>
    </row>
    <row r="179" ht="14.25" customHeight="1">
      <c r="A179" s="7"/>
      <c r="B179" s="7"/>
      <c r="C179" s="7"/>
      <c r="D179" s="7"/>
      <c r="E179" s="7"/>
      <c r="F179" s="7"/>
    </row>
    <row r="180" ht="14.25" customHeight="1">
      <c r="A180" s="7"/>
      <c r="B180" s="7"/>
      <c r="C180" s="7"/>
      <c r="D180" s="7"/>
      <c r="E180" s="7"/>
      <c r="F180" s="7"/>
    </row>
    <row r="181" ht="14.25" customHeight="1">
      <c r="A181" s="7"/>
      <c r="B181" s="7"/>
      <c r="C181" s="7"/>
      <c r="D181" s="7"/>
      <c r="E181" s="7"/>
      <c r="F181" s="7"/>
    </row>
    <row r="182" ht="14.25" customHeight="1">
      <c r="A182" s="7"/>
      <c r="B182" s="7"/>
      <c r="C182" s="7"/>
      <c r="D182" s="7"/>
      <c r="E182" s="7"/>
      <c r="F182" s="7"/>
    </row>
    <row r="183" ht="14.25" customHeight="1">
      <c r="A183" s="7"/>
      <c r="B183" s="7"/>
      <c r="C183" s="7"/>
      <c r="D183" s="7"/>
      <c r="E183" s="7"/>
      <c r="F183" s="7"/>
    </row>
    <row r="184" ht="14.25" customHeight="1">
      <c r="A184" s="7"/>
      <c r="B184" s="7"/>
      <c r="C184" s="7"/>
      <c r="D184" s="7"/>
      <c r="E184" s="7"/>
      <c r="F184" s="7"/>
    </row>
    <row r="185" ht="14.25" customHeight="1">
      <c r="A185" s="7"/>
      <c r="B185" s="7"/>
      <c r="C185" s="7"/>
      <c r="D185" s="7"/>
      <c r="E185" s="7"/>
      <c r="F185" s="7"/>
    </row>
    <row r="186" ht="14.25" customHeight="1">
      <c r="A186" s="7"/>
      <c r="B186" s="7"/>
      <c r="C186" s="7"/>
      <c r="D186" s="7"/>
      <c r="E186" s="7"/>
      <c r="F186" s="7"/>
    </row>
    <row r="187" ht="14.25" customHeight="1">
      <c r="A187" s="7"/>
      <c r="B187" s="7"/>
      <c r="C187" s="7"/>
      <c r="D187" s="7"/>
      <c r="E187" s="7"/>
      <c r="F187" s="7"/>
    </row>
    <row r="188" ht="14.25" customHeight="1">
      <c r="A188" s="7"/>
      <c r="B188" s="7"/>
      <c r="C188" s="7"/>
      <c r="D188" s="7"/>
      <c r="E188" s="7"/>
      <c r="F188" s="7"/>
    </row>
    <row r="189" ht="14.25" customHeight="1">
      <c r="A189" s="7"/>
      <c r="B189" s="7"/>
      <c r="C189" s="7"/>
      <c r="D189" s="7"/>
      <c r="E189" s="7"/>
      <c r="F189" s="7"/>
    </row>
    <row r="190" ht="14.25" customHeight="1">
      <c r="A190" s="7"/>
      <c r="B190" s="7"/>
      <c r="C190" s="7"/>
      <c r="D190" s="7"/>
      <c r="E190" s="7"/>
      <c r="F190" s="7"/>
    </row>
    <row r="191" ht="14.25" customHeight="1">
      <c r="A191" s="7"/>
      <c r="B191" s="7"/>
      <c r="C191" s="7"/>
      <c r="D191" s="7"/>
      <c r="E191" s="7"/>
      <c r="F191" s="7"/>
    </row>
    <row r="192" ht="14.25" customHeight="1">
      <c r="A192" s="7"/>
      <c r="B192" s="7"/>
      <c r="C192" s="7"/>
      <c r="D192" s="7"/>
      <c r="E192" s="7"/>
      <c r="F192" s="7"/>
    </row>
    <row r="193" ht="14.25" customHeight="1">
      <c r="A193" s="7"/>
      <c r="B193" s="7"/>
      <c r="C193" s="7"/>
      <c r="D193" s="7"/>
      <c r="E193" s="7"/>
      <c r="F193" s="7"/>
    </row>
    <row r="194" ht="14.25" customHeight="1">
      <c r="A194" s="7"/>
      <c r="B194" s="7"/>
      <c r="C194" s="7"/>
      <c r="D194" s="7"/>
      <c r="E194" s="7"/>
      <c r="F194" s="7"/>
    </row>
    <row r="195" ht="14.25" customHeight="1">
      <c r="A195" s="7"/>
      <c r="B195" s="7"/>
      <c r="C195" s="7"/>
      <c r="D195" s="7"/>
      <c r="E195" s="7"/>
      <c r="F195" s="7"/>
    </row>
    <row r="196" ht="14.25" customHeight="1">
      <c r="A196" s="7"/>
      <c r="B196" s="7"/>
      <c r="C196" s="7"/>
      <c r="D196" s="7"/>
      <c r="E196" s="7"/>
      <c r="F196" s="7"/>
    </row>
    <row r="197" ht="14.25" customHeight="1">
      <c r="A197" s="7"/>
      <c r="B197" s="7"/>
      <c r="C197" s="7"/>
      <c r="D197" s="7"/>
      <c r="E197" s="7"/>
      <c r="F197" s="7"/>
    </row>
    <row r="198" ht="14.25" customHeight="1">
      <c r="A198" s="7"/>
      <c r="B198" s="7"/>
      <c r="C198" s="7"/>
      <c r="D198" s="7"/>
      <c r="E198" s="7"/>
      <c r="F198" s="7"/>
    </row>
    <row r="199" ht="14.25" customHeight="1">
      <c r="A199" s="7"/>
      <c r="B199" s="7"/>
      <c r="C199" s="7"/>
      <c r="D199" s="7"/>
      <c r="E199" s="7"/>
      <c r="F199" s="7"/>
    </row>
    <row r="200" ht="14.25" customHeight="1">
      <c r="A200" s="7"/>
      <c r="B200" s="7"/>
      <c r="C200" s="7"/>
      <c r="D200" s="7"/>
      <c r="E200" s="7"/>
      <c r="F200" s="7"/>
    </row>
    <row r="201" ht="14.25" customHeight="1">
      <c r="A201" s="7"/>
      <c r="B201" s="7"/>
      <c r="C201" s="7"/>
      <c r="D201" s="7"/>
      <c r="E201" s="7"/>
      <c r="F201" s="7"/>
    </row>
    <row r="202" ht="14.25" customHeight="1">
      <c r="A202" s="7"/>
      <c r="B202" s="7"/>
      <c r="C202" s="7"/>
      <c r="D202" s="7"/>
      <c r="E202" s="7"/>
      <c r="F202" s="7"/>
    </row>
    <row r="203" ht="14.25" customHeight="1">
      <c r="A203" s="7"/>
      <c r="B203" s="7"/>
      <c r="C203" s="7"/>
      <c r="D203" s="7"/>
      <c r="E203" s="7"/>
      <c r="F203" s="7"/>
    </row>
    <row r="204" ht="14.25" customHeight="1">
      <c r="A204" s="7"/>
      <c r="B204" s="7"/>
      <c r="C204" s="7"/>
      <c r="D204" s="7"/>
      <c r="E204" s="7"/>
      <c r="F204" s="7"/>
    </row>
    <row r="205" ht="14.25" customHeight="1">
      <c r="A205" s="7"/>
      <c r="B205" s="7"/>
      <c r="C205" s="7"/>
      <c r="D205" s="7"/>
      <c r="E205" s="7"/>
      <c r="F205" s="7"/>
    </row>
    <row r="206" ht="14.25" customHeight="1">
      <c r="A206" s="7"/>
      <c r="B206" s="7"/>
      <c r="C206" s="7"/>
      <c r="D206" s="7"/>
      <c r="E206" s="7"/>
      <c r="F206" s="7"/>
    </row>
    <row r="207" ht="14.25" customHeight="1">
      <c r="A207" s="7"/>
      <c r="B207" s="7"/>
      <c r="C207" s="7"/>
      <c r="D207" s="7"/>
      <c r="E207" s="7"/>
      <c r="F207" s="7"/>
    </row>
    <row r="208" ht="14.25" customHeight="1">
      <c r="A208" s="7"/>
      <c r="B208" s="7"/>
      <c r="C208" s="7"/>
      <c r="D208" s="7"/>
      <c r="E208" s="7"/>
      <c r="F208" s="7"/>
    </row>
    <row r="209" ht="14.25" customHeight="1">
      <c r="A209" s="7"/>
      <c r="B209" s="7"/>
      <c r="C209" s="7"/>
      <c r="D209" s="7"/>
      <c r="E209" s="7"/>
      <c r="F209" s="7"/>
    </row>
    <row r="210" ht="14.25" customHeight="1">
      <c r="A210" s="7"/>
      <c r="B210" s="7"/>
      <c r="C210" s="7"/>
      <c r="D210" s="7"/>
      <c r="E210" s="7"/>
      <c r="F210" s="7"/>
    </row>
    <row r="211" ht="14.25" customHeight="1">
      <c r="A211" s="7"/>
      <c r="B211" s="7"/>
      <c r="C211" s="7"/>
      <c r="D211" s="7"/>
      <c r="E211" s="7"/>
      <c r="F211" s="7"/>
    </row>
    <row r="212" ht="14.25" customHeight="1">
      <c r="A212" s="7"/>
      <c r="B212" s="7"/>
      <c r="C212" s="7"/>
      <c r="D212" s="7"/>
      <c r="E212" s="7"/>
      <c r="F212" s="7"/>
    </row>
    <row r="213" ht="14.25" customHeight="1">
      <c r="A213" s="7"/>
      <c r="B213" s="7"/>
      <c r="C213" s="7"/>
      <c r="D213" s="7"/>
      <c r="E213" s="7"/>
      <c r="F213" s="7"/>
    </row>
    <row r="214" ht="14.25" customHeight="1">
      <c r="A214" s="7"/>
      <c r="B214" s="7"/>
      <c r="C214" s="7"/>
      <c r="D214" s="7"/>
      <c r="E214" s="7"/>
      <c r="F214" s="7"/>
    </row>
    <row r="215" ht="14.25" customHeight="1">
      <c r="A215" s="7"/>
      <c r="B215" s="7"/>
      <c r="C215" s="7"/>
      <c r="D215" s="7"/>
      <c r="E215" s="7"/>
      <c r="F215" s="7"/>
    </row>
    <row r="216" ht="14.25" customHeight="1">
      <c r="A216" s="7"/>
      <c r="B216" s="7"/>
      <c r="C216" s="7"/>
      <c r="D216" s="7"/>
      <c r="E216" s="7"/>
      <c r="F216" s="7"/>
    </row>
    <row r="217" ht="14.25" customHeight="1">
      <c r="A217" s="7"/>
      <c r="B217" s="7"/>
      <c r="C217" s="7"/>
      <c r="D217" s="7"/>
      <c r="E217" s="7"/>
      <c r="F217" s="7"/>
    </row>
    <row r="218" ht="14.25" customHeight="1">
      <c r="A218" s="7"/>
      <c r="B218" s="7"/>
      <c r="C218" s="7"/>
      <c r="D218" s="7"/>
      <c r="E218" s="7"/>
      <c r="F218" s="7"/>
    </row>
    <row r="219" ht="14.25" customHeight="1">
      <c r="A219" s="7"/>
      <c r="B219" s="7"/>
      <c r="C219" s="7"/>
      <c r="D219" s="7"/>
      <c r="E219" s="7"/>
      <c r="F219" s="7"/>
    </row>
    <row r="220" ht="14.25" customHeight="1">
      <c r="A220" s="7"/>
      <c r="B220" s="7"/>
      <c r="C220" s="7"/>
      <c r="D220" s="7"/>
      <c r="E220" s="7"/>
      <c r="F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2025-02-18T13:02:37Z</dcterms:created>
  <dc:creator>Silvina Rodriguez</dc:creator>
</cp:coreProperties>
</file>